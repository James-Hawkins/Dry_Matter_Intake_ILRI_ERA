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DMI.prediction\R\"/>
    </mc:Choice>
  </mc:AlternateContent>
  <xr:revisionPtr revIDLastSave="0" documentId="13_ncr:1_{988A2785-6A39-450F-9269-F34F7B991C73}" xr6:coauthVersionLast="47" xr6:coauthVersionMax="47" xr10:uidLastSave="{00000000-0000-0000-0000-000000000000}"/>
  <bookViews>
    <workbookView xWindow="-120" yWindow="-120" windowWidth="21840" windowHeight="13020" firstSheet="2" activeTab="5" xr2:uid="{295D51D6-305E-43EC-8822-2253954CDD99}"/>
  </bookViews>
  <sheets>
    <sheet name="READ.ME" sheetId="4" r:id="rId1"/>
    <sheet name="feed_intake_summary_variables" sheetId="6" r:id="rId2"/>
    <sheet name="feed_intake_raw_variables" sheetId="5" r:id="rId3"/>
    <sheet name="feed_intake_raw" sheetId="1" r:id="rId4"/>
    <sheet name="Biblio" sheetId="7" r:id="rId5"/>
    <sheet name="lists" sheetId="9" r:id="rId6"/>
    <sheet name="variable_coverage" sheetId="2" r:id="rId7"/>
  </sheets>
  <definedNames>
    <definedName name="_xlnm._FilterDatabase" localSheetId="3" hidden="1">feed_intake_raw!$A$1:$AE$2336</definedName>
    <definedName name="_xlnm._FilterDatabase" localSheetId="6" hidden="1">variable_coverage!$A$1:$B$104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09" i="1"/>
  <c r="L274" i="1"/>
  <c r="L275" i="1"/>
  <c r="L276" i="1"/>
  <c r="L277" i="1"/>
  <c r="L278" i="1"/>
  <c r="L279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27" i="1"/>
  <c r="L228" i="1"/>
  <c r="L229" i="1"/>
  <c r="L230" i="1"/>
  <c r="L231" i="1"/>
  <c r="L225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" i="1"/>
  <c r="L3" i="1"/>
  <c r="L4" i="1"/>
  <c r="L5" i="1"/>
  <c r="L2243" i="1"/>
  <c r="L2244" i="1"/>
  <c r="L2245" i="1"/>
  <c r="L2246" i="1"/>
  <c r="L2247" i="1"/>
  <c r="L2248" i="1"/>
  <c r="L224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189" i="1"/>
  <c r="L1653" i="1"/>
  <c r="L1654" i="1"/>
  <c r="L1655" i="1"/>
  <c r="L1656" i="1"/>
  <c r="L1657" i="1"/>
  <c r="L1658" i="1"/>
  <c r="L1659" i="1"/>
  <c r="L1660" i="1"/>
  <c r="L1661" i="1"/>
  <c r="L1662" i="1"/>
  <c r="L1663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7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48" i="1"/>
  <c r="L1649" i="1"/>
  <c r="L1650" i="1"/>
  <c r="L1651" i="1"/>
  <c r="L1652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E1757" i="1"/>
  <c r="E1756" i="1"/>
  <c r="E1755" i="1"/>
  <c r="N1647" i="1"/>
  <c r="M1647" i="1"/>
  <c r="L1647" i="1"/>
  <c r="N1646" i="1"/>
  <c r="M1646" i="1"/>
  <c r="L1646" i="1"/>
  <c r="N1645" i="1"/>
  <c r="M1645" i="1"/>
  <c r="L1645" i="1"/>
  <c r="N1644" i="1"/>
  <c r="M1644" i="1"/>
  <c r="L1644" i="1"/>
  <c r="N1643" i="1"/>
  <c r="M1643" i="1"/>
  <c r="L1643" i="1"/>
  <c r="N1642" i="1"/>
  <c r="M1642" i="1"/>
  <c r="L1642" i="1"/>
  <c r="N1641" i="1"/>
  <c r="M1641" i="1"/>
  <c r="L1641" i="1"/>
  <c r="N1640" i="1"/>
  <c r="M1640" i="1"/>
  <c r="L1640" i="1"/>
  <c r="N1639" i="1"/>
  <c r="M1639" i="1"/>
  <c r="L1639" i="1"/>
  <c r="N1638" i="1"/>
  <c r="M1638" i="1"/>
  <c r="L1638" i="1"/>
  <c r="N1637" i="1"/>
  <c r="M1637" i="1"/>
  <c r="L1637" i="1"/>
  <c r="N1636" i="1"/>
  <c r="M1636" i="1"/>
  <c r="L1636" i="1"/>
  <c r="N1635" i="1"/>
  <c r="M1635" i="1"/>
  <c r="L1635" i="1"/>
  <c r="N1634" i="1"/>
  <c r="M1634" i="1"/>
  <c r="L1634" i="1"/>
  <c r="N1633" i="1"/>
  <c r="M1633" i="1"/>
  <c r="L1633" i="1"/>
  <c r="N1632" i="1"/>
  <c r="M1632" i="1"/>
  <c r="L1632" i="1"/>
  <c r="N1631" i="1"/>
  <c r="M1631" i="1"/>
  <c r="L1631" i="1"/>
  <c r="N1630" i="1"/>
  <c r="M1630" i="1"/>
  <c r="L1630" i="1"/>
  <c r="N1629" i="1"/>
  <c r="M1629" i="1"/>
  <c r="L1629" i="1"/>
  <c r="N1628" i="1"/>
  <c r="M1628" i="1"/>
  <c r="L1628" i="1"/>
  <c r="N1627" i="1"/>
  <c r="M1627" i="1"/>
  <c r="L1627" i="1"/>
  <c r="N1626" i="1"/>
  <c r="M1626" i="1"/>
  <c r="L1626" i="1"/>
  <c r="N1625" i="1"/>
  <c r="M1625" i="1"/>
  <c r="L1625" i="1"/>
  <c r="N1624" i="1"/>
  <c r="M1624" i="1"/>
  <c r="L1624" i="1"/>
  <c r="N1623" i="1"/>
  <c r="M1623" i="1"/>
  <c r="L1623" i="1"/>
  <c r="N1622" i="1"/>
  <c r="M1622" i="1"/>
  <c r="L1622" i="1"/>
  <c r="N1621" i="1"/>
  <c r="M1621" i="1"/>
  <c r="L1621" i="1"/>
  <c r="N1620" i="1"/>
  <c r="M1620" i="1"/>
  <c r="L1620" i="1"/>
  <c r="N1619" i="1"/>
  <c r="M1619" i="1"/>
  <c r="L1619" i="1"/>
  <c r="N1618" i="1"/>
  <c r="M1618" i="1"/>
  <c r="L1618" i="1"/>
  <c r="N1617" i="1"/>
  <c r="M1617" i="1"/>
  <c r="L1617" i="1"/>
  <c r="N1616" i="1"/>
  <c r="M1616" i="1"/>
  <c r="L1616" i="1"/>
  <c r="N1615" i="1"/>
  <c r="M1615" i="1"/>
  <c r="L1615" i="1"/>
  <c r="N1614" i="1"/>
  <c r="M1614" i="1"/>
  <c r="L1614" i="1"/>
  <c r="N1613" i="1"/>
  <c r="M1613" i="1"/>
  <c r="L1613" i="1"/>
  <c r="N1612" i="1"/>
  <c r="M1612" i="1"/>
  <c r="L1612" i="1"/>
  <c r="N1611" i="1"/>
  <c r="M1611" i="1"/>
  <c r="L1611" i="1"/>
  <c r="N1610" i="1"/>
  <c r="M1610" i="1"/>
  <c r="L1610" i="1"/>
  <c r="N1609" i="1"/>
  <c r="M1609" i="1"/>
  <c r="L1609" i="1"/>
  <c r="N1608" i="1"/>
  <c r="M1608" i="1"/>
  <c r="L1608" i="1"/>
  <c r="N1607" i="1"/>
  <c r="M1607" i="1"/>
  <c r="L1607" i="1"/>
  <c r="N1606" i="1"/>
  <c r="M1606" i="1"/>
  <c r="L1606" i="1"/>
  <c r="N1605" i="1"/>
  <c r="M1605" i="1"/>
  <c r="L1605" i="1"/>
  <c r="N1604" i="1"/>
  <c r="M1604" i="1"/>
  <c r="L1604" i="1"/>
  <c r="N1603" i="1"/>
  <c r="M1603" i="1"/>
  <c r="L1603" i="1"/>
  <c r="N1602" i="1"/>
  <c r="M1602" i="1"/>
  <c r="L1602" i="1"/>
  <c r="N1601" i="1"/>
  <c r="M1601" i="1"/>
  <c r="L1601" i="1"/>
  <c r="N1600" i="1"/>
  <c r="M1600" i="1"/>
  <c r="L1600" i="1"/>
  <c r="N1599" i="1"/>
  <c r="M1599" i="1"/>
  <c r="L1599" i="1"/>
  <c r="N1598" i="1"/>
  <c r="M1598" i="1"/>
  <c r="L1598" i="1"/>
  <c r="N1597" i="1"/>
  <c r="M1597" i="1"/>
  <c r="L1597" i="1"/>
  <c r="N1596" i="1"/>
  <c r="M1596" i="1"/>
  <c r="L1596" i="1"/>
  <c r="N1595" i="1"/>
  <c r="M1595" i="1"/>
  <c r="L1595" i="1"/>
  <c r="N1594" i="1"/>
  <c r="M1594" i="1"/>
  <c r="L1594" i="1"/>
  <c r="N1593" i="1"/>
  <c r="M1593" i="1"/>
  <c r="L1593" i="1"/>
  <c r="N1592" i="1"/>
  <c r="M1592" i="1"/>
  <c r="L1592" i="1"/>
  <c r="N1591" i="1"/>
  <c r="M1591" i="1"/>
  <c r="L1591" i="1"/>
  <c r="N1590" i="1"/>
  <c r="M1590" i="1"/>
  <c r="L1590" i="1"/>
  <c r="N1589" i="1"/>
  <c r="M1589" i="1"/>
  <c r="L1589" i="1"/>
  <c r="N1588" i="1"/>
  <c r="M1588" i="1"/>
  <c r="L1588" i="1"/>
  <c r="N1587" i="1"/>
  <c r="M1587" i="1"/>
  <c r="L1587" i="1"/>
  <c r="N1586" i="1"/>
  <c r="M1586" i="1"/>
  <c r="L1586" i="1"/>
  <c r="N1585" i="1"/>
  <c r="M1585" i="1"/>
  <c r="L1585" i="1"/>
  <c r="N1584" i="1"/>
  <c r="M1584" i="1"/>
  <c r="L1584" i="1"/>
  <c r="N1583" i="1"/>
  <c r="M1583" i="1"/>
  <c r="L1583" i="1"/>
  <c r="N1582" i="1"/>
  <c r="M1582" i="1"/>
  <c r="L1582" i="1"/>
  <c r="N1581" i="1"/>
  <c r="M1581" i="1"/>
  <c r="L1581" i="1"/>
  <c r="N1580" i="1"/>
  <c r="M1580" i="1"/>
  <c r="L1580" i="1"/>
  <c r="N1579" i="1"/>
  <c r="M1579" i="1"/>
  <c r="L1579" i="1"/>
  <c r="N1578" i="1"/>
  <c r="M1578" i="1"/>
  <c r="L1578" i="1"/>
  <c r="N1577" i="1"/>
  <c r="M1577" i="1"/>
  <c r="L1577" i="1"/>
  <c r="N1576" i="1"/>
  <c r="M1576" i="1"/>
  <c r="L1576" i="1"/>
  <c r="N1575" i="1"/>
  <c r="M1575" i="1"/>
  <c r="L1575" i="1"/>
  <c r="N1574" i="1"/>
  <c r="M1574" i="1"/>
  <c r="L1574" i="1"/>
  <c r="N1573" i="1"/>
  <c r="M1573" i="1"/>
  <c r="L1573" i="1"/>
  <c r="N1572" i="1"/>
  <c r="M1572" i="1"/>
  <c r="L1572" i="1"/>
  <c r="N1571" i="1"/>
  <c r="M1571" i="1"/>
  <c r="L1571" i="1"/>
  <c r="N1570" i="1"/>
  <c r="M1570" i="1"/>
  <c r="L1570" i="1"/>
  <c r="N1569" i="1"/>
  <c r="M1569" i="1"/>
  <c r="L1569" i="1"/>
  <c r="N1568" i="1"/>
  <c r="M1568" i="1"/>
  <c r="L1568" i="1"/>
  <c r="N1567" i="1"/>
  <c r="M1567" i="1"/>
  <c r="L1567" i="1"/>
  <c r="N1566" i="1"/>
  <c r="M1566" i="1"/>
  <c r="L1566" i="1"/>
  <c r="N1565" i="1"/>
  <c r="M1565" i="1"/>
  <c r="L1565" i="1"/>
  <c r="N1564" i="1"/>
  <c r="M1564" i="1"/>
  <c r="L1564" i="1"/>
  <c r="N1563" i="1"/>
  <c r="M1563" i="1"/>
  <c r="L1563" i="1"/>
  <c r="N1562" i="1"/>
  <c r="M1562" i="1"/>
  <c r="L1562" i="1"/>
  <c r="N1561" i="1"/>
  <c r="M1561" i="1"/>
  <c r="L1561" i="1"/>
  <c r="N1560" i="1"/>
  <c r="M1560" i="1"/>
  <c r="L1560" i="1"/>
  <c r="N1559" i="1"/>
  <c r="M1559" i="1"/>
  <c r="L1559" i="1"/>
  <c r="N1558" i="1"/>
  <c r="M1558" i="1"/>
  <c r="L1558" i="1"/>
  <c r="N1557" i="1"/>
  <c r="M1557" i="1"/>
  <c r="L1557" i="1"/>
  <c r="N1556" i="1"/>
  <c r="M1556" i="1"/>
  <c r="L1556" i="1"/>
  <c r="N1555" i="1"/>
  <c r="M1555" i="1"/>
  <c r="L1555" i="1"/>
  <c r="N1554" i="1"/>
  <c r="M1554" i="1"/>
  <c r="L1554" i="1"/>
  <c r="N1553" i="1"/>
  <c r="M1553" i="1"/>
  <c r="L1553" i="1"/>
  <c r="N1552" i="1"/>
  <c r="M1552" i="1"/>
  <c r="L1552" i="1"/>
  <c r="N1551" i="1"/>
  <c r="M1551" i="1"/>
  <c r="L1551" i="1"/>
  <c r="N1550" i="1"/>
  <c r="M1550" i="1"/>
  <c r="L1550" i="1"/>
  <c r="N1549" i="1"/>
  <c r="M1549" i="1"/>
  <c r="L1549" i="1"/>
  <c r="N1548" i="1"/>
  <c r="M1548" i="1"/>
  <c r="L1548" i="1"/>
  <c r="N1547" i="1"/>
  <c r="M1547" i="1"/>
  <c r="L1547" i="1"/>
  <c r="N1546" i="1"/>
  <c r="M1546" i="1"/>
  <c r="L1546" i="1"/>
  <c r="N1545" i="1"/>
  <c r="M1545" i="1"/>
  <c r="L1545" i="1"/>
  <c r="N1544" i="1"/>
  <c r="M1544" i="1"/>
  <c r="L1544" i="1"/>
  <c r="N1543" i="1"/>
  <c r="M1543" i="1"/>
  <c r="L1543" i="1"/>
  <c r="N1542" i="1"/>
  <c r="M1542" i="1"/>
  <c r="L1542" i="1"/>
  <c r="N1541" i="1"/>
  <c r="M1541" i="1"/>
  <c r="L1541" i="1"/>
  <c r="N1540" i="1"/>
  <c r="M1540" i="1"/>
  <c r="L1540" i="1"/>
  <c r="N1539" i="1"/>
  <c r="M1539" i="1"/>
  <c r="L1539" i="1"/>
  <c r="N1538" i="1"/>
  <c r="M1538" i="1"/>
  <c r="L1538" i="1"/>
  <c r="N1537" i="1"/>
  <c r="M1537" i="1"/>
  <c r="L1537" i="1"/>
  <c r="N1536" i="1"/>
  <c r="M1536" i="1"/>
  <c r="L1536" i="1"/>
  <c r="N1535" i="1"/>
  <c r="M1535" i="1"/>
  <c r="L1535" i="1"/>
  <c r="N1534" i="1"/>
  <c r="M1534" i="1"/>
  <c r="L1534" i="1"/>
  <c r="N1533" i="1"/>
  <c r="M1533" i="1"/>
  <c r="L1533" i="1"/>
  <c r="N1532" i="1"/>
  <c r="M1532" i="1"/>
  <c r="L1532" i="1"/>
  <c r="N1531" i="1"/>
  <c r="M1531" i="1"/>
  <c r="L1531" i="1"/>
  <c r="N1530" i="1"/>
  <c r="M1530" i="1"/>
  <c r="L1530" i="1"/>
  <c r="N1529" i="1"/>
  <c r="M1529" i="1"/>
  <c r="L1529" i="1"/>
  <c r="N1528" i="1"/>
  <c r="M1528" i="1"/>
  <c r="L1528" i="1"/>
  <c r="N1527" i="1"/>
  <c r="M1527" i="1"/>
  <c r="L1527" i="1"/>
  <c r="N1526" i="1"/>
  <c r="M1526" i="1"/>
  <c r="L1526" i="1"/>
  <c r="N1525" i="1"/>
  <c r="M1525" i="1"/>
  <c r="L1525" i="1"/>
  <c r="N1524" i="1"/>
  <c r="M1524" i="1"/>
  <c r="L1524" i="1"/>
  <c r="N1523" i="1"/>
  <c r="M1523" i="1"/>
  <c r="L1523" i="1"/>
  <c r="N1522" i="1"/>
  <c r="M1522" i="1"/>
  <c r="L1522" i="1"/>
  <c r="N1521" i="1"/>
  <c r="M1521" i="1"/>
  <c r="L1521" i="1"/>
  <c r="N1520" i="1"/>
  <c r="M1520" i="1"/>
  <c r="L1520" i="1"/>
  <c r="N1519" i="1"/>
  <c r="M1519" i="1"/>
  <c r="L1519" i="1"/>
  <c r="N1518" i="1"/>
  <c r="M1518" i="1"/>
  <c r="L1518" i="1"/>
  <c r="N1517" i="1"/>
  <c r="M1517" i="1"/>
  <c r="L1517" i="1"/>
  <c r="N1516" i="1"/>
  <c r="M1516" i="1"/>
  <c r="L1516" i="1"/>
  <c r="N1515" i="1"/>
  <c r="M1515" i="1"/>
  <c r="L1515" i="1"/>
  <c r="N1514" i="1"/>
  <c r="M1514" i="1"/>
  <c r="L1514" i="1"/>
  <c r="N1513" i="1"/>
  <c r="M1513" i="1"/>
  <c r="L1513" i="1"/>
  <c r="N1512" i="1"/>
  <c r="M1512" i="1"/>
  <c r="L1512" i="1"/>
  <c r="N1511" i="1"/>
  <c r="M1511" i="1"/>
  <c r="L1511" i="1"/>
  <c r="N1510" i="1"/>
  <c r="M1510" i="1"/>
  <c r="L1510" i="1"/>
  <c r="N1509" i="1"/>
  <c r="M1509" i="1"/>
  <c r="L1509" i="1"/>
  <c r="N1508" i="1"/>
  <c r="M1508" i="1"/>
  <c r="L1508" i="1"/>
  <c r="N1507" i="1"/>
  <c r="M1507" i="1"/>
  <c r="L1507" i="1"/>
  <c r="N1506" i="1"/>
  <c r="M1506" i="1"/>
  <c r="L1506" i="1"/>
  <c r="N1505" i="1"/>
  <c r="M1505" i="1"/>
  <c r="L1505" i="1"/>
  <c r="N1504" i="1"/>
  <c r="M1504" i="1"/>
  <c r="L1504" i="1"/>
  <c r="N1503" i="1"/>
  <c r="M1503" i="1"/>
  <c r="L1503" i="1"/>
  <c r="N1502" i="1"/>
  <c r="M1502" i="1"/>
  <c r="L1502" i="1"/>
  <c r="N1501" i="1"/>
  <c r="M1501" i="1"/>
  <c r="L1501" i="1"/>
  <c r="N1500" i="1"/>
  <c r="M1500" i="1"/>
  <c r="L1500" i="1"/>
  <c r="N1499" i="1"/>
  <c r="M1499" i="1"/>
  <c r="L1499" i="1"/>
  <c r="N1498" i="1"/>
  <c r="M1498" i="1"/>
  <c r="L1498" i="1"/>
  <c r="N1497" i="1"/>
  <c r="M1497" i="1"/>
  <c r="L1497" i="1"/>
  <c r="N1496" i="1"/>
  <c r="M1496" i="1"/>
  <c r="L1496" i="1"/>
  <c r="N1495" i="1"/>
  <c r="M1495" i="1"/>
  <c r="L1495" i="1"/>
  <c r="N1494" i="1"/>
  <c r="M1494" i="1"/>
  <c r="L1494" i="1"/>
  <c r="N1493" i="1"/>
  <c r="M1493" i="1"/>
  <c r="L1493" i="1"/>
  <c r="N1492" i="1"/>
  <c r="M1492" i="1"/>
  <c r="L1492" i="1"/>
  <c r="N1491" i="1"/>
  <c r="M1491" i="1"/>
  <c r="L1491" i="1"/>
  <c r="N1490" i="1"/>
  <c r="M1490" i="1"/>
  <c r="L1490" i="1"/>
  <c r="N1489" i="1"/>
  <c r="M1489" i="1"/>
  <c r="L1489" i="1"/>
  <c r="N1488" i="1"/>
  <c r="M1488" i="1"/>
  <c r="L1488" i="1"/>
  <c r="N1487" i="1"/>
  <c r="M1487" i="1"/>
  <c r="L1487" i="1"/>
  <c r="N1486" i="1"/>
  <c r="M1486" i="1"/>
  <c r="L1486" i="1"/>
  <c r="N1485" i="1"/>
  <c r="M1485" i="1"/>
  <c r="L1485" i="1"/>
  <c r="N1484" i="1"/>
  <c r="M1484" i="1"/>
  <c r="L1484" i="1"/>
  <c r="N1483" i="1"/>
  <c r="M1483" i="1"/>
  <c r="L1483" i="1"/>
  <c r="N1482" i="1"/>
  <c r="M1482" i="1"/>
  <c r="L1482" i="1"/>
  <c r="N1481" i="1"/>
  <c r="M1481" i="1"/>
  <c r="L1481" i="1"/>
  <c r="N1480" i="1"/>
  <c r="M1480" i="1"/>
  <c r="L1480" i="1"/>
  <c r="N1479" i="1"/>
  <c r="M1479" i="1"/>
  <c r="L1479" i="1"/>
  <c r="N1478" i="1"/>
  <c r="M1478" i="1"/>
  <c r="L1478" i="1"/>
  <c r="N1477" i="1"/>
  <c r="M1477" i="1"/>
  <c r="L1477" i="1"/>
  <c r="N1476" i="1"/>
  <c r="M1476" i="1"/>
  <c r="L1476" i="1"/>
  <c r="N1475" i="1"/>
  <c r="M1475" i="1"/>
  <c r="L1475" i="1"/>
  <c r="N1474" i="1"/>
  <c r="M1474" i="1"/>
  <c r="L1474" i="1"/>
  <c r="N1473" i="1"/>
  <c r="M1473" i="1"/>
  <c r="L1473" i="1"/>
  <c r="N1472" i="1"/>
  <c r="M1472" i="1"/>
  <c r="L1472" i="1"/>
  <c r="N1471" i="1"/>
  <c r="M1471" i="1"/>
  <c r="L1471" i="1"/>
  <c r="N1470" i="1"/>
  <c r="M1470" i="1"/>
  <c r="L1470" i="1"/>
  <c r="N1469" i="1"/>
  <c r="M1469" i="1"/>
  <c r="L1469" i="1"/>
  <c r="N1468" i="1"/>
  <c r="M1468" i="1"/>
  <c r="L1468" i="1"/>
  <c r="N1467" i="1"/>
  <c r="M1467" i="1"/>
  <c r="L1467" i="1"/>
  <c r="N1466" i="1"/>
  <c r="M1466" i="1"/>
  <c r="L1466" i="1"/>
  <c r="N1465" i="1"/>
  <c r="M1465" i="1"/>
  <c r="L1465" i="1"/>
  <c r="N1464" i="1"/>
  <c r="M1464" i="1"/>
  <c r="L1464" i="1"/>
  <c r="N1463" i="1"/>
  <c r="M1463" i="1"/>
  <c r="L1463" i="1"/>
  <c r="N1462" i="1"/>
  <c r="M1462" i="1"/>
  <c r="L1462" i="1"/>
  <c r="N1461" i="1"/>
  <c r="M1461" i="1"/>
  <c r="L1461" i="1"/>
  <c r="N1460" i="1"/>
  <c r="M1460" i="1"/>
  <c r="L1460" i="1"/>
  <c r="N1459" i="1"/>
  <c r="M1459" i="1"/>
  <c r="L1459" i="1"/>
  <c r="N1458" i="1"/>
  <c r="M1458" i="1"/>
  <c r="L1458" i="1"/>
  <c r="N1457" i="1"/>
  <c r="M1457" i="1"/>
  <c r="L1457" i="1"/>
  <c r="N1456" i="1"/>
  <c r="M1456" i="1"/>
  <c r="L1456" i="1"/>
  <c r="N1455" i="1"/>
  <c r="M1455" i="1"/>
  <c r="L1455" i="1"/>
  <c r="N1454" i="1"/>
  <c r="M1454" i="1"/>
  <c r="L1454" i="1"/>
  <c r="N1453" i="1"/>
  <c r="M1453" i="1"/>
  <c r="L1453" i="1"/>
  <c r="N1452" i="1"/>
  <c r="M1452" i="1"/>
  <c r="L1452" i="1"/>
  <c r="N1451" i="1"/>
  <c r="M1451" i="1"/>
  <c r="L1451" i="1"/>
  <c r="N1450" i="1"/>
  <c r="M1450" i="1"/>
  <c r="L1450" i="1"/>
  <c r="N1449" i="1"/>
  <c r="M1449" i="1"/>
  <c r="L1449" i="1"/>
  <c r="N1448" i="1"/>
  <c r="M1448" i="1"/>
  <c r="L1448" i="1"/>
  <c r="N1447" i="1"/>
  <c r="M1447" i="1"/>
  <c r="L1447" i="1"/>
  <c r="N1446" i="1"/>
  <c r="M1446" i="1"/>
  <c r="L1446" i="1"/>
  <c r="N1445" i="1"/>
  <c r="M1445" i="1"/>
  <c r="L1445" i="1"/>
  <c r="N1444" i="1"/>
  <c r="M1444" i="1"/>
  <c r="L1444" i="1"/>
  <c r="N1443" i="1"/>
  <c r="M1443" i="1"/>
  <c r="L1443" i="1"/>
  <c r="N1442" i="1"/>
  <c r="M1442" i="1"/>
  <c r="L1442" i="1"/>
  <c r="N1441" i="1"/>
  <c r="M1441" i="1"/>
  <c r="L1441" i="1"/>
  <c r="N1440" i="1"/>
  <c r="M1440" i="1"/>
  <c r="L1440" i="1"/>
  <c r="N1439" i="1"/>
  <c r="M1439" i="1"/>
  <c r="L1439" i="1"/>
  <c r="N1438" i="1"/>
  <c r="M1438" i="1"/>
  <c r="L1438" i="1"/>
  <c r="N1437" i="1"/>
  <c r="M1437" i="1"/>
  <c r="L1437" i="1"/>
  <c r="N1436" i="1"/>
  <c r="M1436" i="1"/>
  <c r="L1436" i="1"/>
  <c r="N1435" i="1"/>
  <c r="M1435" i="1"/>
  <c r="L1435" i="1"/>
  <c r="N1434" i="1"/>
  <c r="M1434" i="1"/>
  <c r="L1434" i="1"/>
  <c r="N1433" i="1"/>
  <c r="M1433" i="1"/>
  <c r="L1433" i="1"/>
  <c r="N1432" i="1"/>
  <c r="M1432" i="1"/>
  <c r="L1432" i="1"/>
  <c r="N1431" i="1"/>
  <c r="M1431" i="1"/>
  <c r="L1431" i="1"/>
  <c r="N1430" i="1"/>
  <c r="M1430" i="1"/>
  <c r="L1430" i="1"/>
  <c r="N1429" i="1"/>
  <c r="M1429" i="1"/>
  <c r="L1429" i="1"/>
  <c r="N1428" i="1"/>
  <c r="M1428" i="1"/>
  <c r="L1428" i="1"/>
  <c r="N1427" i="1"/>
  <c r="M1427" i="1"/>
  <c r="L1427" i="1"/>
  <c r="N1426" i="1"/>
  <c r="M1426" i="1"/>
  <c r="L1426" i="1"/>
  <c r="N1425" i="1"/>
  <c r="M1425" i="1"/>
  <c r="L1425" i="1"/>
  <c r="N1424" i="1"/>
  <c r="M1424" i="1"/>
  <c r="L1424" i="1"/>
  <c r="N1423" i="1"/>
  <c r="M1423" i="1"/>
  <c r="L1423" i="1"/>
  <c r="N1422" i="1"/>
  <c r="M1422" i="1"/>
  <c r="L1422" i="1"/>
  <c r="N1421" i="1"/>
  <c r="M1421" i="1"/>
  <c r="L1421" i="1"/>
  <c r="N1420" i="1"/>
  <c r="M1420" i="1"/>
  <c r="L1420" i="1"/>
  <c r="N1419" i="1"/>
  <c r="M1419" i="1"/>
  <c r="L1419" i="1"/>
  <c r="N1418" i="1"/>
  <c r="M1418" i="1"/>
  <c r="L1418" i="1"/>
  <c r="N1417" i="1"/>
  <c r="M1417" i="1"/>
  <c r="L1417" i="1"/>
  <c r="N1416" i="1"/>
  <c r="M1416" i="1"/>
  <c r="L1416" i="1"/>
  <c r="N1415" i="1"/>
  <c r="M1415" i="1"/>
  <c r="L1415" i="1"/>
  <c r="N1414" i="1"/>
  <c r="M1414" i="1"/>
  <c r="L1414" i="1"/>
  <c r="N1413" i="1"/>
  <c r="M1413" i="1"/>
  <c r="L1413" i="1"/>
  <c r="N1412" i="1"/>
  <c r="M1412" i="1"/>
  <c r="L1412" i="1"/>
  <c r="N1411" i="1"/>
  <c r="M1411" i="1"/>
  <c r="L1411" i="1"/>
  <c r="N1410" i="1"/>
  <c r="M1410" i="1"/>
  <c r="L1410" i="1"/>
  <c r="N1409" i="1"/>
  <c r="M1409" i="1"/>
  <c r="L1409" i="1"/>
  <c r="N1408" i="1"/>
  <c r="M1408" i="1"/>
  <c r="L1408" i="1"/>
  <c r="N1407" i="1"/>
  <c r="M1407" i="1"/>
  <c r="L1407" i="1"/>
  <c r="N1406" i="1"/>
  <c r="M1406" i="1"/>
  <c r="L1406" i="1"/>
  <c r="N1405" i="1"/>
  <c r="M1405" i="1"/>
  <c r="L1405" i="1"/>
  <c r="N1404" i="1"/>
  <c r="M1404" i="1"/>
  <c r="L1404" i="1"/>
  <c r="N1403" i="1"/>
  <c r="M1403" i="1"/>
  <c r="L1403" i="1"/>
  <c r="N1402" i="1"/>
  <c r="M1402" i="1"/>
  <c r="L1402" i="1"/>
  <c r="N1401" i="1"/>
  <c r="M1401" i="1"/>
  <c r="L1401" i="1"/>
  <c r="N1400" i="1"/>
  <c r="M1400" i="1"/>
  <c r="L1400" i="1"/>
  <c r="N1399" i="1"/>
  <c r="M1399" i="1"/>
  <c r="L1399" i="1"/>
  <c r="N1398" i="1"/>
  <c r="M1398" i="1"/>
  <c r="L1398" i="1"/>
  <c r="N1397" i="1"/>
  <c r="M1397" i="1"/>
  <c r="L1397" i="1"/>
  <c r="N1396" i="1"/>
  <c r="M1396" i="1"/>
  <c r="L1396" i="1"/>
  <c r="N1395" i="1"/>
  <c r="M1395" i="1"/>
  <c r="L1395" i="1"/>
  <c r="N1394" i="1"/>
  <c r="M1394" i="1"/>
  <c r="L1394" i="1"/>
  <c r="N1393" i="1"/>
  <c r="M1393" i="1"/>
  <c r="L1393" i="1"/>
  <c r="N1392" i="1"/>
  <c r="M1392" i="1"/>
  <c r="L1392" i="1"/>
  <c r="N1391" i="1"/>
  <c r="M1391" i="1"/>
  <c r="L1391" i="1"/>
  <c r="N1390" i="1"/>
  <c r="M1390" i="1"/>
  <c r="L1390" i="1"/>
  <c r="N1389" i="1"/>
  <c r="M1389" i="1"/>
  <c r="L1389" i="1"/>
  <c r="N1388" i="1"/>
  <c r="M1388" i="1"/>
  <c r="L1388" i="1"/>
  <c r="N1387" i="1"/>
  <c r="M1387" i="1"/>
  <c r="L1387" i="1"/>
  <c r="N1386" i="1"/>
  <c r="M1386" i="1"/>
  <c r="L1386" i="1"/>
  <c r="N1385" i="1"/>
  <c r="M1385" i="1"/>
  <c r="L1385" i="1"/>
  <c r="N1384" i="1"/>
  <c r="M1384" i="1"/>
  <c r="L1384" i="1"/>
  <c r="N1383" i="1"/>
  <c r="M1383" i="1"/>
  <c r="L1383" i="1"/>
  <c r="N1382" i="1"/>
  <c r="M1382" i="1"/>
  <c r="L1382" i="1"/>
  <c r="N1381" i="1"/>
  <c r="M1381" i="1"/>
  <c r="L1381" i="1"/>
  <c r="N1380" i="1"/>
  <c r="M1380" i="1"/>
  <c r="L1380" i="1"/>
  <c r="N1379" i="1"/>
  <c r="M1379" i="1"/>
  <c r="L1379" i="1"/>
  <c r="N1378" i="1"/>
  <c r="M1378" i="1"/>
  <c r="L1378" i="1"/>
  <c r="N1377" i="1"/>
  <c r="M1377" i="1"/>
  <c r="L1377" i="1"/>
  <c r="N1376" i="1"/>
  <c r="M1376" i="1"/>
  <c r="L1376" i="1"/>
  <c r="N1375" i="1"/>
  <c r="M1375" i="1"/>
  <c r="L1375" i="1"/>
  <c r="N1374" i="1"/>
  <c r="M1374" i="1"/>
  <c r="L1374" i="1"/>
  <c r="N1373" i="1"/>
  <c r="M1373" i="1"/>
  <c r="L1373" i="1"/>
  <c r="N1372" i="1"/>
  <c r="M1372" i="1"/>
  <c r="L1372" i="1"/>
  <c r="N1371" i="1"/>
  <c r="M1371" i="1"/>
  <c r="L1371" i="1"/>
  <c r="N1370" i="1"/>
  <c r="M1370" i="1"/>
  <c r="L1370" i="1"/>
  <c r="N1369" i="1"/>
  <c r="M1369" i="1"/>
  <c r="L1369" i="1"/>
  <c r="N1368" i="1"/>
  <c r="M1368" i="1"/>
  <c r="L1368" i="1"/>
  <c r="N1367" i="1"/>
  <c r="M1367" i="1"/>
  <c r="L1367" i="1"/>
  <c r="N1366" i="1"/>
  <c r="M1366" i="1"/>
  <c r="L1366" i="1"/>
  <c r="N1365" i="1"/>
  <c r="M1365" i="1"/>
  <c r="L1365" i="1"/>
  <c r="N1364" i="1"/>
  <c r="M1364" i="1"/>
  <c r="L1364" i="1"/>
  <c r="N1363" i="1"/>
  <c r="M1363" i="1"/>
  <c r="L1363" i="1"/>
  <c r="N1362" i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M1302" i="1"/>
  <c r="L1302" i="1"/>
  <c r="N1301" i="1"/>
  <c r="M1301" i="1"/>
  <c r="L1301" i="1"/>
  <c r="N1300" i="1"/>
  <c r="M1300" i="1"/>
  <c r="L1300" i="1"/>
  <c r="N1299" i="1"/>
  <c r="M1299" i="1"/>
  <c r="L1299" i="1"/>
  <c r="N1298" i="1"/>
  <c r="M1298" i="1"/>
  <c r="L1298" i="1"/>
  <c r="N1297" i="1"/>
  <c r="M1297" i="1"/>
  <c r="L1297" i="1"/>
  <c r="N1296" i="1"/>
  <c r="M1296" i="1"/>
  <c r="L1296" i="1"/>
  <c r="N1295" i="1"/>
  <c r="M1295" i="1"/>
  <c r="L1295" i="1"/>
  <c r="N1294" i="1"/>
  <c r="M1294" i="1"/>
  <c r="L1294" i="1"/>
  <c r="N1293" i="1"/>
  <c r="M1293" i="1"/>
  <c r="L1293" i="1"/>
  <c r="N1292" i="1"/>
  <c r="M1292" i="1"/>
  <c r="L1292" i="1"/>
  <c r="N1291" i="1"/>
  <c r="M1291" i="1"/>
  <c r="L1291" i="1"/>
  <c r="N1290" i="1"/>
  <c r="M1290" i="1"/>
  <c r="L1290" i="1"/>
  <c r="N1289" i="1"/>
  <c r="M1289" i="1"/>
  <c r="L1289" i="1"/>
  <c r="N1288" i="1"/>
  <c r="M1288" i="1"/>
  <c r="L1288" i="1"/>
  <c r="N1287" i="1"/>
  <c r="M1287" i="1"/>
  <c r="L1287" i="1"/>
  <c r="N1286" i="1"/>
  <c r="M1286" i="1"/>
  <c r="L1286" i="1"/>
  <c r="N1285" i="1"/>
  <c r="M1285" i="1"/>
  <c r="L1285" i="1"/>
  <c r="N1284" i="1"/>
  <c r="M1284" i="1"/>
  <c r="L1284" i="1"/>
  <c r="N1283" i="1"/>
  <c r="M1283" i="1"/>
  <c r="L1283" i="1"/>
  <c r="N1282" i="1"/>
  <c r="M1282" i="1"/>
  <c r="L1282" i="1"/>
  <c r="N1281" i="1"/>
  <c r="M1281" i="1"/>
  <c r="L1281" i="1"/>
  <c r="N1280" i="1"/>
  <c r="M1280" i="1"/>
  <c r="L1280" i="1"/>
  <c r="N1279" i="1"/>
  <c r="M1279" i="1"/>
  <c r="L1279" i="1"/>
  <c r="N1278" i="1"/>
  <c r="M1278" i="1"/>
  <c r="L1278" i="1"/>
  <c r="N1277" i="1"/>
  <c r="M1277" i="1"/>
  <c r="L1277" i="1"/>
  <c r="N1276" i="1"/>
  <c r="M1276" i="1"/>
  <c r="L1276" i="1"/>
  <c r="N1275" i="1"/>
  <c r="M1275" i="1"/>
  <c r="L1275" i="1"/>
  <c r="N1274" i="1"/>
  <c r="M1274" i="1"/>
  <c r="L1274" i="1"/>
  <c r="N1273" i="1"/>
  <c r="M1273" i="1"/>
  <c r="L1273" i="1"/>
  <c r="N1272" i="1"/>
  <c r="M1272" i="1"/>
  <c r="L1272" i="1"/>
  <c r="N1271" i="1"/>
  <c r="M1271" i="1"/>
  <c r="L1271" i="1"/>
  <c r="N1270" i="1"/>
  <c r="M1270" i="1"/>
  <c r="L1270" i="1"/>
  <c r="N1269" i="1"/>
  <c r="M1269" i="1"/>
  <c r="L1269" i="1"/>
  <c r="N1268" i="1"/>
  <c r="M1268" i="1"/>
  <c r="L1268" i="1"/>
  <c r="N1267" i="1"/>
  <c r="M1267" i="1"/>
  <c r="L1267" i="1"/>
  <c r="N1266" i="1"/>
  <c r="M1266" i="1"/>
  <c r="L1266" i="1"/>
  <c r="N1265" i="1"/>
  <c r="M1265" i="1"/>
  <c r="L1265" i="1"/>
  <c r="N1264" i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3" i="1"/>
  <c r="L272" i="1"/>
  <c r="L271" i="1"/>
  <c r="L270" i="1"/>
  <c r="L268" i="1"/>
  <c r="L267" i="1"/>
  <c r="L269" i="1"/>
  <c r="L266" i="1"/>
  <c r="L265" i="1"/>
  <c r="L264" i="1"/>
  <c r="L263" i="1"/>
  <c r="L262" i="1"/>
  <c r="L261" i="1"/>
  <c r="L260" i="1"/>
  <c r="L259" i="1"/>
  <c r="L255" i="1"/>
  <c r="L258" i="1"/>
  <c r="L257" i="1"/>
  <c r="L256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26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0" i="1"/>
  <c r="L119" i="1"/>
  <c r="L121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F2" i="9" a="1"/>
  <c r="F2" i="9" s="1"/>
  <c r="E2" i="9" a="1"/>
  <c r="E2" i="9" s="1"/>
  <c r="D2" i="9" a="1"/>
  <c r="D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tc={43D8CCC5-D0F6-45D6-BC11-9E306D833478}</author>
    <author>25191</author>
    <author>tc={81906831-D5D6-42E9-9CF8-80F4EDF626AF}</author>
    <author>tc={A296E483-D6CE-4D06-A7B5-C7361C536B34}</author>
    <author>tc={9D2F3658-EA52-4EBB-B93C-044566A35829}</author>
    <author>tc={6A26FCB0-F0F6-4D92-872F-A1458D186506}</author>
    <author>tc={07B19C8A-489E-47B4-8658-E22EFE810F7C}</author>
  </authors>
  <commentList>
    <comment ref="Q1" authorId="0" shapeId="0" xr:uid="{43D8CCC5-D0F6-45D6-BC11-9E306D833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Typically sheep and goats reach mature weight at 2+ years, so any age indicated as &lt;2 years would imply the animal is growing. </t>
      </text>
    </comment>
    <comment ref="B6" authorId="1" shapeId="0" xr:uid="{D4737B77-12D5-45D9-A941-63BF751522AA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It should be sheep or goat exp't</t>
        </r>
      </text>
    </comment>
    <comment ref="J39" authorId="1" shapeId="0" xr:uid="{04C389A2-EB2E-417E-86A7-2669236643C8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Sheep experiment (West African Drarf sheep)</t>
        </r>
      </text>
    </comment>
    <comment ref="D86" authorId="1" shapeId="0" xr:uid="{C94577F4-966C-48DD-83AE-9F18B9B479E3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Grazing + exprt</t>
        </r>
      </text>
    </comment>
    <comment ref="B141" authorId="1" shapeId="0" xr:uid="{874CD7EA-63E7-472D-8F79-7E6B784B0CCC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Grazing + expt</t>
        </r>
      </text>
    </comment>
    <comment ref="B158" authorId="1" shapeId="0" xr:uid="{3530D364-0A18-4761-859B-1E06D42E7D23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Grazing + expt' diet</t>
        </r>
      </text>
    </comment>
    <comment ref="O158" authorId="1" shapeId="0" xr:uid="{BBF28591-4D30-48C4-A8FD-02744D884823}">
      <text>
        <r>
          <rPr>
            <b/>
            <sz val="9"/>
            <color indexed="81"/>
            <rFont val="Tahoma"/>
            <family val="2"/>
          </rPr>
          <t>25191:</t>
        </r>
        <r>
          <rPr>
            <sz val="9"/>
            <color indexed="81"/>
            <rFont val="Tahoma"/>
            <family val="2"/>
          </rPr>
          <t xml:space="preserve">
Grazing + expt</t>
        </r>
      </text>
    </comment>
    <comment ref="AE1312" authorId="2" shapeId="0" xr:uid="{81906831-D5D6-42E9-9CF8-80F4EDF626A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experiment pools sheep and goats (does not distinguish species in results) and therefore cannot be used</t>
      </text>
    </comment>
    <comment ref="AE1325" authorId="3" shapeId="0" xr:uid="{A296E483-D6CE-4D06-A7B5-C7361C536B34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report ADG</t>
      </text>
    </comment>
    <comment ref="G1509" authorId="4" shapeId="0" xr:uid="{9D2F3658-EA52-4EBB-B93C-044566A35829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</t>
      </text>
    </comment>
    <comment ref="D2275" authorId="5" shapeId="0" xr:uid="{6A26FCB0-F0F6-4D92-872F-A1458D186506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match</t>
      </text>
    </comment>
    <comment ref="F2275" authorId="6" shapeId="0" xr:uid="{07B19C8A-489E-47B4-8658-E22EFE81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match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<sst xmlns="http://schemas.openxmlformats.org/spreadsheetml/2006/main" count="44178" uniqueCount="5104">
  <si>
    <t>B.Code</t>
  </si>
  <si>
    <t>A.Level.Name</t>
  </si>
  <si>
    <t>feed_intake_unit</t>
  </si>
  <si>
    <t>feed_intake_value</t>
  </si>
  <si>
    <t>feed_intake_error</t>
  </si>
  <si>
    <t>bw_kg</t>
  </si>
  <si>
    <t>adg_g_day</t>
  </si>
  <si>
    <t>milk_kg_day</t>
  </si>
  <si>
    <t>T.Animals</t>
  </si>
  <si>
    <t>Species</t>
  </si>
  <si>
    <t>Variety</t>
  </si>
  <si>
    <t>P.Practice</t>
  </si>
  <si>
    <t>Stage</t>
  </si>
  <si>
    <t>ADF_nutrition</t>
  </si>
  <si>
    <t>ADL_nutrition</t>
  </si>
  <si>
    <t>Ash_nutrition</t>
  </si>
  <si>
    <t>CF_nutrition</t>
  </si>
  <si>
    <t>CFbr_nutrition</t>
  </si>
  <si>
    <t>CFibre_nutrition</t>
  </si>
  <si>
    <t>CH_nutrition</t>
  </si>
  <si>
    <t>CN_nutrition</t>
  </si>
  <si>
    <t>CP_nutrition</t>
  </si>
  <si>
    <t>CT_nutrition</t>
  </si>
  <si>
    <t>Ca_nutrition</t>
  </si>
  <si>
    <t>Calcium_nutrition</t>
  </si>
  <si>
    <t>Carbon_nutrition</t>
  </si>
  <si>
    <t>Cell_nutrition</t>
  </si>
  <si>
    <t>Cellu_nutrition</t>
  </si>
  <si>
    <t>Cfat_nutrition</t>
  </si>
  <si>
    <t>Ctannins_nutrition</t>
  </si>
  <si>
    <t>Cu_nutrition</t>
  </si>
  <si>
    <t>DE_nutrition</t>
  </si>
  <si>
    <t>DM_nutrition</t>
  </si>
  <si>
    <t>EAA_nutrition</t>
  </si>
  <si>
    <t>EC_nutrition</t>
  </si>
  <si>
    <t>EE_nutrition</t>
  </si>
  <si>
    <t>FA_nutrition</t>
  </si>
  <si>
    <t>FatAcid_nutrition</t>
  </si>
  <si>
    <t>Fe_nutrition</t>
  </si>
  <si>
    <t>GE_nutrition</t>
  </si>
  <si>
    <t>Hem_nutrition</t>
  </si>
  <si>
    <t>Hemicell_nutrition</t>
  </si>
  <si>
    <t>K_nutrition</t>
  </si>
  <si>
    <t>Lig_nutrition</t>
  </si>
  <si>
    <t>Lignin_nutrition</t>
  </si>
  <si>
    <t>Lys_nutrition</t>
  </si>
  <si>
    <t>ME_nutrition</t>
  </si>
  <si>
    <t>MN_nutrition</t>
  </si>
  <si>
    <t>Met_nutrition</t>
  </si>
  <si>
    <t>Mg_nutrition</t>
  </si>
  <si>
    <t>Mn_nutrition</t>
  </si>
  <si>
    <t>Moist_nutrition</t>
  </si>
  <si>
    <t>Moisture_nutrition</t>
  </si>
  <si>
    <t>N_nutrition</t>
  </si>
  <si>
    <t>NDF_nutrition</t>
  </si>
  <si>
    <t>NDS_nutrition</t>
  </si>
  <si>
    <t>NE_nutrition</t>
  </si>
  <si>
    <t>NEAA_nutrition</t>
  </si>
  <si>
    <t>NFE_nutrition</t>
  </si>
  <si>
    <t>NH3_nutrition</t>
  </si>
  <si>
    <t>OM_nutrition</t>
  </si>
  <si>
    <t>P_nutrition</t>
  </si>
  <si>
    <t>PBAA_nutrition</t>
  </si>
  <si>
    <t>Pec_nutrition</t>
  </si>
  <si>
    <t>Phe_nutrition</t>
  </si>
  <si>
    <t>Phenol_nutrition</t>
  </si>
  <si>
    <t>Phos_nutrition</t>
  </si>
  <si>
    <t>Pro_nutrition</t>
  </si>
  <si>
    <t>Se_nutrition</t>
  </si>
  <si>
    <t>TG_nutrition</t>
  </si>
  <si>
    <t>TL_nutrition</t>
  </si>
  <si>
    <t>TP_nutrition</t>
  </si>
  <si>
    <t>Tan_nutrition</t>
  </si>
  <si>
    <t>Tannins_nutrition</t>
  </si>
  <si>
    <t>Thr_nutrition</t>
  </si>
  <si>
    <t>VitA_nutrition</t>
  </si>
  <si>
    <t>Zn_nutrition</t>
  </si>
  <si>
    <t>ADF_digest</t>
  </si>
  <si>
    <t>ADF.1_digest</t>
  </si>
  <si>
    <t>ADF.2_digest</t>
  </si>
  <si>
    <t>ADL_digest</t>
  </si>
  <si>
    <t>CFibre_digest</t>
  </si>
  <si>
    <t>CP_digest</t>
  </si>
  <si>
    <t>CP.1_digest</t>
  </si>
  <si>
    <t>CP.2_digest</t>
  </si>
  <si>
    <t>Carbo_digest</t>
  </si>
  <si>
    <t>Carbs_digest</t>
  </si>
  <si>
    <t>Cellu_digest</t>
  </si>
  <si>
    <t>Cfat_digest</t>
  </si>
  <si>
    <t>DE_digest</t>
  </si>
  <si>
    <t>DM_digest</t>
  </si>
  <si>
    <t>EE_digest</t>
  </si>
  <si>
    <t>Fat_digest</t>
  </si>
  <si>
    <t>Fibre_digest</t>
  </si>
  <si>
    <t>Hemicell_digest</t>
  </si>
  <si>
    <t>Invitro_digest</t>
  </si>
  <si>
    <t>Lignin_digest</t>
  </si>
  <si>
    <t>NDF_digest</t>
  </si>
  <si>
    <t>NFE_digest</t>
  </si>
  <si>
    <t>Nitro_digest</t>
  </si>
  <si>
    <t>OM_digest</t>
  </si>
  <si>
    <t>OM.1_digest</t>
  </si>
  <si>
    <t>OM.2_digest</t>
  </si>
  <si>
    <t>Protein_digest</t>
  </si>
  <si>
    <t>CFM (10)</t>
  </si>
  <si>
    <t>kg/day</t>
  </si>
  <si>
    <t>NA</t>
  </si>
  <si>
    <t>Sheep</t>
  </si>
  <si>
    <t>Barki</t>
  </si>
  <si>
    <t>Unimproved Breed</t>
  </si>
  <si>
    <t>Adult Male</t>
  </si>
  <si>
    <t>CFM (20)</t>
  </si>
  <si>
    <t>CFM (5)</t>
  </si>
  <si>
    <t>CFM without MSK</t>
  </si>
  <si>
    <t>AG0042</t>
  </si>
  <si>
    <t>60% F SOPM</t>
  </si>
  <si>
    <t>Goat</t>
  </si>
  <si>
    <t>West African Dwarf</t>
  </si>
  <si>
    <t>60% UF SOPM</t>
  </si>
  <si>
    <t>Con</t>
  </si>
  <si>
    <t>AG0051</t>
  </si>
  <si>
    <t>NG</t>
  </si>
  <si>
    <t>Cattle</t>
  </si>
  <si>
    <t>Ankole Longhorn***Holstein Friesian</t>
  </si>
  <si>
    <t>Hybridization or Cross Breeding</t>
  </si>
  <si>
    <t>NGD</t>
  </si>
  <si>
    <t>PG</t>
  </si>
  <si>
    <t>PGD</t>
  </si>
  <si>
    <t>AN0007</t>
  </si>
  <si>
    <t>T1</t>
  </si>
  <si>
    <t>T2</t>
  </si>
  <si>
    <t>T3</t>
  </si>
  <si>
    <t>T4</t>
  </si>
  <si>
    <t>T5</t>
  </si>
  <si>
    <t>AN0020</t>
  </si>
  <si>
    <t>Improved Breeds</t>
  </si>
  <si>
    <t>AN0021</t>
  </si>
  <si>
    <t>U0</t>
  </si>
  <si>
    <t>Yankasa</t>
  </si>
  <si>
    <t>U10</t>
  </si>
  <si>
    <t>U15</t>
  </si>
  <si>
    <t>U20</t>
  </si>
  <si>
    <t>AN0057</t>
  </si>
  <si>
    <t>0 PPL</t>
  </si>
  <si>
    <t>Abergelle</t>
  </si>
  <si>
    <t>150 PPL</t>
  </si>
  <si>
    <t>300 PPL</t>
  </si>
  <si>
    <t>450 PPL</t>
  </si>
  <si>
    <t>B01063</t>
  </si>
  <si>
    <t>Control Diet</t>
  </si>
  <si>
    <t>BO1001</t>
  </si>
  <si>
    <t>Diet 1</t>
  </si>
  <si>
    <t>Farta</t>
  </si>
  <si>
    <t>Yearling</t>
  </si>
  <si>
    <t>Diet 2</t>
  </si>
  <si>
    <t>Diet 3</t>
  </si>
  <si>
    <t>Diet 4</t>
  </si>
  <si>
    <t>Diet 5</t>
  </si>
  <si>
    <t>BO1005</t>
  </si>
  <si>
    <t>OSCM</t>
  </si>
  <si>
    <t>Saanen</t>
  </si>
  <si>
    <t>TMRL</t>
  </si>
  <si>
    <t>BO1006</t>
  </si>
  <si>
    <t>Ration 1</t>
  </si>
  <si>
    <t>Lamb Male</t>
  </si>
  <si>
    <t>Ration 2</t>
  </si>
  <si>
    <t>Ration 3</t>
  </si>
  <si>
    <t>BO1007</t>
  </si>
  <si>
    <t>HAK10</t>
  </si>
  <si>
    <t>Boer</t>
  </si>
  <si>
    <t>Yearling Male</t>
  </si>
  <si>
    <t>HAK15</t>
  </si>
  <si>
    <t>HAK20</t>
  </si>
  <si>
    <t>HAK30</t>
  </si>
  <si>
    <t>BO1009</t>
  </si>
  <si>
    <t>Kid</t>
  </si>
  <si>
    <t>BO1010</t>
  </si>
  <si>
    <t>Lamb</t>
  </si>
  <si>
    <t>BO1012</t>
  </si>
  <si>
    <t>DLL0</t>
  </si>
  <si>
    <t>Unspecified</t>
  </si>
  <si>
    <t>DLL10</t>
  </si>
  <si>
    <t>DLL15</t>
  </si>
  <si>
    <t>DLL20</t>
  </si>
  <si>
    <t>DLL5</t>
  </si>
  <si>
    <t>BO1013</t>
  </si>
  <si>
    <t>Blackhead Ogaden</t>
  </si>
  <si>
    <t>Intact Yearling Male</t>
  </si>
  <si>
    <t>BO1014</t>
  </si>
  <si>
    <t>Diet 6</t>
  </si>
  <si>
    <t>Diet 7</t>
  </si>
  <si>
    <t>BO1016</t>
  </si>
  <si>
    <t>InHay +Cal</t>
  </si>
  <si>
    <t>Dorper</t>
  </si>
  <si>
    <t>InHay +Cal +PEG</t>
  </si>
  <si>
    <t>BO1019</t>
  </si>
  <si>
    <t>GLM0</t>
  </si>
  <si>
    <t>GLM12</t>
  </si>
  <si>
    <t>GLM24</t>
  </si>
  <si>
    <t>GLM36</t>
  </si>
  <si>
    <t>BO1023</t>
  </si>
  <si>
    <t>CGS diet</t>
  </si>
  <si>
    <t>Lactating Female</t>
  </si>
  <si>
    <t>HSB diet</t>
  </si>
  <si>
    <t>LSB diet</t>
  </si>
  <si>
    <t>BO1024</t>
  </si>
  <si>
    <t>Diet 0%</t>
  </si>
  <si>
    <t>Tigray Highland</t>
  </si>
  <si>
    <t>Diet 15%</t>
  </si>
  <si>
    <t>Diet 30%</t>
  </si>
  <si>
    <t>Diet 45%</t>
  </si>
  <si>
    <t>BO1026</t>
  </si>
  <si>
    <t>Arsi Bale</t>
  </si>
  <si>
    <t>BO1027</t>
  </si>
  <si>
    <t>EM treated RH</t>
  </si>
  <si>
    <t>Hararghe Highland</t>
  </si>
  <si>
    <t>EM treated SCB</t>
  </si>
  <si>
    <t>Tv treated RH</t>
  </si>
  <si>
    <t>Tv treated SCB</t>
  </si>
  <si>
    <t>Untreated RH</t>
  </si>
  <si>
    <t>Untreated SCB</t>
  </si>
  <si>
    <t>BO1028</t>
  </si>
  <si>
    <t>UMB + UTTS + concentrate</t>
  </si>
  <si>
    <t>Unspecified Crossbreed</t>
  </si>
  <si>
    <t>UTS + concentrate</t>
  </si>
  <si>
    <t>UTTS + concentrate</t>
  </si>
  <si>
    <t>BO1029</t>
  </si>
  <si>
    <t>T0 (100 CH)</t>
  </si>
  <si>
    <t>Damascus</t>
  </si>
  <si>
    <t>T1 (50CH:50DBV)</t>
  </si>
  <si>
    <t>T2 (25CH:75DBV)</t>
  </si>
  <si>
    <t>T3 (100DBV)</t>
  </si>
  <si>
    <t>BO1032</t>
  </si>
  <si>
    <t>NSM0</t>
  </si>
  <si>
    <t>Ossimi</t>
  </si>
  <si>
    <t>BO1033</t>
  </si>
  <si>
    <t>Melon seed husk 10</t>
  </si>
  <si>
    <t>Bunaji</t>
  </si>
  <si>
    <t>Melon seed husk 20</t>
  </si>
  <si>
    <t>Melon seed husk 5</t>
  </si>
  <si>
    <t>Melon seek husk 0</t>
  </si>
  <si>
    <t>BO1035</t>
  </si>
  <si>
    <t>Bermuda Diet</t>
  </si>
  <si>
    <t>Elephant Diet</t>
  </si>
  <si>
    <t>Guinea Diet</t>
  </si>
  <si>
    <t>Rhodes Diet</t>
  </si>
  <si>
    <t>BO1037</t>
  </si>
  <si>
    <t>0% cabbage carrot waste</t>
  </si>
  <si>
    <t>10% cabbage waste</t>
  </si>
  <si>
    <t>10% carrot waste</t>
  </si>
  <si>
    <t>5% carrot 5% cabbage waste</t>
  </si>
  <si>
    <t>BO1038</t>
  </si>
  <si>
    <t>0% treated rice offal</t>
  </si>
  <si>
    <t>10% treated rice offal</t>
  </si>
  <si>
    <t>15% treated rice ofall</t>
  </si>
  <si>
    <t>5% treated rice offal</t>
  </si>
  <si>
    <t>BO1039</t>
  </si>
  <si>
    <t>400 g B.balcooa</t>
  </si>
  <si>
    <t>400 g O. abyssinica</t>
  </si>
  <si>
    <t>600 g B.balcooa</t>
  </si>
  <si>
    <t>600 g O. abyssinica</t>
  </si>
  <si>
    <t>Control diet</t>
  </si>
  <si>
    <t>BO1042</t>
  </si>
  <si>
    <t>0% cashew nut shell</t>
  </si>
  <si>
    <t>10% cashew nut shell</t>
  </si>
  <si>
    <t>15% cashew nut shell</t>
  </si>
  <si>
    <t>20% cashew nut shell</t>
  </si>
  <si>
    <t>BO1043</t>
  </si>
  <si>
    <t>T1 0 SCPM 100 CPM</t>
  </si>
  <si>
    <t>T2 25 SCPM 75 CPM</t>
  </si>
  <si>
    <t>T3 50 SCPM 50 CPM</t>
  </si>
  <si>
    <t>T4 75 SCPM 25 CPM</t>
  </si>
  <si>
    <t>BO1044</t>
  </si>
  <si>
    <t>T1 (GG100%)</t>
  </si>
  <si>
    <t>T2 (GG80% + CSP10% + SBCW10%)</t>
  </si>
  <si>
    <t>T3 (GG60% + CSP30% + SBCW10%)</t>
  </si>
  <si>
    <t>T4 (GG40% + CSP50% + SBCW10%)</t>
  </si>
  <si>
    <t>BO1045</t>
  </si>
  <si>
    <t>R1: 70% CFM + 30% BS</t>
  </si>
  <si>
    <t>Finn***Ossimi</t>
  </si>
  <si>
    <t>R2: 70% CFM + 30% BS + 3% FA</t>
  </si>
  <si>
    <t>R3: 70% CFM + 30% (BH)</t>
  </si>
  <si>
    <t>R4: 70% CFM + 30% BH + 3% FA</t>
  </si>
  <si>
    <t>BO1046</t>
  </si>
  <si>
    <t>Basal Diet + Cowpea Residues (Ama)</t>
  </si>
  <si>
    <t>Basal Diet + Cowpea Residues (Ate)</t>
  </si>
  <si>
    <t>Basal Diet + Groundnut Residues (Ama)</t>
  </si>
  <si>
    <t>Basal Diet + Groundnut Residues (Ate)</t>
  </si>
  <si>
    <t>Basal Diet Only (Ama)</t>
  </si>
  <si>
    <t>Basal Diet Only (Ate)</t>
  </si>
  <si>
    <t>BO1048</t>
  </si>
  <si>
    <t>60:40 ratio</t>
  </si>
  <si>
    <t>70;30 ratio</t>
  </si>
  <si>
    <t>80:20 ratio</t>
  </si>
  <si>
    <t>90;10 ratio</t>
  </si>
  <si>
    <t>BO1049</t>
  </si>
  <si>
    <t>CFM + BH</t>
  </si>
  <si>
    <t>Weaning Lamb</t>
  </si>
  <si>
    <t>CFM + Cellulase &amp; fibrolytic treated DPL + BH</t>
  </si>
  <si>
    <t>CFM + Cellulase treated DPL +BH</t>
  </si>
  <si>
    <t>CFM + Fibrolytic treated DPL + BH</t>
  </si>
  <si>
    <t>CFM + untreated DPL + BH</t>
  </si>
  <si>
    <t>BO1051</t>
  </si>
  <si>
    <t>Citrus pulp treated</t>
  </si>
  <si>
    <t>Grape seeds treated</t>
  </si>
  <si>
    <t>Jojoba meal treated</t>
  </si>
  <si>
    <t>Olive cake treated</t>
  </si>
  <si>
    <t>Sugar beet pulp treated</t>
  </si>
  <si>
    <t>BO1052</t>
  </si>
  <si>
    <t>0% untreated WMV</t>
  </si>
  <si>
    <t>100% treated WMV</t>
  </si>
  <si>
    <t>25% treated WMV</t>
  </si>
  <si>
    <t>50% treated WMV</t>
  </si>
  <si>
    <t>75% treated WMV</t>
  </si>
  <si>
    <t>BO1053</t>
  </si>
  <si>
    <t>inoculated silage buffalo</t>
  </si>
  <si>
    <t>Postpartum Female</t>
  </si>
  <si>
    <t>inoculated silage cattle</t>
  </si>
  <si>
    <t>non-inoculated silage buffalo</t>
  </si>
  <si>
    <t>non-inoculated silage cattle</t>
  </si>
  <si>
    <t>BO1054</t>
  </si>
  <si>
    <t>0 PCK</t>
  </si>
  <si>
    <t>10 PCK</t>
  </si>
  <si>
    <t>20 PCK</t>
  </si>
  <si>
    <t>30 PCK</t>
  </si>
  <si>
    <t>40 PCK</t>
  </si>
  <si>
    <t>BO1056</t>
  </si>
  <si>
    <t>CS</t>
  </si>
  <si>
    <t>RSPHigh</t>
  </si>
  <si>
    <t>RSPLow</t>
  </si>
  <si>
    <t>RSPMed</t>
  </si>
  <si>
    <t>BO1060</t>
  </si>
  <si>
    <t>BO1061</t>
  </si>
  <si>
    <t>BO1062</t>
  </si>
  <si>
    <t>BO1064</t>
  </si>
  <si>
    <t>Baobab Diet</t>
  </si>
  <si>
    <t>Local Variety</t>
  </si>
  <si>
    <t>Zebu Cattle</t>
  </si>
  <si>
    <t>Malawi Zebu</t>
  </si>
  <si>
    <t>Soybean Diet</t>
  </si>
  <si>
    <t>Vachellia Diet</t>
  </si>
  <si>
    <t>BO1065</t>
  </si>
  <si>
    <t>MOLM0</t>
  </si>
  <si>
    <t>MOLM100</t>
  </si>
  <si>
    <t>MOLM50</t>
  </si>
  <si>
    <t>BO1068</t>
  </si>
  <si>
    <t>10% flaxseed (T3)</t>
  </si>
  <si>
    <t>10% full fat soya (T1)</t>
  </si>
  <si>
    <t>5% flaxseed + 5% full fat soya (T2)</t>
  </si>
  <si>
    <t>BO1069</t>
  </si>
  <si>
    <t>BG diet</t>
  </si>
  <si>
    <t>55% Kamorai***30% Boer***15% East African indigenous</t>
  </si>
  <si>
    <t>CG diet</t>
  </si>
  <si>
    <t>MRG diet</t>
  </si>
  <si>
    <t>BO1070</t>
  </si>
  <si>
    <t>0% V. amygdalina</t>
  </si>
  <si>
    <t>Fogera</t>
  </si>
  <si>
    <t>100% V. amygdalina</t>
  </si>
  <si>
    <t>25% V. amygdalina</t>
  </si>
  <si>
    <t>50% V. amygdalina</t>
  </si>
  <si>
    <t>75% V. amygdalina</t>
  </si>
  <si>
    <t>BhH</t>
  </si>
  <si>
    <t>NGH</t>
  </si>
  <si>
    <t>NPH</t>
  </si>
  <si>
    <t>TTS</t>
  </si>
  <si>
    <t>BO1074</t>
  </si>
  <si>
    <t>0% corn cobs</t>
  </si>
  <si>
    <t>25% corn cobs</t>
  </si>
  <si>
    <t>50% corn cobs</t>
  </si>
  <si>
    <t>BO1075</t>
  </si>
  <si>
    <t>BO1079</t>
  </si>
  <si>
    <t>CSL 0%</t>
  </si>
  <si>
    <t>Zaraibi</t>
  </si>
  <si>
    <t>Kid Male</t>
  </si>
  <si>
    <t>CSL 10%</t>
  </si>
  <si>
    <t>CSL 20%</t>
  </si>
  <si>
    <t>CSL 30%</t>
  </si>
  <si>
    <t>BO1080</t>
  </si>
  <si>
    <t>Begaria</t>
  </si>
  <si>
    <t>BO1081</t>
  </si>
  <si>
    <t>0% YPM</t>
  </si>
  <si>
    <t>20% YPM</t>
  </si>
  <si>
    <t>40% YPM</t>
  </si>
  <si>
    <t>60% YPM</t>
  </si>
  <si>
    <t>BO1082</t>
  </si>
  <si>
    <t>R1 (0% soybean pulp)</t>
  </si>
  <si>
    <t>R2 (10% soybean pulp)</t>
  </si>
  <si>
    <t>R3 (20% soybean pulp)</t>
  </si>
  <si>
    <t>BO1084</t>
  </si>
  <si>
    <t>Elephant grass ensiled alone</t>
  </si>
  <si>
    <t>Horro</t>
  </si>
  <si>
    <t>Elephant grass ensiled with 10% Dolichos lablab</t>
  </si>
  <si>
    <t>Elephant grass ensiled with 20% Dolichos lablab</t>
  </si>
  <si>
    <t>Elephant grass ensiled with 30% Dolichos lablab</t>
  </si>
  <si>
    <t>BO1085</t>
  </si>
  <si>
    <t>BO1087</t>
  </si>
  <si>
    <t>T1 (100% NSC)</t>
  </si>
  <si>
    <t>Gumuz</t>
  </si>
  <si>
    <t>T2 (75 NSC:25 CSH %)</t>
  </si>
  <si>
    <t>T3 (50 NSC:50 CSH %)</t>
  </si>
  <si>
    <t>T4 (25 NSC:75 CSH %)</t>
  </si>
  <si>
    <t>T5 (100% CSH)</t>
  </si>
  <si>
    <t>BO1088</t>
  </si>
  <si>
    <t>T1 (cassava peel untreated)</t>
  </si>
  <si>
    <t>T2 (corn cob untreated)</t>
  </si>
  <si>
    <t>T3 (treated cassava peel)</t>
  </si>
  <si>
    <t>T4 (treated corn cob)</t>
  </si>
  <si>
    <t>BO1092</t>
  </si>
  <si>
    <t>0 RCNS</t>
  </si>
  <si>
    <t>10 RCNS</t>
  </si>
  <si>
    <t>15 RCNS</t>
  </si>
  <si>
    <t>5 RCNS</t>
  </si>
  <si>
    <t>BO1093</t>
  </si>
  <si>
    <t>0CPM</t>
  </si>
  <si>
    <t>100 CPM</t>
  </si>
  <si>
    <t>60 CPM</t>
  </si>
  <si>
    <t>80 CPM</t>
  </si>
  <si>
    <t>BO1096</t>
  </si>
  <si>
    <t>0% Sweet Potato Peels</t>
  </si>
  <si>
    <t>Oudah Rams</t>
  </si>
  <si>
    <t>10% Sweet Potato Peels</t>
  </si>
  <si>
    <t>20% Sweet Potato Peels</t>
  </si>
  <si>
    <t>30% Sweet Potato Peels</t>
  </si>
  <si>
    <t>BO1099</t>
  </si>
  <si>
    <t>0  Cashew Nut Shell</t>
  </si>
  <si>
    <t>10  Cashew Nut Shell</t>
  </si>
  <si>
    <t>15  Cashew Nut Shell</t>
  </si>
  <si>
    <t>20  Cashew Nut Shell</t>
  </si>
  <si>
    <t>CJ1000</t>
  </si>
  <si>
    <t>280SES</t>
  </si>
  <si>
    <t>300CFM</t>
  </si>
  <si>
    <t>330ATELLA</t>
  </si>
  <si>
    <t>360FAIDH</t>
  </si>
  <si>
    <t>CJ1001</t>
  </si>
  <si>
    <t>100 Percent</t>
  </si>
  <si>
    <t>25% Dorper</t>
  </si>
  <si>
    <t>33 Percent</t>
  </si>
  <si>
    <t>67 Percent</t>
  </si>
  <si>
    <t>Zero Percent</t>
  </si>
  <si>
    <t>CJ1003</t>
  </si>
  <si>
    <t>Baobab</t>
  </si>
  <si>
    <t>Zebu</t>
  </si>
  <si>
    <t>Intact Finisher Male</t>
  </si>
  <si>
    <t>Soybean</t>
  </si>
  <si>
    <t>Vachellia</t>
  </si>
  <si>
    <t>CJ1004</t>
  </si>
  <si>
    <t>Feed Blocks</t>
  </si>
  <si>
    <t>Gliricidia: leucaena</t>
  </si>
  <si>
    <t>Maize off</t>
  </si>
  <si>
    <t>Poult Manure</t>
  </si>
  <si>
    <t>CJ1006</t>
  </si>
  <si>
    <t>R1</t>
  </si>
  <si>
    <t>R2</t>
  </si>
  <si>
    <t>R3</t>
  </si>
  <si>
    <t>CJ1015</t>
  </si>
  <si>
    <t>Control</t>
  </si>
  <si>
    <t>Gestating Female</t>
  </si>
  <si>
    <t>CJ1016</t>
  </si>
  <si>
    <t>CJ1019</t>
  </si>
  <si>
    <t>DK0007</t>
  </si>
  <si>
    <t>Timahdite</t>
  </si>
  <si>
    <t>T2 ESS</t>
  </si>
  <si>
    <t>T3 EAS</t>
  </si>
  <si>
    <t>T4 SSS</t>
  </si>
  <si>
    <t>T5 SAS</t>
  </si>
  <si>
    <t>EM1000</t>
  </si>
  <si>
    <t>Treatment1</t>
  </si>
  <si>
    <t>Treatment2</t>
  </si>
  <si>
    <t>Treatment3</t>
  </si>
  <si>
    <t>Treatment4</t>
  </si>
  <si>
    <t>EM1004</t>
  </si>
  <si>
    <t>Control Ration G1</t>
  </si>
  <si>
    <t>Ration G2</t>
  </si>
  <si>
    <t>Ration G3</t>
  </si>
  <si>
    <t>EM1005</t>
  </si>
  <si>
    <t>Control Ration1</t>
  </si>
  <si>
    <t>Ration3</t>
  </si>
  <si>
    <t>EM1006</t>
  </si>
  <si>
    <t>CTSD</t>
  </si>
  <si>
    <t>Young</t>
  </si>
  <si>
    <t>PTC</t>
  </si>
  <si>
    <t>PTCD</t>
  </si>
  <si>
    <t>EM1008</t>
  </si>
  <si>
    <t>Leucaena 1</t>
  </si>
  <si>
    <t>Leucaena 2</t>
  </si>
  <si>
    <t>Leucaena 3</t>
  </si>
  <si>
    <t>Leucaena 4</t>
  </si>
  <si>
    <t>EM1011</t>
  </si>
  <si>
    <t>T1 CM</t>
  </si>
  <si>
    <t>Woyto-Guji</t>
  </si>
  <si>
    <t>T2 CM+ML</t>
  </si>
  <si>
    <t>T3 CM+ML</t>
  </si>
  <si>
    <t>T4 CM+ML</t>
  </si>
  <si>
    <t>T5 ML</t>
  </si>
  <si>
    <t>EM1012</t>
  </si>
  <si>
    <t>T1  NSC</t>
  </si>
  <si>
    <t>Adult Female</t>
  </si>
  <si>
    <t>T2 FSF</t>
  </si>
  <si>
    <t>T3 FSF</t>
  </si>
  <si>
    <t>EM1013.1</t>
  </si>
  <si>
    <t>FS50C50</t>
  </si>
  <si>
    <t>Pedi</t>
  </si>
  <si>
    <t>FS60C40</t>
  </si>
  <si>
    <t>FS70C30</t>
  </si>
  <si>
    <t>FS80C20</t>
  </si>
  <si>
    <t>FS90C10</t>
  </si>
  <si>
    <t>EM1013.2</t>
  </si>
  <si>
    <t>FS50L50</t>
  </si>
  <si>
    <t>FS60L40</t>
  </si>
  <si>
    <t>FS70L30</t>
  </si>
  <si>
    <t>FS80L20</t>
  </si>
  <si>
    <t>FS90L10</t>
  </si>
  <si>
    <t>EM1013.3</t>
  </si>
  <si>
    <t>FS50MN50</t>
  </si>
  <si>
    <t>FS60MN40</t>
  </si>
  <si>
    <t>FS70MN30</t>
  </si>
  <si>
    <t>FS80MN20</t>
  </si>
  <si>
    <t>FS90MN10</t>
  </si>
  <si>
    <t>EM1013.4</t>
  </si>
  <si>
    <t>FS61C39</t>
  </si>
  <si>
    <t>FS68L32</t>
  </si>
  <si>
    <t>FS77MN23</t>
  </si>
  <si>
    <t>EM1014</t>
  </si>
  <si>
    <t>T1A.B+PEG</t>
  </si>
  <si>
    <t>Small East African</t>
  </si>
  <si>
    <t>T2A.B+BC</t>
  </si>
  <si>
    <t>T3A.B</t>
  </si>
  <si>
    <t>T4B.D+PEG</t>
  </si>
  <si>
    <t>T5B.D+BC</t>
  </si>
  <si>
    <t>T6B.D</t>
  </si>
  <si>
    <t>EM1015</t>
  </si>
  <si>
    <t>T1HS</t>
  </si>
  <si>
    <t>Somali</t>
  </si>
  <si>
    <t>T2GT</t>
  </si>
  <si>
    <t>T3HS+GT</t>
  </si>
  <si>
    <t>EM1017</t>
  </si>
  <si>
    <t>10MOL</t>
  </si>
  <si>
    <t>Farafra</t>
  </si>
  <si>
    <t>20MOL</t>
  </si>
  <si>
    <t>30MOL</t>
  </si>
  <si>
    <t>EM1020</t>
  </si>
  <si>
    <t>T1 Control</t>
  </si>
  <si>
    <t>Arsi-bale</t>
  </si>
  <si>
    <t>T2 2DVL:1WB</t>
  </si>
  <si>
    <t>T3 1DVL:1WB</t>
  </si>
  <si>
    <t>T4 1DVL:2WB</t>
  </si>
  <si>
    <t>EM1022</t>
  </si>
  <si>
    <t>T0 Typha silage</t>
  </si>
  <si>
    <t>Rahaji</t>
  </si>
  <si>
    <t>Adult</t>
  </si>
  <si>
    <t>T10 Typha silage</t>
  </si>
  <si>
    <t>T20 Typha silage</t>
  </si>
  <si>
    <t>T30 Typha silage</t>
  </si>
  <si>
    <t>EM1023</t>
  </si>
  <si>
    <t>1.5A</t>
  </si>
  <si>
    <t>1A</t>
  </si>
  <si>
    <t>2A</t>
  </si>
  <si>
    <t>EM1026</t>
  </si>
  <si>
    <t>Diet1</t>
  </si>
  <si>
    <t>Diet2</t>
  </si>
  <si>
    <t>Diet3</t>
  </si>
  <si>
    <t>Diet4</t>
  </si>
  <si>
    <t>EM1028</t>
  </si>
  <si>
    <t>T2 CM+DWLM</t>
  </si>
  <si>
    <t>T3 GNP</t>
  </si>
  <si>
    <t>T4 CM+DWLP</t>
  </si>
  <si>
    <t>T5 DWLP</t>
  </si>
  <si>
    <t>EM1029</t>
  </si>
  <si>
    <t>T1 Diet</t>
  </si>
  <si>
    <t>T2 Diet</t>
  </si>
  <si>
    <t>T3 Diet</t>
  </si>
  <si>
    <t>T4 Diet</t>
  </si>
  <si>
    <t>EM1030</t>
  </si>
  <si>
    <t>T1 WB+CLM</t>
  </si>
  <si>
    <t>T2 WB+CLM</t>
  </si>
  <si>
    <t>T3 WB+CLM</t>
  </si>
  <si>
    <t>T4 CM</t>
  </si>
  <si>
    <t>EM1031</t>
  </si>
  <si>
    <t>T1 SBM</t>
  </si>
  <si>
    <t>T2 BCSM</t>
  </si>
  <si>
    <t>T3 CSM</t>
  </si>
  <si>
    <t>T4 SSM</t>
  </si>
  <si>
    <t>EM1032</t>
  </si>
  <si>
    <t>T2 MB</t>
  </si>
  <si>
    <t>T3 MB+GH</t>
  </si>
  <si>
    <t>T4 GH</t>
  </si>
  <si>
    <t>EM1033</t>
  </si>
  <si>
    <t>T1 NPH</t>
  </si>
  <si>
    <t>T2 NPH+MH</t>
  </si>
  <si>
    <t>T3 NPH+MH</t>
  </si>
  <si>
    <t>T4 NPH+MH</t>
  </si>
  <si>
    <t>T5 MH</t>
  </si>
  <si>
    <t>EM1034</t>
  </si>
  <si>
    <t>T1  Hay + Conc  daily</t>
  </si>
  <si>
    <t>T2 Silage + Conc  daily</t>
  </si>
  <si>
    <t>T3 Silage + Conc  Skip-a-day</t>
  </si>
  <si>
    <t>T4 Silage + Conc  Skip-2-days</t>
  </si>
  <si>
    <t>EM1035</t>
  </si>
  <si>
    <t>T1  Mash</t>
  </si>
  <si>
    <t>Boer***Damascus</t>
  </si>
  <si>
    <t>T2 Pelleted</t>
  </si>
  <si>
    <t>EM1036</t>
  </si>
  <si>
    <t>T1 Control DBG</t>
  </si>
  <si>
    <t>Wogera</t>
  </si>
  <si>
    <t>T2 DBG+SCF</t>
  </si>
  <si>
    <t>T3 DBG+SCF</t>
  </si>
  <si>
    <t>T4 DBG+SCF</t>
  </si>
  <si>
    <t>T5 SCF</t>
  </si>
  <si>
    <t>EM1037</t>
  </si>
  <si>
    <t>T1  Control</t>
  </si>
  <si>
    <t>Doyogena</t>
  </si>
  <si>
    <t>T2 WB+NC</t>
  </si>
  <si>
    <t>T3 WB+NC</t>
  </si>
  <si>
    <t>T4 WB+NC</t>
  </si>
  <si>
    <t>EM1038</t>
  </si>
  <si>
    <t>DU1</t>
  </si>
  <si>
    <t>DU2</t>
  </si>
  <si>
    <t>DU3</t>
  </si>
  <si>
    <t>DU4</t>
  </si>
  <si>
    <t>EM1039</t>
  </si>
  <si>
    <t>Washera</t>
  </si>
  <si>
    <t>T2 NSC</t>
  </si>
  <si>
    <t>T3 Atella</t>
  </si>
  <si>
    <t>EM1040</t>
  </si>
  <si>
    <t>T1  Hay Alone</t>
  </si>
  <si>
    <t>T2 Atella</t>
  </si>
  <si>
    <t>T3 Tata</t>
  </si>
  <si>
    <t>T4 Atella+Tata</t>
  </si>
  <si>
    <t>EM1041</t>
  </si>
  <si>
    <t>T2 Untreated FMS</t>
  </si>
  <si>
    <t>T3 EM2Treated FMS</t>
  </si>
  <si>
    <t>T4 Urea Treated FMS</t>
  </si>
  <si>
    <t>EM1043</t>
  </si>
  <si>
    <t>Diet A</t>
  </si>
  <si>
    <t>Red Sokoto</t>
  </si>
  <si>
    <t>Diet B</t>
  </si>
  <si>
    <t>Diet C</t>
  </si>
  <si>
    <t>EM1044</t>
  </si>
  <si>
    <t>Exp 1</t>
  </si>
  <si>
    <t>Exp 2</t>
  </si>
  <si>
    <t>Exp 3</t>
  </si>
  <si>
    <t>EM1045</t>
  </si>
  <si>
    <t>Treatment T1</t>
  </si>
  <si>
    <t>Treatment T2</t>
  </si>
  <si>
    <t>Treatment T3</t>
  </si>
  <si>
    <t>Treatment T4</t>
  </si>
  <si>
    <t>Treatment T5</t>
  </si>
  <si>
    <t>EM1046</t>
  </si>
  <si>
    <t>Sardi</t>
  </si>
  <si>
    <t>EM1047</t>
  </si>
  <si>
    <t>GH0</t>
  </si>
  <si>
    <t>Friesian***Bunaji</t>
  </si>
  <si>
    <t>Grower Female</t>
  </si>
  <si>
    <t>GH25</t>
  </si>
  <si>
    <t>GH50</t>
  </si>
  <si>
    <t>GH75</t>
  </si>
  <si>
    <t>EM1048</t>
  </si>
  <si>
    <t>T2 35FPH</t>
  </si>
  <si>
    <t>T3 50FPH</t>
  </si>
  <si>
    <t>EM1050</t>
  </si>
  <si>
    <t>EM1051</t>
  </si>
  <si>
    <t>T1  A</t>
  </si>
  <si>
    <t>T2 B</t>
  </si>
  <si>
    <t>T3 C</t>
  </si>
  <si>
    <t>T4 D</t>
  </si>
  <si>
    <t>EM1052</t>
  </si>
  <si>
    <t>EM1053</t>
  </si>
  <si>
    <t>Diet D</t>
  </si>
  <si>
    <t>EM1054</t>
  </si>
  <si>
    <t>M0</t>
  </si>
  <si>
    <t>Calf Male</t>
  </si>
  <si>
    <t>M15</t>
  </si>
  <si>
    <t>M20</t>
  </si>
  <si>
    <t>EM1055</t>
  </si>
  <si>
    <t>EM1056</t>
  </si>
  <si>
    <t>EM1058</t>
  </si>
  <si>
    <t>EM1060</t>
  </si>
  <si>
    <t>EM1062</t>
  </si>
  <si>
    <t>EM1065</t>
  </si>
  <si>
    <t>EM1066</t>
  </si>
  <si>
    <t>EM1067</t>
  </si>
  <si>
    <t>EM1068</t>
  </si>
  <si>
    <t>EM1072</t>
  </si>
  <si>
    <t>Control CA</t>
  </si>
  <si>
    <t>GB</t>
  </si>
  <si>
    <t>GC</t>
  </si>
  <si>
    <t>GD</t>
  </si>
  <si>
    <t>GE</t>
  </si>
  <si>
    <t>EM1073</t>
  </si>
  <si>
    <t>GKA</t>
  </si>
  <si>
    <t>GKB</t>
  </si>
  <si>
    <t>GKC</t>
  </si>
  <si>
    <t>GKD</t>
  </si>
  <si>
    <t>EM1074</t>
  </si>
  <si>
    <t>RSM1</t>
  </si>
  <si>
    <t>RSM2</t>
  </si>
  <si>
    <t>RSM3</t>
  </si>
  <si>
    <t>EM1079</t>
  </si>
  <si>
    <t>Azawak</t>
  </si>
  <si>
    <t>EM1081</t>
  </si>
  <si>
    <t>EM1082</t>
  </si>
  <si>
    <t>EM1083</t>
  </si>
  <si>
    <t>EM1084</t>
  </si>
  <si>
    <t>EM1085</t>
  </si>
  <si>
    <t>Barbarine</t>
  </si>
  <si>
    <t>Mconc</t>
  </si>
  <si>
    <t>Mhay</t>
  </si>
  <si>
    <t>EM1087</t>
  </si>
  <si>
    <t>Eragrostis teff hay</t>
  </si>
  <si>
    <t>Merino</t>
  </si>
  <si>
    <t>Lucerne Hay</t>
  </si>
  <si>
    <t>Maize S</t>
  </si>
  <si>
    <t>Soybean Hulls</t>
  </si>
  <si>
    <t>EM1089</t>
  </si>
  <si>
    <t>Ration R1</t>
  </si>
  <si>
    <t>Ration R2</t>
  </si>
  <si>
    <t>Ration R3</t>
  </si>
  <si>
    <t>EM1090</t>
  </si>
  <si>
    <t>EM1091</t>
  </si>
  <si>
    <t>EM1092</t>
  </si>
  <si>
    <t>EM1095</t>
  </si>
  <si>
    <t>Treatment T6</t>
  </si>
  <si>
    <t>EM1096</t>
  </si>
  <si>
    <t>RCNS A</t>
  </si>
  <si>
    <t>RCNS B</t>
  </si>
  <si>
    <t>RCNS C</t>
  </si>
  <si>
    <t>RCNS D</t>
  </si>
  <si>
    <t>EM1097</t>
  </si>
  <si>
    <t>EM1098</t>
  </si>
  <si>
    <t>Holstein***Friesian***Arsi</t>
  </si>
  <si>
    <t>EM1099</t>
  </si>
  <si>
    <t>Castrate Yearling Male</t>
  </si>
  <si>
    <t>EM1100</t>
  </si>
  <si>
    <t>Control PKC</t>
  </si>
  <si>
    <t>PFBSM</t>
  </si>
  <si>
    <t>WFBSM</t>
  </si>
  <si>
    <t>EM1101</t>
  </si>
  <si>
    <t>DSBP 1</t>
  </si>
  <si>
    <t>DSBP 2</t>
  </si>
  <si>
    <t>YCG</t>
  </si>
  <si>
    <t>EM1102</t>
  </si>
  <si>
    <t>Treatment Control</t>
  </si>
  <si>
    <t>EM1103</t>
  </si>
  <si>
    <t>EM1104</t>
  </si>
  <si>
    <t>CR50</t>
  </si>
  <si>
    <t>Ossimi***Unspecified</t>
  </si>
  <si>
    <t>SB50</t>
  </si>
  <si>
    <t>EM1107</t>
  </si>
  <si>
    <t>EO0032</t>
  </si>
  <si>
    <t>100% concentrate</t>
  </si>
  <si>
    <t>Central Highland</t>
  </si>
  <si>
    <t>25%concentrate+75% leaf meal</t>
  </si>
  <si>
    <t>50%concentrate+50% leaf meal</t>
  </si>
  <si>
    <t>75% concentrate+25% leaf meal</t>
  </si>
  <si>
    <t>EO0041</t>
  </si>
  <si>
    <t>PL22</t>
  </si>
  <si>
    <t>Holstein***Friesian***Zebu</t>
  </si>
  <si>
    <t>PL35</t>
  </si>
  <si>
    <t>PL45</t>
  </si>
  <si>
    <t>PLO</t>
  </si>
  <si>
    <t>EO0046</t>
  </si>
  <si>
    <t>0% CFL</t>
  </si>
  <si>
    <t>10% CFL</t>
  </si>
  <si>
    <t>20% CFL</t>
  </si>
  <si>
    <t>30% CFL</t>
  </si>
  <si>
    <t>EO0047</t>
  </si>
  <si>
    <t>EO0074</t>
  </si>
  <si>
    <t>Hay</t>
  </si>
  <si>
    <t>Blackhead Somali Sheep</t>
  </si>
  <si>
    <t>Hay+Concentate+Tata</t>
  </si>
  <si>
    <t>Hay+Concentrate</t>
  </si>
  <si>
    <t>Hay+Tata</t>
  </si>
  <si>
    <t>EO0078</t>
  </si>
  <si>
    <t>0% PJP</t>
  </si>
  <si>
    <t>10%PJP</t>
  </si>
  <si>
    <t>20%PJP</t>
  </si>
  <si>
    <t>30%PJP</t>
  </si>
  <si>
    <t>40%PJP</t>
  </si>
  <si>
    <t>EO0086</t>
  </si>
  <si>
    <t>HK0005</t>
  </si>
  <si>
    <t>HK0006</t>
  </si>
  <si>
    <t>D1 No F.polita</t>
  </si>
  <si>
    <t>D2 30 F.polita</t>
  </si>
  <si>
    <t>D3  60 F.polita</t>
  </si>
  <si>
    <t>D4 90 F.polita</t>
  </si>
  <si>
    <t>HK0007</t>
  </si>
  <si>
    <t>HK0008</t>
  </si>
  <si>
    <t>0% Leucaena Goat</t>
  </si>
  <si>
    <t>0% Leucaena Sheep</t>
  </si>
  <si>
    <t>20% Leucaena Sheep</t>
  </si>
  <si>
    <t>40% Leucaena Goat</t>
  </si>
  <si>
    <t>40% Leucaena Sheep</t>
  </si>
  <si>
    <t>60% Leucaena Goat</t>
  </si>
  <si>
    <t>60% Leucaena Sheep</t>
  </si>
  <si>
    <t>80% Leucaena Goat</t>
  </si>
  <si>
    <t>HK0011</t>
  </si>
  <si>
    <t>CW</t>
  </si>
  <si>
    <t>CW:DSBG</t>
  </si>
  <si>
    <t>DSBG</t>
  </si>
  <si>
    <t>HK0014</t>
  </si>
  <si>
    <t>HK0017</t>
  </si>
  <si>
    <t>HK0026</t>
  </si>
  <si>
    <t>HK0028</t>
  </si>
  <si>
    <t>HK0029</t>
  </si>
  <si>
    <t>Diet A (No Cassava Peals)</t>
  </si>
  <si>
    <t>Diet B 50</t>
  </si>
  <si>
    <t>Diet C 100</t>
  </si>
  <si>
    <t>HK0037</t>
  </si>
  <si>
    <t>HK0044.1</t>
  </si>
  <si>
    <t>HK0044.2</t>
  </si>
  <si>
    <t>HK0045</t>
  </si>
  <si>
    <t>HK0066.1</t>
  </si>
  <si>
    <t>HK0066.2</t>
  </si>
  <si>
    <t>HK0067</t>
  </si>
  <si>
    <t>HK0082</t>
  </si>
  <si>
    <t>CHM1</t>
  </si>
  <si>
    <t>CHM2</t>
  </si>
  <si>
    <t>CHM3</t>
  </si>
  <si>
    <t>CHM4</t>
  </si>
  <si>
    <t>Diet Con</t>
  </si>
  <si>
    <t>HK0102.2</t>
  </si>
  <si>
    <t>HK0107</t>
  </si>
  <si>
    <t>0% Palm Oil</t>
  </si>
  <si>
    <t>12% Palm Oil</t>
  </si>
  <si>
    <t>16% Palm Oil</t>
  </si>
  <si>
    <t>4% Palm Oil</t>
  </si>
  <si>
    <t>8% Palm Oil</t>
  </si>
  <si>
    <t>HK0108</t>
  </si>
  <si>
    <t>0% Leucaena Diet</t>
  </si>
  <si>
    <t>15% Leucaena Diet</t>
  </si>
  <si>
    <t>30% Leucaena Diet</t>
  </si>
  <si>
    <t>45% Leucaena Diet</t>
  </si>
  <si>
    <t>HK0118</t>
  </si>
  <si>
    <t>HK0129</t>
  </si>
  <si>
    <t>HK0143</t>
  </si>
  <si>
    <t>Concentrate Grass Diet</t>
  </si>
  <si>
    <t>Cow Pea Husk Diet</t>
  </si>
  <si>
    <t>HK0154</t>
  </si>
  <si>
    <t>0% Leucaena</t>
  </si>
  <si>
    <t>10% Leucaena</t>
  </si>
  <si>
    <t>20% Leucaena</t>
  </si>
  <si>
    <t>30% Leucaena</t>
  </si>
  <si>
    <t>40% Leucaena</t>
  </si>
  <si>
    <t>HK0158</t>
  </si>
  <si>
    <t>HK0171</t>
  </si>
  <si>
    <t>Ration A1</t>
  </si>
  <si>
    <t>Ration A2</t>
  </si>
  <si>
    <t>Ration B1</t>
  </si>
  <si>
    <t>Ration B2</t>
  </si>
  <si>
    <t>Ration C1</t>
  </si>
  <si>
    <t>Ration C2</t>
  </si>
  <si>
    <t>Ration D1</t>
  </si>
  <si>
    <t>HK0182</t>
  </si>
  <si>
    <t>DCL1</t>
  </si>
  <si>
    <t>DCL2</t>
  </si>
  <si>
    <t>DCL3</t>
  </si>
  <si>
    <t>HK0228</t>
  </si>
  <si>
    <t>HK0260</t>
  </si>
  <si>
    <t>Centro</t>
  </si>
  <si>
    <t>Blackhead Persian</t>
  </si>
  <si>
    <t>Sirastro</t>
  </si>
  <si>
    <t>Stover Con</t>
  </si>
  <si>
    <t>Stylo</t>
  </si>
  <si>
    <t>HK0284</t>
  </si>
  <si>
    <t>HK0288</t>
  </si>
  <si>
    <t>ML1</t>
  </si>
  <si>
    <t>ML2</t>
  </si>
  <si>
    <t>Maize Only</t>
  </si>
  <si>
    <t>SL1</t>
  </si>
  <si>
    <t>SL2</t>
  </si>
  <si>
    <t>Sorghum Only</t>
  </si>
  <si>
    <t>HK0319</t>
  </si>
  <si>
    <t>HK0324</t>
  </si>
  <si>
    <t>HK0326</t>
  </si>
  <si>
    <t>HK0327.1</t>
  </si>
  <si>
    <t>LH WH1 B1</t>
  </si>
  <si>
    <t>LH WH2 B1</t>
  </si>
  <si>
    <t>LH WH3  B1</t>
  </si>
  <si>
    <t>LH WH4  B1</t>
  </si>
  <si>
    <t>LH WH5  B1</t>
  </si>
  <si>
    <t>HK0327.2</t>
  </si>
  <si>
    <t>OH WH1 B2</t>
  </si>
  <si>
    <t>OH WH2 B2</t>
  </si>
  <si>
    <t>OH WH3 B2</t>
  </si>
  <si>
    <t>OH WH4 B2</t>
  </si>
  <si>
    <t>OH WH5 B2</t>
  </si>
  <si>
    <t>HK0327.3</t>
  </si>
  <si>
    <t>LH:OH WH1 B3</t>
  </si>
  <si>
    <t>LH:OH WH2 B3</t>
  </si>
  <si>
    <t>LH:OH WH3 B3</t>
  </si>
  <si>
    <t>LH:OH WH4 B3</t>
  </si>
  <si>
    <t>LH:OH WH5 B3</t>
  </si>
  <si>
    <t>HK0328</t>
  </si>
  <si>
    <t>HK0329</t>
  </si>
  <si>
    <t>DC0</t>
  </si>
  <si>
    <t>South African Dorper</t>
  </si>
  <si>
    <t>DC100</t>
  </si>
  <si>
    <t>DC150</t>
  </si>
  <si>
    <t>DC200</t>
  </si>
  <si>
    <t>HK0330</t>
  </si>
  <si>
    <t>HK0331</t>
  </si>
  <si>
    <t>HK0333</t>
  </si>
  <si>
    <t>HK0337</t>
  </si>
  <si>
    <t>T0  Control...T100 Concentrate...T66 Concentrate</t>
  </si>
  <si>
    <t>T100 Concentrate</t>
  </si>
  <si>
    <t>T66 Concentrate</t>
  </si>
  <si>
    <t>HK0350</t>
  </si>
  <si>
    <t>Con CSM</t>
  </si>
  <si>
    <t>Mashona Does</t>
  </si>
  <si>
    <t>Velvet BM 1</t>
  </si>
  <si>
    <t>Velvet BM 2</t>
  </si>
  <si>
    <t>Velvet BM 3</t>
  </si>
  <si>
    <t>JO1000</t>
  </si>
  <si>
    <t>MSC0%</t>
  </si>
  <si>
    <t>Friesian x Baladi</t>
  </si>
  <si>
    <t>MSC100%</t>
  </si>
  <si>
    <t>MSC25%</t>
  </si>
  <si>
    <t>MSC50%</t>
  </si>
  <si>
    <t>JO1001</t>
  </si>
  <si>
    <t>LEU</t>
  </si>
  <si>
    <t>LS</t>
  </si>
  <si>
    <t>SAM</t>
  </si>
  <si>
    <t>UTS</t>
  </si>
  <si>
    <t>JO1002</t>
  </si>
  <si>
    <t>Jersey</t>
  </si>
  <si>
    <t>M30</t>
  </si>
  <si>
    <t>M60</t>
  </si>
  <si>
    <t>JO1003</t>
  </si>
  <si>
    <t>CG AS</t>
  </si>
  <si>
    <t>CG ASG</t>
  </si>
  <si>
    <t>CG AT</t>
  </si>
  <si>
    <t>CG MF</t>
  </si>
  <si>
    <t>CG VA</t>
  </si>
  <si>
    <t>CG hay</t>
  </si>
  <si>
    <t>JO1004</t>
  </si>
  <si>
    <t>10% cactus</t>
  </si>
  <si>
    <t>Nguni</t>
  </si>
  <si>
    <t>20% cactus</t>
  </si>
  <si>
    <t>commercial diet</t>
  </si>
  <si>
    <t>JO1007</t>
  </si>
  <si>
    <t>JO1008</t>
  </si>
  <si>
    <t>JO1009</t>
  </si>
  <si>
    <t>MS</t>
  </si>
  <si>
    <t>MT</t>
  </si>
  <si>
    <t>UMT</t>
  </si>
  <si>
    <t>UT</t>
  </si>
  <si>
    <t>JO1010</t>
  </si>
  <si>
    <t>0% Kamorai***0% Boer***0% Small East African</t>
  </si>
  <si>
    <t>LPBB</t>
  </si>
  <si>
    <t>SCBB</t>
  </si>
  <si>
    <t>UBB</t>
  </si>
  <si>
    <t>JO1015</t>
  </si>
  <si>
    <t>Feed 1</t>
  </si>
  <si>
    <t>Feed 2</t>
  </si>
  <si>
    <t>Feed 3</t>
  </si>
  <si>
    <t>Feed 4</t>
  </si>
  <si>
    <t>JO1022</t>
  </si>
  <si>
    <t>Feed 5</t>
  </si>
  <si>
    <t>JO1023</t>
  </si>
  <si>
    <t>Cowpea 100g Lablab 225g NF</t>
  </si>
  <si>
    <t>Boran</t>
  </si>
  <si>
    <t>Cowpea 267g Lablab 100g NF</t>
  </si>
  <si>
    <t>Cowpea 400g NF</t>
  </si>
  <si>
    <t>Lablab 300g NF</t>
  </si>
  <si>
    <t>JO1024</t>
  </si>
  <si>
    <t>T1 300CPH</t>
  </si>
  <si>
    <t>Begait</t>
  </si>
  <si>
    <t>T2 225CPH 75WB</t>
  </si>
  <si>
    <t>T3 150CPH 150WB</t>
  </si>
  <si>
    <t>T4 75CPH 225WB</t>
  </si>
  <si>
    <t>T5 300WB</t>
  </si>
  <si>
    <t>JO1025</t>
  </si>
  <si>
    <t>SPV 0</t>
  </si>
  <si>
    <t>Ankole***Friesian</t>
  </si>
  <si>
    <t>SPV 100</t>
  </si>
  <si>
    <t>SPV 200</t>
  </si>
  <si>
    <t>SPV 300</t>
  </si>
  <si>
    <t>JO1026</t>
  </si>
  <si>
    <t>T1 PH100%</t>
  </si>
  <si>
    <t>T2 PH100% 300CM</t>
  </si>
  <si>
    <t>T3 PH100% 1HB</t>
  </si>
  <si>
    <t>T4 PH100% 948HO</t>
  </si>
  <si>
    <t>T5 PH100% 250HB 237HO 150CM</t>
  </si>
  <si>
    <t>JO1027</t>
  </si>
  <si>
    <t>100C</t>
  </si>
  <si>
    <t>Adilo</t>
  </si>
  <si>
    <t>100OV</t>
  </si>
  <si>
    <t>33C 67OV</t>
  </si>
  <si>
    <t>67C 33OV</t>
  </si>
  <si>
    <t>JO1028</t>
  </si>
  <si>
    <t>T1 Feed</t>
  </si>
  <si>
    <t>T2 Feed</t>
  </si>
  <si>
    <t>T3 Feed</t>
  </si>
  <si>
    <t>JO1030</t>
  </si>
  <si>
    <t>JO1031</t>
  </si>
  <si>
    <t>GF</t>
  </si>
  <si>
    <t>Castrate Kid Male</t>
  </si>
  <si>
    <t>LC 10%</t>
  </si>
  <si>
    <t>LC 15%</t>
  </si>
  <si>
    <t>LC 20%</t>
  </si>
  <si>
    <t>LC 25%</t>
  </si>
  <si>
    <t>LC 5%</t>
  </si>
  <si>
    <t>JO1032</t>
  </si>
  <si>
    <t>Diet WS40</t>
  </si>
  <si>
    <t>Young Female</t>
  </si>
  <si>
    <t>Diet WS60</t>
  </si>
  <si>
    <t>Diet WS80</t>
  </si>
  <si>
    <t>JO1034</t>
  </si>
  <si>
    <t>Control Feed</t>
  </si>
  <si>
    <t>PBb 15 Feed</t>
  </si>
  <si>
    <t>WBb 15 Feed</t>
  </si>
  <si>
    <t>JO1036</t>
  </si>
  <si>
    <t>JO1037</t>
  </si>
  <si>
    <t>JO1038</t>
  </si>
  <si>
    <t>JO1039.1</t>
  </si>
  <si>
    <t>PRQ Feed</t>
  </si>
  <si>
    <t>South African Merino</t>
  </si>
  <si>
    <t>JO1039.3</t>
  </si>
  <si>
    <t>100%LH Feed</t>
  </si>
  <si>
    <t>100%PRQ Feed</t>
  </si>
  <si>
    <t>25%PRQ 75%LH Feed</t>
  </si>
  <si>
    <t>50%PRQ 50%LH Feed</t>
  </si>
  <si>
    <t>75%PRQ 25%LH Feed</t>
  </si>
  <si>
    <t>JO1039.5a</t>
  </si>
  <si>
    <t>TTH 16%FM CFM</t>
  </si>
  <si>
    <t>TTH 20%FM CFM</t>
  </si>
  <si>
    <t>TTH 24%FM CFM</t>
  </si>
  <si>
    <t>TTH 28%FM CFM</t>
  </si>
  <si>
    <t>JO1040</t>
  </si>
  <si>
    <t>JO1041</t>
  </si>
  <si>
    <t>JO1042</t>
  </si>
  <si>
    <t>154MBH 156CM T3</t>
  </si>
  <si>
    <t>Menz</t>
  </si>
  <si>
    <t>226CM T1</t>
  </si>
  <si>
    <t>231MBH 120CM T4</t>
  </si>
  <si>
    <t>308MBH 87CM T5</t>
  </si>
  <si>
    <t>77MBH 192CM T2</t>
  </si>
  <si>
    <t>JO1044</t>
  </si>
  <si>
    <t>JO1045</t>
  </si>
  <si>
    <t>CCH Feed</t>
  </si>
  <si>
    <t>Tanzania Shorthorn Zebu</t>
  </si>
  <si>
    <t>TRH Feed</t>
  </si>
  <si>
    <t>TRS Feed</t>
  </si>
  <si>
    <t>URH Feed</t>
  </si>
  <si>
    <t>URS Feed</t>
  </si>
  <si>
    <t>JO1046</t>
  </si>
  <si>
    <t>Treated Barley Straw</t>
  </si>
  <si>
    <t>Untreated Barley Straw</t>
  </si>
  <si>
    <t>JO1047</t>
  </si>
  <si>
    <t>EMWS T4</t>
  </si>
  <si>
    <t>75% Friesian***25% Boran</t>
  </si>
  <si>
    <t>Calf Female</t>
  </si>
  <si>
    <t>ULTWS T3</t>
  </si>
  <si>
    <t>UMTWS T2</t>
  </si>
  <si>
    <t>UWS T1</t>
  </si>
  <si>
    <t>JO1048</t>
  </si>
  <si>
    <t>F1 Control</t>
  </si>
  <si>
    <t>F2 25</t>
  </si>
  <si>
    <t>F3 50</t>
  </si>
  <si>
    <t>F4 75</t>
  </si>
  <si>
    <t>F5 100</t>
  </si>
  <si>
    <t>JO1050</t>
  </si>
  <si>
    <t>CSC33 WB66 Salt1</t>
  </si>
  <si>
    <t>NSC33 WB66 Salt1</t>
  </si>
  <si>
    <t>Sole WB</t>
  </si>
  <si>
    <t>WB UMFB</t>
  </si>
  <si>
    <t>JO1051</t>
  </si>
  <si>
    <t>Feed A</t>
  </si>
  <si>
    <t>Feed B</t>
  </si>
  <si>
    <t>Feed C</t>
  </si>
  <si>
    <t>Feed D</t>
  </si>
  <si>
    <t>JO1052</t>
  </si>
  <si>
    <t>Faba Bean</t>
  </si>
  <si>
    <t>Sicilo-Sarde</t>
  </si>
  <si>
    <t>Field Pea</t>
  </si>
  <si>
    <t>Soybean Meal</t>
  </si>
  <si>
    <t>JO1053</t>
  </si>
  <si>
    <t>T1 TF WB PP25 NSC75</t>
  </si>
  <si>
    <t>Local Breeds Unspecified</t>
  </si>
  <si>
    <t>T2 TF WB PP50 NSC50</t>
  </si>
  <si>
    <t>T3 TF WB PP75 NSC25</t>
  </si>
  <si>
    <t>T4 TF WB PP100</t>
  </si>
  <si>
    <t>T5 TF WB NSC100</t>
  </si>
  <si>
    <t>JO1056</t>
  </si>
  <si>
    <t>G1 CFM50 BS25</t>
  </si>
  <si>
    <t>G2 CFM50 PMS25</t>
  </si>
  <si>
    <t>G3 CFM50 PMS50</t>
  </si>
  <si>
    <t>JO1058</t>
  </si>
  <si>
    <t>JO1060</t>
  </si>
  <si>
    <t>JO1061</t>
  </si>
  <si>
    <t>CA Diet</t>
  </si>
  <si>
    <t>OG Diet</t>
  </si>
  <si>
    <t>OG VA Diet</t>
  </si>
  <si>
    <t>VA CA Diet</t>
  </si>
  <si>
    <t>JO1062</t>
  </si>
  <si>
    <t>Intervention Diet</t>
  </si>
  <si>
    <t>Traditional Diet</t>
  </si>
  <si>
    <t>JO1064</t>
  </si>
  <si>
    <t>CFM BH</t>
  </si>
  <si>
    <t>CFM SBHtv BH</t>
  </si>
  <si>
    <t>CFM SBP BH</t>
  </si>
  <si>
    <t>CFM SBPcc BH</t>
  </si>
  <si>
    <t>CFM SBPsc BH</t>
  </si>
  <si>
    <t>JO1065</t>
  </si>
  <si>
    <t>Intervention diet</t>
  </si>
  <si>
    <t>Untreated Diet</t>
  </si>
  <si>
    <t>JO1067</t>
  </si>
  <si>
    <t>JO1068</t>
  </si>
  <si>
    <t>JO1069</t>
  </si>
  <si>
    <t>JO1073</t>
  </si>
  <si>
    <t>JO1074</t>
  </si>
  <si>
    <t>URS AL</t>
  </si>
  <si>
    <t>Djallonke</t>
  </si>
  <si>
    <t>URS FE</t>
  </si>
  <si>
    <t>URS MO</t>
  </si>
  <si>
    <t>URS SM</t>
  </si>
  <si>
    <t>JO1075</t>
  </si>
  <si>
    <t>JO1077</t>
  </si>
  <si>
    <t>JO1078</t>
  </si>
  <si>
    <t>JO1080</t>
  </si>
  <si>
    <t>JO1082</t>
  </si>
  <si>
    <t>DOC</t>
  </si>
  <si>
    <t>ESOC</t>
  </si>
  <si>
    <t>SOC</t>
  </si>
  <si>
    <t>JO1084</t>
  </si>
  <si>
    <t>JO1085</t>
  </si>
  <si>
    <t>CD</t>
  </si>
  <si>
    <t>Tswana</t>
  </si>
  <si>
    <t>Castrate Lamb Male</t>
  </si>
  <si>
    <t>MKCD</t>
  </si>
  <si>
    <t>SCD</t>
  </si>
  <si>
    <t>JO1087</t>
  </si>
  <si>
    <t>JO1088</t>
  </si>
  <si>
    <t>100g MOBYS PTRRS</t>
  </si>
  <si>
    <t>100g MOBYS RS</t>
  </si>
  <si>
    <t>200g MOBYS PTRRS</t>
  </si>
  <si>
    <t>200g MOBYS RS</t>
  </si>
  <si>
    <t>300g MOBYS PTRRS</t>
  </si>
  <si>
    <t>300g MOBYS RS</t>
  </si>
  <si>
    <t>JO1089</t>
  </si>
  <si>
    <t>JO1092</t>
  </si>
  <si>
    <t>JO1093</t>
  </si>
  <si>
    <t>MSK0</t>
  </si>
  <si>
    <t>Rahmani</t>
  </si>
  <si>
    <t>MSK25</t>
  </si>
  <si>
    <t>MSK50</t>
  </si>
  <si>
    <t>JO1094</t>
  </si>
  <si>
    <t>JO1095</t>
  </si>
  <si>
    <t>JO1096</t>
  </si>
  <si>
    <t>ABD Diet</t>
  </si>
  <si>
    <t>CF Diet</t>
  </si>
  <si>
    <t>JO1097</t>
  </si>
  <si>
    <t>JO1098</t>
  </si>
  <si>
    <t>JS0046</t>
  </si>
  <si>
    <t>A. africana Diet</t>
  </si>
  <si>
    <t>West African Djallonke</t>
  </si>
  <si>
    <t>Cotton seed Cake Diet</t>
  </si>
  <si>
    <t>K. senegalensis Diet</t>
  </si>
  <si>
    <t>P. erinaceus Diet</t>
  </si>
  <si>
    <t>JS0048</t>
  </si>
  <si>
    <t>A. S. pods</t>
  </si>
  <si>
    <t>West African Long-legged</t>
  </si>
  <si>
    <t>P.L leaves</t>
  </si>
  <si>
    <t>P.L pods</t>
  </si>
  <si>
    <t>T Con</t>
  </si>
  <si>
    <t>JS0060</t>
  </si>
  <si>
    <t>N'Dama</t>
  </si>
  <si>
    <t>JS0076</t>
  </si>
  <si>
    <t>JS0079.1</t>
  </si>
  <si>
    <t>JS0079.2</t>
  </si>
  <si>
    <t>JS0080</t>
  </si>
  <si>
    <t>JS0081</t>
  </si>
  <si>
    <t>JS0093</t>
  </si>
  <si>
    <t>JS0119</t>
  </si>
  <si>
    <t>100% Cull Date</t>
  </si>
  <si>
    <t>50% Cull Date</t>
  </si>
  <si>
    <t>75% Cull Date</t>
  </si>
  <si>
    <t>No Cull Date</t>
  </si>
  <si>
    <t>JS0123</t>
  </si>
  <si>
    <t>JS0124</t>
  </si>
  <si>
    <t>JS0125</t>
  </si>
  <si>
    <t>JS0134</t>
  </si>
  <si>
    <t>JS0135</t>
  </si>
  <si>
    <t>JS0139</t>
  </si>
  <si>
    <t>JS0140</t>
  </si>
  <si>
    <t>PPW 0%</t>
  </si>
  <si>
    <t>PPW 25%</t>
  </si>
  <si>
    <t>PPW 50%</t>
  </si>
  <si>
    <t>JS0147</t>
  </si>
  <si>
    <t>Sudan Desert</t>
  </si>
  <si>
    <t>GM1 B</t>
  </si>
  <si>
    <t>GM2 C</t>
  </si>
  <si>
    <t>GM3 D</t>
  </si>
  <si>
    <t>GM4 E</t>
  </si>
  <si>
    <t>JS0167</t>
  </si>
  <si>
    <t>Broiler Litter1</t>
  </si>
  <si>
    <t>Sudan Baggara</t>
  </si>
  <si>
    <t>Broiler Litter2</t>
  </si>
  <si>
    <t>Broiler Litter3</t>
  </si>
  <si>
    <t>JS0172</t>
  </si>
  <si>
    <t>AH + CC</t>
  </si>
  <si>
    <t>Kamorai (0.55)***Boer (0.3)***East African indigenous (0.15)</t>
  </si>
  <si>
    <t>Concentrate + CC</t>
  </si>
  <si>
    <t>DE + CC</t>
  </si>
  <si>
    <t>GS + CC</t>
  </si>
  <si>
    <t>JS0193</t>
  </si>
  <si>
    <t>Diet1 Con</t>
  </si>
  <si>
    <t>Small East African***Norwegian</t>
  </si>
  <si>
    <t>Trt 1</t>
  </si>
  <si>
    <t>Trt 3</t>
  </si>
  <si>
    <t>JS0196</t>
  </si>
  <si>
    <t>Albizia BC</t>
  </si>
  <si>
    <t>Norwegian landrace***Local Tanzania cross breed</t>
  </si>
  <si>
    <t>Cotton CSC Con</t>
  </si>
  <si>
    <t>Gliricidia BC</t>
  </si>
  <si>
    <t>Leucaena BC</t>
  </si>
  <si>
    <t>Moringa BC</t>
  </si>
  <si>
    <t>JS0197</t>
  </si>
  <si>
    <t>R1 0DLL</t>
  </si>
  <si>
    <t>Norwegian***Local Tanzania cross breed</t>
  </si>
  <si>
    <t>R2 15DLL</t>
  </si>
  <si>
    <t>R3 30DLL</t>
  </si>
  <si>
    <t>R4 45DLL</t>
  </si>
  <si>
    <t>JS0205</t>
  </si>
  <si>
    <t>Hay Con</t>
  </si>
  <si>
    <t>JS0206</t>
  </si>
  <si>
    <t>LLM</t>
  </si>
  <si>
    <t>NLM</t>
  </si>
  <si>
    <t>PLM</t>
  </si>
  <si>
    <t>JS0207</t>
  </si>
  <si>
    <t>Bundle 1  Treated Straw</t>
  </si>
  <si>
    <t>Red Maasai</t>
  </si>
  <si>
    <t>Bundle 1 Untreated Straw</t>
  </si>
  <si>
    <t>Bundle 2 Treated Staw +Hay</t>
  </si>
  <si>
    <t>Bundle 2 Untreated Staw +Hay</t>
  </si>
  <si>
    <t>Bundle 2 Untreated Straw</t>
  </si>
  <si>
    <t>Bundle 3 Treated Straw</t>
  </si>
  <si>
    <t>Bundle 3 Treated Straw + Hay</t>
  </si>
  <si>
    <t>Bundle 4 Treated Straw + Hay</t>
  </si>
  <si>
    <t>Bundle 4 Untreated Straw + Hay</t>
  </si>
  <si>
    <t>JS0208</t>
  </si>
  <si>
    <t>Diet Con UTS Bundle1</t>
  </si>
  <si>
    <t>Diet Con UTS Bundle2</t>
  </si>
  <si>
    <t>UTS+Hay UTSH Bundle1</t>
  </si>
  <si>
    <t>WS Treated TS Bundle2</t>
  </si>
  <si>
    <t>WS Treated TS Bundle3</t>
  </si>
  <si>
    <t>WS Treated+Hay TSH Bundle1</t>
  </si>
  <si>
    <t>WS Treated+Hay TSH Bundle3</t>
  </si>
  <si>
    <t>JS0209</t>
  </si>
  <si>
    <t>Marejea 1</t>
  </si>
  <si>
    <t>Marejea 2</t>
  </si>
  <si>
    <t>Marejea 3</t>
  </si>
  <si>
    <t>JS0210.1</t>
  </si>
  <si>
    <t>15% Marejea Hay</t>
  </si>
  <si>
    <t>30% Marejea Hay</t>
  </si>
  <si>
    <t>45% Marejea Hay</t>
  </si>
  <si>
    <t>No Marejea Hay</t>
  </si>
  <si>
    <t>JS0210.2</t>
  </si>
  <si>
    <t>JS0211</t>
  </si>
  <si>
    <t>T1 0% MOOL</t>
  </si>
  <si>
    <t>T2 9% MOOL</t>
  </si>
  <si>
    <t>T3 27% MOOL</t>
  </si>
  <si>
    <t>T4 36% MOOL</t>
  </si>
  <si>
    <t>JS0213.1</t>
  </si>
  <si>
    <t>A CC hay+Maize bran</t>
  </si>
  <si>
    <t>Mpwapwa</t>
  </si>
  <si>
    <t>B WMS meal</t>
  </si>
  <si>
    <t>C AT pods</t>
  </si>
  <si>
    <t>D SFS cake</t>
  </si>
  <si>
    <t>JS0215.1</t>
  </si>
  <si>
    <t>Bundle 1 MB + FM</t>
  </si>
  <si>
    <t>Friesian***Ayrshire</t>
  </si>
  <si>
    <t>Bundle 1 MO</t>
  </si>
  <si>
    <t>Bundle 1 MO + FM</t>
  </si>
  <si>
    <t>Bundle 1 WN</t>
  </si>
  <si>
    <t>JS0215.2</t>
  </si>
  <si>
    <t>Bundle 1 WN + MB + FM</t>
  </si>
  <si>
    <t>Bundle 1 WN + Maize Bran</t>
  </si>
  <si>
    <t>Bundle 2 WN + MO</t>
  </si>
  <si>
    <t>Bundle 2 WN + MO + FM</t>
  </si>
  <si>
    <t>Bundle 3 WN + MB + FM</t>
  </si>
  <si>
    <t>Bundle 3 WN + MO + FM</t>
  </si>
  <si>
    <t>Bundle 4 WN + MB</t>
  </si>
  <si>
    <t>Bundle 4 WN + MO</t>
  </si>
  <si>
    <t>JS0226</t>
  </si>
  <si>
    <t>Cenchrus ciliaris Diet</t>
  </si>
  <si>
    <t>Millet Forage Diet</t>
  </si>
  <si>
    <t>Sorghum Forage Diet</t>
  </si>
  <si>
    <t>Veldt Grass Diet</t>
  </si>
  <si>
    <t>JS0230</t>
  </si>
  <si>
    <t>Combretum apiculatum</t>
  </si>
  <si>
    <t>D Con Lucerne</t>
  </si>
  <si>
    <t>Euclea schimperi</t>
  </si>
  <si>
    <t>Terminalia serecia</t>
  </si>
  <si>
    <t>JS0243</t>
  </si>
  <si>
    <t>CSC</t>
  </si>
  <si>
    <t>Sidama</t>
  </si>
  <si>
    <t>LSC</t>
  </si>
  <si>
    <t>NSC</t>
  </si>
  <si>
    <t>JS0249</t>
  </si>
  <si>
    <t>200 g CM</t>
  </si>
  <si>
    <t>300 g CM</t>
  </si>
  <si>
    <t>400 g CM</t>
  </si>
  <si>
    <t>JS0262</t>
  </si>
  <si>
    <t>Con hay</t>
  </si>
  <si>
    <t>T2 Wheat Bran</t>
  </si>
  <si>
    <t>T3 2Wheat bran:1 NSM</t>
  </si>
  <si>
    <t>T4 1Wheatbran:2NSM</t>
  </si>
  <si>
    <t>T5 Noug Seed Meal</t>
  </si>
  <si>
    <t>JS0263</t>
  </si>
  <si>
    <t>Ethiopian Menz</t>
  </si>
  <si>
    <t>Sesbania S 1</t>
  </si>
  <si>
    <t>Sesbania S 2</t>
  </si>
  <si>
    <t>Sesbania S 3</t>
  </si>
  <si>
    <t>JS0265</t>
  </si>
  <si>
    <t>Cotton Seed Cake Diet Bundle 1</t>
  </si>
  <si>
    <t>Dry Leucaena Diet Bundle 1</t>
  </si>
  <si>
    <t>Dry Sesbania  Diet Bundle 1</t>
  </si>
  <si>
    <t>Fresh Leucaena Diet Bundle 1</t>
  </si>
  <si>
    <t>Teff Straw Diet Bundle 1</t>
  </si>
  <si>
    <t>JS0269.1</t>
  </si>
  <si>
    <t>D1 Access to Native Hay</t>
  </si>
  <si>
    <t>D2 Native Hay and 345g Alfafa Hay</t>
  </si>
  <si>
    <t>D3 Native Hay and 387g Cowpea Hay</t>
  </si>
  <si>
    <t>D4 Native Hay and 302 g  A. brevispica Leaves</t>
  </si>
  <si>
    <t>D5 Native Hay and 365 g A. tortilis Fruits</t>
  </si>
  <si>
    <t>JS0271</t>
  </si>
  <si>
    <t>Arsi</t>
  </si>
  <si>
    <t>Mixture C</t>
  </si>
  <si>
    <t>JS0272</t>
  </si>
  <si>
    <t>CSC Diet</t>
  </si>
  <si>
    <t>NSC Diet</t>
  </si>
  <si>
    <t>PNC Diet</t>
  </si>
  <si>
    <t>Teff Straw + Cactus Diet</t>
  </si>
  <si>
    <t>JS0273</t>
  </si>
  <si>
    <t>T1 Hay</t>
  </si>
  <si>
    <t>Simada</t>
  </si>
  <si>
    <t>T2 Hay and 150 g DM</t>
  </si>
  <si>
    <t>T3 Hay and 250 g DM</t>
  </si>
  <si>
    <t>T4 Hay and 350 g DM</t>
  </si>
  <si>
    <t>JS0276</t>
  </si>
  <si>
    <t>T1 Moringa Leaf</t>
  </si>
  <si>
    <t>T2 Moringa Leaf</t>
  </si>
  <si>
    <t>T3 Moringa Leaf</t>
  </si>
  <si>
    <t>JS0281</t>
  </si>
  <si>
    <t>Ethiopian Highland</t>
  </si>
  <si>
    <t>JS0285</t>
  </si>
  <si>
    <t>Afar</t>
  </si>
  <si>
    <t>High Conc.</t>
  </si>
  <si>
    <t>Low Conc.</t>
  </si>
  <si>
    <t>Medium Conc.</t>
  </si>
  <si>
    <t>JS0289.1</t>
  </si>
  <si>
    <t>Teff + 150 g Wheat Bran</t>
  </si>
  <si>
    <t>Teff + 200 g L. pallida</t>
  </si>
  <si>
    <t>Teff + 200g S. Sesban</t>
  </si>
  <si>
    <t>Teff + 400 g L. pallida</t>
  </si>
  <si>
    <t>Teff + 400 g S. Sesban</t>
  </si>
  <si>
    <t>JS0289.2</t>
  </si>
  <si>
    <t>JS0290</t>
  </si>
  <si>
    <t>Goetzei</t>
  </si>
  <si>
    <t>Lablab</t>
  </si>
  <si>
    <t>Leucaena</t>
  </si>
  <si>
    <t>Sesban1</t>
  </si>
  <si>
    <t>Sesban2</t>
  </si>
  <si>
    <t>Sesban3</t>
  </si>
  <si>
    <t>Sesban4</t>
  </si>
  <si>
    <t>Sesban5</t>
  </si>
  <si>
    <t>Sesban6</t>
  </si>
  <si>
    <t>Tagasaste</t>
  </si>
  <si>
    <t>JS0291</t>
  </si>
  <si>
    <t>Con Teff</t>
  </si>
  <si>
    <t>Leucocephala 1</t>
  </si>
  <si>
    <t>Leucocephala 2</t>
  </si>
  <si>
    <t>Leucocephala 3</t>
  </si>
  <si>
    <t>Leucocephala 4</t>
  </si>
  <si>
    <t>Pallida 1</t>
  </si>
  <si>
    <t>Pallida 2</t>
  </si>
  <si>
    <t>Pallida 3</t>
  </si>
  <si>
    <t>Pallida 4</t>
  </si>
  <si>
    <t>Palmensis 1</t>
  </si>
  <si>
    <t>Palmensis 2</t>
  </si>
  <si>
    <t>Palmensis 3</t>
  </si>
  <si>
    <t>Palmensis 4</t>
  </si>
  <si>
    <t>Sesban 1</t>
  </si>
  <si>
    <t>Sesban 2</t>
  </si>
  <si>
    <t>Sesban 3</t>
  </si>
  <si>
    <t>Sesban 4</t>
  </si>
  <si>
    <t>JS0292</t>
  </si>
  <si>
    <t>DIET 1</t>
  </si>
  <si>
    <t>Standard Diet</t>
  </si>
  <si>
    <t>JS0293</t>
  </si>
  <si>
    <t>JS0295</t>
  </si>
  <si>
    <t>JS0296</t>
  </si>
  <si>
    <t>JS0301</t>
  </si>
  <si>
    <t>100% FTL</t>
  </si>
  <si>
    <t>25% FTL</t>
  </si>
  <si>
    <t>50% FTL</t>
  </si>
  <si>
    <t>75% FTL</t>
  </si>
  <si>
    <t>No FTL</t>
  </si>
  <si>
    <t>JS0305</t>
  </si>
  <si>
    <t>JS0306</t>
  </si>
  <si>
    <t>0% MOC</t>
  </si>
  <si>
    <t>South African Mutton Merino</t>
  </si>
  <si>
    <t>10% MOC</t>
  </si>
  <si>
    <t>15% MOC</t>
  </si>
  <si>
    <t>20% MOC</t>
  </si>
  <si>
    <t>5% MOC</t>
  </si>
  <si>
    <t>JS0309</t>
  </si>
  <si>
    <t>JS0314</t>
  </si>
  <si>
    <t>Acacia AC15</t>
  </si>
  <si>
    <t>Atriplex AT15</t>
  </si>
  <si>
    <t>Atriplex and Acacia TC30</t>
  </si>
  <si>
    <t>Con Berseem</t>
  </si>
  <si>
    <t>JS0316</t>
  </si>
  <si>
    <t>Con Hay Bundle1</t>
  </si>
  <si>
    <t>Con Mix Bundle2</t>
  </si>
  <si>
    <t>Mixture Bundle1</t>
  </si>
  <si>
    <t>Sesban Bundle1</t>
  </si>
  <si>
    <t>Sesbania 1 Bundle2</t>
  </si>
  <si>
    <t>Sesbania 2 Bundle2</t>
  </si>
  <si>
    <t>Sesbania 3 Bundle2</t>
  </si>
  <si>
    <t>JS0340</t>
  </si>
  <si>
    <t>JS0342</t>
  </si>
  <si>
    <t>JS0343</t>
  </si>
  <si>
    <t>PE1</t>
  </si>
  <si>
    <t>PE2</t>
  </si>
  <si>
    <t>PE3</t>
  </si>
  <si>
    <t>PE4</t>
  </si>
  <si>
    <t>JS0344</t>
  </si>
  <si>
    <t>Rumen 1</t>
  </si>
  <si>
    <t>Rumen 2</t>
  </si>
  <si>
    <t>Rumen 3</t>
  </si>
  <si>
    <t>JS0349</t>
  </si>
  <si>
    <t>Tunisian Native</t>
  </si>
  <si>
    <t>Rosemary E. Oil Diet</t>
  </si>
  <si>
    <t>Rosemary Leaves Diet</t>
  </si>
  <si>
    <t>JS0350</t>
  </si>
  <si>
    <t>Diet Con Bundle1</t>
  </si>
  <si>
    <t>Diet Con Bundle2</t>
  </si>
  <si>
    <t>T2 Rosemay Oil Bundle1</t>
  </si>
  <si>
    <t>T2 Rosemay Oil Bundle2</t>
  </si>
  <si>
    <t>JS0370</t>
  </si>
  <si>
    <t>JS0371</t>
  </si>
  <si>
    <t>JS0419</t>
  </si>
  <si>
    <t>T1 BS Con Bundle1</t>
  </si>
  <si>
    <t>T1 BS Con Bundle2</t>
  </si>
  <si>
    <t>T1 BS Con Bundle3</t>
  </si>
  <si>
    <t>T2 BA Bundle1</t>
  </si>
  <si>
    <t>T2 BA Con  Bundle4</t>
  </si>
  <si>
    <t>T3 CS Bundle2</t>
  </si>
  <si>
    <t>T3 CS Con Bundle5</t>
  </si>
  <si>
    <t>T4 CA Bundle3</t>
  </si>
  <si>
    <t>T4 CA Bundle4</t>
  </si>
  <si>
    <t>T4 CA Bundle5</t>
  </si>
  <si>
    <t>JS0424</t>
  </si>
  <si>
    <t>Cassava leaf CLM</t>
  </si>
  <si>
    <t>Mubende</t>
  </si>
  <si>
    <t>Diet Con Lablab LLB</t>
  </si>
  <si>
    <t>Sunflower SFM</t>
  </si>
  <si>
    <t>Sweet potato SPV</t>
  </si>
  <si>
    <t>LM0016</t>
  </si>
  <si>
    <t>LM0018</t>
  </si>
  <si>
    <t>CPV diet</t>
  </si>
  <si>
    <t>Kirdi</t>
  </si>
  <si>
    <t>CSC diet</t>
  </si>
  <si>
    <t>GH diet</t>
  </si>
  <si>
    <t>LM0024.2</t>
  </si>
  <si>
    <t>Supplemented feed</t>
  </si>
  <si>
    <t>LM0047</t>
  </si>
  <si>
    <t>LM0048</t>
  </si>
  <si>
    <t>LM0103</t>
  </si>
  <si>
    <t>Sokoto</t>
  </si>
  <si>
    <t>LM0113.1</t>
  </si>
  <si>
    <t>LM0113.2</t>
  </si>
  <si>
    <t>LM0114</t>
  </si>
  <si>
    <t>Bundle 1 0 WS</t>
  </si>
  <si>
    <t>Bundle 1 13 WS</t>
  </si>
  <si>
    <t>Bundle 1 19.5 WS</t>
  </si>
  <si>
    <t>Bundle 1 26 WS</t>
  </si>
  <si>
    <t>Bundle 1 6.5 WS</t>
  </si>
  <si>
    <t>Bundle 2 26 AWS</t>
  </si>
  <si>
    <t>Bundle 2 26 WS</t>
  </si>
  <si>
    <t>LM0115</t>
  </si>
  <si>
    <t>LM0117.1</t>
  </si>
  <si>
    <t>Group 1 Feed Addition</t>
  </si>
  <si>
    <t>Hereford***Sussex</t>
  </si>
  <si>
    <t>Group 2 Feed Addition</t>
  </si>
  <si>
    <t>Group 2 Feed Substitution</t>
  </si>
  <si>
    <t>Group 3 Feed Addition</t>
  </si>
  <si>
    <t>Group 4 Feed Addition</t>
  </si>
  <si>
    <t>Group 4 Feed Substitution</t>
  </si>
  <si>
    <t>LM0117.2</t>
  </si>
  <si>
    <t>Group 1</t>
  </si>
  <si>
    <t>Group 2</t>
  </si>
  <si>
    <t>Group 3</t>
  </si>
  <si>
    <t>Group 4</t>
  </si>
  <si>
    <t>LM0117.3</t>
  </si>
  <si>
    <t>LM0120</t>
  </si>
  <si>
    <t>LM0128</t>
  </si>
  <si>
    <t>LM0129</t>
  </si>
  <si>
    <t>LM0136.1</t>
  </si>
  <si>
    <t>LM0138</t>
  </si>
  <si>
    <t>LM0139</t>
  </si>
  <si>
    <t>240g/kg of Opuntia ficus-indica</t>
  </si>
  <si>
    <t>360g/kg of Opuntia ficus-indica</t>
  </si>
  <si>
    <t>No Opuntia ficus-indica</t>
  </si>
  <si>
    <t>LM0150</t>
  </si>
  <si>
    <t>15 g Gliricidia</t>
  </si>
  <si>
    <t>Bos taurus***Bos indicus</t>
  </si>
  <si>
    <t>15 g Leucaena</t>
  </si>
  <si>
    <t>22.5 g Gliricidia</t>
  </si>
  <si>
    <t>22.5 g Leucaena</t>
  </si>
  <si>
    <t>30 g Gliricidia</t>
  </si>
  <si>
    <t>30 g Leucaena</t>
  </si>
  <si>
    <t>7.5 g Gliricidia</t>
  </si>
  <si>
    <t>7.5 g Leucaena</t>
  </si>
  <si>
    <t>Control Diet 0 Gliricidia</t>
  </si>
  <si>
    <t>Control Diet 0 Leucaena</t>
  </si>
  <si>
    <t>LM0151.1</t>
  </si>
  <si>
    <t>Gliricidia1</t>
  </si>
  <si>
    <t>Gliricidia2</t>
  </si>
  <si>
    <t>Gliricidia3</t>
  </si>
  <si>
    <t>Gliricidia4</t>
  </si>
  <si>
    <t>LM0151.2</t>
  </si>
  <si>
    <t>Leucaena1</t>
  </si>
  <si>
    <t>Leucaena2</t>
  </si>
  <si>
    <t>LM0163</t>
  </si>
  <si>
    <t>MT D1</t>
  </si>
  <si>
    <t>MT D2</t>
  </si>
  <si>
    <t>MT D3</t>
  </si>
  <si>
    <t>MT D4</t>
  </si>
  <si>
    <t>Napier Con</t>
  </si>
  <si>
    <t>LM0164</t>
  </si>
  <si>
    <t>D1 Napier Grass alone</t>
  </si>
  <si>
    <t>D2 Napier/Desmodium</t>
  </si>
  <si>
    <t>D3 Napier + Desmodium hay</t>
  </si>
  <si>
    <t>D4 Napier + Lucerne Hay</t>
  </si>
  <si>
    <t>LM0227.1</t>
  </si>
  <si>
    <t>MNG + PLBC</t>
  </si>
  <si>
    <t>MNG + SFBC</t>
  </si>
  <si>
    <t>ONG +PLBC</t>
  </si>
  <si>
    <t>ONP + SFBC</t>
  </si>
  <si>
    <t>LM0227.2</t>
  </si>
  <si>
    <t>MNG</t>
  </si>
  <si>
    <t>MNG + 3.65 PLBC</t>
  </si>
  <si>
    <t>MNG + 6.35 PLBC</t>
  </si>
  <si>
    <t>MNG +0.91 PLBC</t>
  </si>
  <si>
    <t>LM0228.1</t>
  </si>
  <si>
    <t>Copra Cake (CC)</t>
  </si>
  <si>
    <t>Fishmeal (FM)</t>
  </si>
  <si>
    <t>LM0228.2</t>
  </si>
  <si>
    <t>Copra Cake</t>
  </si>
  <si>
    <t>Leuacaena</t>
  </si>
  <si>
    <t>LM0229</t>
  </si>
  <si>
    <t>(LH) 2 kg leucaena</t>
  </si>
  <si>
    <t>Bos indicus***Bos taurus</t>
  </si>
  <si>
    <t>(LHM) 2 kg leucaena,1kg Maize Bran</t>
  </si>
  <si>
    <t>(LL) 1 kg leucaena</t>
  </si>
  <si>
    <t>Napier Grass Diet</t>
  </si>
  <si>
    <t>LM0238</t>
  </si>
  <si>
    <t>Commercial D Meal</t>
  </si>
  <si>
    <t>Holstein***Friesian</t>
  </si>
  <si>
    <t>Lablab hay</t>
  </si>
  <si>
    <t>Mucuna hay</t>
  </si>
  <si>
    <t>LM0248</t>
  </si>
  <si>
    <t>H</t>
  </si>
  <si>
    <t>Toggenburg***Saanen</t>
  </si>
  <si>
    <t>HB</t>
  </si>
  <si>
    <t>HB2</t>
  </si>
  <si>
    <t>HG</t>
  </si>
  <si>
    <t>HG1</t>
  </si>
  <si>
    <t>HGB</t>
  </si>
  <si>
    <t>HGB1</t>
  </si>
  <si>
    <t>LM0261</t>
  </si>
  <si>
    <t>LM0266</t>
  </si>
  <si>
    <t>Boer***Galla</t>
  </si>
  <si>
    <t>brevispica4</t>
  </si>
  <si>
    <t>brownii5</t>
  </si>
  <si>
    <t>discolor6</t>
  </si>
  <si>
    <t>nilotica3</t>
  </si>
  <si>
    <t>tortilis2</t>
  </si>
  <si>
    <t>LM0277.1</t>
  </si>
  <si>
    <t>LM0280</t>
  </si>
  <si>
    <t>CC Diet</t>
  </si>
  <si>
    <t>GBC Diet</t>
  </si>
  <si>
    <t>LBC Diet</t>
  </si>
  <si>
    <t>LM0289</t>
  </si>
  <si>
    <t>MP</t>
  </si>
  <si>
    <t>MP + MSK</t>
  </si>
  <si>
    <t>MP + MSK + UB</t>
  </si>
  <si>
    <t>MSK</t>
  </si>
  <si>
    <t>LM0295</t>
  </si>
  <si>
    <t>1CSM:2Pjp</t>
  </si>
  <si>
    <t>2CSM:1Pjp</t>
  </si>
  <si>
    <t>CSM</t>
  </si>
  <si>
    <t>Pjp</t>
  </si>
  <si>
    <t>LM0297</t>
  </si>
  <si>
    <t>15% DM Leucaena</t>
  </si>
  <si>
    <t>Highland</t>
  </si>
  <si>
    <t>30% DM Leucaena</t>
  </si>
  <si>
    <t>45% DM Leucaena</t>
  </si>
  <si>
    <t>Control (No Leucaena)</t>
  </si>
  <si>
    <t>LM0298</t>
  </si>
  <si>
    <t>RGH Con</t>
  </si>
  <si>
    <t>WLG1</t>
  </si>
  <si>
    <t>WLG2</t>
  </si>
  <si>
    <t>WLG3</t>
  </si>
  <si>
    <t>WLG4</t>
  </si>
  <si>
    <t>LM0299</t>
  </si>
  <si>
    <t>150g Concentrate Mix...350g Concentrate Mix</t>
  </si>
  <si>
    <t>LM0310</t>
  </si>
  <si>
    <t>LM0312</t>
  </si>
  <si>
    <t>LM0322</t>
  </si>
  <si>
    <t>LM0329</t>
  </si>
  <si>
    <t>Seca1</t>
  </si>
  <si>
    <t>Seca2</t>
  </si>
  <si>
    <t>LM0334</t>
  </si>
  <si>
    <t>LM0335</t>
  </si>
  <si>
    <t>LM0336</t>
  </si>
  <si>
    <t>CM0</t>
  </si>
  <si>
    <t>Mutton Merino</t>
  </si>
  <si>
    <t>CM100</t>
  </si>
  <si>
    <t>CM25</t>
  </si>
  <si>
    <t>CM50</t>
  </si>
  <si>
    <t>CM75</t>
  </si>
  <si>
    <t>LM0339</t>
  </si>
  <si>
    <t>20% silage</t>
  </si>
  <si>
    <t>50% silage</t>
  </si>
  <si>
    <t>70% silage</t>
  </si>
  <si>
    <t>LM0347</t>
  </si>
  <si>
    <t>DBL0</t>
  </si>
  <si>
    <t>Brangus</t>
  </si>
  <si>
    <t>DBL100</t>
  </si>
  <si>
    <t>DBL150</t>
  </si>
  <si>
    <t>DBL200</t>
  </si>
  <si>
    <t>DBL50</t>
  </si>
  <si>
    <t>LM0349</t>
  </si>
  <si>
    <t>CACT-AA</t>
  </si>
  <si>
    <t>CACT-LL</t>
  </si>
  <si>
    <t>CACT-MA</t>
  </si>
  <si>
    <t>Commercial Sheep Meal Diet</t>
  </si>
  <si>
    <t>LM0351</t>
  </si>
  <si>
    <t>Diet CAAS</t>
  </si>
  <si>
    <t>Diet CCCS</t>
  </si>
  <si>
    <t>Diet CLLS</t>
  </si>
  <si>
    <t>Diet CMAS</t>
  </si>
  <si>
    <t>PP Con</t>
  </si>
  <si>
    <t>LM0354</t>
  </si>
  <si>
    <t>NJ0003</t>
  </si>
  <si>
    <t>NJ0008</t>
  </si>
  <si>
    <t>100% DGH</t>
  </si>
  <si>
    <t>100% NPH</t>
  </si>
  <si>
    <t>25% NPH +75% DGH</t>
  </si>
  <si>
    <t>50% NPH + 50% DGH</t>
  </si>
  <si>
    <t>75% NPH +25% DGH</t>
  </si>
  <si>
    <t>NJ0013</t>
  </si>
  <si>
    <t>Group C</t>
  </si>
  <si>
    <t>Group GH</t>
  </si>
  <si>
    <t>Group OL</t>
  </si>
  <si>
    <t>NJ0027</t>
  </si>
  <si>
    <t>NJ0032</t>
  </si>
  <si>
    <t>SB-0</t>
  </si>
  <si>
    <t>Local Highland</t>
  </si>
  <si>
    <t>SB-10</t>
  </si>
  <si>
    <t>SB-15</t>
  </si>
  <si>
    <t>SB-20</t>
  </si>
  <si>
    <t>SB-5</t>
  </si>
  <si>
    <t>NJ0044</t>
  </si>
  <si>
    <t>NJ0047</t>
  </si>
  <si>
    <t>NJ0052</t>
  </si>
  <si>
    <t>CON</t>
  </si>
  <si>
    <t>NN0005</t>
  </si>
  <si>
    <t>NN0007</t>
  </si>
  <si>
    <t>WS + Alfalfa hay</t>
  </si>
  <si>
    <t>WS + Blue wattle</t>
  </si>
  <si>
    <t>WS + Medic pods</t>
  </si>
  <si>
    <t>WS + Oldman saltbush</t>
  </si>
  <si>
    <t>WS(Urea +7) CON</t>
  </si>
  <si>
    <t>NN0021</t>
  </si>
  <si>
    <t>Oudah Bicolour</t>
  </si>
  <si>
    <t>GH200</t>
  </si>
  <si>
    <t>GH400</t>
  </si>
  <si>
    <t>GH600</t>
  </si>
  <si>
    <t>GHMB</t>
  </si>
  <si>
    <t>GHWB</t>
  </si>
  <si>
    <t>NN0034</t>
  </si>
  <si>
    <t>UNTS</t>
  </si>
  <si>
    <t>UNTS + CS</t>
  </si>
  <si>
    <t>NN0061</t>
  </si>
  <si>
    <t>CON 0 MIN</t>
  </si>
  <si>
    <t>Combretum 60 min</t>
  </si>
  <si>
    <t>Ziziphus 120 min</t>
  </si>
  <si>
    <t>Ziziphus 60 min</t>
  </si>
  <si>
    <t>NN0080</t>
  </si>
  <si>
    <t>NN0083</t>
  </si>
  <si>
    <t>Barley Concentrate CON</t>
  </si>
  <si>
    <t>Cactus Concentrate</t>
  </si>
  <si>
    <t>NN0098</t>
  </si>
  <si>
    <t>NN0101</t>
  </si>
  <si>
    <t>B</t>
  </si>
  <si>
    <t>B-PEG</t>
  </si>
  <si>
    <t>NN0107.1</t>
  </si>
  <si>
    <t>Green panic</t>
  </si>
  <si>
    <t>White Fulani</t>
  </si>
  <si>
    <t>TIS-2532.OP.1.13</t>
  </si>
  <si>
    <t>TIS-8164</t>
  </si>
  <si>
    <t>TIS-87/007</t>
  </si>
  <si>
    <t>NN0107.2</t>
  </si>
  <si>
    <t>NN0108</t>
  </si>
  <si>
    <t>NN0114</t>
  </si>
  <si>
    <t>NN0115</t>
  </si>
  <si>
    <t>NN0118</t>
  </si>
  <si>
    <t>NN0119.2</t>
  </si>
  <si>
    <t>NN0135</t>
  </si>
  <si>
    <t>NN0137.1</t>
  </si>
  <si>
    <t>NN0137.2</t>
  </si>
  <si>
    <t>NN0137.3</t>
  </si>
  <si>
    <t>NN0155</t>
  </si>
  <si>
    <t>NN0156</t>
  </si>
  <si>
    <t>NN0179</t>
  </si>
  <si>
    <t>NN0180.1</t>
  </si>
  <si>
    <t>PW 0</t>
  </si>
  <si>
    <t>PW 100</t>
  </si>
  <si>
    <t>PW 25</t>
  </si>
  <si>
    <t>PW 50</t>
  </si>
  <si>
    <t>PW 75</t>
  </si>
  <si>
    <t>NN0180.2</t>
  </si>
  <si>
    <t>DB</t>
  </si>
  <si>
    <t>DB + PHS</t>
  </si>
  <si>
    <t>NN0188</t>
  </si>
  <si>
    <t>Diet 0</t>
  </si>
  <si>
    <t>Friesian***Zebu</t>
  </si>
  <si>
    <t>Diet 100</t>
  </si>
  <si>
    <t>Diet 33</t>
  </si>
  <si>
    <t>Diet 66</t>
  </si>
  <si>
    <t>NN0191.2</t>
  </si>
  <si>
    <t>1000g Goat</t>
  </si>
  <si>
    <t>1000g Sheep</t>
  </si>
  <si>
    <t>500g Goat</t>
  </si>
  <si>
    <t>500g Sheep</t>
  </si>
  <si>
    <t>Control Goat</t>
  </si>
  <si>
    <t>Control Sheep</t>
  </si>
  <si>
    <t>NN0196</t>
  </si>
  <si>
    <t>A. angustissima 15132</t>
  </si>
  <si>
    <t>L. pallida 14203</t>
  </si>
  <si>
    <t>S. sesban 1198</t>
  </si>
  <si>
    <t>S. sesban 15019</t>
  </si>
  <si>
    <t>SS 1198 + AA 15132</t>
  </si>
  <si>
    <t>SS 1198 + LP 14203</t>
  </si>
  <si>
    <t>SS 15019 + AA 15132</t>
  </si>
  <si>
    <t>SS 15019 + LP 14203</t>
  </si>
  <si>
    <t>Wheat bran (control)</t>
  </si>
  <si>
    <t>NN0197</t>
  </si>
  <si>
    <t>LAB (10.5g DM/kg LW)</t>
  </si>
  <si>
    <t>LP1 (8.3g DM/kg LW)</t>
  </si>
  <si>
    <t>LP2 (11g DM/kg LW)</t>
  </si>
  <si>
    <t>LP3 (13.3g DM/kg LW)</t>
  </si>
  <si>
    <t>SS1 (8.2g DM/kg LW)</t>
  </si>
  <si>
    <t>SS2 (10.9g DM/kg LW)</t>
  </si>
  <si>
    <t>SS3 (13.3g DM/kg LW)</t>
  </si>
  <si>
    <t>NN0198</t>
  </si>
  <si>
    <t>CON T1</t>
  </si>
  <si>
    <t>NN0200</t>
  </si>
  <si>
    <t>1RB:2NSM</t>
  </si>
  <si>
    <t>2RB:1NSM</t>
  </si>
  <si>
    <t>NSM</t>
  </si>
  <si>
    <t>RB</t>
  </si>
  <si>
    <t>NN0201</t>
  </si>
  <si>
    <t>Lablab, maize</t>
  </si>
  <si>
    <t>Lablab, no maize</t>
  </si>
  <si>
    <t>Sesbania, maize</t>
  </si>
  <si>
    <t>Sesbania, no maize</t>
  </si>
  <si>
    <t>NN0202</t>
  </si>
  <si>
    <t>SESE</t>
  </si>
  <si>
    <t>SESM</t>
  </si>
  <si>
    <t>SESME</t>
  </si>
  <si>
    <t>NN0203</t>
  </si>
  <si>
    <t>CON ATELLA</t>
  </si>
  <si>
    <t>T2 ATELLA+PL</t>
  </si>
  <si>
    <t>T3 ATELLA+CP</t>
  </si>
  <si>
    <t>T4 ATELLA+CP+PL</t>
  </si>
  <si>
    <t>NN0204</t>
  </si>
  <si>
    <t>Treated high</t>
  </si>
  <si>
    <t>Treated low</t>
  </si>
  <si>
    <t>Treated med</t>
  </si>
  <si>
    <t>Untreated high</t>
  </si>
  <si>
    <t>Untreated low</t>
  </si>
  <si>
    <t>Untreated med</t>
  </si>
  <si>
    <t>NN0205</t>
  </si>
  <si>
    <t>T6</t>
  </si>
  <si>
    <t>NN0211</t>
  </si>
  <si>
    <t>T2 LOW</t>
  </si>
  <si>
    <t>T3 MEDIUM</t>
  </si>
  <si>
    <t>T4 HIGH</t>
  </si>
  <si>
    <t>NN0212</t>
  </si>
  <si>
    <t>1LSC:2WB</t>
  </si>
  <si>
    <t>2LSC:1WB</t>
  </si>
  <si>
    <t>WB</t>
  </si>
  <si>
    <t>NN0217</t>
  </si>
  <si>
    <t>C0</t>
  </si>
  <si>
    <t>C20</t>
  </si>
  <si>
    <t>C40</t>
  </si>
  <si>
    <t>C60</t>
  </si>
  <si>
    <t>C80</t>
  </si>
  <si>
    <t>NN0223</t>
  </si>
  <si>
    <t>Goats diet</t>
  </si>
  <si>
    <t>Boer (0.5)</t>
  </si>
  <si>
    <t>Sheeps diet</t>
  </si>
  <si>
    <t>NN0224</t>
  </si>
  <si>
    <t>Maize I Hay 0</t>
  </si>
  <si>
    <t>Maize I Hay 150</t>
  </si>
  <si>
    <t>Maize I Hay 300</t>
  </si>
  <si>
    <t>Maize I Hay 450</t>
  </si>
  <si>
    <t>Maize II Hay 0</t>
  </si>
  <si>
    <t>Maize II Hay 150</t>
  </si>
  <si>
    <t>Maize II Hay 300</t>
  </si>
  <si>
    <t>Maize II Hay 450</t>
  </si>
  <si>
    <t>Maize III Hay 0</t>
  </si>
  <si>
    <t>Maize III Hay 150</t>
  </si>
  <si>
    <t>Maize III Hay 300</t>
  </si>
  <si>
    <t>Maize III Hay 450</t>
  </si>
  <si>
    <t>NN0227</t>
  </si>
  <si>
    <t>T1 Teff Straw</t>
  </si>
  <si>
    <t>Friesian***Boran</t>
  </si>
  <si>
    <t>T2 TS + WM</t>
  </si>
  <si>
    <t>T3 OV hay,  WT + CH, TS +CH</t>
  </si>
  <si>
    <t>T4 OV hay,  ML + CH, TS + CH</t>
  </si>
  <si>
    <t>NN0229</t>
  </si>
  <si>
    <t>Control Station</t>
  </si>
  <si>
    <t>Dry Khat Station</t>
  </si>
  <si>
    <t>Fresh Khat Station</t>
  </si>
  <si>
    <t>Silage Khat Station</t>
  </si>
  <si>
    <t>NN0230</t>
  </si>
  <si>
    <t>Carissa edulis  maizediet</t>
  </si>
  <si>
    <t>Carissa edulis diet</t>
  </si>
  <si>
    <t>Dichrostachys cinerea  maizediet</t>
  </si>
  <si>
    <t>Dichrostachys cinerea diet</t>
  </si>
  <si>
    <t>Faidherbia albida  maizediet</t>
  </si>
  <si>
    <t>Faidherbia albida diet</t>
  </si>
  <si>
    <t>Leucaena leucocephala  maizediet</t>
  </si>
  <si>
    <t>Leucaena leucocephala diet</t>
  </si>
  <si>
    <t>Medicago sativa diet</t>
  </si>
  <si>
    <t>Medicago sativa maize diet</t>
  </si>
  <si>
    <t>Sesbania sesban diet</t>
  </si>
  <si>
    <t>Sesbania sesban maizediet</t>
  </si>
  <si>
    <t>NN0233</t>
  </si>
  <si>
    <t>NN0234</t>
  </si>
  <si>
    <t>T 1 CON</t>
  </si>
  <si>
    <t>T 2 74 LUPIN</t>
  </si>
  <si>
    <t>T 3 147 LUPIN</t>
  </si>
  <si>
    <t>T 4 219 LUPIN</t>
  </si>
  <si>
    <t>T 5 LUPIN ONLY</t>
  </si>
  <si>
    <t>NN0236</t>
  </si>
  <si>
    <t>NN0251</t>
  </si>
  <si>
    <t>C0N</t>
  </si>
  <si>
    <t>German Alpine***Small East African</t>
  </si>
  <si>
    <t>T1 10</t>
  </si>
  <si>
    <t>T2 20</t>
  </si>
  <si>
    <t>T3 30</t>
  </si>
  <si>
    <t>T4 40</t>
  </si>
  <si>
    <t>NN0255</t>
  </si>
  <si>
    <t>NN0272.1</t>
  </si>
  <si>
    <t>SEP + SPV</t>
  </si>
  <si>
    <t>SEPD</t>
  </si>
  <si>
    <t>SPVD</t>
  </si>
  <si>
    <t>NN0272.1.2</t>
  </si>
  <si>
    <t>NN0272.2</t>
  </si>
  <si>
    <t>T2 MIXED</t>
  </si>
  <si>
    <t>T3 SPV</t>
  </si>
  <si>
    <t>T4 SOLANUM</t>
  </si>
  <si>
    <t>NN0279</t>
  </si>
  <si>
    <t>12g Gliricidia</t>
  </si>
  <si>
    <t>4g Gliricidia</t>
  </si>
  <si>
    <t>8g Gliricidia</t>
  </si>
  <si>
    <t>Og Gliricidia</t>
  </si>
  <si>
    <t>NN0280.1</t>
  </si>
  <si>
    <t>ML 1</t>
  </si>
  <si>
    <t>ML 2</t>
  </si>
  <si>
    <t>ML 3</t>
  </si>
  <si>
    <t>ML 4</t>
  </si>
  <si>
    <t>OV 1</t>
  </si>
  <si>
    <t>OV 2</t>
  </si>
  <si>
    <t>OV 3</t>
  </si>
  <si>
    <t>OV 4</t>
  </si>
  <si>
    <t>NN0280.2</t>
  </si>
  <si>
    <t>ML stover + lablab hay</t>
  </si>
  <si>
    <t>ML stover + lablab hay 1.25</t>
  </si>
  <si>
    <t>ML stover + lablab hay 2.5</t>
  </si>
  <si>
    <t>ML stover + lablab hay 3.75</t>
  </si>
  <si>
    <t>OV hay + lablab hay</t>
  </si>
  <si>
    <t>OV hay + lablab hay 1.25</t>
  </si>
  <si>
    <t>OV hay + lablab hay 2.5</t>
  </si>
  <si>
    <t>OV hay + lablab hay 3.75</t>
  </si>
  <si>
    <t>NN0282</t>
  </si>
  <si>
    <t>NN0316</t>
  </si>
  <si>
    <t>HC Diet</t>
  </si>
  <si>
    <t>HCN diet</t>
  </si>
  <si>
    <t>LC Diet</t>
  </si>
  <si>
    <t>LCN Diet</t>
  </si>
  <si>
    <t>NN0318</t>
  </si>
  <si>
    <t>NN0320</t>
  </si>
  <si>
    <t>NN0321</t>
  </si>
  <si>
    <t>NN0322</t>
  </si>
  <si>
    <t>NN0325</t>
  </si>
  <si>
    <t>NN0326</t>
  </si>
  <si>
    <t>NN0329</t>
  </si>
  <si>
    <t>Diet 1 Barley Bran</t>
  </si>
  <si>
    <t>Diet 2 (2BB:1LSM)</t>
  </si>
  <si>
    <t>Diet 3 (1BB:2LSM)</t>
  </si>
  <si>
    <t>Diet 4 (Linseed Meal)</t>
  </si>
  <si>
    <t>NN0339.2</t>
  </si>
  <si>
    <t>NN0345</t>
  </si>
  <si>
    <t>T1 Pasture Hay</t>
  </si>
  <si>
    <t>Bonga</t>
  </si>
  <si>
    <t>T2 AG</t>
  </si>
  <si>
    <t>T3 PEG</t>
  </si>
  <si>
    <t>NN0357</t>
  </si>
  <si>
    <t>NN0358</t>
  </si>
  <si>
    <t>NN0359</t>
  </si>
  <si>
    <t>NN0362</t>
  </si>
  <si>
    <t>Anglo***Nubian</t>
  </si>
  <si>
    <t>M10</t>
  </si>
  <si>
    <t>NN0364</t>
  </si>
  <si>
    <t>Baladi</t>
  </si>
  <si>
    <t>SRS25</t>
  </si>
  <si>
    <t>SRS45</t>
  </si>
  <si>
    <t>NN0366</t>
  </si>
  <si>
    <t>Flax Treatment Diet</t>
  </si>
  <si>
    <t>FlaxSoy Treatment Diet</t>
  </si>
  <si>
    <t>Soy Treatment Diet</t>
  </si>
  <si>
    <t>NN0367</t>
  </si>
  <si>
    <t>NN0368</t>
  </si>
  <si>
    <t>Nubian</t>
  </si>
  <si>
    <t>ME10</t>
  </si>
  <si>
    <t>ME20</t>
  </si>
  <si>
    <t>ME40</t>
  </si>
  <si>
    <t>NN0372</t>
  </si>
  <si>
    <t>Acacia S.</t>
  </si>
  <si>
    <t>Short-eared Somali</t>
  </si>
  <si>
    <t>N.tree:Acacia S.</t>
  </si>
  <si>
    <t>Neem tree</t>
  </si>
  <si>
    <t>NN0374</t>
  </si>
  <si>
    <t>High 450...Low 150...Med 300</t>
  </si>
  <si>
    <t>NN0375</t>
  </si>
  <si>
    <t>T1 Feed Addition</t>
  </si>
  <si>
    <t>T2 Feed Addition</t>
  </si>
  <si>
    <t>T2 Feed Substitution</t>
  </si>
  <si>
    <t>T3 Feed Addition</t>
  </si>
  <si>
    <t>T3 Feed Substitution</t>
  </si>
  <si>
    <t>T4 Feed Addition</t>
  </si>
  <si>
    <t>T4 Feed Substitution</t>
  </si>
  <si>
    <t>T5 Feed Addition</t>
  </si>
  <si>
    <t>T5 Feed Substitution</t>
  </si>
  <si>
    <t>NN0377</t>
  </si>
  <si>
    <t>T1 H Con Bundle2</t>
  </si>
  <si>
    <t>T1 H NC Bundle1</t>
  </si>
  <si>
    <t>T2 H NC Bundle1</t>
  </si>
  <si>
    <t>T2 H NC Bundle2</t>
  </si>
  <si>
    <t>T3 H NC Bundle1</t>
  </si>
  <si>
    <t>T4 H NC Con Bundle1</t>
  </si>
  <si>
    <t>NN0380</t>
  </si>
  <si>
    <t>NN0394</t>
  </si>
  <si>
    <t>AA</t>
  </si>
  <si>
    <t>AS</t>
  </si>
  <si>
    <t>DO</t>
  </si>
  <si>
    <t>PE</t>
  </si>
  <si>
    <t>PT</t>
  </si>
  <si>
    <t>TST</t>
  </si>
  <si>
    <t>NN0396</t>
  </si>
  <si>
    <t>NN0399</t>
  </si>
  <si>
    <t>Brachiaria grass</t>
  </si>
  <si>
    <t>Ankole***Jersey</t>
  </si>
  <si>
    <t>Napier grass</t>
  </si>
  <si>
    <t>NN0400</t>
  </si>
  <si>
    <t>Variable</t>
  </si>
  <si>
    <t>Coverage_%</t>
  </si>
  <si>
    <t>n_obs</t>
  </si>
  <si>
    <t>feed_intake_mean</t>
  </si>
  <si>
    <t>feed_intake_sd</t>
  </si>
  <si>
    <t>bw_kg_mean</t>
  </si>
  <si>
    <t>bw_kg_sd</t>
  </si>
  <si>
    <t>adg_g_day_mean</t>
  </si>
  <si>
    <t>adg_g_day_sd</t>
  </si>
  <si>
    <t>milk_kg_day_mean</t>
  </si>
  <si>
    <t>milk_kg_day_sd</t>
  </si>
  <si>
    <t>File</t>
  </si>
  <si>
    <t>Purpose</t>
  </si>
  <si>
    <t>Granularity</t>
  </si>
  <si>
    <t>Key columns</t>
  </si>
  <si>
    <t>feed_intake_raw.csv</t>
  </si>
  <si>
    <t>Cleaned feed-intake observations after unit harmonisation.</t>
  </si>
  <si>
    <r>
      <t xml:space="preserve">One row per </t>
    </r>
    <r>
      <rPr>
        <i/>
        <sz val="11"/>
        <color theme="1"/>
        <rFont val="Aptos Narrow"/>
        <family val="2"/>
        <scheme val="minor"/>
      </rPr>
      <t>study × diet</t>
    </r>
    <r>
      <rPr>
        <sz val="11"/>
        <color theme="1"/>
        <rFont val="Aptos Narrow"/>
        <family val="2"/>
        <scheme val="minor"/>
      </rPr>
      <t xml:space="preserve"> (only “Entire Diet” rows).</t>
    </r>
  </si>
  <si>
    <r>
      <t>B.Code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A.Level.Name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feed_intake_value</t>
    </r>
    <r>
      <rPr>
        <sz val="11"/>
        <color theme="1"/>
        <rFont val="Aptos Narrow"/>
        <family val="2"/>
        <scheme val="minor"/>
      </rPr>
      <t xml:space="preserve"> (kg DM day⁻¹), </t>
    </r>
    <r>
      <rPr>
        <sz val="10"/>
        <color theme="1"/>
        <rFont val="Arial Unicode MS"/>
        <family val="2"/>
      </rPr>
      <t>bw_kg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adg_g_day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milk_kg_day</t>
    </r>
    <r>
      <rPr>
        <sz val="11"/>
        <color theme="1"/>
        <rFont val="Aptos Narrow"/>
        <family val="2"/>
        <scheme val="minor"/>
      </rPr>
      <t xml:space="preserve">, plus all </t>
    </r>
    <r>
      <rPr>
        <sz val="10"/>
        <color theme="1"/>
        <rFont val="Arial Unicode MS"/>
        <family val="2"/>
      </rPr>
      <t>*_nutrition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*_digest</t>
    </r>
    <r>
      <rPr>
        <sz val="11"/>
        <color theme="1"/>
        <rFont val="Aptos Narrow"/>
        <family val="2"/>
        <scheme val="minor"/>
      </rPr>
      <t xml:space="preserve"> variables</t>
    </r>
  </si>
  <si>
    <t>High-level snapshot of performance metrics.</t>
  </si>
  <si>
    <r>
      <t xml:space="preserve">One row per </t>
    </r>
    <r>
      <rPr>
        <b/>
        <sz val="11"/>
        <color theme="1"/>
        <rFont val="Aptos Narrow"/>
        <family val="2"/>
        <scheme val="minor"/>
      </rPr>
      <t>Species × P.Practice</t>
    </r>
    <r>
      <rPr>
        <sz val="11"/>
        <color theme="1"/>
        <rFont val="Aptos Narrow"/>
        <family val="2"/>
        <scheme val="minor"/>
      </rPr>
      <t>.</t>
    </r>
  </si>
  <si>
    <r>
      <t>Species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P.Practice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n_obs</t>
    </r>
    <r>
      <rPr>
        <sz val="11"/>
        <color theme="1"/>
        <rFont val="Aptos Narrow"/>
        <family val="2"/>
        <scheme val="minor"/>
      </rPr>
      <t>, mean ± SD for FI, BW, ADG, Milk</t>
    </r>
  </si>
  <si>
    <t>variable_coverage_summary.csv</t>
  </si>
  <si>
    <t>Completeness audit.</t>
  </si>
  <si>
    <t>One row per variable.</t>
  </si>
  <si>
    <r>
      <t>Variable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Coverage_%</t>
    </r>
    <r>
      <rPr>
        <sz val="11"/>
        <color theme="1"/>
        <rFont val="Aptos Narrow"/>
        <family val="2"/>
        <scheme val="minor"/>
      </rPr>
      <t xml:space="preserve"> (0-100 %)</t>
    </r>
  </si>
  <si>
    <t>feed_intake_raw_variables</t>
  </si>
  <si>
    <t>feed_intake_summary.csv</t>
  </si>
  <si>
    <t>metadata of feed_intake_raw</t>
  </si>
  <si>
    <t>metdata of feed_intake_summary</t>
  </si>
  <si>
    <t>feed_intake_summary_variables</t>
  </si>
  <si>
    <t>Column</t>
  </si>
  <si>
    <t>What it represents (unit/notes)</t>
  </si>
  <si>
    <t>Unique study or “batch” identifier in the Digital Atlas database</t>
  </si>
  <si>
    <t>Daily dry-matter intake per animal</t>
  </si>
  <si>
    <t>Reported error term (SD or SE, depending on study)</t>
  </si>
  <si>
    <t>Mean starting body-weight (kg)</t>
  </si>
  <si>
    <t>Average daily gain (g day⁻¹)</t>
  </si>
  <si>
    <t>Milk yield (kg day⁻¹) if recorded (NA for growing animals)</t>
  </si>
  <si>
    <t>Number of animals in the treatment group</t>
  </si>
  <si>
    <t>Animal species (cow, goat, camel, …)</t>
  </si>
  <si>
    <t>Breed, genetic line or cultivar (if provided)</t>
  </si>
  <si>
    <t>Physiological stage (growing, lactating, fattening, …)</t>
  </si>
  <si>
    <t>Acid-detergent fibre (g kg⁻¹ DM)</t>
  </si>
  <si>
    <t>Acid-detergent lignin (g kg⁻¹ DM)</t>
  </si>
  <si>
    <t>Ash (total minerals), g kg⁻¹ DM</t>
  </si>
  <si>
    <t>CF_nutrition / CFibre_nutrition</t>
  </si>
  <si>
    <t>Crude fibre, g kg⁻¹ DM</t>
  </si>
  <si>
    <t>Crude fibre (alternative code)</t>
  </si>
  <si>
    <t>Carbohydrates (by difference)</t>
  </si>
  <si>
    <t>Crude nitrogen</t>
  </si>
  <si>
    <t>Crude protein</t>
  </si>
  <si>
    <t>CT_nutrition / Ctannins_nutrition / Tannins_nutrition / Tan_nutrition</t>
  </si>
  <si>
    <t>Condensed or total tannins</t>
  </si>
  <si>
    <t>Cfat_nutrition / EE_nutrition</t>
  </si>
  <si>
    <t>Crude fat / ether extract</t>
  </si>
  <si>
    <t>Ca_nutrition / Calcium_nutrition</t>
  </si>
  <si>
    <t>Calcium (%) or g kg⁻¹ DM</t>
  </si>
  <si>
    <t>Total carbon</t>
  </si>
  <si>
    <t>Cell_nutrition / Cellu_nutrition</t>
  </si>
  <si>
    <t>Cellulose</t>
  </si>
  <si>
    <t>Copper (mg kg⁻¹ DM)</t>
  </si>
  <si>
    <t>Digestible energy (MJ kg⁻¹ DM)</t>
  </si>
  <si>
    <t>Dry-matter percentage</t>
  </si>
  <si>
    <t>EAA_nutrition / NEAA_nutrition</t>
  </si>
  <si>
    <t>Essential / non-essential amino acids (totals)</t>
  </si>
  <si>
    <t>Energy content (generic)</t>
  </si>
  <si>
    <t>FA_nutrition / FatAcid_nutrition</t>
  </si>
  <si>
    <t>Total fatty acids</t>
  </si>
  <si>
    <t>Iron</t>
  </si>
  <si>
    <t>Gross energy (MJ kg⁻¹ DM)</t>
  </si>
  <si>
    <t>Hem_nutrition / Hemicell_nutrition</t>
  </si>
  <si>
    <t>Hemicellulose</t>
  </si>
  <si>
    <t>Potassium</t>
  </si>
  <si>
    <t>Lig_nutrition / Lignin_nutrition</t>
  </si>
  <si>
    <t>Lignin</t>
  </si>
  <si>
    <t>Lysine</t>
  </si>
  <si>
    <t>Metabolisable energy (MJ kg⁻¹ DM)</t>
  </si>
  <si>
    <t>Manganese</t>
  </si>
  <si>
    <t>Methionine</t>
  </si>
  <si>
    <t>Magnesium</t>
  </si>
  <si>
    <t>Moist_nutrition / Moisture_nutrition</t>
  </si>
  <si>
    <t>Moisture (%) – inverse of DM</t>
  </si>
  <si>
    <t>Total nitrogen (%)</t>
  </si>
  <si>
    <t>Neutral-detergent fibre</t>
  </si>
  <si>
    <t>Neutral-detergent solubles</t>
  </si>
  <si>
    <t>Net energy</t>
  </si>
  <si>
    <t>Nitrogen-free extract</t>
  </si>
  <si>
    <t>Ammonia nitrogen</t>
  </si>
  <si>
    <t>Organic matter</t>
  </si>
  <si>
    <t>Phosphorus</t>
  </si>
  <si>
    <t>Branched-chain AA</t>
  </si>
  <si>
    <t>Pectin</t>
  </si>
  <si>
    <t>Phenylalanine</t>
  </si>
  <si>
    <t>Total phenols</t>
  </si>
  <si>
    <t>Phosphorus (alt. code)</t>
  </si>
  <si>
    <t>Protein (alternative field)</t>
  </si>
  <si>
    <t>Selenium</t>
  </si>
  <si>
    <t>TG_nutrition / TL_nutrition</t>
  </si>
  <si>
    <t>Triglycerides / total lipids</t>
  </si>
  <si>
    <t>Total phenolics / protein (context-dependent)</t>
  </si>
  <si>
    <t>Threonine</t>
  </si>
  <si>
    <t>Vitamin A (IU kg⁻¹)</t>
  </si>
  <si>
    <t>Zinc</t>
  </si>
  <si>
    <t>ADF_digest / ADF.1_digest / ADF.2_digest</t>
  </si>
  <si>
    <t>Digestible fraction of ADF (variant IDs .1, .2)</t>
  </si>
  <si>
    <t>Digestible ADL</t>
  </si>
  <si>
    <t>CFibre_digest / Fibre_digest</t>
  </si>
  <si>
    <t>Digestible crude fibre</t>
  </si>
  <si>
    <t>Digestible crude protein (variants)</t>
  </si>
  <si>
    <t>Digestible carbohydrates</t>
  </si>
  <si>
    <t>Digestible cellulose</t>
  </si>
  <si>
    <t>Cfat_digest / Fat_digest / EE_digest</t>
  </si>
  <si>
    <t>Digestible fat</t>
  </si>
  <si>
    <t>Digestible energy derived from digestibility trial</t>
  </si>
  <si>
    <t>Dry-matter digestibility</t>
  </si>
  <si>
    <t>Digestible hemicellulose</t>
  </si>
  <si>
    <t>In-vitro organic matter digestibility</t>
  </si>
  <si>
    <t>Digestible lignin (usually low)</t>
  </si>
  <si>
    <t>Digestible NDF</t>
  </si>
  <si>
    <t>Digestible nitrogen-free extract</t>
  </si>
  <si>
    <t>Nitrogen digestibility</t>
  </si>
  <si>
    <t>OM_digest / OM.1_digest / OM.2_digest</t>
  </si>
  <si>
    <t>Organic matter digestibility (variants)</t>
  </si>
  <si>
    <t>NE_digest</t>
  </si>
  <si>
    <r>
      <t xml:space="preserve">Diet or treatment level within the study (often identical to </t>
    </r>
    <r>
      <rPr>
        <i/>
        <sz val="11"/>
        <color theme="1"/>
        <rFont val="Aptos Narrow"/>
        <family val="2"/>
        <scheme val="minor"/>
      </rPr>
      <t>D.Item</t>
    </r>
    <r>
      <rPr>
        <sz val="11"/>
        <color theme="1"/>
        <rFont val="Aptos Narrow"/>
        <family val="2"/>
        <scheme val="minor"/>
      </rPr>
      <t>)</t>
    </r>
  </si>
  <si>
    <r>
      <t xml:space="preserve">Unit string for feed-intake values (always </t>
    </r>
    <r>
      <rPr>
        <sz val="11"/>
        <color theme="1"/>
        <rFont val="Aptos Narrow"/>
        <family val="2"/>
        <scheme val="minor"/>
      </rPr>
      <t>kg DM day⁻¹ after harmonisation)</t>
    </r>
  </si>
  <si>
    <r>
      <t>Net energy from digestibility (</t>
    </r>
    <r>
      <rPr>
        <sz val="11"/>
        <color theme="1"/>
        <rFont val="Aptos Narrow"/>
        <family val="2"/>
        <scheme val="minor"/>
      </rPr>
      <t>if present)</t>
    </r>
  </si>
  <si>
    <t xml:space="preserve">CP_digest / CP.1_digest / CP.2_digest </t>
  </si>
  <si>
    <t>Categorization of animal breed (unimproved,improved)</t>
  </si>
  <si>
    <t>Animal species (e.g., cattle, goat, camel) that the diets belong to.</t>
  </si>
  <si>
    <r>
      <t xml:space="preserve">Number of diet records (A.Level.Name) that contribute to the summary for this </t>
    </r>
    <r>
      <rPr>
        <i/>
        <sz val="11"/>
        <color theme="1"/>
        <rFont val="Aptos Narrow"/>
        <family val="2"/>
        <scheme val="minor"/>
      </rPr>
      <t>Species × Practice</t>
    </r>
    <r>
      <rPr>
        <sz val="11"/>
        <color theme="1"/>
        <rFont val="Aptos Narrow"/>
        <family val="2"/>
        <scheme val="minor"/>
      </rPr>
      <t xml:space="preserve"> combination.</t>
    </r>
  </si>
  <si>
    <r>
      <t xml:space="preserve">Mean daily feed (dry-matter) intake per animal, </t>
    </r>
    <r>
      <rPr>
        <b/>
        <sz val="11"/>
        <color theme="1"/>
        <rFont val="Aptos Narrow"/>
        <family val="2"/>
        <scheme val="minor"/>
      </rPr>
      <t>kg DM day⁻¹</t>
    </r>
    <r>
      <rPr>
        <sz val="11"/>
        <color theme="1"/>
        <rFont val="Aptos Narrow"/>
        <family val="2"/>
        <scheme val="minor"/>
      </rPr>
      <t>.</t>
    </r>
  </si>
  <si>
    <t>Sample standard deviation (SD) of daily feed-intake for those diets, same unit as the mean.</t>
  </si>
  <si>
    <r>
      <t xml:space="preserve">Mean starting body-weight, </t>
    </r>
    <r>
      <rPr>
        <b/>
        <sz val="11"/>
        <color theme="1"/>
        <rFont val="Aptos Narrow"/>
        <family val="2"/>
        <scheme val="minor"/>
      </rPr>
      <t>kg</t>
    </r>
    <r>
      <rPr>
        <sz val="11"/>
        <color theme="1"/>
        <rFont val="Aptos Narrow"/>
        <family val="2"/>
        <scheme val="minor"/>
      </rPr>
      <t>.</t>
    </r>
  </si>
  <si>
    <r>
      <t xml:space="preserve">SD of starting body-weight, </t>
    </r>
    <r>
      <rPr>
        <b/>
        <sz val="11"/>
        <color theme="1"/>
        <rFont val="Aptos Narrow"/>
        <family val="2"/>
        <scheme val="minor"/>
      </rPr>
      <t>kg</t>
    </r>
    <r>
      <rPr>
        <sz val="11"/>
        <color theme="1"/>
        <rFont val="Aptos Narrow"/>
        <family val="2"/>
        <scheme val="minor"/>
      </rPr>
      <t>.</t>
    </r>
  </si>
  <si>
    <r>
      <t xml:space="preserve">Mean average daily gain (growth rate), </t>
    </r>
    <r>
      <rPr>
        <b/>
        <sz val="11"/>
        <color theme="1"/>
        <rFont val="Aptos Narrow"/>
        <family val="2"/>
        <scheme val="minor"/>
      </rPr>
      <t>g day⁻¹</t>
    </r>
    <r>
      <rPr>
        <sz val="11"/>
        <color theme="1"/>
        <rFont val="Aptos Narrow"/>
        <family val="2"/>
        <scheme val="minor"/>
      </rPr>
      <t>.</t>
    </r>
  </si>
  <si>
    <r>
      <t xml:space="preserve">SD of average daily gain, </t>
    </r>
    <r>
      <rPr>
        <b/>
        <sz val="11"/>
        <color theme="1"/>
        <rFont val="Aptos Narrow"/>
        <family val="2"/>
        <scheme val="minor"/>
      </rPr>
      <t>g day⁻¹</t>
    </r>
    <r>
      <rPr>
        <sz val="11"/>
        <color theme="1"/>
        <rFont val="Aptos Narrow"/>
        <family val="2"/>
        <scheme val="minor"/>
      </rPr>
      <t>.</t>
    </r>
  </si>
  <si>
    <r>
      <t xml:space="preserve">Mean milk yield, </t>
    </r>
    <r>
      <rPr>
        <b/>
        <sz val="11"/>
        <color theme="1"/>
        <rFont val="Aptos Narrow"/>
        <family val="2"/>
        <scheme val="minor"/>
      </rPr>
      <t>kg day⁻¹</t>
    </r>
    <r>
      <rPr>
        <sz val="11"/>
        <color theme="1"/>
        <rFont val="Aptos Narrow"/>
        <family val="2"/>
        <scheme val="minor"/>
      </rPr>
      <t xml:space="preserve"> (NA or blank for non-lactating classes).</t>
    </r>
  </si>
  <si>
    <r>
      <t xml:space="preserve">SD of milk yield, </t>
    </r>
    <r>
      <rPr>
        <b/>
        <sz val="11"/>
        <color theme="1"/>
        <rFont val="Aptos Narrow"/>
        <family val="2"/>
        <scheme val="minor"/>
      </rPr>
      <t>kg day⁻¹</t>
    </r>
    <r>
      <rPr>
        <sz val="11"/>
        <color theme="1"/>
        <rFont val="Aptos Narrow"/>
        <family val="2"/>
        <scheme val="minor"/>
      </rPr>
      <t xml:space="preserve"> (NA if milk not recorded).</t>
    </r>
  </si>
  <si>
    <t>Breed categorization (imporved, unimproved)</t>
  </si>
  <si>
    <t>B.Author.Last</t>
  </si>
  <si>
    <t>B.Date</t>
  </si>
  <si>
    <t>B.Journal</t>
  </si>
  <si>
    <t>B.New</t>
  </si>
  <si>
    <t>B.DOI</t>
  </si>
  <si>
    <t>B.Url</t>
  </si>
  <si>
    <t>B.Project</t>
  </si>
  <si>
    <t>NN0022</t>
  </si>
  <si>
    <t>Ayantunde</t>
  </si>
  <si>
    <t>Tropical Animal Health and Production</t>
  </si>
  <si>
    <t>No</t>
  </si>
  <si>
    <t>DOI 10.1007/s11250-007-9009-1</t>
  </si>
  <si>
    <t>Livestock Update 2022</t>
  </si>
  <si>
    <t>Salem</t>
  </si>
  <si>
    <t>Small Ruminant Research</t>
  </si>
  <si>
    <t>10.1016/j.smallrumres.2005.05.010</t>
  </si>
  <si>
    <t>NN0081</t>
  </si>
  <si>
    <t>Animal Feed Science and Technology</t>
  </si>
  <si>
    <t>10.1016/j.anifeedsci.2007.09.019</t>
  </si>
  <si>
    <t>NN0085</t>
  </si>
  <si>
    <t>Azaza</t>
  </si>
  <si>
    <t>Journal of Applied Ichthyology</t>
  </si>
  <si>
    <t>10.1111/j.1439-0426.2007.01017.x</t>
  </si>
  <si>
    <t>NN0092.1</t>
  </si>
  <si>
    <t>Mahouachi</t>
  </si>
  <si>
    <t>Scientific World Journal</t>
  </si>
  <si>
    <t>10.1100/2012/321567</t>
  </si>
  <si>
    <t>NN0092.2</t>
  </si>
  <si>
    <t>Gasmi-Boubaker</t>
  </si>
  <si>
    <t>10.1016/j.anifeedsci.2005.05.024</t>
  </si>
  <si>
    <t>NN0106</t>
  </si>
  <si>
    <t>Eniolorunda</t>
  </si>
  <si>
    <t>African Journal of Biotechnology</t>
  </si>
  <si>
    <t>10.5897/AJB10.1539</t>
  </si>
  <si>
    <t>NN0109.1</t>
  </si>
  <si>
    <t>Fagbenro</t>
  </si>
  <si>
    <t>Aquaculture Nutrition</t>
  </si>
  <si>
    <t>10.1111/j.1365-2095.1995.tb00047.x</t>
  </si>
  <si>
    <t>NN0109.2</t>
  </si>
  <si>
    <t>NN0110.1</t>
  </si>
  <si>
    <t>Aquaculture Research</t>
  </si>
  <si>
    <t>10.1046/j.1365-2109.1999.00321.x</t>
  </si>
  <si>
    <t>NN0113</t>
  </si>
  <si>
    <t>Bioresource Technology</t>
  </si>
  <si>
    <t>10.1016/0960-8524(91)90192-m</t>
  </si>
  <si>
    <t>African Journal of Agricultural Research</t>
  </si>
  <si>
    <t>https://doi.org/10.5897/AJAR.9000509</t>
  </si>
  <si>
    <t>NN0119.1</t>
  </si>
  <si>
    <t>Fasuyi</t>
  </si>
  <si>
    <t>Journal of Food, Agriculture &amp; Environment</t>
  </si>
  <si>
    <t>Yes</t>
  </si>
  <si>
    <t>https://agris.fao.org/agris-search/search.do?recordID=US201300869656</t>
  </si>
  <si>
    <t>El-Deek</t>
  </si>
  <si>
    <t>Archiv fur Geflugelkunde</t>
  </si>
  <si>
    <t>https://www.researchgate.net/publication/288781735_Use_of_dried_Giant_Snail_meal_Theba_pisana_in_broiler_diets</t>
  </si>
  <si>
    <t>NN0137.4</t>
  </si>
  <si>
    <t>Brand</t>
  </si>
  <si>
    <t>South African Journal of Animal Science</t>
  </si>
  <si>
    <t>10.4314/sajas.v17i2.44353</t>
  </si>
  <si>
    <t>NN0165</t>
  </si>
  <si>
    <t>Greyling</t>
  </si>
  <si>
    <t>10.1016/j.smallrumres.2003.11.014</t>
  </si>
  <si>
    <t>Khalili</t>
  </si>
  <si>
    <t>https://doi.org/10.1016/0377-8401(92)90062-B</t>
  </si>
  <si>
    <t>Larbi</t>
  </si>
  <si>
    <t>Agroforestry Systems</t>
  </si>
  <si>
    <t>10.1007/bf00705245</t>
  </si>
  <si>
    <t>Melaku</t>
  </si>
  <si>
    <t>Livestock Production Science</t>
  </si>
  <si>
    <t>10.1016/j.livprodsci.2004.01.003</t>
  </si>
  <si>
    <t>Nsahlai</t>
  </si>
  <si>
    <t>Animal Feed Science Technology</t>
  </si>
  <si>
    <t>10.1016/0377-8401(95)00941-8</t>
  </si>
  <si>
    <t>Nurfeta</t>
  </si>
  <si>
    <t>DOI 10.1007/s11250-013-0527-8</t>
  </si>
  <si>
    <t>Wiegand</t>
  </si>
  <si>
    <t>Tropical Agriculture</t>
  </si>
  <si>
    <t>https://cgspace.cgiar.org/handle/10568/29698</t>
  </si>
  <si>
    <t>NN0293</t>
  </si>
  <si>
    <t>Zake</t>
  </si>
  <si>
    <t>Journal of Sustainable Agriculture</t>
  </si>
  <si>
    <t>10.1080/10440046.2010.493368</t>
  </si>
  <si>
    <t>Chukwukaelo</t>
  </si>
  <si>
    <t>10.1007/s11250-017-1457-7</t>
  </si>
  <si>
    <t>AG0015</t>
  </si>
  <si>
    <t>Frimpong</t>
  </si>
  <si>
    <t>Sustainability</t>
  </si>
  <si>
    <t>10.3390/su6020652</t>
  </si>
  <si>
    <t>AG0018</t>
  </si>
  <si>
    <t>Gusha</t>
  </si>
  <si>
    <t>Tropical and Subtropical Agroecosystems</t>
  </si>
  <si>
    <t>https://pdfs.semanticscholar.org/085f/cbe290d2edec655ea106f6ba39ef4e6a3673.pdf</t>
  </si>
  <si>
    <t>Oloche</t>
  </si>
  <si>
    <t>Pakistan Journal of Nutrition</t>
  </si>
  <si>
    <t>10.3923/pjn.2018.374.378</t>
  </si>
  <si>
    <t>AG0050</t>
  </si>
  <si>
    <t>Dada</t>
  </si>
  <si>
    <t>Journal of Fisheries and Aquatic Science</t>
  </si>
  <si>
    <t>10.3923/jfas.2015.569.574</t>
  </si>
  <si>
    <t>Mutimura</t>
  </si>
  <si>
    <t>Animal Nutrition</t>
  </si>
  <si>
    <t>10.1016/j.aninu.2018.01.006</t>
  </si>
  <si>
    <t>AG0087</t>
  </si>
  <si>
    <t>Salih</t>
  </si>
  <si>
    <t>Iranian Journal of Applied Animal Science</t>
  </si>
  <si>
    <t>ijas.iaurasht.ac.ir/article_526675_5a54a101dcda6f6b70eab2d3cf7f4c40.pdf</t>
  </si>
  <si>
    <t>Adegun</t>
  </si>
  <si>
    <t>Asian Journal of Animal and Veterinary Advances</t>
  </si>
  <si>
    <t>10.3923/ajava.2016.725.731</t>
  </si>
  <si>
    <t>Amobi</t>
  </si>
  <si>
    <t>Journal of Insects as Food and Feed</t>
  </si>
  <si>
    <t>10.3920/JIFF2017.0078</t>
  </si>
  <si>
    <t>Alabi</t>
  </si>
  <si>
    <t>10.1007/s11250-013-0368-5</t>
  </si>
  <si>
    <t>AN0027</t>
  </si>
  <si>
    <t>Azzaz</t>
  </si>
  <si>
    <t>International Journal of Dairy Science</t>
  </si>
  <si>
    <t>10.3923/ijds.2017.266.274</t>
  </si>
  <si>
    <t>AN0029</t>
  </si>
  <si>
    <t>Babatunde</t>
  </si>
  <si>
    <t>Journal of Rangeland Science</t>
  </si>
  <si>
    <t>http://www.rangeland.ir/article_538257.html</t>
  </si>
  <si>
    <t>Tekle</t>
  </si>
  <si>
    <t>Livestock Research for Rural Development</t>
  </si>
  <si>
    <t>http://www.lrrd.org/lrrd30/8/desta30149.html</t>
  </si>
  <si>
    <t>AN0058</t>
  </si>
  <si>
    <t>Wanjohi</t>
  </si>
  <si>
    <t>www.lrrd.org/lrrd30/4/dunc30063.html</t>
  </si>
  <si>
    <t>DK0001</t>
  </si>
  <si>
    <t>Carter</t>
  </si>
  <si>
    <t>Journal of Agriculture and Rural Development in the Tropics and Subtropics</t>
  </si>
  <si>
    <t>10.17170/kobra-2018112824</t>
  </si>
  <si>
    <t>Youssoufi</t>
  </si>
  <si>
    <t>Acta Horticulturae</t>
  </si>
  <si>
    <t>10.17660/actahortic.2013.995.38</t>
  </si>
  <si>
    <t>DK0037</t>
  </si>
  <si>
    <t>Asizua</t>
  </si>
  <si>
    <t>Livestock Science</t>
  </si>
  <si>
    <t>10.1016/j.livsci.2014.09.010</t>
  </si>
  <si>
    <t>EO0027</t>
  </si>
  <si>
    <t>Bamba</t>
  </si>
  <si>
    <t>http://www.lrrd.org/lrrd26/10/bamb26189.htm</t>
  </si>
  <si>
    <t>Balehegn</t>
  </si>
  <si>
    <t>0.1007/s11250-014-0582-9</t>
  </si>
  <si>
    <t>Mekasha</t>
  </si>
  <si>
    <t>www.lrrd.org/lrrd25/6/meka25104.htm</t>
  </si>
  <si>
    <t>Fasae</t>
  </si>
  <si>
    <t>http://www.revista.ccba.uady.mx/ojs/index.php/TSA/article/view/2224</t>
  </si>
  <si>
    <t>Manhique</t>
  </si>
  <si>
    <t>www.researchgate.net/publication/316188390</t>
  </si>
  <si>
    <t>EO0057</t>
  </si>
  <si>
    <t>Berhanu</t>
  </si>
  <si>
    <t>Agriculture and Natural Resources</t>
  </si>
  <si>
    <t>li01.tci-thaijo.org/index.php/anres/article/view/243030</t>
  </si>
  <si>
    <t>EO0067</t>
  </si>
  <si>
    <t>http://www.lrrd.org/lrrd28/11/gush28206.html</t>
  </si>
  <si>
    <t>Gelgelo</t>
  </si>
  <si>
    <t>www.lrrd.org/lrrd29/4/atta29077.html</t>
  </si>
  <si>
    <t>Hintsa</t>
  </si>
  <si>
    <t>www.lrrd.org/lrrd27/9/kida27180.html</t>
  </si>
  <si>
    <t>Nesseim</t>
  </si>
  <si>
    <t>Tropicultura</t>
  </si>
  <si>
    <t>www.researchgate.net/publication/320435263_Effects_of_defatting_combined_or_not_to_heating_of_Jatropha_curcas_kernel_meal_on_feed_intake_and_growth_performance_in_broiler_chickens_and_chicks_in_Senegal</t>
  </si>
  <si>
    <t>EO0102</t>
  </si>
  <si>
    <t>Bertine</t>
  </si>
  <si>
    <t>www.lrrd.org/lrrd25/8/noum25145.htm</t>
  </si>
  <si>
    <t>Abasiekong</t>
  </si>
  <si>
    <t>Archiv Fur Tierernahrung-Archives of Animal Nutrition</t>
  </si>
  <si>
    <t>10.1080/17450399109428459</t>
  </si>
  <si>
    <t>Abegunde</t>
  </si>
  <si>
    <t>Journal of Animal Physiology and Animal Nutrition</t>
  </si>
  <si>
    <t>10.1111/j.1439-0396.2010.01040.x</t>
  </si>
  <si>
    <t>Abiola</t>
  </si>
  <si>
    <t>10.1016/j.biortech.2004.02.001</t>
  </si>
  <si>
    <t>Adejumo</t>
  </si>
  <si>
    <t>10.1016/0921-4488(91)90032-l</t>
  </si>
  <si>
    <t>Adeneye</t>
  </si>
  <si>
    <t>10.1016/0921-4488(94)90071-x</t>
  </si>
  <si>
    <t>Aderolu</t>
  </si>
  <si>
    <t>African Journal of Aquatic Science</t>
  </si>
  <si>
    <t>10.2989/ajas.2009.34.2.3.890</t>
  </si>
  <si>
    <t>Adewolu</t>
  </si>
  <si>
    <t>Israeli Journal of Aquaculture-Bamidgeh</t>
  </si>
  <si>
    <t>https://www.researchgate.net/profile/Morenike-Adewolu/publication/234888799_Evaluation_of_an_Animal_Protein_Mixture_as_a_Replacement_for_Fishmeal_in_Practical_Diets_for_Fingerlings_of_Clarias_Gariepinus_Burchell_1822/links/02bfe5102b73c8e85d000000/Evaluation-of-an-Animal-Protein-Mixture-as-a-Replacement-for-Fishmeal-in-Practical-Diets-for-Fingerlings-of-Clarias-Gariepinus-Burchell-1822.pdf</t>
  </si>
  <si>
    <t>Ajayi</t>
  </si>
  <si>
    <t>Animal Science</t>
  </si>
  <si>
    <t>10.1111/j.1740-0929.2008.00579.x</t>
  </si>
  <si>
    <t>Akinola</t>
  </si>
  <si>
    <t>10.1007/s11250-012-0273-3</t>
  </si>
  <si>
    <t>Akinsoyinu</t>
  </si>
  <si>
    <t>10.1016/0960-8524(92)90200-h</t>
  </si>
  <si>
    <t>HK0033</t>
  </si>
  <si>
    <t>Anigbogu</t>
  </si>
  <si>
    <t>Asian-Australasian Journal of Animal Sciences</t>
  </si>
  <si>
    <t>10.5713/ajas.2003.384</t>
  </si>
  <si>
    <t>Annongu</t>
  </si>
  <si>
    <t>European Poultry Science</t>
  </si>
  <si>
    <t>https://www.european-poultry-science.com/artikel.dll/2000-65-28-32_gq4tmmbqge4q.pdf?UID=FC4CCB24FF9D15F766F56FA6AB11C0D3EAC2CAEA</t>
  </si>
  <si>
    <t>Balogun</t>
  </si>
  <si>
    <t>10.1016/0377-8401(90)90015-z</t>
  </si>
  <si>
    <t>Bello</t>
  </si>
  <si>
    <t>International Journal of Morphology</t>
  </si>
  <si>
    <t>https://www.scielo.cl/scielo.php?pid=S0717-95022012000100045&amp;script=sci_arttext&amp;tlng=en</t>
  </si>
  <si>
    <t>Odunsi</t>
  </si>
  <si>
    <t>10.1023/b:;trop.0000048455.96694.85</t>
  </si>
  <si>
    <t>Journal of Applied Animal Research</t>
  </si>
  <si>
    <t>10.1080/09712119.1995.9706063</t>
  </si>
  <si>
    <t>Okeudo</t>
  </si>
  <si>
    <t>10.1007/bf02250877</t>
  </si>
  <si>
    <t>HK0086</t>
  </si>
  <si>
    <t>Olafadehan</t>
  </si>
  <si>
    <t>10.1007/s11250-009-9312-0</t>
  </si>
  <si>
    <t>HK0098</t>
  </si>
  <si>
    <t>Omoregie</t>
  </si>
  <si>
    <t>10.1046/j.1365-2109.2001.00575.x</t>
  </si>
  <si>
    <t>HK0099</t>
  </si>
  <si>
    <t>http://www.researchgate.net/publication/237100000</t>
  </si>
  <si>
    <t>HK0102.1</t>
  </si>
  <si>
    <t>Onwudike</t>
  </si>
  <si>
    <t>10.1016/0377-8401(86)90110-0</t>
  </si>
  <si>
    <t>Otaru</t>
  </si>
  <si>
    <t>10.1016/j.smallrumres.2010.11.004</t>
  </si>
  <si>
    <t>Otukoya</t>
  </si>
  <si>
    <t>Journal of Food Agriculture &amp; Environment</t>
  </si>
  <si>
    <t>https://pubag.nal.usda.gov/catalog/732199</t>
  </si>
  <si>
    <t>Sogbesan</t>
  </si>
  <si>
    <t>Turkish Journal of Fisheries and Aquatic Sciences</t>
  </si>
  <si>
    <t>https://www.researchgate.net/publication/242599458_Nutritional_Evaluation_of_Termite_Macrotermes_subhyalinus_Meal_as_Animal_Protein_Supplements_in_the_Diets_of_Heterobranchus_longifilis_Valenciennes_1840_Fingerlings</t>
  </si>
  <si>
    <t>Yaakugh</t>
  </si>
  <si>
    <t>Journal of the Science of Food and Agriculture</t>
  </si>
  <si>
    <t>10.1002/jsfa.2740660407</t>
  </si>
  <si>
    <t>HK0138</t>
  </si>
  <si>
    <t>Alhassan</t>
  </si>
  <si>
    <t>10.1016/0377-8401(91)90067-3</t>
  </si>
  <si>
    <t>Adeloye</t>
  </si>
  <si>
    <t>10.1016/0960-8524(94)00145-q</t>
  </si>
  <si>
    <t>Tropical Grasslands</t>
  </si>
  <si>
    <t>https://www.tropicalgrasslands.info/public/journals/4/Historic/Tropical%20Grasslands%20Journal%20archive/PDFs/Vol_29_1995/Vol_29_03_95_pp150_154.pdf</t>
  </si>
  <si>
    <t>Etela</t>
  </si>
  <si>
    <t>Renewable Agriculture and Food Sytems</t>
  </si>
  <si>
    <t>10.1017/S1742170507001779</t>
  </si>
  <si>
    <t>HK0160</t>
  </si>
  <si>
    <t>10.1016/0960-8524(91)90183-k</t>
  </si>
  <si>
    <t>Malau-Aduli</t>
  </si>
  <si>
    <t>Reproduction Nutrition Development</t>
  </si>
  <si>
    <t>10.1051/rnd:2004022</t>
  </si>
  <si>
    <t>HK0177</t>
  </si>
  <si>
    <t>Nworgu</t>
  </si>
  <si>
    <t>https://www.ajol.info/index.php/ajb/article/view/56125/44573</t>
  </si>
  <si>
    <t>Oni</t>
  </si>
  <si>
    <t>10.1016/j.livsci.2009.12.007</t>
  </si>
  <si>
    <t>HK0210</t>
  </si>
  <si>
    <t>Mataka</t>
  </si>
  <si>
    <t>10.1111/j.1365-2109.2007.01754.x</t>
  </si>
  <si>
    <t>Nyina-wamwiza</t>
  </si>
  <si>
    <t>10.1111/j.1365-2109.2007.01658.x</t>
  </si>
  <si>
    <t>HK0250</t>
  </si>
  <si>
    <t>Smith</t>
  </si>
  <si>
    <t>10.1007/bf02361192</t>
  </si>
  <si>
    <t>Undi</t>
  </si>
  <si>
    <t>10.1016/s0921-4488(01)00175-4</t>
  </si>
  <si>
    <t>HK0263</t>
  </si>
  <si>
    <t>Barnes</t>
  </si>
  <si>
    <t>Journal of the Grassland Society of Southern Africa</t>
  </si>
  <si>
    <t>10.1080/02566702.1991.9648285</t>
  </si>
  <si>
    <t>HK0270</t>
  </si>
  <si>
    <t>Garwe</t>
  </si>
  <si>
    <t>Veterinary Record</t>
  </si>
  <si>
    <t>10.1136/vr.156.1.18</t>
  </si>
  <si>
    <t>Mushandu</t>
  </si>
  <si>
    <t>10.1016/j.anifeedsci.2005.02.033</t>
  </si>
  <si>
    <t>HK0287</t>
  </si>
  <si>
    <t>Ngongoni</t>
  </si>
  <si>
    <t>10.1007/s11250-007-9018-0</t>
  </si>
  <si>
    <t>https://www.tropicalgrasslands.info/public/journals/4/Historic/Tropical%20Grasslands%20Journal%20archive/PDFs/Vol_42_2008/Vol42_03_2008_pp188_192.pdf</t>
  </si>
  <si>
    <t>Mnisi</t>
  </si>
  <si>
    <t>10.4314/sajas.v47i5.9</t>
  </si>
  <si>
    <t>Khanyile</t>
  </si>
  <si>
    <t>Animal Production Science</t>
  </si>
  <si>
    <t>10.1071/AN15182</t>
  </si>
  <si>
    <t>Ncobela</t>
  </si>
  <si>
    <t>10.1007/s11250-017-1410-9</t>
  </si>
  <si>
    <t>Muller</t>
  </si>
  <si>
    <t>10.4314/sajas.v44i3.9</t>
  </si>
  <si>
    <t>10.1016/j.livsci.2014.04.016</t>
  </si>
  <si>
    <t>Nkosi</t>
  </si>
  <si>
    <t>10.4314/sajas.v46i1.5</t>
  </si>
  <si>
    <t>Ndou</t>
  </si>
  <si>
    <t>10.1016/j.livsci.2015.10.003</t>
  </si>
  <si>
    <t>Hlophe</t>
  </si>
  <si>
    <t>10.2989/16085914.2014.958049</t>
  </si>
  <si>
    <t>Nkukwana</t>
  </si>
  <si>
    <t>Food Chemistry</t>
  </si>
  <si>
    <t>10.1016/j.foodchem.2013.07.059</t>
  </si>
  <si>
    <t>Hozza</t>
  </si>
  <si>
    <t>10.1007/s11250-013-0436-x</t>
  </si>
  <si>
    <t>HK0340</t>
  </si>
  <si>
    <t>Hamdi</t>
  </si>
  <si>
    <t>10.1016/j.smallrumres.2016.10.028</t>
  </si>
  <si>
    <t>HK0342</t>
  </si>
  <si>
    <t>Nalubwama</t>
  </si>
  <si>
    <t>10.1007/s11250-016-1123-5</t>
  </si>
  <si>
    <t>HK0346</t>
  </si>
  <si>
    <t>Nampanzira</t>
  </si>
  <si>
    <t>10.1016/j.smallrumres.2017.06.014</t>
  </si>
  <si>
    <t>Madzimure</t>
  </si>
  <si>
    <t>10.1007/s11250-014-0578-5</t>
  </si>
  <si>
    <t>Ouedraogo-Kone</t>
  </si>
  <si>
    <t>10.1007/s11250-009-9307-x</t>
  </si>
  <si>
    <t>JS0047</t>
  </si>
  <si>
    <t>Pousga</t>
  </si>
  <si>
    <t>https://www.researchgate.net/profile/Jan-Lindberg/publication/237403845_Effect_of_supplements_based_on_fishmeal_or_cottonseed_cake_and_management_system_on_the_performance_and_economic_efficiency_of_exotic_hens_in_Burkina_Faso/links/02e7e5278bcbca1a61000000/Effect-of-supplements-based-on-fishmeal-or-cottonseed-cake-and-management-system-on-the-performance-and-economic-efficiency-of-exotic-hens-in-Burkina-Faso.pdf</t>
  </si>
  <si>
    <t>Sanon</t>
  </si>
  <si>
    <t>10.1016/j.livsci.2007.12.011</t>
  </si>
  <si>
    <t>Akinbamijo</t>
  </si>
  <si>
    <t>10.1016/S0301-6226(02)00175-6</t>
  </si>
  <si>
    <t>JS0063</t>
  </si>
  <si>
    <t>Little</t>
  </si>
  <si>
    <t>10.1007/bf02361198</t>
  </si>
  <si>
    <t>Atuahene</t>
  </si>
  <si>
    <t>Journal of Animal and Feed Sciences</t>
  </si>
  <si>
    <t>10.22358/jafs/67816/2002</t>
  </si>
  <si>
    <t>Donkoh</t>
  </si>
  <si>
    <t>10.22358/jafs/67953/2001</t>
  </si>
  <si>
    <t>10.1016/s0377-8401(99)00069-3</t>
  </si>
  <si>
    <t>African Journal of Agricultural Science</t>
  </si>
  <si>
    <t>https://academicjournals.org/journal/AJAR/article-full-text-pdf/CB04FA438461</t>
  </si>
  <si>
    <t>Osei</t>
  </si>
  <si>
    <t>Poultry Science</t>
  </si>
  <si>
    <t>10.3382/ps.0661870</t>
  </si>
  <si>
    <t>JS0094.1</t>
  </si>
  <si>
    <t>Rhule</t>
  </si>
  <si>
    <t>10.1023/a:;1005181401254</t>
  </si>
  <si>
    <t>JS0094.2</t>
  </si>
  <si>
    <t>JS0095</t>
  </si>
  <si>
    <t>Torto</t>
  </si>
  <si>
    <t>10.1007/bf02633020</t>
  </si>
  <si>
    <t>JS0112</t>
  </si>
  <si>
    <t>Essa</t>
  </si>
  <si>
    <t>Aquaculture</t>
  </si>
  <si>
    <t>10.1016/j.aquaculture.2011.08.015</t>
  </si>
  <si>
    <t>JS0115</t>
  </si>
  <si>
    <t>Shetaewi</t>
  </si>
  <si>
    <t>10.1023/a:;1010337628292</t>
  </si>
  <si>
    <t>JS0118</t>
  </si>
  <si>
    <t>Abd El-Rahman</t>
  </si>
  <si>
    <t>10.5897/AJB11.1595</t>
  </si>
  <si>
    <t>El-Rahman</t>
  </si>
  <si>
    <t>Life Science Journal</t>
  </si>
  <si>
    <t>http://www.lifesciencesite.com/lsj/life0904/334_11751life0904_2250_2255.pdf</t>
  </si>
  <si>
    <t>Abdel-Shafy</t>
  </si>
  <si>
    <t>10.1007/s11250-010-9696-x</t>
  </si>
  <si>
    <t>Abdel-Tawwab</t>
  </si>
  <si>
    <t>10.1111/j.1365-2109.2009.02195.x</t>
  </si>
  <si>
    <t>Abdel-Warith</t>
  </si>
  <si>
    <t>10.1046/j.1355-557x.2001.00053.x</t>
  </si>
  <si>
    <t>El-Saidy</t>
  </si>
  <si>
    <t>10.1111/j.1365-2095.2010.00810.x</t>
  </si>
  <si>
    <t>10.1111/j.1365-2109.2010.02629.x</t>
  </si>
  <si>
    <t>JS0137</t>
  </si>
  <si>
    <t>El-Sayed</t>
  </si>
  <si>
    <t>10.1016/s0044-8486(02)00252-1</t>
  </si>
  <si>
    <t>Omar</t>
  </si>
  <si>
    <t>10.1111/j.1439-0396.1996.tb00682.x</t>
  </si>
  <si>
    <t>Omer</t>
  </si>
  <si>
    <t>10.1007/s11250-010-9548-8</t>
  </si>
  <si>
    <t>Ahmed</t>
  </si>
  <si>
    <t>10.22358/jafs/68032/2000</t>
  </si>
  <si>
    <t>Talib</t>
  </si>
  <si>
    <t>Journal of Animal and Veterinary Advances</t>
  </si>
  <si>
    <t>https://medwelljournals.com/abstract/?doi=javaa.2008.1467.1473</t>
  </si>
  <si>
    <t>Goromela</t>
  </si>
  <si>
    <t>10.1016/s0301-6226(96)01399-1</t>
  </si>
  <si>
    <t>JS0176</t>
  </si>
  <si>
    <t>Kakengi</t>
  </si>
  <si>
    <t>10.1023/a:;1010642531865</t>
  </si>
  <si>
    <t>JS0177</t>
  </si>
  <si>
    <t>Karachi</t>
  </si>
  <si>
    <t>10.1023/a:;1005859617603</t>
  </si>
  <si>
    <t>JS0192</t>
  </si>
  <si>
    <t>Mtenga</t>
  </si>
  <si>
    <t>10.1016/0921-4488(90)90026-3</t>
  </si>
  <si>
    <t>Mushi</t>
  </si>
  <si>
    <t>10.1016/j.livsci.2009.01.012</t>
  </si>
  <si>
    <t>Ndemanisho</t>
  </si>
  <si>
    <t>10.1007/s10457-005-2648-1</t>
  </si>
  <si>
    <t>10.1016/s0377-8401(98)00139-4</t>
  </si>
  <si>
    <t>JS0201.1</t>
  </si>
  <si>
    <t>Plaizier</t>
  </si>
  <si>
    <t>10.5713/ajas.1999.735</t>
  </si>
  <si>
    <t>JS0201.2</t>
  </si>
  <si>
    <t>Rubanza</t>
  </si>
  <si>
    <t>10.1007/s10457-005-0503-z</t>
  </si>
  <si>
    <t>10.1016/j.smallrumres.2006.02.008</t>
  </si>
  <si>
    <t>Safari</t>
  </si>
  <si>
    <t>10.1007/s11250-010-9658-3</t>
  </si>
  <si>
    <t>10.1016/j.livsci.2010.07.003</t>
  </si>
  <si>
    <t>Sarwatt</t>
  </si>
  <si>
    <t>10.1016/0377-8401(90)90067-i</t>
  </si>
  <si>
    <t>10.1016/0921-4488(92)90063-a</t>
  </si>
  <si>
    <t>https://link.springer.com/content/pdf/10.1023/A:1021396629613.pdf?pdf=button%20sticky</t>
  </si>
  <si>
    <t>Shayo</t>
  </si>
  <si>
    <t>https://www.researchgate.net/publication/286951563_Comparison_of_water_melon_Citrullus_vulgaris-seed_meal_Acacia_tortilis_pods_and_sunflower-seed_cake_supplements_in_central_Tanzania_2_Effect_on_hay_intake_and_milk_yield_and_composition_of_Mpwapwa_cow</t>
  </si>
  <si>
    <t>JS0214</t>
  </si>
  <si>
    <t>Shem</t>
  </si>
  <si>
    <t>10.1023/a:;1025454425048</t>
  </si>
  <si>
    <t>10.1016/S0377-8401(03)00167-6</t>
  </si>
  <si>
    <t>Aganga</t>
  </si>
  <si>
    <t>10.5713/ajas.2000.1127</t>
  </si>
  <si>
    <t>10.1023/a:;1005203806867</t>
  </si>
  <si>
    <t>JS0231</t>
  </si>
  <si>
    <t>Madibela</t>
  </si>
  <si>
    <t>Â 10.4314/sajas.v32i1.3786</t>
  </si>
  <si>
    <t>JS0232</t>
  </si>
  <si>
    <t>Rennie</t>
  </si>
  <si>
    <t>10.1007/bf02297380</t>
  </si>
  <si>
    <t>Alemu</t>
  </si>
  <si>
    <t>10.1007/s11250-009-9466-9</t>
  </si>
  <si>
    <t>Asmare</t>
  </si>
  <si>
    <t>10.1007/s11250-010-9591-5</t>
  </si>
  <si>
    <t>JS0261</t>
  </si>
  <si>
    <t>Betsha</t>
  </si>
  <si>
    <t>10.1007/s11250-008-9281-8</t>
  </si>
  <si>
    <t>Bishaw</t>
  </si>
  <si>
    <t>10.1007/s11250-008-9138-1</t>
  </si>
  <si>
    <t>Bonsi</t>
  </si>
  <si>
    <t>10.1017/S0003356100007728</t>
  </si>
  <si>
    <t>10.1007/bf00712077</t>
  </si>
  <si>
    <t>Coppock</t>
  </si>
  <si>
    <t>Journal of Range Management</t>
  </si>
  <si>
    <t>10.2307/4002969</t>
  </si>
  <si>
    <t>JS0269.2</t>
  </si>
  <si>
    <t>JS0270</t>
  </si>
  <si>
    <t>Journal of Range Management Archives</t>
  </si>
  <si>
    <t>10.2307/4003682</t>
  </si>
  <si>
    <t>Dana</t>
  </si>
  <si>
    <t>10.1016/S0301-6226(00)00154-8</t>
  </si>
  <si>
    <t>Degu</t>
  </si>
  <si>
    <t>10.1016/j.anifeedsci.2008.03.014</t>
  </si>
  <si>
    <t>Dessie</t>
  </si>
  <si>
    <t>10.1007/s11250-009-9496-3</t>
  </si>
  <si>
    <t>Gebregiorgis</t>
  </si>
  <si>
    <t>10.1007/s11250-011-9927-9</t>
  </si>
  <si>
    <t>Getachew</t>
  </si>
  <si>
    <t>10.1016/0377-8401(94)90068-x</t>
  </si>
  <si>
    <t>Hagos</t>
  </si>
  <si>
    <t>10.1007/s11250-008-9230-6</t>
  </si>
  <si>
    <t>Kaitho</t>
  </si>
  <si>
    <t>10.1016/s0301-6226(97)00152-8</t>
  </si>
  <si>
    <t>10.1023/a:;1005952801489</t>
  </si>
  <si>
    <t>10.1016/s0377-8401(97)00159-4</t>
  </si>
  <si>
    <t>Abatan</t>
  </si>
  <si>
    <t>10.1007/s11250-014-0695-1</t>
  </si>
  <si>
    <t>Diba</t>
  </si>
  <si>
    <t>10.1007/s11250-014-0725-z</t>
  </si>
  <si>
    <t>10.1016/j.aquaculture.2015.06.010</t>
  </si>
  <si>
    <t>Indian Journal of Fisheries</t>
  </si>
  <si>
    <t>https://faculty.ksu.edu.sa/sites/default/files/indian_journal_of_fisheries_0.pdf</t>
  </si>
  <si>
    <t>JS0299</t>
  </si>
  <si>
    <t>Donaldson</t>
  </si>
  <si>
    <t>10.1111/jpn.12250</t>
  </si>
  <si>
    <t>Mekuriaw</t>
  </si>
  <si>
    <t>Agriculture and Food Security</t>
  </si>
  <si>
    <t>10.1186/s40066-018-0182-4</t>
  </si>
  <si>
    <t>Abo-Zeid</t>
  </si>
  <si>
    <t>10.1016/j.anifeedsci.2017.09.011</t>
  </si>
  <si>
    <t>Acheampong-Boateng</t>
  </si>
  <si>
    <t>10.1007/s11250-017-1250-7</t>
  </si>
  <si>
    <t>Adomako</t>
  </si>
  <si>
    <t>British Poultry Science</t>
  </si>
  <si>
    <t>10.1080/00071668.2014.960805</t>
  </si>
  <si>
    <t>JS0311</t>
  </si>
  <si>
    <t>Agbor</t>
  </si>
  <si>
    <t>10.1007/s11250-012-0327-6</t>
  </si>
  <si>
    <t>10.1016/j.smallrumres.2015.05.004</t>
  </si>
  <si>
    <t>Bekele</t>
  </si>
  <si>
    <t>10.1007/s11250-013-0413-4</t>
  </si>
  <si>
    <t>JS0324.1</t>
  </si>
  <si>
    <t>Bwire</t>
  </si>
  <si>
    <t>10.1016/j.livprodsci.2003.07.010</t>
  </si>
  <si>
    <t>JS0324.2</t>
  </si>
  <si>
    <t>JS0326</t>
  </si>
  <si>
    <t>Pelster</t>
  </si>
  <si>
    <t>Journal of Environmental Quality</t>
  </si>
  <si>
    <t>10.2134/jeq2016.02.0050</t>
  </si>
  <si>
    <t>Oke</t>
  </si>
  <si>
    <t>10.1111/jpn.12597</t>
  </si>
  <si>
    <t>JS0341</t>
  </si>
  <si>
    <t>10.1111/jpn.12353</t>
  </si>
  <si>
    <t>Okoro</t>
  </si>
  <si>
    <t>Chilean Journal of Agricultural Research</t>
  </si>
  <si>
    <t>10.4067/S0718-58392017000400365</t>
  </si>
  <si>
    <t>10.1016/j.anifeedsci.2013.05.014</t>
  </si>
  <si>
    <t>10.1007/s11250-014-0590-9</t>
  </si>
  <si>
    <t>JS0345</t>
  </si>
  <si>
    <t>Selemani</t>
  </si>
  <si>
    <t>10.1007/s11250-015-0935-z</t>
  </si>
  <si>
    <t>Smeti</t>
  </si>
  <si>
    <t>10.1007/s11250-014-0721-3</t>
  </si>
  <si>
    <t>Animal Science Journal</t>
  </si>
  <si>
    <t>10.1111/asj.12352</t>
  </si>
  <si>
    <t>El-Sheekh</t>
  </si>
  <si>
    <t>10.4194/1303-2712-v14_2_18</t>
  </si>
  <si>
    <t>10.1007/s11250-015-0897-1</t>
  </si>
  <si>
    <t>JS0374</t>
  </si>
  <si>
    <t>Habtemicael</t>
  </si>
  <si>
    <t>African Journal of Ecology</t>
  </si>
  <si>
    <t>10.1111/aje.12185</t>
  </si>
  <si>
    <t>JS0393</t>
  </si>
  <si>
    <t>de Waal</t>
  </si>
  <si>
    <t>https://www.ajol.info/index.php/sajas/article/view/139681/129383</t>
  </si>
  <si>
    <t>JS0418</t>
  </si>
  <si>
    <t>Ngodigha</t>
  </si>
  <si>
    <t>10.1080/09712119.1994.9706031</t>
  </si>
  <si>
    <t>Ben Salem</t>
  </si>
  <si>
    <t>10.1016/S0921-4488(03)00186-X</t>
  </si>
  <si>
    <t>JS0421</t>
  </si>
  <si>
    <t>10.1016/s0921-4488(96)00998-4</t>
  </si>
  <si>
    <t>JS0423</t>
  </si>
  <si>
    <t>Nwanna</t>
  </si>
  <si>
    <t>Scienceasia</t>
  </si>
  <si>
    <t>10.2306/scienceasia1513-1874.2009.35.227</t>
  </si>
  <si>
    <t>Kato</t>
  </si>
  <si>
    <t>https://www.researchgate.net/profile/Fred-Kabi/publication/237085419_Effect_of_supplementary_protein_source_on_the_performance_of_indigenous_meat_goats_fed_Guinea_grass_hay/links/00b7d51f3934756a06000000/Effect-of-supplementary-protein-source-on-the-performance-of-indigenous-meat-goats-fed-Guinea-grass-hay.pdf</t>
  </si>
  <si>
    <t>Fombad</t>
  </si>
  <si>
    <t>10.1023/b:;trop.0000016828.48326.59</t>
  </si>
  <si>
    <t>Ngwa</t>
  </si>
  <si>
    <t>10.1023/a:1013789929102</t>
  </si>
  <si>
    <t>LM0019</t>
  </si>
  <si>
    <t>Njoya</t>
  </si>
  <si>
    <t>10.1007/bf02632304</t>
  </si>
  <si>
    <t>LM0020</t>
  </si>
  <si>
    <t>10.1016/S0921-4488(03)00010-5</t>
  </si>
  <si>
    <t>LM0024.1</t>
  </si>
  <si>
    <t>Pamo</t>
  </si>
  <si>
    <t>10.1016/j.smallrumres.2005.05.023</t>
  </si>
  <si>
    <t>10.1016/j.smallrumres.2005.02.011</t>
  </si>
  <si>
    <t>Ikurior</t>
  </si>
  <si>
    <t>10.1002/jsfa.2740440102</t>
  </si>
  <si>
    <t>10.1002/jsfa.2740610304</t>
  </si>
  <si>
    <t>LM0100</t>
  </si>
  <si>
    <t>Njidda</t>
  </si>
  <si>
    <t>Pakistan Veterinary Journal</t>
  </si>
  <si>
    <t>http://www.pvj.com.pk/pdf-files/30_1/7-12.pdf?q=the-science-of-alli</t>
  </si>
  <si>
    <t>LM0101</t>
  </si>
  <si>
    <t>Mubi</t>
  </si>
  <si>
    <t>Â 10.3923/ajava.2008.183.186</t>
  </si>
  <si>
    <t>London</t>
  </si>
  <si>
    <t>10.1016/s0377-8401(96)01138-8</t>
  </si>
  <si>
    <t>LM0104</t>
  </si>
  <si>
    <t>Kibon</t>
  </si>
  <si>
    <t>10.1007/bf02236887</t>
  </si>
  <si>
    <t>New Zealand Journal of Agricultural Research</t>
  </si>
  <si>
    <t>10.1080/00288233.2001.9513459</t>
  </si>
  <si>
    <t>South African Journal of Animal Science-Suid-Afrikaanse Tydskrif Vir Veekunde</t>
  </si>
  <si>
    <t>https://www.ajol.info/index.php/sajas/article/view/138698</t>
  </si>
  <si>
    <t>Chipa</t>
  </si>
  <si>
    <t>https://www.ajol.info/index.php/sajas/article/view/95816</t>
  </si>
  <si>
    <t>LM0116</t>
  </si>
  <si>
    <t>Cronje</t>
  </si>
  <si>
    <t>https://www.ajol.info/index.php/sajas/article/view/138885/128556</t>
  </si>
  <si>
    <t>Figueiredo</t>
  </si>
  <si>
    <t>10.1002/jsfa.2740660205</t>
  </si>
  <si>
    <t>10.3923/ajava.2011.1001.1009</t>
  </si>
  <si>
    <t>LM0121</t>
  </si>
  <si>
    <t>10.3923/ajava.2011.1076.1083</t>
  </si>
  <si>
    <t>LM0122</t>
  </si>
  <si>
    <t>Hoffman</t>
  </si>
  <si>
    <t>Water Sa</t>
  </si>
  <si>
    <t>https://www.wrc.org.za/wp-content/uploads/mdocs/WaterSA_1997_02_1009.PDF</t>
  </si>
  <si>
    <t>LM0123</t>
  </si>
  <si>
    <t>Lehmann</t>
  </si>
  <si>
    <t>https://www.researchgate.net/publication/277851773_Substituting_maize_grain_with_barley_grain_in_concentrates_fed_to_Jersey_cows_grazing_kikuyu-ryegrass_pasture</t>
  </si>
  <si>
    <t>LM0124</t>
  </si>
  <si>
    <t>Malleson</t>
  </si>
  <si>
    <t>http://www.scielo.org.za/scielo.php?script=sci_arttext&amp;pid=S0375-15892008000400006</t>
  </si>
  <si>
    <t>LM0125</t>
  </si>
  <si>
    <t>https://repository.up.ac.za/handle/2263/14350</t>
  </si>
  <si>
    <t>LM0126</t>
  </si>
  <si>
    <t>Mapiye</t>
  </si>
  <si>
    <t>10.1016/j.livsci.2009.07.001</t>
  </si>
  <si>
    <t>LM0127</t>
  </si>
  <si>
    <t>Meeske</t>
  </si>
  <si>
    <t>10.4314/sajas.v36i2.3992</t>
  </si>
  <si>
    <t>Mohlapo</t>
  </si>
  <si>
    <t>10.1007/s11250-009-9351-6</t>
  </si>
  <si>
    <t>Pieterse</t>
  </si>
  <si>
    <t>10.4314/sajas.v30i1.3878</t>
  </si>
  <si>
    <t>10.4314/sajas.v30i1.3877</t>
  </si>
  <si>
    <t>LM0136.2</t>
  </si>
  <si>
    <t>Archivos de Zootecnia</t>
  </si>
  <si>
    <t>https://dialnet.unirioja.es/servlet/articulo?codigo=5115003</t>
  </si>
  <si>
    <t>Einkamerer</t>
  </si>
  <si>
    <t>10.4314/sajas.v39i1.61178</t>
  </si>
  <si>
    <t>Abdulrazak</t>
  </si>
  <si>
    <t>10.1017/S1357729800015265</t>
  </si>
  <si>
    <t>10.1016/s0301-6226(97)00018-3</t>
  </si>
  <si>
    <t>Kahindi</t>
  </si>
  <si>
    <t>10.1016/j.smallrumres.2005.12.008</t>
  </si>
  <si>
    <t>Kariuki</t>
  </si>
  <si>
    <t>10.1016/s0301-6226(99)00035-4</t>
  </si>
  <si>
    <t>Muia</t>
  </si>
  <si>
    <t>10.1016/s0301-6226(00)00192-5</t>
  </si>
  <si>
    <t>Muinga</t>
  </si>
  <si>
    <t>10.1007/bf02236519</t>
  </si>
  <si>
    <t>10.1017/S1357729800008080</t>
  </si>
  <si>
    <t>Nyambati</t>
  </si>
  <si>
    <t>10.1016/S0301-6226(03)00094-0</t>
  </si>
  <si>
    <t>Ondiek</t>
  </si>
  <si>
    <t>10.1016/s0301-6226(99)00004-4</t>
  </si>
  <si>
    <t>LM0260</t>
  </si>
  <si>
    <t>Paterson</t>
  </si>
  <si>
    <t>10.1023/a:;1005119808090</t>
  </si>
  <si>
    <t>10.1023/a:;1005293019581</t>
  </si>
  <si>
    <t>Sawe</t>
  </si>
  <si>
    <t>10.1016/s0921-4488(97)00059-x</t>
  </si>
  <si>
    <t>Nambi</t>
  </si>
  <si>
    <t>10.1016/0377-8401(92)90123-n</t>
  </si>
  <si>
    <t>10.5713/ajas.2000.1249</t>
  </si>
  <si>
    <t>10.1007/s11250-012-0275-1</t>
  </si>
  <si>
    <t>LM0294</t>
  </si>
  <si>
    <t>Ojong</t>
  </si>
  <si>
    <t>Italian Journal of Animal Science</t>
  </si>
  <si>
    <t>10.1080/1828051X.2017.1326855</t>
  </si>
  <si>
    <t>Yasin</t>
  </si>
  <si>
    <t>10.1007/s11250-014-0615-4</t>
  </si>
  <si>
    <t>Tesfay</t>
  </si>
  <si>
    <t>10.1007/s11250-012-0227-9</t>
  </si>
  <si>
    <t>Tefera</t>
  </si>
  <si>
    <t>10.1007/s11250-015-0901-9</t>
  </si>
  <si>
    <t>Tsegay</t>
  </si>
  <si>
    <t>10.1016/j.smallrumres.2013.07.003</t>
  </si>
  <si>
    <t>Sharawy</t>
  </si>
  <si>
    <t>10.1016/j.anifeedsci.2015.12.009</t>
  </si>
  <si>
    <t>LM0311</t>
  </si>
  <si>
    <t>Soltan</t>
  </si>
  <si>
    <t>10.1016/j.anifeedsci.2017.11.021</t>
  </si>
  <si>
    <t>Suloma</t>
  </si>
  <si>
    <t>Aquaculture International</t>
  </si>
  <si>
    <t>10.1007/s10499-012-9559-8</t>
  </si>
  <si>
    <t>LM0315</t>
  </si>
  <si>
    <t>Olude</t>
  </si>
  <si>
    <t>10.1016/j.aninu.2016.09.001</t>
  </si>
  <si>
    <t>LM0320</t>
  </si>
  <si>
    <t>Ugwuowo</t>
  </si>
  <si>
    <t>Journal of Animal and Plant Sciences</t>
  </si>
  <si>
    <t>http://www.thejaps.org.pk/docs/v-27-03/02.pdf</t>
  </si>
  <si>
    <t>Yusuf</t>
  </si>
  <si>
    <t>10.4314/sajas.v48i1.10</t>
  </si>
  <si>
    <t>Mpanza</t>
  </si>
  <si>
    <t>10.1007/s11250-015-0876-6</t>
  </si>
  <si>
    <t>Samkelisiwe</t>
  </si>
  <si>
    <t>10.4194/1303-2712-v14_3_22</t>
  </si>
  <si>
    <t>Sebola</t>
  </si>
  <si>
    <t>10.1016/j.livsci.2015.04.019</t>
  </si>
  <si>
    <t>Sekali</t>
  </si>
  <si>
    <t>10.1007/s11250-016-1058-x</t>
  </si>
  <si>
    <t>van de Vyer</t>
  </si>
  <si>
    <t>10.4314/sajas.v43i5.21</t>
  </si>
  <si>
    <t>Masaka</t>
  </si>
  <si>
    <t>10.1007/s11250-015-0827-2</t>
  </si>
  <si>
    <t>10.1016/j.smallrumres.2015.02.018</t>
  </si>
  <si>
    <t>10.1016/j.anifeedsci.2015.04.017</t>
  </si>
  <si>
    <t>Solomon</t>
  </si>
  <si>
    <t>Journal of Nutrition and Metabolism</t>
  </si>
  <si>
    <t>10.1155/2017/8936060</t>
  </si>
  <si>
    <t>Fish &amp; Shellfish Immunology</t>
  </si>
  <si>
    <t>10.1016/j.fsi.2018.04.057</t>
  </si>
  <si>
    <t>10.1007/s11250-016-1031-8</t>
  </si>
  <si>
    <t>Ayeb</t>
  </si>
  <si>
    <t>10.1071/AN14879</t>
  </si>
  <si>
    <t>NJ0016</t>
  </si>
  <si>
    <t>10.1071/AN15900</t>
  </si>
  <si>
    <t>NJ0025</t>
  </si>
  <si>
    <t>10.1111/jpn.12303</t>
  </si>
  <si>
    <t>Disetlhe</t>
  </si>
  <si>
    <t>10.3382/ps/pey047</t>
  </si>
  <si>
    <t>10.1007/s11250-018-1577-8</t>
  </si>
  <si>
    <t>Negewo</t>
  </si>
  <si>
    <t>10.1007/s11250-018-1544-4</t>
  </si>
  <si>
    <t>Jiwuba</t>
  </si>
  <si>
    <t>10.1007/s11250-018-1559-x</t>
  </si>
  <si>
    <t>Kanengoni</t>
  </si>
  <si>
    <t>Journal of Animal Science</t>
  </si>
  <si>
    <t>10.2527/jas.2014-8067</t>
  </si>
  <si>
    <t>Araba</t>
  </si>
  <si>
    <t>10.1016/s0301-6226(02)00029-5</t>
  </si>
  <si>
    <t>Chriyaa</t>
  </si>
  <si>
    <t>10.1016/s0377-8401(96)01132-7</t>
  </si>
  <si>
    <t>Abdou</t>
  </si>
  <si>
    <t>10.1016/j.anifeedsci.2011.07.002</t>
  </si>
  <si>
    <t>Djibrillou</t>
  </si>
  <si>
    <t>10.1016/s0301-6226(98)00130-4</t>
  </si>
  <si>
    <t>Sangare</t>
  </si>
  <si>
    <t>10.1023/a:;1025875714804</t>
  </si>
  <si>
    <t>Abidi</t>
  </si>
  <si>
    <t>10.1016/j.smallrumres.2009.09.004</t>
  </si>
  <si>
    <t>Saidi</t>
  </si>
  <si>
    <t>10.1111/j.1365-2109.2010.02594.x</t>
  </si>
  <si>
    <t>10.1007/s11250-007-9070-9</t>
  </si>
  <si>
    <t>Ezieshi</t>
  </si>
  <si>
    <t>10.5897/AJB07.600</t>
  </si>
  <si>
    <t>NN0110.2</t>
  </si>
  <si>
    <t>10.1016/s0044-8486(98)00409-8</t>
  </si>
  <si>
    <t>NN0112</t>
  </si>
  <si>
    <t>10.1111/j.1365-2109.2004.01070.x</t>
  </si>
  <si>
    <t>10.1046/j.1439-0426.2001.00252.x</t>
  </si>
  <si>
    <t>NN0117</t>
  </si>
  <si>
    <t>Falaye</t>
  </si>
  <si>
    <t>https://evols.library.manoa.hawaii.edu/handle/10524/36301</t>
  </si>
  <si>
    <t>Fasakin</t>
  </si>
  <si>
    <t>10.1046/j.1365-2109.1999.00318.x</t>
  </si>
  <si>
    <t>https://www.ajol.info/index.php/ajb/article/view/57100</t>
  </si>
  <si>
    <t>Adesehinwa</t>
  </si>
  <si>
    <t>10.5897/AJB10.967</t>
  </si>
  <si>
    <t>NN0154</t>
  </si>
  <si>
    <t>10.1080/00288233.1999.9513396</t>
  </si>
  <si>
    <t>10.1016/0377-8401(94)00748-x</t>
  </si>
  <si>
    <t>10.1016/s0301-6226(02)00035-0</t>
  </si>
  <si>
    <t>10.4314/sajas.v40i2.57283</t>
  </si>
  <si>
    <t>NN0189</t>
  </si>
  <si>
    <t>Koralagama</t>
  </si>
  <si>
    <t>Animal</t>
  </si>
  <si>
    <t>10.1017/s1751731108001912</t>
  </si>
  <si>
    <t>10.1016/j.anifeedsci.2003.11.003</t>
  </si>
  <si>
    <t>Melesse</t>
  </si>
  <si>
    <t>10.1016/j.livsci.2013.08.012</t>
  </si>
  <si>
    <t>Nega</t>
  </si>
  <si>
    <t>10.1007/s11250-008-9215-5</t>
  </si>
  <si>
    <t>10.1016/s0377-8401(96)01048-6</t>
  </si>
  <si>
    <t>10.1007/s11250-009-9491-8</t>
  </si>
  <si>
    <t>10.1016/j.livsci.2008.08.005</t>
  </si>
  <si>
    <t>NN0207.1</t>
  </si>
  <si>
    <t>Osafo</t>
  </si>
  <si>
    <t>10.1017/S1357729800016295</t>
  </si>
  <si>
    <t>NN0207.2</t>
  </si>
  <si>
    <t>10.1016/j.livsci.2008.03.011</t>
  </si>
  <si>
    <t>Tafa</t>
  </si>
  <si>
    <t>10.1007/s11250-009-9475-8</t>
  </si>
  <si>
    <t>NN0214</t>
  </si>
  <si>
    <t>Tanner</t>
  </si>
  <si>
    <t>Animal Production</t>
  </si>
  <si>
    <t>10.1017/S0003356100005225</t>
  </si>
  <si>
    <t>NN0216</t>
  </si>
  <si>
    <t>Tegegne</t>
  </si>
  <si>
    <t>Journal of Agricultural Science</t>
  </si>
  <si>
    <t>10.1017/S0021859600068544</t>
  </si>
  <si>
    <t>10.1016/j.smallrumres.2006.10.004</t>
  </si>
  <si>
    <t>Tilahun</t>
  </si>
  <si>
    <t>10.1007/s11250-013-0532-y</t>
  </si>
  <si>
    <t>Tolera</t>
  </si>
  <si>
    <t>10.1016/s0377-8401(00)00135-8</t>
  </si>
  <si>
    <t>Umunna</t>
  </si>
  <si>
    <t>10.1080/09712119.1997.9706177</t>
  </si>
  <si>
    <t>Wallie</t>
  </si>
  <si>
    <t>10.1016/j.smallrumres.2011.07.014</t>
  </si>
  <si>
    <t>Yayneshet</t>
  </si>
  <si>
    <t>10.1016/j.livsci.2008.02.007</t>
  </si>
  <si>
    <t>Yeheyis</t>
  </si>
  <si>
    <t>10.1007/s11250-011-0066-0</t>
  </si>
  <si>
    <t>Yinnesu</t>
  </si>
  <si>
    <t>10.1007/s11250-011-9916-z</t>
  </si>
  <si>
    <t>NN0242</t>
  </si>
  <si>
    <t>Kangâ€™ombe</t>
  </si>
  <si>
    <t>10.1111/j.1365-2109.2006.01569.x</t>
  </si>
  <si>
    <t>NN0244.1</t>
  </si>
  <si>
    <t>Chikafumbwa</t>
  </si>
  <si>
    <t>10.1016/s0044-8486(96)01341-5</t>
  </si>
  <si>
    <t>NN0244.2</t>
  </si>
  <si>
    <t>Wambui</t>
  </si>
  <si>
    <t>10.5713/ajas.2006.992</t>
  </si>
  <si>
    <t>NN0253</t>
  </si>
  <si>
    <t>Waruiru</t>
  </si>
  <si>
    <t>Veterinary Research Communications</t>
  </si>
  <si>
    <t>10.1023/b:;verc.0000026670.64936.18</t>
  </si>
  <si>
    <t>https://cgspace.cgiar.org/handle/10568/29641</t>
  </si>
  <si>
    <t>Katongole</t>
  </si>
  <si>
    <t>10.1007/s11250-009-9357-0</t>
  </si>
  <si>
    <t>10.1007/s11250-008-9193-7</t>
  </si>
  <si>
    <t>NN0276.1</t>
  </si>
  <si>
    <t>Lapenga</t>
  </si>
  <si>
    <t>https://www.researchgate.net/publication/289652441_Effect_of_Feed_Supplements_on_Weight_Gain_and_Carcass_Characteristics_of_Intact_Male_Mubende_Goats_Fed_Elephant_Grass_Pennisetum_purpureum_ad_libitum_in_Uganda</t>
  </si>
  <si>
    <t>NN0276.2</t>
  </si>
  <si>
    <t>https://www.researchgate.net/publication/289580691_Growth_Performance_and_Feed_Utilization_by_Intact_Male_Mubende_Goats_Fed_Various_Supplements_with_Elephant_Grass_Pennisetum_purpureum_as_Basal_Diet_in_Uganda</t>
  </si>
  <si>
    <t>Mpairwe</t>
  </si>
  <si>
    <t>10.1023/A:1006097902270</t>
  </si>
  <si>
    <t>10.1016/s0301-6226(02)00176-8</t>
  </si>
  <si>
    <t>10.1016/s0301-6226(02)00178-1</t>
  </si>
  <si>
    <t>Mwesigwa</t>
  </si>
  <si>
    <t>10.1007/s11250-012-0237-7</t>
  </si>
  <si>
    <t>NN0299</t>
  </si>
  <si>
    <t>10.1007/s11250-010-9656-5</t>
  </si>
  <si>
    <t>NN0315</t>
  </si>
  <si>
    <t>Chakoma</t>
  </si>
  <si>
    <t>African Journal of Range &amp; Forage Science</t>
  </si>
  <si>
    <t>10.2989/10220119.2016.1207706</t>
  </si>
  <si>
    <t>Cherif</t>
  </si>
  <si>
    <t>10.1016/j.smallrumres.2017.11.008</t>
  </si>
  <si>
    <t>Chiloane</t>
  </si>
  <si>
    <t>10.4314/sajas.v43i2.6</t>
  </si>
  <si>
    <t>Evans</t>
  </si>
  <si>
    <t>Water Science and Technology</t>
  </si>
  <si>
    <t>10.2166/wst.2014.012</t>
  </si>
  <si>
    <t>Chisoro</t>
  </si>
  <si>
    <t>10.4314/sajas.v48i2.9</t>
  </si>
  <si>
    <t>10.1080/09712119.2016.1233108</t>
  </si>
  <si>
    <t>Journal of Fisheries</t>
  </si>
  <si>
    <t>10.17017/jfish.v3i1.2015.58</t>
  </si>
  <si>
    <t>Ermias</t>
  </si>
  <si>
    <t>10.1016/j.smallrumres.2013.05.010</t>
  </si>
  <si>
    <t>NN0331</t>
  </si>
  <si>
    <t>Fakayode</t>
  </si>
  <si>
    <t>Fisheries Society of Nigeria</t>
  </si>
  <si>
    <t>http://hdl.handle.net/1834/38233</t>
  </si>
  <si>
    <t>NN0334</t>
  </si>
  <si>
    <t>10.1016/j.livsci.2015.03.021</t>
  </si>
  <si>
    <t>NN0339.1</t>
  </si>
  <si>
    <t>Goosen</t>
  </si>
  <si>
    <t>10.1016/j.aquaculture.2014.03.040</t>
  </si>
  <si>
    <t>10.1016/j.aquaculture.2014.03.018</t>
  </si>
  <si>
    <t>NN0341</t>
  </si>
  <si>
    <t>10.1007/s10499-014-9873-4</t>
  </si>
  <si>
    <t>NN0342</t>
  </si>
  <si>
    <t>10.1016/j.anifeedsci.2013.10.019</t>
  </si>
  <si>
    <t>Yisehak</t>
  </si>
  <si>
    <t>10.1007/s11250-014-0605-6</t>
  </si>
  <si>
    <t>NN0352</t>
  </si>
  <si>
    <t>Chaplot</t>
  </si>
  <si>
    <t>Geoderma</t>
  </si>
  <si>
    <t>10.1016/j.geoderma.2016.02.010</t>
  </si>
  <si>
    <t>NN0356</t>
  </si>
  <si>
    <t>Kibwana</t>
  </si>
  <si>
    <t>https://orbi.uliege.be/bitstream/2268/165673/1/Katungu_PVJ.pdf</t>
  </si>
  <si>
    <t>Kambashi</t>
  </si>
  <si>
    <t>10.1007/s11250-016-1070-1</t>
  </si>
  <si>
    <t>Hassaan</t>
  </si>
  <si>
    <t>10.1111/anu.12424</t>
  </si>
  <si>
    <t>Michael</t>
  </si>
  <si>
    <t>10.1111/anu.12385</t>
  </si>
  <si>
    <t>NN0361</t>
  </si>
  <si>
    <t>Kholif</t>
  </si>
  <si>
    <t>10.1016/j.anifeedsci.2016.04.012</t>
  </si>
  <si>
    <t>10.1016/j.smallrumres.2015.05.007</t>
  </si>
  <si>
    <t>10.5713/ajas.2013.13405</t>
  </si>
  <si>
    <t>NN0365</t>
  </si>
  <si>
    <t>Hashem</t>
  </si>
  <si>
    <t>Annals of Animal Science</t>
  </si>
  <si>
    <t>10.1515/aoas-2016-0030</t>
  </si>
  <si>
    <t>Journal of Agricultural and Food Chemistry</t>
  </si>
  <si>
    <t>10.1021/acs.jafc.6b02625</t>
  </si>
  <si>
    <t>Mahmoud</t>
  </si>
  <si>
    <t>10.1016/j.aquaculture.2017.03.043</t>
  </si>
  <si>
    <t>10.1016/j.smallrumres.2017.10.014</t>
  </si>
  <si>
    <t>NN0369</t>
  </si>
  <si>
    <t>10.1016/j.anifeedsci.2015.01.007</t>
  </si>
  <si>
    <t>NN0370</t>
  </si>
  <si>
    <t>Khattab</t>
  </si>
  <si>
    <t>10.1016/j.livsci.2013.05.024</t>
  </si>
  <si>
    <t>NN0371</t>
  </si>
  <si>
    <t>Nasr</t>
  </si>
  <si>
    <t>Reproduction in Domestic Animals</t>
  </si>
  <si>
    <t>10.1111/rda.12881</t>
  </si>
  <si>
    <t>Hailemariam</t>
  </si>
  <si>
    <t>10.1007/s11250-015-0953-x</t>
  </si>
  <si>
    <t>Mohammed</t>
  </si>
  <si>
    <t>10.1007/s11250-011-0056-2</t>
  </si>
  <si>
    <t>Megersa</t>
  </si>
  <si>
    <t>10.1007/s11250-012-0264-4</t>
  </si>
  <si>
    <t>NN0376</t>
  </si>
  <si>
    <t>Haftay</t>
  </si>
  <si>
    <t>Rangeland Journal</t>
  </si>
  <si>
    <t>10.1071/RJ12054</t>
  </si>
  <si>
    <t>10.1007/s11250-014-0583-8</t>
  </si>
  <si>
    <t>Mathia</t>
  </si>
  <si>
    <t>10.1016/j.aquaculture.2012.05.002</t>
  </si>
  <si>
    <t>NN0383</t>
  </si>
  <si>
    <t>Ngugi</t>
  </si>
  <si>
    <t>10.1016/j.fsi.2015.03.025</t>
  </si>
  <si>
    <t>NN0384</t>
  </si>
  <si>
    <t>10.1111/are.13062</t>
  </si>
  <si>
    <t>Isah</t>
  </si>
  <si>
    <t>10.1007/s11250-015-0823-6</t>
  </si>
  <si>
    <t>Kwari</t>
  </si>
  <si>
    <t>International Journal of Poultry Science</t>
  </si>
  <si>
    <t>10.3923/ijps.2012.333.337</t>
  </si>
  <si>
    <t>10.1007/s11250-016-1019-4</t>
  </si>
  <si>
    <t>Mukasafari</t>
  </si>
  <si>
    <t>10.1007/s11250-017-1446-x</t>
  </si>
  <si>
    <t>JO1011</t>
  </si>
  <si>
    <t>Mataveia</t>
  </si>
  <si>
    <t>Black Sea Journal of Agriculture</t>
  </si>
  <si>
    <t>https://dergipark.org.tr/en/download/article-file/657153</t>
  </si>
  <si>
    <t>ERA 2024 Livestock</t>
  </si>
  <si>
    <t>Mathobela</t>
  </si>
  <si>
    <t>Applied Ecology and Environmental Research</t>
  </si>
  <si>
    <t>10.15666/aeer/2002_11391151</t>
  </si>
  <si>
    <t>BO1008</t>
  </si>
  <si>
    <t>Helal</t>
  </si>
  <si>
    <t>Research Journal of Animal and Veterinary Sciences</t>
  </si>
  <si>
    <t>10.22587/rjavs.2018.10.2.3</t>
  </si>
  <si>
    <t>Acta fytotechn zootechn</t>
  </si>
  <si>
    <t>10.15414/afz.2019.22.03.64-70</t>
  </si>
  <si>
    <t>Mushunje</t>
  </si>
  <si>
    <t>10.1007/s11250-024-04004-z</t>
  </si>
  <si>
    <t>Tadesse</t>
  </si>
  <si>
    <t>10.56369/tsaes.4060</t>
  </si>
  <si>
    <t>10.1080/09712119.2023.2288613</t>
  </si>
  <si>
    <t>Mohamed</t>
  </si>
  <si>
    <t>International Journal of Current Microbiology and Applied Sciences</t>
  </si>
  <si>
    <t>10.20546/ijcmas.2020.907.371</t>
  </si>
  <si>
    <t>BO1015</t>
  </si>
  <si>
    <t>El-Kholany</t>
  </si>
  <si>
    <t>Journal of Animal and Poultry Production</t>
  </si>
  <si>
    <t>10.21608/jappmu.2019.40301</t>
  </si>
  <si>
    <t>Mwangi</t>
  </si>
  <si>
    <t>10.3389/fanim.2024.1296203</t>
  </si>
  <si>
    <t>BO1017</t>
  </si>
  <si>
    <t>Kenana</t>
  </si>
  <si>
    <t>International Journal of Veterinary Sciences and Animal Husbandry</t>
  </si>
  <si>
    <t>https://www.veterinarypaper.com/pdf/2020/vol5issue5/PartA/5-4-41-537.pdf</t>
  </si>
  <si>
    <t>BO1018</t>
  </si>
  <si>
    <t>Kewan</t>
  </si>
  <si>
    <t>Online Journal of Animal and Feed Research</t>
  </si>
  <si>
    <t>10.51227/ojafr.2021.18</t>
  </si>
  <si>
    <t>Sustainability, Agriculture, Food and Environmental Research</t>
  </si>
  <si>
    <t>10.7770/safer-V11N1-art2249</t>
  </si>
  <si>
    <t>BO1020</t>
  </si>
  <si>
    <t>Aboamer</t>
  </si>
  <si>
    <t>Egyptian Journal of Nutrition and Feeds</t>
  </si>
  <si>
    <t>10.21608/ejnf.2023.297886</t>
  </si>
  <si>
    <t>Brhanu</t>
  </si>
  <si>
    <t>10.36380/scil.2019.ojafr27</t>
  </si>
  <si>
    <t>BO1025</t>
  </si>
  <si>
    <t>Mengistu</t>
  </si>
  <si>
    <t>10.1155/2020/9308761</t>
  </si>
  <si>
    <t>American Journal of Zoology</t>
  </si>
  <si>
    <t>10.11648/j.ajz.20230604.12</t>
  </si>
  <si>
    <t>BO1031</t>
  </si>
  <si>
    <t>Indonesian Journal of Animal and Veterinary Sciences</t>
  </si>
  <si>
    <t>10.14334/jitv.v23i1.1634</t>
  </si>
  <si>
    <t>Hassan</t>
  </si>
  <si>
    <t>10.3390/ani14131878</t>
  </si>
  <si>
    <t>CJ1009</t>
  </si>
  <si>
    <t>Marius</t>
  </si>
  <si>
    <t>10.4314/sajas.v48i5.11</t>
  </si>
  <si>
    <t>CJ1013</t>
  </si>
  <si>
    <t>Kodbe</t>
  </si>
  <si>
    <t>Open Journal of Animal Sciences</t>
  </si>
  <si>
    <t>Eyoh</t>
  </si>
  <si>
    <t>Current Agriculture Research Journal</t>
  </si>
  <si>
    <t>10.12944/carj.7.2.13</t>
  </si>
  <si>
    <t>Â 10.21608/jappmu.2018.38935</t>
  </si>
  <si>
    <t>Safoura</t>
  </si>
  <si>
    <t>International Journal of Environment, Agriculture and Biotechnology</t>
  </si>
  <si>
    <t>10.22161/ijeab.61.20</t>
  </si>
  <si>
    <t>Odeyinka</t>
  </si>
  <si>
    <t>Nigerian Journal of Animal Production</t>
  </si>
  <si>
    <t>10.51791/njap.v28i1.1888</t>
  </si>
  <si>
    <t>EM1010</t>
  </si>
  <si>
    <t>EL-Hedainy</t>
  </si>
  <si>
    <t>International Journal of Veterinary Science and Research</t>
  </si>
  <si>
    <t>https://www.veteringroup.us/articles/IJVSR-6-172.php</t>
  </si>
  <si>
    <t>Wandara</t>
  </si>
  <si>
    <t>International Journal of Animal Science and Technology</t>
  </si>
  <si>
    <t>10.11648/j.ijast.20200402.12</t>
  </si>
  <si>
    <t>Kumsa</t>
  </si>
  <si>
    <t>Science, Technology and Arts Research Journal</t>
  </si>
  <si>
    <t>10.4314/star.v5i1.6</t>
  </si>
  <si>
    <t>Ng`ambi</t>
  </si>
  <si>
    <t>10.15666/aeer/1603_21972212</t>
  </si>
  <si>
    <t>Ng'ambi</t>
  </si>
  <si>
    <t>Kemboi</t>
  </si>
  <si>
    <t>10.1007/s11250-023-03545-z</t>
  </si>
  <si>
    <t>Tano</t>
  </si>
  <si>
    <t>10.1080/09712119.2024.2344594</t>
  </si>
  <si>
    <t>Daghash</t>
  </si>
  <si>
    <t>Assiut Journal of Agricultural Sciences</t>
  </si>
  <si>
    <t>Â 10.21608/ajas.2024.266071.1331</t>
  </si>
  <si>
    <t>EM1019</t>
  </si>
  <si>
    <t>Miegoue</t>
  </si>
  <si>
    <t>Journal of Animal Husbandry and Dairy Science</t>
  </si>
  <si>
    <t>10.22259/2637-5354.0701001</t>
  </si>
  <si>
    <t>JO1012</t>
  </si>
  <si>
    <t>Kekana</t>
  </si>
  <si>
    <t>http://www.sasas.co.za</t>
  </si>
  <si>
    <t>JO1013</t>
  </si>
  <si>
    <t>Okunade</t>
  </si>
  <si>
    <t>Sciendo</t>
  </si>
  <si>
    <t>102478/azibna-2020-0009</t>
  </si>
  <si>
    <t>JO1014</t>
  </si>
  <si>
    <t>Ebeid</t>
  </si>
  <si>
    <t>Journal of Animal Health and Production</t>
  </si>
  <si>
    <t>10.17582/journal.jahp/2022/10.4.466.474</t>
  </si>
  <si>
    <t>Heliyon</t>
  </si>
  <si>
    <t>https://ssrn.com/abstract=3916704</t>
  </si>
  <si>
    <t>JO1017</t>
  </si>
  <si>
    <t>Shaarawy</t>
  </si>
  <si>
    <t>Egyptian Journal of Sheep and Goat Sciences</t>
  </si>
  <si>
    <t>https://ejsgs.journals.ekb.eg</t>
  </si>
  <si>
    <t>JO1018</t>
  </si>
  <si>
    <t>Shoyombo</t>
  </si>
  <si>
    <t>Journal of Animal Science and Veterinary Medicine</t>
  </si>
  <si>
    <t>10.31248/JASVM2021.301</t>
  </si>
  <si>
    <t>JO1019</t>
  </si>
  <si>
    <t>Nigerian Agricultural Journal</t>
  </si>
  <si>
    <t>http://www.ajol.info/index.php/naj</t>
  </si>
  <si>
    <t>JO1020</t>
  </si>
  <si>
    <t>Eissa</t>
  </si>
  <si>
    <t>10.21608/ejnf.2022.236557</t>
  </si>
  <si>
    <t>JO1021</t>
  </si>
  <si>
    <t>Avornyo</t>
  </si>
  <si>
    <t>10.1007/s11250-019-01989-w</t>
  </si>
  <si>
    <t>Gebrekidan</t>
  </si>
  <si>
    <t>Journal of Agriculture and Ecology Research International</t>
  </si>
  <si>
    <t>10.9734/JAERI/2019/v20i130097</t>
  </si>
  <si>
    <t>Galla</t>
  </si>
  <si>
    <t>Open Journal of Animal Science</t>
  </si>
  <si>
    <t>10.4236/ojas.2020.103039</t>
  </si>
  <si>
    <t>https://www.scirp.org/journal/ojas</t>
  </si>
  <si>
    <t>Mekonnen</t>
  </si>
  <si>
    <t>Tropical Grasslands-Forrajes Tropicales</t>
  </si>
  <si>
    <t>10.17138/TGFT(7)519-526</t>
  </si>
  <si>
    <t>Atsbha</t>
  </si>
  <si>
    <t>10.5897/AJAR2020.15053</t>
  </si>
  <si>
    <t>JO1029</t>
  </si>
  <si>
    <t>Mediksa</t>
  </si>
  <si>
    <t>American Journal of Applied Scientific Research</t>
  </si>
  <si>
    <t>10.11648/j.ajasr.20210702.12</t>
  </si>
  <si>
    <t>Adeola</t>
  </si>
  <si>
    <t>10.17582/journal.jahp/2021/9.2.107.111</t>
  </si>
  <si>
    <t>10.56369/tsaes.3769</t>
  </si>
  <si>
    <t>Terefe</t>
  </si>
  <si>
    <t>Advances in Agriculture</t>
  </si>
  <si>
    <t>10.11648/j.aas.20210604.11</t>
  </si>
  <si>
    <t>JO1033</t>
  </si>
  <si>
    <t>American Journal of BioScience</t>
  </si>
  <si>
    <t>10.11648/j.ajbio.20231105.13</t>
  </si>
  <si>
    <t>Ikyume,</t>
  </si>
  <si>
    <t>10.22259/2637-5354.0201004</t>
  </si>
  <si>
    <t>JO1035</t>
  </si>
  <si>
    <t>Mekki</t>
  </si>
  <si>
    <t>Archives Animal Breeding</t>
  </si>
  <si>
    <t>10.5194/aab-65-113-2022</t>
  </si>
  <si>
    <t>Ayele</t>
  </si>
  <si>
    <t>10.4236/ojas.2022.121006</t>
  </si>
  <si>
    <t>Ikusika</t>
  </si>
  <si>
    <t>Open Agriculture</t>
  </si>
  <si>
    <t>10.1515/opag-2022-0161</t>
  </si>
  <si>
    <t>Yimenu</t>
  </si>
  <si>
    <t>Veterinary Medicine and Science</t>
  </si>
  <si>
    <t>10.1002/vms3.1226</t>
  </si>
  <si>
    <t>Moyo</t>
  </si>
  <si>
    <t>10.5713/ajas.17.0901</t>
  </si>
  <si>
    <t>JO1039.2</t>
  </si>
  <si>
    <t>Abera</t>
  </si>
  <si>
    <t>The Open Agriculture Journal</t>
  </si>
  <si>
    <t>10.2174/1874331501812010084</t>
  </si>
  <si>
    <t>Chali</t>
  </si>
  <si>
    <t>10.5713/ajas.17.0831</t>
  </si>
  <si>
    <t>BO1011</t>
  </si>
  <si>
    <t>10.22587/rjavs.2018.10.1.5</t>
  </si>
  <si>
    <t>BO1000</t>
  </si>
  <si>
    <t>Tekliye</t>
  </si>
  <si>
    <t>10.1186/s40066-018-0226-9</t>
  </si>
  <si>
    <t>BO1002</t>
  </si>
  <si>
    <t>10.3390/ani12121589</t>
  </si>
  <si>
    <t>BO1003</t>
  </si>
  <si>
    <t>Rakotoarivonona</t>
  </si>
  <si>
    <t>10.17660/ActaHortic.2022.1343.8</t>
  </si>
  <si>
    <t>BO1004</t>
  </si>
  <si>
    <t>Dufera</t>
  </si>
  <si>
    <t>Open Access Journal of Agricultural Research</t>
  </si>
  <si>
    <t>10.23880/oajar-16000316</t>
  </si>
  <si>
    <t>Leketa</t>
  </si>
  <si>
    <t>10.4314/sajas.v49i5.17</t>
  </si>
  <si>
    <t>El-Sheikh</t>
  </si>
  <si>
    <t>10.21608/jappmu.2023.229940.1086</t>
  </si>
  <si>
    <t>BO1021</t>
  </si>
  <si>
    <t>El-Hawy</t>
  </si>
  <si>
    <t>10.22587/rjavs.2018.10.1.4</t>
  </si>
  <si>
    <t>Abo-Donia</t>
  </si>
  <si>
    <t>10.1007/s11250-024-03945-9</t>
  </si>
  <si>
    <t>Roba</t>
  </si>
  <si>
    <t>10.1016/j.heliyon.2022.e11958</t>
  </si>
  <si>
    <t>Kumssa</t>
  </si>
  <si>
    <t>Agricultural Research and Technology: Open Access Journal</t>
  </si>
  <si>
    <t>10.19080/ARTOAJ.2018.17.556024</t>
  </si>
  <si>
    <t>10.21608/jappmu.2020.161173</t>
  </si>
  <si>
    <t>BO1030</t>
  </si>
  <si>
    <t>Wuanor</t>
  </si>
  <si>
    <t>10.31248/JASVM2018.104</t>
  </si>
  <si>
    <t>BO1034</t>
  </si>
  <si>
    <t>Omotoso</t>
  </si>
  <si>
    <t>Agricultura Tropica et Subtropica</t>
  </si>
  <si>
    <t>10.2478/ats-2021-0018</t>
  </si>
  <si>
    <t>10.51227/ojafr.2022.30</t>
  </si>
  <si>
    <t>BO1036</t>
  </si>
  <si>
    <t>CABI Agriculture and Bioscience</t>
  </si>
  <si>
    <t>10.1186/s43170-022-00137-z</t>
  </si>
  <si>
    <t>Okoruwa</t>
  </si>
  <si>
    <t>World Journal of Advanced Research and Reviews</t>
  </si>
  <si>
    <t>10.30574/wjarr.2021.12.2.0615</t>
  </si>
  <si>
    <t>10.22259/2637-5354.0201003</t>
  </si>
  <si>
    <t>Sasu</t>
  </si>
  <si>
    <t>Frontiers in Animal Science</t>
  </si>
  <si>
    <t>10.3389/fanim.2023.1108012</t>
  </si>
  <si>
    <t>BO1040</t>
  </si>
  <si>
    <t>https://doi.org/10.21608/ejnf.2018.75519</t>
  </si>
  <si>
    <t>BO1041</t>
  </si>
  <si>
    <t>Kuleile</t>
  </si>
  <si>
    <t>10.51227/ojafr.2021.28</t>
  </si>
  <si>
    <t>Omachi</t>
  </si>
  <si>
    <t>Animal and Veterinary Sciences</t>
  </si>
  <si>
    <t>10.11648/j.avs.20200801.12</t>
  </si>
  <si>
    <t>Gboshe</t>
  </si>
  <si>
    <t>10.11648/j.avs.20200801.15</t>
  </si>
  <si>
    <t>Ogunbosoye</t>
  </si>
  <si>
    <t>Turkish Journal of Agriculture - Food Science and Technology</t>
  </si>
  <si>
    <t>10.24925/turjaf.v10i12.2397-2404.5244</t>
  </si>
  <si>
    <t>Eliwa</t>
  </si>
  <si>
    <t>Archives of Agriculture Sciences Journal</t>
  </si>
  <si>
    <t>10.21608/aasj.2020.134916</t>
  </si>
  <si>
    <t>Ansah</t>
  </si>
  <si>
    <t>Ghana Journal of Agricultural Sciences</t>
  </si>
  <si>
    <t>10.4314/gjas.v54i1.7</t>
  </si>
  <si>
    <t>BO1047</t>
  </si>
  <si>
    <t>Begna</t>
  </si>
  <si>
    <t>Food Science &amp; Nutrition</t>
  </si>
  <si>
    <t>10.1002/fsn3.3687</t>
  </si>
  <si>
    <t>Nigerian Journal of Animal Science and Technology</t>
  </si>
  <si>
    <t>file:///C:/Users/Admin/Downloads/9-Article%20Text-30-1-10-20191004%20(5).pdf</t>
  </si>
  <si>
    <t>Aziz</t>
  </si>
  <si>
    <t>10.21608/jappmu.2020.112795</t>
  </si>
  <si>
    <t>BO1050</t>
  </si>
  <si>
    <t>Ftiwi</t>
  </si>
  <si>
    <t>Journal of Biology, Agriculture and Healthcare</t>
  </si>
  <si>
    <t>10.7176/JBAH</t>
  </si>
  <si>
    <t>Yacout</t>
  </si>
  <si>
    <t>Bulletin of the University of Agricultural Sciences and Veterinary Medicine Cluj-Napoca Animal Science and BiotechnologiesÂ </t>
  </si>
  <si>
    <t>10.15835/buasvmcn-asb:2021.0009</t>
  </si>
  <si>
    <t>Soliman</t>
  </si>
  <si>
    <t>10.21608/jappmu.2020.87135</t>
  </si>
  <si>
    <t>Shakweer</t>
  </si>
  <si>
    <t>Sani</t>
  </si>
  <si>
    <t>FUDMA Journal of Sciences</t>
  </si>
  <si>
    <t>10.33003/fjs-2021-0501-543</t>
  </si>
  <si>
    <t>BO1055</t>
  </si>
  <si>
    <t>Salum</t>
  </si>
  <si>
    <t>10.11648/j.ijast.20240802.12</t>
  </si>
  <si>
    <t>Nayel</t>
  </si>
  <si>
    <t>10.21608/ejnf.2023.316696</t>
  </si>
  <si>
    <t>Konan</t>
  </si>
  <si>
    <t>10.5539/jas.v13n4p93</t>
  </si>
  <si>
    <t>BO1058</t>
  </si>
  <si>
    <t>10.21608/jappmu.2020.112792</t>
  </si>
  <si>
    <t>BO1059</t>
  </si>
  <si>
    <t>Suliman</t>
  </si>
  <si>
    <t>10.21608/ajas.2024.269374.1335</t>
  </si>
  <si>
    <t>Journal of Food, Nutrition and Agriculture</t>
  </si>
  <si>
    <t>10.21839/jfna.2019.v2i1.236</t>
  </si>
  <si>
    <t>Nathalie</t>
  </si>
  <si>
    <t>10.11648/j.avs.20200806.11</t>
  </si>
  <si>
    <t>Mulaudzi</t>
  </si>
  <si>
    <t>Poultry</t>
  </si>
  <si>
    <t>10.3390/poultry1020006</t>
  </si>
  <si>
    <t>10.3390/su14095067</t>
  </si>
  <si>
    <t>Chingala</t>
  </si>
  <si>
    <t>10.4314/sajas.v49i2.18</t>
  </si>
  <si>
    <t>BO1066</t>
  </si>
  <si>
    <t>Yagoubi</t>
  </si>
  <si>
    <t>10.3390/ani11030655</t>
  </si>
  <si>
    <t>BO1067</t>
  </si>
  <si>
    <t>Shehabeldin</t>
  </si>
  <si>
    <t>10.21608/jappmu.2021.153289</t>
  </si>
  <si>
    <t>Meteab</t>
  </si>
  <si>
    <t>10.22161/ijeab.51.26</t>
  </si>
  <si>
    <t>Ruvuga</t>
  </si>
  <si>
    <t>10.5897/AJAR2021.15785</t>
  </si>
  <si>
    <t>Assessment and impact of grass and forage quality</t>
  </si>
  <si>
    <t>https://uknowledge.uky.edu/cgi/viewcontent.cgi?article=1281&amp;context=igc</t>
  </si>
  <si>
    <t>10.3390/ani10061021</t>
  </si>
  <si>
    <t>BO1072</t>
  </si>
  <si>
    <t>Umoh</t>
  </si>
  <si>
    <t>10.51791/njap.v7i2.2121</t>
  </si>
  <si>
    <t>BO1073</t>
  </si>
  <si>
    <t>El-Deeb</t>
  </si>
  <si>
    <t>10.21608/ejnf.2023.297952</t>
  </si>
  <si>
    <t>Alokan</t>
  </si>
  <si>
    <t>10.51791/njap.v15i.1247</t>
  </si>
  <si>
    <t>Akoto</t>
  </si>
  <si>
    <t>Global Journal of Ecology</t>
  </si>
  <si>
    <t>10.17352/gje.000061</t>
  </si>
  <si>
    <t>BO1076</t>
  </si>
  <si>
    <t>El-Fadel</t>
  </si>
  <si>
    <t>10.21608/jappmu.2018.38949</t>
  </si>
  <si>
    <t>BO1077</t>
  </si>
  <si>
    <t>Finangwai</t>
  </si>
  <si>
    <t>10.51791/njap.v45i1.354</t>
  </si>
  <si>
    <t>BO1078</t>
  </si>
  <si>
    <t>Negussie</t>
  </si>
  <si>
    <t>Journal of Animal Research</t>
  </si>
  <si>
    <t>10.30954/2277-940X.04.2020.2</t>
  </si>
  <si>
    <t>Gomaa</t>
  </si>
  <si>
    <t>Egyptian Journal of Sheep &amp; Goat Sciences</t>
  </si>
  <si>
    <t>10.21608/ejsgs.2018.26300</t>
  </si>
  <si>
    <t>Getnet</t>
  </si>
  <si>
    <t>10.11648/j.avs.20231105.12</t>
  </si>
  <si>
    <t>Journal of Animal Sciences and Livestock Production</t>
  </si>
  <si>
    <t>10.36648/2577-0594.4.1.2</t>
  </si>
  <si>
    <t>Idrissou</t>
  </si>
  <si>
    <t>Revue dâ€™Ã©levage et de mÃ©decine vÃ©tÃ©rinaire des pays tropicaux</t>
  </si>
  <si>
    <t>10.19182/remvt.31875</t>
  </si>
  <si>
    <t>BO1083</t>
  </si>
  <si>
    <t>10.51791/njap.v45i2.498</t>
  </si>
  <si>
    <t>Tusa</t>
  </si>
  <si>
    <t>https://njast.com.ng/index.php/home/article/view/113#:~:text=The%20dry%20matter%20content%20of,12.38%25%20from%20T1%20to%20T4.</t>
  </si>
  <si>
    <t>Annals of Agricultural Science, Moshtohor</t>
  </si>
  <si>
    <t>Sources</t>
  </si>
  <si>
    <t>BO1086</t>
  </si>
  <si>
    <t>Kochare</t>
  </si>
  <si>
    <t>Cogent Food &amp; Agriculture</t>
  </si>
  <si>
    <t>10.1080/23311932.2023.2285227</t>
  </si>
  <si>
    <t>Shitaneh</t>
  </si>
  <si>
    <t>10.1002/vms3.617</t>
  </si>
  <si>
    <t>Olamilusi</t>
  </si>
  <si>
    <t>10.51791/njap.v46i2.35</t>
  </si>
  <si>
    <t>BO1089</t>
  </si>
  <si>
    <t>Adegbola</t>
  </si>
  <si>
    <t>10.51791/njap.v15i.968</t>
  </si>
  <si>
    <t>BO1090</t>
  </si>
  <si>
    <t>Aman</t>
  </si>
  <si>
    <t>Food Science and Quality Management</t>
  </si>
  <si>
    <t>10.7176/fsqm/90-02</t>
  </si>
  <si>
    <t>BO1091</t>
  </si>
  <si>
    <t>Translational Animal Science</t>
  </si>
  <si>
    <t>10.1093/tas/txaa149</t>
  </si>
  <si>
    <t>Ogunjemite</t>
  </si>
  <si>
    <t>Journal of Basic and Applied Research International</t>
  </si>
  <si>
    <t>10.56557/jobari/2023/v29i5-68550</t>
  </si>
  <si>
    <t>Okah</t>
  </si>
  <si>
    <t>Nigerian Journal of Animal Science</t>
  </si>
  <si>
    <t>https://www.ajol.info/index.php/tjas/article/download/187902/177179</t>
  </si>
  <si>
    <t>BO1095</t>
  </si>
  <si>
    <t>Elgaml</t>
  </si>
  <si>
    <t>Journal of Food and Animal Science</t>
  </si>
  <si>
    <t>10.21608/jfds.2020.130425</t>
  </si>
  <si>
    <t>Kwaido</t>
  </si>
  <si>
    <t>Scientific Journal of Animal Science</t>
  </si>
  <si>
    <t>http://www.sjournals.com/index.php/sjas/article/view/1596</t>
  </si>
  <si>
    <t>BO1097</t>
  </si>
  <si>
    <t>Dadi</t>
  </si>
  <si>
    <t>World Journal of Social Science Research</t>
  </si>
  <si>
    <t>10.22158/wjssr.v11n3p73</t>
  </si>
  <si>
    <t>BO1098</t>
  </si>
  <si>
    <t>Obioha</t>
  </si>
  <si>
    <t>Aceh Journal of Animal Science</t>
  </si>
  <si>
    <t>10.13170/ajas.3.2.11834</t>
  </si>
  <si>
    <t>10.11648/j.avs.20200804.13</t>
  </si>
  <si>
    <t>Abreha</t>
  </si>
  <si>
    <t>10.2174/1874331501913010207</t>
  </si>
  <si>
    <t>10.1016/j.heliyon.2022.e10181</t>
  </si>
  <si>
    <t>CJ1002</t>
  </si>
  <si>
    <t>10.4314/sajas.v49i2.10</t>
  </si>
  <si>
    <t>Taiwo</t>
  </si>
  <si>
    <t>10.51791/njap.v22i1.2033</t>
  </si>
  <si>
    <t>CJ1005</t>
  </si>
  <si>
    <t>Mhlongo</t>
  </si>
  <si>
    <t>Veterinary and Animal Science</t>
  </si>
  <si>
    <t>10.1016/j.vas.2023.100299</t>
  </si>
  <si>
    <t>El-Esawy</t>
  </si>
  <si>
    <t>Egyptian Journal of  Nutrition and Feeds</t>
  </si>
  <si>
    <t>10.21608/ejnf.2018.63233</t>
  </si>
  <si>
    <t>CJ1007</t>
  </si>
  <si>
    <t>Shaer</t>
  </si>
  <si>
    <t>American-Eurasian Journal of Sustainable Agriculture</t>
  </si>
  <si>
    <t>10.22587/aejsa.2018.12.1.3</t>
  </si>
  <si>
    <t>CJ1008</t>
  </si>
  <si>
    <t>Adebayo</t>
  </si>
  <si>
    <t>Journal of Agricultural Science and Practice</t>
  </si>
  <si>
    <t>10.31248/jasp2023.449</t>
  </si>
  <si>
    <t>CJ1010</t>
  </si>
  <si>
    <t>Babayemi</t>
  </si>
  <si>
    <t>10.51791/njap.v47i5.1264</t>
  </si>
  <si>
    <t>CJ1011</t>
  </si>
  <si>
    <t>Ayandiran</t>
  </si>
  <si>
    <t>10.51791/njap.v46i2.40</t>
  </si>
  <si>
    <t>CJ1012</t>
  </si>
  <si>
    <t>Philippe</t>
  </si>
  <si>
    <t>10.22271/veterinary.2023.v8.i3b.527</t>
  </si>
  <si>
    <t>CJ1014</t>
  </si>
  <si>
    <t>Suleiman</t>
  </si>
  <si>
    <t>10.51791/njap.v43i1.2755</t>
  </si>
  <si>
    <t>Younan</t>
  </si>
  <si>
    <t>10.21608/ejnf.2018.75401</t>
  </si>
  <si>
    <t>Ocheja</t>
  </si>
  <si>
    <t>Scholars Journal of Agriculture and Veterinary Sciences</t>
  </si>
  <si>
    <t>10.36347/sjavs.2021.v08i05.002</t>
  </si>
  <si>
    <t>CJ1017</t>
  </si>
  <si>
    <t>Global Veterinaria</t>
  </si>
  <si>
    <t>10.5829/idosi.gv.2023.01.11</t>
  </si>
  <si>
    <t>CJ1018</t>
  </si>
  <si>
    <t>Monegi</t>
  </si>
  <si>
    <t>Animals</t>
  </si>
  <si>
    <t>10.3390/ani13223509</t>
  </si>
  <si>
    <t>Veterinary Medicine and Public Health Journal</t>
  </si>
  <si>
    <t>10.31559/VMPH2021.2.2.3</t>
  </si>
  <si>
    <t>Abdel-Rahman</t>
  </si>
  <si>
    <t>10.17582/journal.jahp/2019/7.4.131.141</t>
  </si>
  <si>
    <t>Adugna</t>
  </si>
  <si>
    <t>10.1002/vms3.1068</t>
  </si>
  <si>
    <t>John</t>
  </si>
  <si>
    <t>10.1007/s11250-022-03066-1</t>
  </si>
  <si>
    <t>Simone</t>
  </si>
  <si>
    <t>Turkish Journal of Agriculture-Food Science and Technology</t>
  </si>
  <si>
    <t>10.24925/turjaf.v11i6.1067-1073.5989</t>
  </si>
  <si>
    <t>EM1025</t>
  </si>
  <si>
    <t>Mupangwa</t>
  </si>
  <si>
    <t>Welwitschia International Journal of Agricultural Sciences</t>
  </si>
  <si>
    <t>10.32642/wijas.v3i.1459</t>
  </si>
  <si>
    <t>Gebremariam</t>
  </si>
  <si>
    <t>10.2174/1874331501913010182</t>
  </si>
  <si>
    <t>Heliso</t>
  </si>
  <si>
    <t>International Journal of Science and Research Archive</t>
  </si>
  <si>
    <t>10.30574/ijsra.2022.6.1.0090</t>
  </si>
  <si>
    <t>European Journal of Agriculture and Food Sciences</t>
  </si>
  <si>
    <t>10.24018/ejfood.2020.2.4.75</t>
  </si>
  <si>
    <t>Beraedo</t>
  </si>
  <si>
    <t>Medicon Agriculture &amp; Environmental Sciences</t>
  </si>
  <si>
    <t>10.55162/MCAES.03.055</t>
  </si>
  <si>
    <t>Elâ€Nomeary</t>
  </si>
  <si>
    <t>Bulletin of the National Research Centre</t>
  </si>
  <si>
    <t>10.1186/s42269â€021â€00486â€1</t>
  </si>
  <si>
    <t>Tsafiyo</t>
  </si>
  <si>
    <t>10.4236/ojas.2022.121003</t>
  </si>
  <si>
    <t>Adnew</t>
  </si>
  <si>
    <t>10.17138/TGFT(9)206-215</t>
  </si>
  <si>
    <t>10.51791/njap.v48i3.2963</t>
  </si>
  <si>
    <t>Singer</t>
  </si>
  <si>
    <t>10.21608/ejnf.2024.352564</t>
  </si>
  <si>
    <t>Mekuria</t>
  </si>
  <si>
    <t>10.1080/23311932.2023.2295078</t>
  </si>
  <si>
    <t>Dea</t>
  </si>
  <si>
    <t>Advances in Life Science and Technology</t>
  </si>
  <si>
    <t>10.7176/ALST/81-01</t>
  </si>
  <si>
    <t>Fikadu</t>
  </si>
  <si>
    <t>Journal of Biology Agriculture and Healthcare</t>
  </si>
  <si>
    <t>10.7176/JBAH/10-1-05</t>
  </si>
  <si>
    <t>Shiferaw</t>
  </si>
  <si>
    <t>10.1093/tas/txac146</t>
  </si>
  <si>
    <t>Kaysimo</t>
  </si>
  <si>
    <t>Chilean Journal of Agricultural &amp; Animal Sciences</t>
  </si>
  <si>
    <t>10.29393/CHJAAS40-11ESGY20011</t>
  </si>
  <si>
    <t>International Journal of Agricultural Economics</t>
  </si>
  <si>
    <t>10.11648/j.ijae.20210603.14</t>
  </si>
  <si>
    <t>EM1042</t>
  </si>
  <si>
    <t>Hassanein</t>
  </si>
  <si>
    <t>10.21608/ejnf.2020.115088</t>
  </si>
  <si>
    <t>https://njast.com.ng/index.php/home/article/view/101/97</t>
  </si>
  <si>
    <t>Maklad</t>
  </si>
  <si>
    <t>10.21608/ejnf.2018.75509</t>
  </si>
  <si>
    <t>Millam</t>
  </si>
  <si>
    <t>10.51791/njap.v47i1.247</t>
  </si>
  <si>
    <t>10.21608/ejnf.2024.352565</t>
  </si>
  <si>
    <t>10.51791/njap.v45i1.355</t>
  </si>
  <si>
    <t>Ethiopian Veterinanry Journal</t>
  </si>
  <si>
    <t>10.4314/evj.v27i1.6</t>
  </si>
  <si>
    <t>EM1049</t>
  </si>
  <si>
    <t>Midau</t>
  </si>
  <si>
    <t>https://njast.com.ng/index.php/home/article/view/93</t>
  </si>
  <si>
    <t>Goska</t>
  </si>
  <si>
    <t>10.51791/njap.v44i2.1013</t>
  </si>
  <si>
    <t>Udo</t>
  </si>
  <si>
    <t>10.51791/njap.v45i5.310</t>
  </si>
  <si>
    <t>Arilekolasi</t>
  </si>
  <si>
    <t>Archiva Zootechnica</t>
  </si>
  <si>
    <t>10.2478/azibna-2020-0003</t>
  </si>
  <si>
    <t>10.51791/njap.v39i1.2271</t>
  </si>
  <si>
    <t>Abdel-Raheem</t>
  </si>
  <si>
    <t>Saudi Journal of Biological Sciences</t>
  </si>
  <si>
    <t>10.1016/j.sjbs.2021.04.037</t>
  </si>
  <si>
    <t>10.32642/wijas.v1i0.1358</t>
  </si>
  <si>
    <t>Musa</t>
  </si>
  <si>
    <t>Journal of Applied Life Sciences and Environment</t>
  </si>
  <si>
    <t>10.46909/alse-571128</t>
  </si>
  <si>
    <t>EM1057</t>
  </si>
  <si>
    <t>Badr</t>
  </si>
  <si>
    <t>10.1186/s42269-019-0239-y</t>
  </si>
  <si>
    <t>Abel</t>
  </si>
  <si>
    <t>Journal of Research and Reports on Genetics</t>
  </si>
  <si>
    <t>https://www.scholarscentral.com/abstract/growth-performance-haematological-and-biochemical-profile-of-sheep-fed-mango-kernel-meal-mkm-based-diets-84665.html</t>
  </si>
  <si>
    <t>EM1059</t>
  </si>
  <si>
    <t>Akintunde</t>
  </si>
  <si>
    <t>Agricultural Science Digest</t>
  </si>
  <si>
    <t>10.18805/ag.DF-430</t>
  </si>
  <si>
    <t>Esonu</t>
  </si>
  <si>
    <t>10.51791/njap.v47i4.80</t>
  </si>
  <si>
    <t>EM1061</t>
  </si>
  <si>
    <t>Dzepe</t>
  </si>
  <si>
    <t>The Journal of Basic and Applied Zoology</t>
  </si>
  <si>
    <t>10.1186/s41936-023-00339-5</t>
  </si>
  <si>
    <t>Balami</t>
  </si>
  <si>
    <t>Sahel Journal of Veterinary Sciences</t>
  </si>
  <si>
    <t>10.54058/saheljvs.v17i3.109</t>
  </si>
  <si>
    <t>EM1063</t>
  </si>
  <si>
    <t>Egena</t>
  </si>
  <si>
    <t>10.51791/njap.v37i2.1346</t>
  </si>
  <si>
    <t>EM1064</t>
  </si>
  <si>
    <t>Adegbenro</t>
  </si>
  <si>
    <t>Journal of Experimental Agriculture International</t>
  </si>
  <si>
    <t>10.9734/JEAI/2020/v42i230478</t>
  </si>
  <si>
    <t>Ekpo</t>
  </si>
  <si>
    <t>10.51791/njap.v48i3.2975</t>
  </si>
  <si>
    <t>10.3390/ su14095067</t>
  </si>
  <si>
    <t>Helen</t>
  </si>
  <si>
    <t>Scientific Research Journal</t>
  </si>
  <si>
    <t>10.31364/SCIRJ/v8.i2.2020.P0220748</t>
  </si>
  <si>
    <t>EM1069</t>
  </si>
  <si>
    <t>Sule</t>
  </si>
  <si>
    <t>International Journal of Frontiers in Life Science Research</t>
  </si>
  <si>
    <t>10.53294/ijflsr.2024.6.2.0028</t>
  </si>
  <si>
    <t>EM1070</t>
  </si>
  <si>
    <t>Obadire</t>
  </si>
  <si>
    <t>https://njast.com.ng/index.php/home/article/view/30</t>
  </si>
  <si>
    <t>Okuruwa</t>
  </si>
  <si>
    <t>European Journal of Nutrition &amp; Food Safety</t>
  </si>
  <si>
    <t>10.9734/EJNFS/2019/v10i230102</t>
  </si>
  <si>
    <t>Australian Journal of Basic and Applied Sciences</t>
  </si>
  <si>
    <t>10.22587/ajbas.2019.13.8.6</t>
  </si>
  <si>
    <t>Tendonkeng</t>
  </si>
  <si>
    <t>10.22259/2637-5354.0202005</t>
  </si>
  <si>
    <t>EM1075</t>
  </si>
  <si>
    <t>10.21608/ejnf.2019.79402</t>
  </si>
  <si>
    <t>EM1076</t>
  </si>
  <si>
    <t>Shwerab</t>
  </si>
  <si>
    <t>10.21608/jappmu.2023.252036.1096</t>
  </si>
  <si>
    <t>EM1077</t>
  </si>
  <si>
    <t>Sayed</t>
  </si>
  <si>
    <t>World's Veterinary Journal</t>
  </si>
  <si>
    <t>10.54203/scil.2021.wvj54</t>
  </si>
  <si>
    <t>EM1078</t>
  </si>
  <si>
    <t>10.31248/JASP2020.249</t>
  </si>
  <si>
    <t>Ousseini</t>
  </si>
  <si>
    <t>International Journal of Scientific Research and Management (IJSRM)</t>
  </si>
  <si>
    <t>10.18535/ijsrm/v11i010.ah02</t>
  </si>
  <si>
    <t>Znabu</t>
  </si>
  <si>
    <t>Journal of Dairy, Veterinary &amp; Animal Research</t>
  </si>
  <si>
    <t>10.15406/jdvar.2019.08.00268</t>
  </si>
  <si>
    <t>Fekadie</t>
  </si>
  <si>
    <t>Revista AcadÃªmica CiÃªncia Animal</t>
  </si>
  <si>
    <t>10.7213/acad.2022.20006</t>
  </si>
  <si>
    <t>Tirusew</t>
  </si>
  <si>
    <t>10.1002/vms3.1241</t>
  </si>
  <si>
    <t>Etman</t>
  </si>
  <si>
    <t>10.21608/jappmu.2018.39801</t>
  </si>
  <si>
    <t>Tibaoui</t>
  </si>
  <si>
    <t>Spanish Journal of Agricultural Research</t>
  </si>
  <si>
    <t>10.5424/sjar/2020184-16873</t>
  </si>
  <si>
    <t>EM1086</t>
  </si>
  <si>
    <t>Niayale</t>
  </si>
  <si>
    <t>10.4314/gjas.v55i2.9</t>
  </si>
  <si>
    <t>Macdonald</t>
  </si>
  <si>
    <t>10.4314/sajas.v51i1.11</t>
  </si>
  <si>
    <t>EM1088</t>
  </si>
  <si>
    <t>Ali</t>
  </si>
  <si>
    <t>Al-Azhar Journal of Agricultural Research</t>
  </si>
  <si>
    <t>10.21608/ajar.2019.102622</t>
  </si>
  <si>
    <t>Jules</t>
  </si>
  <si>
    <t>Agricultural Research and Technology  Open Access Journal</t>
  </si>
  <si>
    <t>10.19080/ARTOAJ.2019.21.556171</t>
  </si>
  <si>
    <t>AgroLife Scientific Journal</t>
  </si>
  <si>
    <t>10.17930/AGL2022127</t>
  </si>
  <si>
    <t>Fahmy</t>
  </si>
  <si>
    <t>Egyptian Journal of Animal Production</t>
  </si>
  <si>
    <t>10.21608/ejap.2024.256376.1069</t>
  </si>
  <si>
    <t>Effiong</t>
  </si>
  <si>
    <t>Journal of Animal &amp; Plant Sciences</t>
  </si>
  <si>
    <t>10.36899/JAPS.2024.3.0766</t>
  </si>
  <si>
    <t>EM1093</t>
  </si>
  <si>
    <t>Worku</t>
  </si>
  <si>
    <t>International Journal of Agricultural Science and Food Technology</t>
  </si>
  <si>
    <t>10.17352/2455-815X.000041</t>
  </si>
  <si>
    <t>EM1094</t>
  </si>
  <si>
    <t>Egyptian Journal of Chemistry</t>
  </si>
  <si>
    <t>10.21608/ejchem.2021.98408.4580</t>
  </si>
  <si>
    <t>10.9734/JAERI/2018/39061</t>
  </si>
  <si>
    <t>International Journal of Research</t>
  </si>
  <si>
    <t>https://ijrjournal.com/index.php/ijr/article/view/228</t>
  </si>
  <si>
    <t>Yahaya</t>
  </si>
  <si>
    <t>https://njast.com.ng/index.php/home/article/view/123</t>
  </si>
  <si>
    <t>American Journal of Environmental and Resource Economics</t>
  </si>
  <si>
    <t>10.11648/j.ajere.20210601.12</t>
  </si>
  <si>
    <t>Babale</t>
  </si>
  <si>
    <t>Direct Research Journal of Veterinary Medicine and Animal Science</t>
  </si>
  <si>
    <t>10.5281/zenodo.3247437</t>
  </si>
  <si>
    <t>Ikyume</t>
  </si>
  <si>
    <t>https://www.researchgate.net/profile/Timothy-Ikyume/publication/323943197_Growth_Performance_Blood_Profile_and_Economics_of_Production_of_West_African_Dwarf_WAD_Goats_Fed_Fermented_Baobab_Adansonia_Digitata_Seed_Meal/links/5ab3b9250f7e9b4897c69b67/Growth-Performance-Blood-Profile-and-Economics-of-Production-of-West-African-Dwarf-WAD-Goats-Fed-Fermented-Baobab-Adansonia-Digitata-Seed-Meal.pdf</t>
  </si>
  <si>
    <t>Mohsen</t>
  </si>
  <si>
    <t>10.3390/ani11123496</t>
  </si>
  <si>
    <t>Abdullah</t>
  </si>
  <si>
    <t>10.21608/ejnf.2019.102283</t>
  </si>
  <si>
    <t>10.21608/ejsgs.2023.330868</t>
  </si>
  <si>
    <t>Abd El-Mola</t>
  </si>
  <si>
    <t>10.21608/ejap.2019.93005</t>
  </si>
  <si>
    <t>EM1105</t>
  </si>
  <si>
    <t>10.1016/j.vas.2020.100137</t>
  </si>
  <si>
    <t>EM1106</t>
  </si>
  <si>
    <t>Milongo</t>
  </si>
  <si>
    <t>10.4236/ojas.2022.122018</t>
  </si>
  <si>
    <t>10.7770/safer-V0N0-art1483</t>
  </si>
  <si>
    <t>EM1108</t>
  </si>
  <si>
    <t>Arab Universities Journal of Agricultural Sciences</t>
  </si>
  <si>
    <t>10.21608/ajs.2018.35576</t>
  </si>
  <si>
    <t>10.1007/s11250-023-03638-9</t>
  </si>
  <si>
    <t>Idan</t>
  </si>
  <si>
    <t>10.1093/tas/txad004</t>
  </si>
  <si>
    <t>10.4314/sajas.v49i4.12</t>
  </si>
  <si>
    <t>Sisay</t>
  </si>
  <si>
    <t>Ethiopian Veterinary Journal</t>
  </si>
  <si>
    <t>10.4314/evj.v26i2.1</t>
  </si>
  <si>
    <t>Nyambali</t>
  </si>
  <si>
    <t>Agriculture</t>
  </si>
  <si>
    <t>10.3390/  agriculture12071023</t>
  </si>
  <si>
    <t>JO1005</t>
  </si>
  <si>
    <t>10.31248/JASVM2019.134</t>
  </si>
  <si>
    <t>Adjorlolo</t>
  </si>
  <si>
    <t>10.51227/ojafr.2020.32</t>
  </si>
  <si>
    <t>Abdurrahaman</t>
  </si>
  <si>
    <t>https://www.ajol.info/index.php/tjas/article/view/181238</t>
  </si>
  <si>
    <t>Akinbode</t>
  </si>
  <si>
    <t>10.17170/kobra-202104133653</t>
  </si>
  <si>
    <t>Kuwi</t>
  </si>
  <si>
    <t>Indian Journal of Animal Science</t>
  </si>
  <si>
    <t>10.56093/ijans.v94i7.146750</t>
  </si>
  <si>
    <t>Hailecherkos</t>
  </si>
  <si>
    <t>10.1002/vms3.376</t>
  </si>
  <si>
    <t>American Journal of Agricultural Economics</t>
  </si>
  <si>
    <t>10.11648/j.ajbio.20221001.12</t>
  </si>
  <si>
    <t>Ethiopian Journal of Applied Science and Technology</t>
  </si>
  <si>
    <t>https://journals.ju.edu.et/index.php/ejast/issue/view/196</t>
  </si>
  <si>
    <t>Tsega</t>
  </si>
  <si>
    <t>10.1080/09712119.2024.2375250</t>
  </si>
  <si>
    <t>10.31559/vmph2021.2.1.3</t>
  </si>
  <si>
    <t>Kilyenyi</t>
  </si>
  <si>
    <t>10.11648/j.ijast.20230702.11</t>
  </si>
  <si>
    <t>Chalchissa</t>
  </si>
  <si>
    <t>Journal of Biology Agriculture and Healthcare in the system</t>
  </si>
  <si>
    <t>https://www.iiste.org/Journals/index.php/JBAH/article/view/43059</t>
  </si>
  <si>
    <t>10.1080/09712119.2023.2290829</t>
  </si>
  <si>
    <t>Muhammad</t>
  </si>
  <si>
    <t>10.18805/ag.D-295</t>
  </si>
  <si>
    <t>JO1049</t>
  </si>
  <si>
    <t>Adetomiwa</t>
  </si>
  <si>
    <t>African Journal of Agriculture and Food Science</t>
  </si>
  <si>
    <t>10.52589/AJAFS-C0GJZKRR</t>
  </si>
  <si>
    <t>Tsegaye</t>
  </si>
  <si>
    <t>Journal of Natural Sciences Research</t>
  </si>
  <si>
    <t>10.7176/JNSR</t>
  </si>
  <si>
    <t>10.33003/fjs-2021-0501-691</t>
  </si>
  <si>
    <t>Bahri</t>
  </si>
  <si>
    <t>10.56093/ijans.v88i6.80894</t>
  </si>
  <si>
    <t>Asres</t>
  </si>
  <si>
    <t>10.7176/JBAH/11-2-01</t>
  </si>
  <si>
    <t>JO1054</t>
  </si>
  <si>
    <t>El-Emam</t>
  </si>
  <si>
    <t>10.21608/jappmu.2018.41167</t>
  </si>
  <si>
    <t>JO1055</t>
  </si>
  <si>
    <t>Mikasi</t>
  </si>
  <si>
    <t>Indian Journal of Animal Research</t>
  </si>
  <si>
    <t>10.18805/ijar.B-1016</t>
  </si>
  <si>
    <t>Sadek</t>
  </si>
  <si>
    <t>Egyptian Journal of Applied Science</t>
  </si>
  <si>
    <t>10.21608/ejas.2021.183448</t>
  </si>
  <si>
    <t>JO1057</t>
  </si>
  <si>
    <t>Ranchobe</t>
  </si>
  <si>
    <t>Annual Research and Review in Biology</t>
  </si>
  <si>
    <t>10.9734/ARRB/2023/v38i230570</t>
  </si>
  <si>
    <t>Sylva-Nyom</t>
  </si>
  <si>
    <t>https://www.aksuja.com.ng/viewpdf/articles/publications/d/70.pdf</t>
  </si>
  <si>
    <t>JO1059</t>
  </si>
  <si>
    <t>Okunlola</t>
  </si>
  <si>
    <t>Journal of Advances in Biology &amp; Biotechnology</t>
  </si>
  <si>
    <t>10.9734/JABB/2021/v24i730237</t>
  </si>
  <si>
    <t>Mhomga</t>
  </si>
  <si>
    <t>10.9734/JEAI/2019/v31i530084</t>
  </si>
  <si>
    <t>Okpara</t>
  </si>
  <si>
    <t>Journal of Sustainable Veterinary &amp; Allied Sciences</t>
  </si>
  <si>
    <t>10.54328/covm.josvas.2022.058</t>
  </si>
  <si>
    <t>Ashagrie</t>
  </si>
  <si>
    <t>10.3389/fanim.2023.1118437</t>
  </si>
  <si>
    <t>JO1063</t>
  </si>
  <si>
    <t>Osita</t>
  </si>
  <si>
    <t>10.18805/ijar.B-969</t>
  </si>
  <si>
    <t>10.21608/ejnf.2020.115086</t>
  </si>
  <si>
    <t>https://www.google.com/url?sa=t&amp;source=web&amp;rct=j&amp;opi=89978449&amp;url=https://www.iiste.org/Journals/index.php/JBAH/article/download/43060/44354&amp;ved=2ahUKEwij9qONn42KAxUVwAIHHVJlANEQFnoECBwQAQ&amp;usg=AOvVaw2-HtTmiXyQ6V4G3NDBo87E</t>
  </si>
  <si>
    <t>JO1066</t>
  </si>
  <si>
    <t>Sagala</t>
  </si>
  <si>
    <t>International Journal of Agricultural Research, Innovation and Technology</t>
  </si>
  <si>
    <t>10.3329/ijarit.v11i1.54474</t>
  </si>
  <si>
    <t>Ojediran</t>
  </si>
  <si>
    <t>Acta Fytotechnica et Zootechnica</t>
  </si>
  <si>
    <t>10.15414/afz.2019.22.02.58-63</t>
  </si>
  <si>
    <t>Ugwuoke</t>
  </si>
  <si>
    <t>10.18805/ag.D-189</t>
  </si>
  <si>
    <t>Outu</t>
  </si>
  <si>
    <t>Farm Animal Health and Nutrition</t>
  </si>
  <si>
    <t>10.58803/fahn. v2i2.16</t>
  </si>
  <si>
    <t>JO1070</t>
  </si>
  <si>
    <t>Tutubalang</t>
  </si>
  <si>
    <t>10.1080/09712119.2022.2058515</t>
  </si>
  <si>
    <t>JO1071</t>
  </si>
  <si>
    <t>10.15414/afz.2019.22.01.7-12</t>
  </si>
  <si>
    <t>JO1072</t>
  </si>
  <si>
    <t>Waitituh</t>
  </si>
  <si>
    <t>Journal of Economic Impact</t>
  </si>
  <si>
    <t>10.52223/jei0202201</t>
  </si>
  <si>
    <t>Egyptian Journal Nutrition and Feeds</t>
  </si>
  <si>
    <t>10.21608/ejnf.2018.75575</t>
  </si>
  <si>
    <t>Adogla-Bessa</t>
  </si>
  <si>
    <t>African Journal of Food, Agriculture, Nutrition and Development</t>
  </si>
  <si>
    <t>10.18697/ajfand.110.21925</t>
  </si>
  <si>
    <t>Modisaojang-Mojanaga</t>
  </si>
  <si>
    <t>10.15666/aeer/1704_81398150</t>
  </si>
  <si>
    <t>JO1076</t>
  </si>
  <si>
    <t>Mthana</t>
  </si>
  <si>
    <t>10.1007/s11250-023-03878-9</t>
  </si>
  <si>
    <t>Muremera</t>
  </si>
  <si>
    <t>10.22271/veterinary.2022.v7.i3a.423</t>
  </si>
  <si>
    <t>Jimoh</t>
  </si>
  <si>
    <t>Journal of Animal Science and Technology</t>
  </si>
  <si>
    <t>10.5187/jast.2022.e123</t>
  </si>
  <si>
    <t>JO1079</t>
  </si>
  <si>
    <t>Gabriel</t>
  </si>
  <si>
    <t>Asian Research Journal of Agriculture</t>
  </si>
  <si>
    <t>10.9734/ARJA/2018/33770</t>
  </si>
  <si>
    <t>10.2478/azibna-2020-0010</t>
  </si>
  <si>
    <t>JO1081</t>
  </si>
  <si>
    <t>Anya</t>
  </si>
  <si>
    <t>Canadian Journal of Agriculture and Crops</t>
  </si>
  <si>
    <t>10.20448/803.4.1.1.10</t>
  </si>
  <si>
    <t>Hadhoud</t>
  </si>
  <si>
    <t>10.2478/aoas-2020-0114</t>
  </si>
  <si>
    <t>JO1083</t>
  </si>
  <si>
    <t>Olawoye</t>
  </si>
  <si>
    <t>ADAN Journal of Agriculture</t>
  </si>
  <si>
    <t>10.36108/adanja/0202.10.0191</t>
  </si>
  <si>
    <t>World Journal of  Agriculture and Soil Science</t>
  </si>
  <si>
    <t>10.33552/WJASS.2020.04.000594</t>
  </si>
  <si>
    <t>Baleseng</t>
  </si>
  <si>
    <t>10.3390/  ani13081387</t>
  </si>
  <si>
    <t>JO1086</t>
  </si>
  <si>
    <t>Abdelazem</t>
  </si>
  <si>
    <t>10.22587/rjavs.2019.11.1.1</t>
  </si>
  <si>
    <t>David</t>
  </si>
  <si>
    <t>GSC Biological and Pharmaceutical Sciences</t>
  </si>
  <si>
    <t>10.30574/gscbps.2020.10.1.0247</t>
  </si>
  <si>
    <t>10.22259/2637-5354.0201002</t>
  </si>
  <si>
    <t>10.1186/s42269-019-0140-8</t>
  </si>
  <si>
    <t>JO1090</t>
  </si>
  <si>
    <t>Andriarimalala</t>
  </si>
  <si>
    <t>Pesquisa AgropecuÃ¡ria Tropical</t>
  </si>
  <si>
    <t>10.1590/1983-40632019v4954370</t>
  </si>
  <si>
    <t>JO1091</t>
  </si>
  <si>
    <t>Gakige</t>
  </si>
  <si>
    <t>10.1071/AN18743</t>
  </si>
  <si>
    <t>Rabee</t>
  </si>
  <si>
    <t>PeerJ</t>
  </si>
  <si>
    <t>10.7717/peerj.12447</t>
  </si>
  <si>
    <t>10.1186/s42269-019-0241-4</t>
  </si>
  <si>
    <t>10.1016/j.heliyon.2021.e06935</t>
  </si>
  <si>
    <t>Teshager</t>
  </si>
  <si>
    <t>10.1002/vms3.898</t>
  </si>
  <si>
    <t>Moutik</t>
  </si>
  <si>
    <t>10.1016/j.heliyon.2021.e05942</t>
  </si>
  <si>
    <t>10.21608/jappmu.2019.43003</t>
  </si>
  <si>
    <t>Mahrous</t>
  </si>
  <si>
    <t>Egyptian Society of Nutrition and Feeds</t>
  </si>
  <si>
    <t>10.21608/ejnf.2019.103456</t>
  </si>
  <si>
    <t>JO1099</t>
  </si>
  <si>
    <t>https://www.ajol.info/index.php/tjas/article/view/181239</t>
  </si>
  <si>
    <t>JO1100</t>
  </si>
  <si>
    <t>Ekanem</t>
  </si>
  <si>
    <t>International Journal of Life Science and Agriculture Research</t>
  </si>
  <si>
    <t>10.55677/ijlsar/V03I4Y2024-06</t>
  </si>
  <si>
    <t>Stage.harmonized</t>
  </si>
  <si>
    <t>Stages</t>
  </si>
  <si>
    <t>adult.male</t>
  </si>
  <si>
    <t>gestating.adult.female</t>
  </si>
  <si>
    <t>non.gestating.adult.female</t>
  </si>
  <si>
    <t>weaner</t>
  </si>
  <si>
    <t>growing.male</t>
  </si>
  <si>
    <t>growing.female</t>
  </si>
  <si>
    <t>growing.all</t>
  </si>
  <si>
    <t>Sample.size</t>
  </si>
  <si>
    <t>adult.all</t>
  </si>
  <si>
    <t>lactating.adult.female</t>
  </si>
  <si>
    <t>adult.male.castrate</t>
  </si>
  <si>
    <t>excluded</t>
  </si>
  <si>
    <t>adult.female</t>
  </si>
  <si>
    <t>growing.male.castrate</t>
  </si>
  <si>
    <t xml:space="preserve">https://www.lrrd.org/lrrd35/5/3548kild.html </t>
  </si>
  <si>
    <t>LR0005</t>
  </si>
  <si>
    <t>LR0001</t>
  </si>
  <si>
    <t>LR0002</t>
  </si>
  <si>
    <t>LR0003</t>
  </si>
  <si>
    <t>LR0004</t>
  </si>
  <si>
    <t>Descover Applied Science</t>
  </si>
  <si>
    <t>https://doi.org/10.1007/s42452-026-09070-6</t>
  </si>
  <si>
    <t>East African Journal of Sciences</t>
  </si>
  <si>
    <t>Kitaw</t>
  </si>
  <si>
    <t>Animal: The international journal of animal biosciences</t>
  </si>
  <si>
    <t xml:space="preserve">Mekonin </t>
  </si>
  <si>
    <t>Mideksa</t>
  </si>
  <si>
    <t>Production.systems</t>
  </si>
  <si>
    <t>extensive</t>
  </si>
  <si>
    <t>semi.intensive</t>
  </si>
  <si>
    <t>intensive</t>
  </si>
  <si>
    <t>Tropical Animal Health and Producton</t>
  </si>
  <si>
    <t>10.1007/s11250-007-9076-3</t>
  </si>
  <si>
    <t xml:space="preserve">Acheampong_Bateng </t>
  </si>
  <si>
    <t>CLIFF-GRADS 2026</t>
  </si>
  <si>
    <t>LR0009</t>
  </si>
  <si>
    <t>LR0010</t>
  </si>
  <si>
    <t>LR0011</t>
  </si>
  <si>
    <t>British Journal of Nutrition</t>
  </si>
  <si>
    <t>10.1017/S0007114519003350</t>
  </si>
  <si>
    <t>Goopy</t>
  </si>
  <si>
    <t>Erasmus and Botha</t>
  </si>
  <si>
    <t>LR0012</t>
  </si>
  <si>
    <t>LR0013</t>
  </si>
  <si>
    <t>LR0014</t>
  </si>
  <si>
    <t>LR0015</t>
  </si>
  <si>
    <t>LR0016</t>
  </si>
  <si>
    <t>LR0017</t>
  </si>
  <si>
    <t>https://doi.org/10.1007/s11250-024-04226-1</t>
  </si>
  <si>
    <t>Gamedze</t>
  </si>
  <si>
    <t xml:space="preserve">Archives of Animal Nutrition </t>
  </si>
  <si>
    <t>https://doi.org/10.1080/1745039X.2024.2356326</t>
  </si>
  <si>
    <t>2024b</t>
  </si>
  <si>
    <t>2024a</t>
  </si>
  <si>
    <t xml:space="preserve">Gbenou </t>
  </si>
  <si>
    <t>Gebrehawariat</t>
  </si>
  <si>
    <t>10.1007/s11250-010-9623-1</t>
  </si>
  <si>
    <t xml:space="preserve">Journal of Dairy Science </t>
  </si>
  <si>
    <t>LR0018</t>
  </si>
  <si>
    <t>LR0020</t>
  </si>
  <si>
    <t>LR0021</t>
  </si>
  <si>
    <t>LR0022</t>
  </si>
  <si>
    <t>https://doi.org/10.1007/s11250-026-04974-2</t>
  </si>
  <si>
    <t>LR0023</t>
  </si>
  <si>
    <t>LR0024</t>
  </si>
  <si>
    <t>LR0025</t>
  </si>
  <si>
    <t>LR0026</t>
  </si>
  <si>
    <t>LR0027</t>
  </si>
  <si>
    <t>LR0028</t>
  </si>
  <si>
    <t>LR0029</t>
  </si>
  <si>
    <t>LR0030</t>
  </si>
  <si>
    <t>Ngxumeshe</t>
  </si>
  <si>
    <t xml:space="preserve">https://doi.org/10.3390/ani15172505 </t>
  </si>
  <si>
    <t>https://doi.org/10.1007/s11250-024-03959-3</t>
  </si>
  <si>
    <t>Rabatseta</t>
  </si>
  <si>
    <t>Shipandeni</t>
  </si>
  <si>
    <t xml:space="preserve">https://doi.org/10.1093/jas/skad147 </t>
  </si>
  <si>
    <t>Frontiers in Veterinary Science</t>
  </si>
  <si>
    <t>10.3389/fvets.2025.1513368</t>
  </si>
  <si>
    <t xml:space="preserve">Smith </t>
  </si>
  <si>
    <t>10.1007/s11250-006-4342-3</t>
  </si>
  <si>
    <t>Meat Science</t>
  </si>
  <si>
    <t>Tayengwa</t>
  </si>
  <si>
    <t xml:space="preserve">https://doi.org/10.1016/j.meatsci.2019.107969 </t>
  </si>
  <si>
    <t>https://doi.org/10.1016/j.animal.2020.100020</t>
  </si>
  <si>
    <t>LR0031</t>
  </si>
  <si>
    <t>LR0032</t>
  </si>
  <si>
    <t>van Wynagaard</t>
  </si>
  <si>
    <t xml:space="preserve">https://doi.org/10.3168/jds.2017-14327 </t>
  </si>
  <si>
    <t>Erasmus</t>
  </si>
  <si>
    <t>LR0033</t>
  </si>
  <si>
    <t>LR0034</t>
  </si>
  <si>
    <t xml:space="preserve">Bezabih </t>
  </si>
  <si>
    <t xml:space="preserve">https://doi.org/10.1016/j.livsci.2013.12.016 </t>
  </si>
  <si>
    <t>Ethiopian Journal of Agricultural Science</t>
  </si>
  <si>
    <t>LR0035</t>
  </si>
  <si>
    <t>10.1007/s11250-010-9705-0</t>
  </si>
  <si>
    <t>LR0036</t>
  </si>
  <si>
    <t xml:space="preserve">Tadesse </t>
  </si>
  <si>
    <t>LR0037</t>
  </si>
  <si>
    <t xml:space="preserve">Gojjam </t>
  </si>
  <si>
    <t xml:space="preserve">Animals </t>
  </si>
  <si>
    <t>LR0038</t>
  </si>
  <si>
    <t>LR0039</t>
  </si>
  <si>
    <t>LR0040</t>
  </si>
  <si>
    <t>LR0041</t>
  </si>
  <si>
    <t>LR0042</t>
  </si>
  <si>
    <t>LR0043</t>
  </si>
  <si>
    <t>http://dx.doi.org/10.4314/star.v5i1.5</t>
  </si>
  <si>
    <t>E3 Journal of Agricultural Research and Development</t>
  </si>
  <si>
    <t xml:space="preserve">http://dx.doi.org/10.18685/EJARD(7)2_EJARD-17-011 </t>
  </si>
  <si>
    <t>Kechero</t>
  </si>
  <si>
    <t xml:space="preserve">Animal Physiology &amp; Animal Nutrition </t>
  </si>
  <si>
    <t xml:space="preserve">https://doi.org/10.1111/jpn.12068 </t>
  </si>
  <si>
    <t xml:space="preserve">Abdurhaman </t>
  </si>
  <si>
    <t>Research Square</t>
  </si>
  <si>
    <t>Advances in Applied Sceinces</t>
  </si>
  <si>
    <t xml:space="preserve">http://www.sciencepublishinggroup.com/j/aa </t>
  </si>
  <si>
    <t>LR0045</t>
  </si>
  <si>
    <t>LR0046</t>
  </si>
  <si>
    <t>LR0047</t>
  </si>
  <si>
    <t>LR0048</t>
  </si>
  <si>
    <t>LR0049</t>
  </si>
  <si>
    <t>LR0050</t>
  </si>
  <si>
    <t>Asimwe</t>
  </si>
  <si>
    <t xml:space="preserve">https://doi.org/10.1007/s11250-015-0801-z </t>
  </si>
  <si>
    <t>Blaine</t>
  </si>
  <si>
    <t>10.1007/s11250-013-0386-3</t>
  </si>
  <si>
    <t xml:space="preserve">Chingala </t>
  </si>
  <si>
    <t xml:space="preserve">https://doi.org/10.1007/s11250-018-1676-6 </t>
  </si>
  <si>
    <t>Du</t>
  </si>
  <si>
    <t>LR0051</t>
  </si>
  <si>
    <t>LR0053</t>
  </si>
  <si>
    <t>LR0054</t>
  </si>
  <si>
    <t>LR0056</t>
  </si>
  <si>
    <t>LR0057</t>
  </si>
  <si>
    <t>LR0058</t>
  </si>
  <si>
    <t>LR0059</t>
  </si>
  <si>
    <t>LR0060</t>
  </si>
  <si>
    <t>10.1007/s11250-013-0481-5</t>
  </si>
  <si>
    <t>Madilindi</t>
  </si>
  <si>
    <t>10.3390/ani9050210</t>
  </si>
  <si>
    <t>Anindo</t>
  </si>
  <si>
    <t>East African Agricultural and Forestry journal</t>
  </si>
  <si>
    <t>Global Research in Environment and Sustainability</t>
  </si>
  <si>
    <t>Arega</t>
  </si>
  <si>
    <t>Barwani</t>
  </si>
  <si>
    <t>LR0061</t>
  </si>
  <si>
    <t>LR0062</t>
  </si>
  <si>
    <t>LR0063</t>
  </si>
  <si>
    <t>LR0064</t>
  </si>
  <si>
    <t>LR0065</t>
  </si>
  <si>
    <t>LR0066</t>
  </si>
  <si>
    <t>LR0067</t>
  </si>
  <si>
    <t>LR0068</t>
  </si>
  <si>
    <t>LR0069</t>
  </si>
  <si>
    <t>LR0070</t>
  </si>
  <si>
    <t xml:space="preserve">Korir </t>
  </si>
  <si>
    <t>10.3389/fanim.2022.963323</t>
  </si>
  <si>
    <t>Basic Research Journal</t>
  </si>
  <si>
    <t>Asian Journal of Research in Animal and Veterinary Sciences</t>
  </si>
  <si>
    <t>Mudavadi</t>
  </si>
  <si>
    <t>LR0071</t>
  </si>
  <si>
    <t>LR0073</t>
  </si>
  <si>
    <t>Hussien</t>
  </si>
  <si>
    <t xml:space="preserve">Senoue </t>
  </si>
  <si>
    <t>Revue d'Élevage et de Médecine Vétérinaire des Pays Tropicaux</t>
  </si>
  <si>
    <t>http://journals.cambridge.org/abstract_S1357729800008146</t>
  </si>
  <si>
    <t>Sidebe-Anago</t>
  </si>
  <si>
    <t>10.1007/s11250-007-9125-y</t>
  </si>
  <si>
    <t>LR0074</t>
  </si>
  <si>
    <t>LR0075</t>
  </si>
  <si>
    <t>LR0076</t>
  </si>
  <si>
    <t>Teshome</t>
  </si>
  <si>
    <t>Tropical Journal of Animal Science</t>
  </si>
  <si>
    <t>Tona</t>
  </si>
  <si>
    <t>LR0077</t>
  </si>
  <si>
    <t>LR0079</t>
  </si>
  <si>
    <t>LR0080</t>
  </si>
  <si>
    <t>Breed</t>
  </si>
  <si>
    <t>Ledger</t>
  </si>
  <si>
    <t>Mwilawa</t>
  </si>
  <si>
    <t>Pastoralism</t>
  </si>
  <si>
    <t>10.3389/past.2025.15238</t>
  </si>
  <si>
    <t>LR0081</t>
  </si>
  <si>
    <t>LR0082</t>
  </si>
  <si>
    <t xml:space="preserve">Tura </t>
  </si>
  <si>
    <t>2021a</t>
  </si>
  <si>
    <t>Tezera</t>
  </si>
  <si>
    <t>LR0083</t>
  </si>
  <si>
    <t>LR0084</t>
  </si>
  <si>
    <t>LR0085</t>
  </si>
  <si>
    <t>LR0086</t>
  </si>
  <si>
    <t>LR0088</t>
  </si>
  <si>
    <t>LR0089</t>
  </si>
  <si>
    <t>LR0090</t>
  </si>
  <si>
    <t>LR0091</t>
  </si>
  <si>
    <t>LR0092</t>
  </si>
  <si>
    <t>LR0093</t>
  </si>
  <si>
    <t>Bassa</t>
  </si>
  <si>
    <t>Hydrolgy Current Research</t>
  </si>
  <si>
    <t>10.4172/2157-7587.1000255</t>
  </si>
  <si>
    <t>10.2478/aoas-2021-0053</t>
  </si>
  <si>
    <t>El-Zaiat</t>
  </si>
  <si>
    <t>http://www.ijlr.org</t>
  </si>
  <si>
    <t>Gage</t>
  </si>
  <si>
    <t>International Journal of Livestock Research</t>
  </si>
  <si>
    <t>Basic Research Journal of Agricultural Science and Review</t>
  </si>
  <si>
    <t>Girma</t>
  </si>
  <si>
    <t>http//www.basicresearchjournals.org</t>
  </si>
  <si>
    <t>Kavishe</t>
  </si>
  <si>
    <t>International Journal of Life Science and Medical Research</t>
  </si>
  <si>
    <t>Madziga</t>
  </si>
  <si>
    <t>Taabu</t>
  </si>
  <si>
    <t>Lyimo</t>
  </si>
  <si>
    <t>Tekeba</t>
  </si>
  <si>
    <t>LR0087</t>
  </si>
  <si>
    <t xml:space="preserve">Mekcha </t>
  </si>
  <si>
    <t>Scientific Report</t>
  </si>
  <si>
    <t>LR0006</t>
  </si>
  <si>
    <t>LR0044</t>
  </si>
  <si>
    <t>All.breeds.sheep</t>
  </si>
  <si>
    <t>All.breeds.goat</t>
  </si>
  <si>
    <t>All.breeds.cattle</t>
  </si>
  <si>
    <t>Sheep.crossbred</t>
  </si>
  <si>
    <t>Sheep.indigenous</t>
  </si>
  <si>
    <t>Goats.crossbred</t>
  </si>
  <si>
    <t>Goats.indigenous</t>
  </si>
  <si>
    <t>Cattle.purebred.exotic</t>
  </si>
  <si>
    <t>Cattle.crossbred</t>
  </si>
  <si>
    <t>Cattle.bos.indicus</t>
  </si>
  <si>
    <t>Breed.type.cattle</t>
  </si>
  <si>
    <t>Breed.type.sheep</t>
  </si>
  <si>
    <t>Breed.type.goat</t>
  </si>
  <si>
    <t>LR0019</t>
  </si>
  <si>
    <t>T1 (69% WB + 30% NSC)</t>
  </si>
  <si>
    <t>T2 (69% WB + 15% NSC + 15% ALH)</t>
  </si>
  <si>
    <t>T3 (69% WB + 7.5% NSC + 22.5% ALH)</t>
  </si>
  <si>
    <t>T4 (69% WB + 30% ALH)</t>
  </si>
  <si>
    <t>Arsi-Frisian cross</t>
  </si>
  <si>
    <t>Heifer</t>
  </si>
  <si>
    <t>Control (Guatemala grass + Brewers' spent grain)</t>
  </si>
  <si>
    <t>Leucaena (20% basal intake)</t>
  </si>
  <si>
    <t>Cassava (20% of balasal intake)</t>
  </si>
  <si>
    <t>Friesian x Ankole crossbred</t>
  </si>
  <si>
    <t>Lactating cows</t>
  </si>
  <si>
    <t>T1 (fresh grass + 2 kg concentrate)</t>
  </si>
  <si>
    <t>T2 (fresh grass + 2 kg concentrate + Taro)</t>
  </si>
  <si>
    <t>T3 (fresh grass + 2 kg concentrate + Enset)</t>
  </si>
  <si>
    <t>T4 (fresh grass + 2 kg concentrate + Sugar cane)</t>
  </si>
  <si>
    <t>Ox_castrated</t>
  </si>
  <si>
    <t>Borana &amp; Arsi</t>
  </si>
  <si>
    <t>Bull &amp; heifer</t>
  </si>
  <si>
    <t xml:space="preserve">Enclosed ranch grazing_early-dry season, </t>
  </si>
  <si>
    <t>Communal grassland grazing_early-dry season,</t>
  </si>
  <si>
    <t xml:space="preserve">Enclosed ranch grazing_dry season, </t>
  </si>
  <si>
    <t xml:space="preserve">Communal grassland grazing_dry season, </t>
  </si>
  <si>
    <t xml:space="preserve">Enclosed ranch grazing_short-rainy season, </t>
  </si>
  <si>
    <t xml:space="preserve">Communal grassland grazing_short-rainy season, </t>
  </si>
  <si>
    <t xml:space="preserve">Enclosed ranch grazing_main-rainy season, </t>
  </si>
  <si>
    <t xml:space="preserve">Communal grassland grazing_main-rainy season, </t>
  </si>
  <si>
    <t xml:space="preserve">Enclosed ranch grazing_end-of-rainy season, </t>
  </si>
  <si>
    <t xml:space="preserve">Communal grassland grazing_end-of-rainy season, </t>
  </si>
  <si>
    <t>Lucerne hay + dairy mash</t>
  </si>
  <si>
    <t>Groundnut haulms + dairy mash</t>
  </si>
  <si>
    <t>Centrosema hay + dairy mash</t>
  </si>
  <si>
    <t>Rangeland hay + Wheat bran-Vachellia leaf meal mix</t>
  </si>
  <si>
    <t>Rangeland hay + Wheat bran_Baobab seed meal mix</t>
  </si>
  <si>
    <t>Rangeland hay + Wheat bran-Soybean meal mix</t>
  </si>
  <si>
    <t>Steer</t>
  </si>
  <si>
    <t>Holstein-Friesian</t>
  </si>
  <si>
    <t>Fermented TMR</t>
  </si>
  <si>
    <t>Local general diet</t>
  </si>
  <si>
    <t>Control_no supplement</t>
  </si>
  <si>
    <t>Control + supplement</t>
  </si>
  <si>
    <t>Grazing only (control)</t>
  </si>
  <si>
    <t>Grazing + indigenous forage supplement</t>
  </si>
  <si>
    <t>Grazing + locally formulated concentrate</t>
  </si>
  <si>
    <t>Grazing + industrial by-product concentrate</t>
  </si>
  <si>
    <t>Grazing + mixed local and industrial concentrate</t>
  </si>
  <si>
    <t>Zebu (Ethiopia)</t>
  </si>
  <si>
    <t>Zebu (Malawi )</t>
  </si>
  <si>
    <t xml:space="preserve">ox_fattening </t>
  </si>
  <si>
    <t>Control - soybean meal (SBM) based TMR</t>
  </si>
  <si>
    <t>Optigen - slow-release urea replacing 25g/kg SBM</t>
  </si>
  <si>
    <t>Basal diet only (70% conc:30% Eragrostis hay)</t>
  </si>
  <si>
    <t>Basal + 0.6% NaHCO3 + 1.8% vermiculite (MCF)</t>
  </si>
  <si>
    <t>Basal + 1.2% NaHCO3</t>
  </si>
  <si>
    <t>Basal + 3.6% vermiculite (MCF)</t>
  </si>
  <si>
    <t>Control - basal diet only (25% wheat straw + 10% alfalfa hay + concentrate)</t>
  </si>
  <si>
    <t>Yeast culture - basal diet + 10 g/day yeast culture (YEA-SACC)</t>
  </si>
  <si>
    <t>CD - Control diet (no lasalocid)</t>
  </si>
  <si>
    <t>CD+10 - Control diet + 10 mg/kg lasalocid</t>
  </si>
  <si>
    <t>CD+20 - Control diet + 20 mg/kg lasalocid</t>
  </si>
  <si>
    <t>Friesian x Bunaji</t>
  </si>
  <si>
    <t>100% hay + concentrate (no silage)</t>
  </si>
  <si>
    <t>67% hay + 33% maize silage + concentrate</t>
  </si>
  <si>
    <t>33% hay + 67% maize silage + concentrate</t>
  </si>
  <si>
    <t>100% maize silage + concentrate (no hay)</t>
  </si>
  <si>
    <t>Harar</t>
  </si>
  <si>
    <t>ox_fattening/castrated</t>
  </si>
  <si>
    <t>Rangeland fodder at 3.3% BW (cold dry season)</t>
  </si>
  <si>
    <t>Rangeland fodder at 3.3% BW (hot dry season)</t>
  </si>
  <si>
    <t>Rangeland fodder at 2.3% BW (wet season - green forage)</t>
  </si>
  <si>
    <t>Sudanese Fulani zebu</t>
  </si>
  <si>
    <t xml:space="preserve">Male steers </t>
  </si>
  <si>
    <t>RF+RiS - rangeland forage + 25% rice straw</t>
  </si>
  <si>
    <t>RF - 100% rangeland forage (control)</t>
  </si>
  <si>
    <t>RF+MaS - rangeland forage + 25% maize straw</t>
  </si>
  <si>
    <t>RF+SoS - rangeland forage + 25% sorghum straw</t>
  </si>
  <si>
    <t>RF+MiS - rangeland forage + 25% millet straw</t>
  </si>
  <si>
    <t>Pmax - 100% Panicum maximum hay (control)</t>
  </si>
  <si>
    <t>Pmax+CoH - Panicum max + 25% cowpea haulm</t>
  </si>
  <si>
    <t>Pmax+PeH - Panicum max + 25% peanut haulm</t>
  </si>
  <si>
    <t>Agaya - Andropogon gayanus hay (combined 2.3% and 3.2% BW)</t>
  </si>
  <si>
    <t>Rangeland fodder (combined 2.3% and 3.2% BW)</t>
  </si>
  <si>
    <t>Brachiaria ruziziensis hay (combined 2.3% and 3.2% BW)</t>
  </si>
  <si>
    <t>Panicum maximum C1 hay (combined 2.3% and 3.2% BW)</t>
  </si>
  <si>
    <t>Control: native grass hay + 4kg wheat bran (no Sesbania)</t>
  </si>
  <si>
    <t>Basal + 1.25 kg/day Sesbania sesban leaves</t>
  </si>
  <si>
    <t>Basal + 2.0 kg/day Sesbania sesban leaves</t>
  </si>
  <si>
    <t>Basal + 2.75 kg/day Sesbania sesban leaves</t>
  </si>
  <si>
    <t>Holstein Friesian x Zebu (Arado) crossbred</t>
  </si>
  <si>
    <t>Normal Maize (NM) stover-based diet (T1)</t>
  </si>
  <si>
    <t>Normal Maize (NM) silage-based diet (T2)</t>
  </si>
  <si>
    <t>Quality Protein Maize (QPM) silage-based diet (T3)</t>
  </si>
  <si>
    <t>Boran x Friesian crossbred</t>
  </si>
  <si>
    <t>Rhodes Grass Hay (RGH) ad libitum + 0.5 kg Concentrate (T1)</t>
  </si>
  <si>
    <t>Rhodes Grass Hay (RGH) ad libitum + 2.0 kg Concentrate (T2)</t>
  </si>
  <si>
    <t>Rhodes Grass Hay (RGH) ad libitum + 3.0 kg Concentrate (T3)</t>
  </si>
  <si>
    <t>Rhodes Grass Hay (RGH) ad libitum + 4.0 kg Concentrate (T4)</t>
  </si>
  <si>
    <t>1.0 MER (Maintenance Energy Requirement)</t>
  </si>
  <si>
    <t>0.8 MER (Maintenance Energy Requirement)</t>
  </si>
  <si>
    <t>0.6 MER (Maintenance Energy Requirement)</t>
  </si>
  <si>
    <t>0.4 MER (Maintenance Energy Requirement)</t>
  </si>
  <si>
    <t>Yearling steers</t>
  </si>
  <si>
    <t>Untreated Rice Straw + 2kg Concentrate (T1)</t>
  </si>
  <si>
    <t>Urea-treated Rice Straw + 2kg Concentrate (T2)</t>
  </si>
  <si>
    <t>EMO-treated Rice Straw + 2kg Concentrate (T3)</t>
  </si>
  <si>
    <t>Total Mixed Ration (TMR) supplement (T1)</t>
  </si>
  <si>
    <t>Urea-treated Maize Stover supplement (T2)</t>
  </si>
  <si>
    <t>Untreated Maize Stover supplement (T3)</t>
  </si>
  <si>
    <t>Macroptilium atropurpureum (Siratro) hay supplement (T4)</t>
  </si>
  <si>
    <t>Veld Hay supplement (T5)</t>
  </si>
  <si>
    <t>Natural pasture hay only (Control) (T1)</t>
  </si>
  <si>
    <t>Natural pasture hay + Grass pea bran (T2)</t>
  </si>
  <si>
    <t>Natural pasture hay + Wheat bran (T3)</t>
  </si>
  <si>
    <t>Natural pasture hay + Concentrate mix (T4)</t>
  </si>
  <si>
    <t>Holstein-Mashona crossbred</t>
  </si>
  <si>
    <t>Napier alone (Experiment A, D0)</t>
  </si>
  <si>
    <t>Napier + 10% Desmodium (Experiment A, D1)</t>
  </si>
  <si>
    <t>Napier + 20% Desmodium (Experiment A, D2)</t>
  </si>
  <si>
    <t>Napier + 30% Desmodium (Experiment A, D3)</t>
  </si>
  <si>
    <t>Napier alone (Experiment B, S0)</t>
  </si>
  <si>
    <t>Napier + 10% Sweet Potato Vine (Experiment B, S1)</t>
  </si>
  <si>
    <t>Napier + 20% Sweet Potato Vine (Experiment B, S2)</t>
  </si>
  <si>
    <t>Napier + 30% Sweet Potato Vine (Experiment B, S3)</t>
  </si>
  <si>
    <t>Grazing + supplementation with maize bran based diet (T1)</t>
  </si>
  <si>
    <t>Grazing + supplementation with maize bran plus sisal waste based diet (T2)</t>
  </si>
  <si>
    <t>Grazing + supplementation with sisal waste based diet (T3)</t>
  </si>
  <si>
    <t>calves_male/female</t>
  </si>
  <si>
    <t>Borana</t>
  </si>
  <si>
    <t>Bulls</t>
  </si>
  <si>
    <t>Control (Dry period TMR) (CON)</t>
  </si>
  <si>
    <t>Moringa oleifera leaf meal (MOLM) supplement (MOLM)</t>
  </si>
  <si>
    <t>Holstein_Friesian</t>
  </si>
  <si>
    <t>T1: UMTWS ad libitum + concentrate mix (control),</t>
  </si>
  <si>
    <t>T2: UMTWS ad libitum + 25% of the concentrate mix
replaced by vetch hay</t>
  </si>
  <si>
    <t>T3: UMTWS ad libitum + 50% of the concentrate mix
replaced by vetch hay</t>
  </si>
  <si>
    <t>T4: UMTWS ad libitum + 75% of the concentrate mix
replaced by vetch hay</t>
  </si>
  <si>
    <t>Control: grass hay</t>
  </si>
  <si>
    <t>Desmodium intortum hay</t>
  </si>
  <si>
    <t xml:space="preserve">CUBES: commercial protein and energy supplement </t>
  </si>
  <si>
    <t>Friesian x Boran crossbred,</t>
  </si>
  <si>
    <t>Sokoto Gudali</t>
  </si>
  <si>
    <t xml:space="preserve">Madziga </t>
  </si>
  <si>
    <t>Bull (1-2 yrs)</t>
  </si>
  <si>
    <t>2% BW</t>
  </si>
  <si>
    <t>1% BW</t>
  </si>
  <si>
    <t xml:space="preserve">Sokoto </t>
  </si>
  <si>
    <t>Bunaji-Sokoto</t>
  </si>
  <si>
    <t>Bull (28 months)</t>
  </si>
  <si>
    <t>Concentrate mix (100%) (0.5 kg/l of milk) + Natural grass hay ad libitum</t>
  </si>
  <si>
    <t>Concentrate mix (75%) + Cowpea hay (25%) + Natural grass hay ad libitum</t>
  </si>
  <si>
    <t>Concentrate mix (50%) + Cowpea hay (50%) + Natural grass hay ad libitum</t>
  </si>
  <si>
    <t>Concentrate mix (25%) + cowpea hay (75%) + Natural grass hay ad libitum</t>
  </si>
  <si>
    <t>Cowpea hay (100%) + Natural grass hay ad libitum</t>
  </si>
  <si>
    <t xml:space="preserve">Natural pasture hay + CM supplement </t>
  </si>
  <si>
    <t>Natural pasture hay + CM supplement (10% PP leaf))</t>
  </si>
  <si>
    <t>Natural pasture hay + CM supplement (20% PP leaf))</t>
  </si>
  <si>
    <t>Natural pasture hay + CM supplement (30% PP leaf))</t>
  </si>
  <si>
    <t>Holstein-Friesian x Zebu crossbred</t>
  </si>
  <si>
    <t>75% Friesian-Borana crossbred</t>
  </si>
  <si>
    <t>Unimproved breed</t>
  </si>
  <si>
    <t>Improved breed</t>
  </si>
  <si>
    <t>Maize stover without treated with urea install feeding (T2)</t>
  </si>
  <si>
    <t>Maize stover treated with urea install feeding (T3)</t>
  </si>
  <si>
    <t>Holstein Friesian x Boran</t>
  </si>
  <si>
    <t>Lactating cow</t>
  </si>
  <si>
    <t>Boran + GrazC00</t>
  </si>
  <si>
    <t>Boran + GrazC50</t>
  </si>
  <si>
    <t>Boran + HayC60</t>
  </si>
  <si>
    <t>Boran + HayC80</t>
  </si>
  <si>
    <t>Boran + HayC100</t>
  </si>
  <si>
    <t>TSHZ + GrazC00</t>
  </si>
  <si>
    <t>TSHZ + GrazC50</t>
  </si>
  <si>
    <t>TSHZ + HayC60</t>
  </si>
  <si>
    <t>TSHZ + HayC80</t>
  </si>
  <si>
    <t>TSHZ + HayC100</t>
  </si>
  <si>
    <t>Tanzanian Short Horn Zebu</t>
  </si>
  <si>
    <t>Steers (1-2 yrs)</t>
  </si>
  <si>
    <t>Steers (1.5-2.5 yrs)</t>
  </si>
  <si>
    <t>Small frame size (Nguni)</t>
  </si>
  <si>
    <t>Medium frame size (Bonsmara)</t>
  </si>
  <si>
    <t>Large frame size (Simmental)</t>
  </si>
  <si>
    <t>Bonsmara</t>
  </si>
  <si>
    <t>Simmental</t>
  </si>
  <si>
    <t>Bull_weaned</t>
  </si>
  <si>
    <t>Diet 1: Control (0 g/kg Napier grass)</t>
  </si>
  <si>
    <t>Diet 2: 300 g/kg Napier grass</t>
  </si>
  <si>
    <t>Diet 3: 600 g/kg Napier grass</t>
  </si>
  <si>
    <t>Sussex red</t>
  </si>
  <si>
    <t>Steer (8 months)</t>
  </si>
  <si>
    <t>Corn Finely ground</t>
  </si>
  <si>
    <t>Corn Coarsely ground</t>
  </si>
  <si>
    <t>Sorghum Finely ground</t>
  </si>
  <si>
    <t>Sorghum Coarsely ground</t>
  </si>
  <si>
    <t>Control group</t>
  </si>
  <si>
    <t>Shade group</t>
  </si>
  <si>
    <t>Water cooling group</t>
  </si>
  <si>
    <t>Nguni * Bonsmara cross</t>
  </si>
  <si>
    <t>EM0 (Control)</t>
  </si>
  <si>
    <t>EM33</t>
  </si>
  <si>
    <t>EM66</t>
  </si>
  <si>
    <t>EM100</t>
  </si>
  <si>
    <t>Friesian x Boran</t>
  </si>
  <si>
    <t>Control (0% Macadamia oil cake)</t>
  </si>
  <si>
    <t>10% Macadamia oil cake (MOC10)</t>
  </si>
  <si>
    <t>20% Macadamia oil cake (MOC20)</t>
  </si>
  <si>
    <t>Bonsmara breed &amp; Simmentaler x Beefmaster cross</t>
  </si>
  <si>
    <t>Winter season_fattening calve</t>
  </si>
  <si>
    <t>Spring season_fattening calve</t>
  </si>
  <si>
    <t>Summer season_fattening calve</t>
  </si>
  <si>
    <t>Autumn season_fattening calve</t>
  </si>
  <si>
    <t>Winter season_lactating cow</t>
  </si>
  <si>
    <t>Spring season_lactating cow</t>
  </si>
  <si>
    <t>Summer season_lactating cow</t>
  </si>
  <si>
    <t>Autumn season_lactating cow</t>
  </si>
  <si>
    <t>Calve_male fattening</t>
  </si>
  <si>
    <t>P25 - 25 days in feedlot (concentrate + hay ad libitum)</t>
  </si>
  <si>
    <t>P50 - 50 days in feedlot (concentrate + hay ad libitum)</t>
  </si>
  <si>
    <t>P75 - 75 days in feedlot (concentrate + hay ad libitum)</t>
  </si>
  <si>
    <t>P100 - 100 days in feedlot (concentrate + hay ad libitum)</t>
  </si>
  <si>
    <t>Steers (3 years)</t>
  </si>
  <si>
    <t>Tanzania_shorthorn zebu</t>
  </si>
  <si>
    <t>Control diet (C) - no Mucuna seed meal</t>
  </si>
  <si>
    <t>CM - Control + 20% Mucuna pruriens utilis seed meal</t>
  </si>
  <si>
    <t>CM-C - 20% MSM + conventional ZnO nanoparticles (25 mg/kg)</t>
  </si>
  <si>
    <t>CM-G - 20% MSM + green ZnO nanoparticles (25 mg/kg)</t>
  </si>
  <si>
    <t>Steer (7-8 months)</t>
  </si>
  <si>
    <t>Control diet (wheat bran as fibre source)</t>
  </si>
  <si>
    <t>DGP diet (dried grape pomace, 150 g/kg DM, replacing wheat bran)</t>
  </si>
  <si>
    <t>DCP diet (dried citrus pulp, 150 g/kg DM, replacing wheat bran)</t>
  </si>
  <si>
    <t>DGP diet (dried grape pomace, 150 g/kg DM)</t>
  </si>
  <si>
    <t>DCP diet (dried citrus pulp, 150 g/kg DM)</t>
  </si>
  <si>
    <t>Steers (7 months)</t>
  </si>
  <si>
    <t>Angus</t>
  </si>
  <si>
    <t>WS80 (80% wheat straw : 20% concentrate)</t>
  </si>
  <si>
    <t>WS60 (60% wheat straw : 40% concentrate)</t>
  </si>
  <si>
    <t>WS40 (40% wheat straw : 60% concentrate)</t>
  </si>
  <si>
    <t>Boran x Friesian F1</t>
  </si>
  <si>
    <t>Conventional feeding (hay and concentrate offered separately)</t>
  </si>
  <si>
    <t>TMR (Total Mixed Ration: 60% hay + 39% concentrate + 1% salt)</t>
  </si>
  <si>
    <t>SPVS0 - NPH + 100% concentrate mixture (no SPVS)</t>
  </si>
  <si>
    <t>SPVS10 - NPH + 90% concentrate + 10% sweet potato vine silage</t>
  </si>
  <si>
    <t>SPVS20 - NPH + 80% concentrate + 20% sweet potato vine silage</t>
  </si>
  <si>
    <t>SPVS30 - NPH + 70% concentrate + 30% sweet potato vine silage</t>
  </si>
  <si>
    <t>0 kg concentrate/day (pasture only)</t>
  </si>
  <si>
    <t>4 kg concentrate/day</t>
  </si>
  <si>
    <t>8 kg concentrate/day</t>
  </si>
  <si>
    <t>Napier Grass alone</t>
  </si>
  <si>
    <t>Napier Grass + Concentrate</t>
  </si>
  <si>
    <t>T1 (50% Hay + 50% Concentrate)</t>
  </si>
  <si>
    <t>T2 (TMR: 50% Maize Stover Silage + 50% Concentrate)</t>
  </si>
  <si>
    <t>Calves_female (post-weaned)</t>
  </si>
  <si>
    <t>TMR ad libitum</t>
  </si>
  <si>
    <t>T1 (100% NPH)</t>
  </si>
  <si>
    <t>T2 (75% NPH + 25% NGH)</t>
  </si>
  <si>
    <t>T3 (50% NPH + 50% NGH)</t>
  </si>
  <si>
    <t>T4 (25% NPH + 75% NGH)</t>
  </si>
  <si>
    <t>T5 (100% NGH)</t>
  </si>
  <si>
    <t xml:space="preserve">Crossbred </t>
  </si>
  <si>
    <t>Local x Holstein Friesian</t>
  </si>
  <si>
    <t>FFP (Grazing + 2 kg concentrate)</t>
  </si>
  <si>
    <t>UMS (Urea-treated maize stover + 2 kg concentrate)</t>
  </si>
  <si>
    <t>MUMS (Urea-molasses-treated maize stover + 2 kg concentrate)</t>
  </si>
  <si>
    <t>FSIII (Rationing + 2 kg cottonseed cake)</t>
  </si>
  <si>
    <t>Borgou</t>
  </si>
  <si>
    <t>MS50 (50% Ensiled Maize Stover + 50% Concentrate)</t>
  </si>
  <si>
    <t>MS60 (60% Ensiled Maize Stover + 40% Concentrate)</t>
  </si>
  <si>
    <t>MS70 (70% Ensiled Maize Stover + 30% Concentrate)</t>
  </si>
  <si>
    <t>Boran X Friesian</t>
  </si>
  <si>
    <t>T1 (Separate feeding)</t>
  </si>
  <si>
    <t>T2 (Total mixed ration)</t>
  </si>
  <si>
    <t>Heifer (&lt;18 months)</t>
  </si>
  <si>
    <t>Roughage (R)</t>
  </si>
  <si>
    <t>R+SPVS</t>
  </si>
  <si>
    <t>R+UMB</t>
  </si>
  <si>
    <t>Shade</t>
  </si>
  <si>
    <t>None</t>
  </si>
  <si>
    <t>Mixed breed</t>
  </si>
  <si>
    <t>Steers/bulls (11 months)</t>
  </si>
  <si>
    <t>Highland FP1</t>
  </si>
  <si>
    <t>Lowland FP1</t>
  </si>
  <si>
    <t>Lowland FP2</t>
  </si>
  <si>
    <t>Lowland FP3</t>
  </si>
  <si>
    <t>Holstein Friesian-Arsi cross</t>
  </si>
  <si>
    <t>BM</t>
  </si>
  <si>
    <t>CGM</t>
  </si>
  <si>
    <t>BM + CGM</t>
  </si>
  <si>
    <t>SM</t>
  </si>
  <si>
    <t>Grazing +20% molasses+ 40% wheat bran+ 40% Noug cake</t>
  </si>
  <si>
    <t>Grazing +20% maize grain+45% wheat bran+35% Noug cake</t>
  </si>
  <si>
    <t>Grazing + 65% wheat bran+ 35% cotton seed cakes</t>
  </si>
  <si>
    <t>Bull (2 yrs)</t>
  </si>
  <si>
    <t>Exp I - 50:50</t>
  </si>
  <si>
    <t>Exp I - 30:70</t>
  </si>
  <si>
    <t>Exp II - G+2hay+1con</t>
  </si>
  <si>
    <t>Exp II - G+2hay</t>
  </si>
  <si>
    <t xml:space="preserve">Friesian–Boran crossbred </t>
  </si>
  <si>
    <t>Heifers</t>
  </si>
  <si>
    <t>Feedlot</t>
  </si>
  <si>
    <t>Tanzanian Shorthorn Zebu</t>
  </si>
  <si>
    <t>Steers (2-3 years)</t>
  </si>
  <si>
    <t>3.5 kg TDN</t>
  </si>
  <si>
    <t>4.5 kg TDN</t>
  </si>
  <si>
    <t>5.5 kg TDN</t>
  </si>
  <si>
    <t>6.5 kg TDN</t>
  </si>
  <si>
    <t xml:space="preserve">Bunaji </t>
  </si>
  <si>
    <t>LR0094</t>
  </si>
  <si>
    <t xml:space="preserve">Oliyiwole </t>
  </si>
  <si>
    <t>Ration I</t>
  </si>
  <si>
    <t>Ration II</t>
  </si>
  <si>
    <t>Ration III</t>
  </si>
  <si>
    <t>Ration IV</t>
  </si>
  <si>
    <t>White fulani*Friesiana</t>
  </si>
  <si>
    <t>Raughage 60%+ concentrate 40%</t>
  </si>
  <si>
    <t>Bull (&gt; 2 yrs)</t>
  </si>
  <si>
    <t xml:space="preserve">Erge </t>
  </si>
  <si>
    <t>https://doi.org/10.1080/23311932.2024.2312698</t>
  </si>
  <si>
    <t>Raughage 52%+ concentrate 48%</t>
  </si>
  <si>
    <t>Horro*Jersey</t>
  </si>
  <si>
    <t>Bull (2.0–2.5 yrs)</t>
  </si>
  <si>
    <t>Grass hay 71% + Concentrate 29%</t>
  </si>
  <si>
    <t>Urea treated Teff straw 55% + Concentrate 45%</t>
  </si>
  <si>
    <t>Urea treated Barley straw 54% + Concentrate 46%</t>
  </si>
  <si>
    <t>Boran*Friesian</t>
  </si>
  <si>
    <t>Hay 47.3% + Conce+milk=52.7%</t>
  </si>
  <si>
    <t>Hay 53.7% + Homemade conce+milk = 46.3%</t>
  </si>
  <si>
    <t>Zebu*Friesiana</t>
  </si>
  <si>
    <t>Calves_male</t>
  </si>
  <si>
    <t>Maize stover + Concentrate 63.3%</t>
  </si>
  <si>
    <t>Maize stover + Concentrate 58.2%</t>
  </si>
  <si>
    <t>Maize stover + Concentrate 56.8%</t>
  </si>
  <si>
    <t>Maize stover + Concentrate 60.7%</t>
  </si>
  <si>
    <t>Natural pasture hay 52% +Urochloa mutica hay 0% +Concentrate 48%</t>
  </si>
  <si>
    <t>Natural pasture hay 34.9% +Urochloa mutica hay 17.1% +Concentrate 48%</t>
  </si>
  <si>
    <t>Natural pasture hay 17.1% +Urochloa mutica hay 34.9% +Concentrate 48%</t>
  </si>
  <si>
    <t>Natural pasture hay 0% +Urochloa mutica hay 52% +Concentrate 48%</t>
  </si>
  <si>
    <t>Barly hay+Napier grass+Homemade supplement 20%</t>
  </si>
  <si>
    <t>Barly hay+Napier grass+Homemade supplement 20%+ UMMB</t>
  </si>
  <si>
    <t>Barly hay+Napier grass+Homemade supplement 20% +UMMB</t>
  </si>
  <si>
    <t>B. indicus*B. taurus</t>
  </si>
  <si>
    <t>Desho grass + concentrate 36.5%</t>
  </si>
  <si>
    <t>Desho grass + Stylo grass  + concentrate 39.4%</t>
  </si>
  <si>
    <t>Desho grass + Stylo grass  + concentrate 37.2%</t>
  </si>
  <si>
    <t>Desho grass + Stylo grass  + concentrate 39.2%</t>
  </si>
  <si>
    <t xml:space="preserve">Natural pasture hay + concentrate </t>
  </si>
  <si>
    <t>Rhodes grass based ration</t>
  </si>
  <si>
    <t xml:space="preserve">Sorghum silage based ration </t>
  </si>
  <si>
    <t>Borana x Sahiwal</t>
  </si>
  <si>
    <t>Hay (Non-workingl)</t>
  </si>
  <si>
    <t>Hay + concentrate (Non-working)</t>
  </si>
  <si>
    <t>Hay (Working)</t>
  </si>
  <si>
    <t>Hay + concentrate (Working)</t>
  </si>
  <si>
    <t>Napier 1.0 m / 0 kg Leucaena</t>
  </si>
  <si>
    <t>Napier 1.0 m / 4 kg Leucaena</t>
  </si>
  <si>
    <t>Napier 1.0 m / 8 kg Leucaena</t>
  </si>
  <si>
    <t>Napier 1.5 m / 0 kg Leucaena</t>
  </si>
  <si>
    <t>Napier 1.5 m / 4 kg Leucaena</t>
  </si>
  <si>
    <t>Napier 1.5 m / 8 kg Leucaena</t>
  </si>
  <si>
    <t xml:space="preserve">Ayrshire/Brown Swiss x Sahiwal crossbred </t>
  </si>
  <si>
    <t>Green Kilima (Maize stover)</t>
  </si>
  <si>
    <t>Dry Kilima (Maize stover)</t>
  </si>
  <si>
    <t>30 g/kg urea on Kilima</t>
  </si>
  <si>
    <t>50 g/kg urea-treated Kilima</t>
  </si>
  <si>
    <t>Green Malawi (Maize stover)</t>
  </si>
  <si>
    <t>Dry Malawi (Maize stover)</t>
  </si>
  <si>
    <t>30 g/kg urea on Malawi</t>
  </si>
  <si>
    <t>50 g/kg urea-treated Malawi</t>
  </si>
  <si>
    <t>Maize stover tops</t>
  </si>
  <si>
    <t>Guatemala grass</t>
  </si>
  <si>
    <t>Setaria grass</t>
  </si>
  <si>
    <t>Canadian wonder straw</t>
  </si>
  <si>
    <t>Belabela bean straw</t>
  </si>
  <si>
    <t>Rhodes grass (hay)</t>
  </si>
  <si>
    <t>Rhodes grass (green)</t>
  </si>
  <si>
    <t>Banana leaves</t>
  </si>
  <si>
    <t>Banana pseudostems</t>
  </si>
  <si>
    <t>Tanzanian Zebu</t>
  </si>
  <si>
    <t>Bulls  1 to 1.5 years old</t>
  </si>
  <si>
    <t>3 months suckling period</t>
  </si>
  <si>
    <t>4 months suckling period</t>
  </si>
  <si>
    <t>5 months suckling period</t>
  </si>
  <si>
    <t>Lacating cow (Multiparous lactation)</t>
  </si>
  <si>
    <t>Diet A - Boran steers (9 months)</t>
  </si>
  <si>
    <t>Diet A - Boran steers (42 months)</t>
  </si>
  <si>
    <t>Diet A - Boran x Hereford steers (9 months)</t>
  </si>
  <si>
    <t>Diet A - Hereford steers (9 months)</t>
  </si>
  <si>
    <t>Diet A - Aberdeen Angus steers (9 months)</t>
  </si>
  <si>
    <t>Diet A - Hereford steers (18 months)</t>
  </si>
  <si>
    <t>Diet B - Boran steers (9 months)</t>
  </si>
  <si>
    <t>Diet B - Boran heifers (9 months)</t>
  </si>
  <si>
    <t>Diet B - SEAZ steers (9 months)</t>
  </si>
  <si>
    <t>Diet B - SEAZ heifers (9 months)</t>
  </si>
  <si>
    <t>Diet B - Hereford steers (9 months)</t>
  </si>
  <si>
    <t xml:space="preserve">Aberdeen Angus </t>
  </si>
  <si>
    <t xml:space="preserve">Hereford </t>
  </si>
  <si>
    <t xml:space="preserve">Small East African Zebu </t>
  </si>
  <si>
    <t>Steer (9 months old)</t>
  </si>
  <si>
    <t>Steer ( 42 months old)</t>
  </si>
  <si>
    <t>Steer (18 months old)</t>
  </si>
  <si>
    <t>Heifer (9 months old)</t>
  </si>
  <si>
    <t>Steers (9 months old)</t>
  </si>
  <si>
    <t>Dezah</t>
  </si>
  <si>
    <t>Scientific Africa</t>
  </si>
  <si>
    <t>LR0095</t>
  </si>
  <si>
    <t>https://doi.org/10.1016/j.sciaf.2020.e00673</t>
  </si>
  <si>
    <t>Glycine max (Control)</t>
  </si>
  <si>
    <t>Acacia mearnsii</t>
  </si>
  <si>
    <t>Medicago sativa</t>
  </si>
  <si>
    <t>bull calves, 2 days old, male</t>
  </si>
  <si>
    <t>LR0096</t>
  </si>
  <si>
    <t>T1 (100% Concentrate mix + 0% Cowpea hay)</t>
  </si>
  <si>
    <t>T2 (80% Concentrate mix + 20% Cowpea hay)</t>
  </si>
  <si>
    <t>T3 (65% Concentrate mix + 35% Cowpea hay)</t>
  </si>
  <si>
    <t>T4 (50% Concentrate mix + 50% Cowpea hay)</t>
  </si>
  <si>
    <t xml:space="preserve">Hussein </t>
  </si>
  <si>
    <t>T1 (Fresh Napier grass + 2.4 kg vetch hay)</t>
  </si>
  <si>
    <t>T2 (Fresh Napier grass + 3.6 kg vetch hay)</t>
  </si>
  <si>
    <t>T3 (Fresh Napier grass + 4.8 kg vetch hay)</t>
  </si>
  <si>
    <t>T4 (Fresh Napier grass + concentrate mix)</t>
  </si>
  <si>
    <t>T5 (Native hay + concentrate mix)</t>
  </si>
  <si>
    <t>LR0097</t>
  </si>
  <si>
    <t xml:space="preserve">Kehaliew </t>
  </si>
  <si>
    <t>T1 (Native hay + Concentrate mixture)</t>
  </si>
  <si>
    <t>T2 (Native hay + 33% EM treated wheat bran Bokashi)</t>
  </si>
  <si>
    <t>T3 (Native hay + 66% EM treated wheat bran Bokashi)</t>
  </si>
  <si>
    <t>T4 (Native hay + 100% EM treated wheat bran Bokashi)</t>
  </si>
  <si>
    <t>LR0098</t>
  </si>
  <si>
    <t>Global Journal of Science Frontier Research</t>
  </si>
  <si>
    <t>Calves, 6 months old</t>
  </si>
  <si>
    <t>Rhodes (Chloris gayana var. Boma)</t>
  </si>
  <si>
    <t>Napier (Cenchrus purpureus var. Kakamega 1)</t>
  </si>
  <si>
    <t>Brachiaria (Urochloa brizantha var. Xaeres)</t>
  </si>
  <si>
    <t>LR0099</t>
  </si>
  <si>
    <t xml:space="preserve">Yearling steers </t>
  </si>
  <si>
    <t>T1 (Urea treated straw + concentrate)</t>
  </si>
  <si>
    <t>T2 (Urea molasses block + untreated teff straw + concentrate)</t>
  </si>
  <si>
    <t>T3 (Untreated straw + concentrate)</t>
  </si>
  <si>
    <t>LR0100</t>
  </si>
  <si>
    <t xml:space="preserve">Kumssa </t>
  </si>
  <si>
    <t>Agricultural Research &amp; Technology</t>
  </si>
  <si>
    <t xml:space="preserve"> Lactating  cows (2nd &amp; 3rd parities)</t>
  </si>
  <si>
    <t xml:space="preserve">Zebu-Friesian crossbred </t>
  </si>
  <si>
    <t>EP1 - Traditional Grazing (TG)</t>
  </si>
  <si>
    <t>EP1 - Traditional Grazing + Nocturnal Forage (TF)</t>
  </si>
  <si>
    <t>EP1 - Extended Grazing (EG)</t>
  </si>
  <si>
    <t>EP2 - Traditional Grazing (TG)</t>
  </si>
  <si>
    <t>EP2 - Traditional Grazing + Nocturnal Forage (TF)</t>
  </si>
  <si>
    <t>EP2 - Extended Grazing (EG)</t>
  </si>
  <si>
    <t>LR0101</t>
  </si>
  <si>
    <t xml:space="preserve">Ahmed </t>
  </si>
  <si>
    <t>Tropical Animal Production</t>
  </si>
  <si>
    <t>117 g CP/kg DM supplement</t>
  </si>
  <si>
    <t>155 g CP/kg DM supplement</t>
  </si>
  <si>
    <t>201 g CP/kg DM supplement</t>
  </si>
  <si>
    <t>Kenana (Sudan Zebu)</t>
  </si>
  <si>
    <t>Calves_male &amp; femal  (8 months old)</t>
  </si>
  <si>
    <t>LR0102</t>
  </si>
  <si>
    <t>LR0103</t>
  </si>
  <si>
    <t>LGD</t>
  </si>
  <si>
    <t>http://journals.cambridge.org/abstract_S1357729800009784</t>
  </si>
  <si>
    <t>Girmaud</t>
  </si>
  <si>
    <t>Bos taurus H1</t>
  </si>
  <si>
    <t>Bos taurus L1</t>
  </si>
  <si>
    <t>Bos taurus L2</t>
  </si>
  <si>
    <t>Bos taurus H2</t>
  </si>
  <si>
    <t>Bos taurus H3</t>
  </si>
  <si>
    <t>Bos indicus H1</t>
  </si>
  <si>
    <t>Bos indicus L1</t>
  </si>
  <si>
    <t>Bos indicus L2</t>
  </si>
  <si>
    <t>Bos indicus H2</t>
  </si>
  <si>
    <t>Bos indicus H3</t>
  </si>
  <si>
    <t>Adult non-lactating non-pregnant cows</t>
  </si>
  <si>
    <t xml:space="preserve">Hunegnaw </t>
  </si>
  <si>
    <t>0% sweet lupin</t>
  </si>
  <si>
    <t>25% sweet lupin</t>
  </si>
  <si>
    <t>50% sweet lupin</t>
  </si>
  <si>
    <t>75% sweet lupin</t>
  </si>
  <si>
    <t>100% sweet lupin</t>
  </si>
  <si>
    <t xml:space="preserve">Kariuki </t>
  </si>
  <si>
    <t>T1 Napier (6 weeks) + 0 kg lucerne, Friesian</t>
  </si>
  <si>
    <t>T1 Napier (6 weeks) + 0 kg lucerne, Sahiwal</t>
  </si>
  <si>
    <t>T2 Napier (6 weeks) + 1.5 kg lucerne, Friesian</t>
  </si>
  <si>
    <t>T2 Napier (6 weeks) + 1.5 kg lucerne, Sahiwal</t>
  </si>
  <si>
    <t>T3 Napier (12 weeks) + 0 kg lucerne, Friesian</t>
  </si>
  <si>
    <t>T3 Napier (12 weeks) + 0 kg lucerne, Sahiwal</t>
  </si>
  <si>
    <t>T4 Napier (12 weeks) + 1.5 kg lucerne, Friesian</t>
  </si>
  <si>
    <t>T4 Napier (12 weeks) + 1.5 kg lucerne, Sahiwal</t>
  </si>
  <si>
    <t>T5 Napier (12 weeks) + 2.5 kg lucerne, Friesian</t>
  </si>
  <si>
    <t>T5 Napier (12 weeks) + 2.5 kg lucerne, Sahiwal</t>
  </si>
  <si>
    <t>T6 Napier (12 weeks) + 3.5 kg lucerne, Friesian</t>
  </si>
  <si>
    <t>T6 Napier (12 weeks) + 3.5 kg lucerne, Sahiwal</t>
  </si>
  <si>
    <t>Heifers (Age 15.5 months)</t>
  </si>
  <si>
    <t xml:space="preserve">Sahiwal </t>
  </si>
  <si>
    <t>Sahiwal</t>
  </si>
  <si>
    <t>Kategile</t>
  </si>
  <si>
    <t>LR0104</t>
  </si>
  <si>
    <t>Untreated maize cobs diet</t>
  </si>
  <si>
    <t>NaOH-treated maize cobs diet</t>
  </si>
  <si>
    <t xml:space="preserve"> Friesian/Ayrshire * Zebu crosses)</t>
  </si>
  <si>
    <t>Heifers (9-15-months)</t>
  </si>
  <si>
    <t>LR0105</t>
  </si>
  <si>
    <t>Gliricidia</t>
  </si>
  <si>
    <t>Mucuna</t>
  </si>
  <si>
    <t>LR0106</t>
  </si>
  <si>
    <t>Sidibe-Anago</t>
  </si>
  <si>
    <t>10.1007/s11250-006-4428-y</t>
  </si>
  <si>
    <t>LM</t>
  </si>
  <si>
    <t>HM</t>
  </si>
  <si>
    <t>Fulani Zebu</t>
  </si>
  <si>
    <t xml:space="preserve">Journal of animal physiology and animal nutrtiion </t>
  </si>
  <si>
    <t>LR0107</t>
  </si>
  <si>
    <t xml:space="preserve">Ali </t>
  </si>
  <si>
    <t>10.1111/jpn.13158</t>
  </si>
  <si>
    <t>MER100</t>
  </si>
  <si>
    <t>MER80</t>
  </si>
  <si>
    <t>MER60</t>
  </si>
  <si>
    <t>MER40</t>
  </si>
  <si>
    <t xml:space="preserve"> Steers aged 1.5 years</t>
  </si>
  <si>
    <t>LR0108</t>
  </si>
  <si>
    <t xml:space="preserve">Asimwe </t>
  </si>
  <si>
    <t>http://dx.doi.org/10.1016/j.livsci.2015.11.001</t>
  </si>
  <si>
    <t>MMMO</t>
  </si>
  <si>
    <t>HFMO</t>
  </si>
  <si>
    <t>RPMO</t>
  </si>
  <si>
    <t>HFMM</t>
  </si>
  <si>
    <t>RPMM</t>
  </si>
  <si>
    <t xml:space="preserve">Tanzania Shorthorn Zebu (TSZ) </t>
  </si>
  <si>
    <t>Steers (2.5-3.0 yrs old)</t>
  </si>
  <si>
    <t>Journal of Research in Agriculture and Animal Science</t>
  </si>
  <si>
    <t xml:space="preserve">Mrema </t>
  </si>
  <si>
    <t>LR0109</t>
  </si>
  <si>
    <t>www.questjournals.org</t>
  </si>
  <si>
    <t>MM-MO</t>
  </si>
  <si>
    <t>MB-CSH</t>
  </si>
  <si>
    <t>RP-CSH</t>
  </si>
  <si>
    <t>MB-RP-CSH</t>
  </si>
  <si>
    <t>CSH</t>
  </si>
  <si>
    <t>Bulls(3-4 yrs old)</t>
  </si>
  <si>
    <t xml:space="preserve">Rogerson </t>
  </si>
  <si>
    <t>LR0110</t>
  </si>
  <si>
    <t>Hereford steers, 200-250 kg BW</t>
  </si>
  <si>
    <t>Hereford steers, 250-300 kg BW</t>
  </si>
  <si>
    <t>Hereford steers, 300-350 kg BW</t>
  </si>
  <si>
    <t>Hereford steers, 350-400 kg BW</t>
  </si>
  <si>
    <t>Hereford steers, 400-450 kg BW</t>
  </si>
  <si>
    <t>Boran steers, 150-200 kg BW</t>
  </si>
  <si>
    <t>Boran steers, 200-250 kg BW</t>
  </si>
  <si>
    <t>Boran steers, 250-300 kg BW</t>
  </si>
  <si>
    <t>Boran steers, 300-350 kg BW</t>
  </si>
  <si>
    <t>Boran steers, 350-400 kg BW</t>
  </si>
  <si>
    <t>Boran steers, 400-450 kg BW</t>
  </si>
  <si>
    <t>Hereford * B. indicus cross</t>
  </si>
  <si>
    <t>Steers (36 weeks old)</t>
  </si>
  <si>
    <t xml:space="preserve">Wassie </t>
  </si>
  <si>
    <t>LR0111</t>
  </si>
  <si>
    <t>https://doi.org/10.1080/1745039X.2019.1572343</t>
  </si>
  <si>
    <t>Steers, 18-month-old</t>
  </si>
  <si>
    <t>Edgem</t>
  </si>
  <si>
    <t>75% NPH + 25% NGH</t>
  </si>
  <si>
    <t>50% NPH + 50% NGH</t>
  </si>
  <si>
    <t>25% NPH + 75% NGH</t>
  </si>
  <si>
    <t>100% NGH</t>
  </si>
  <si>
    <t>Mid-lactating cows</t>
  </si>
  <si>
    <t xml:space="preserve">Mesfin </t>
  </si>
  <si>
    <t>Hay based diet</t>
  </si>
  <si>
    <t>Untreated wheat straw based diet</t>
  </si>
  <si>
    <t>Urea treated wheat straw based diet</t>
  </si>
  <si>
    <t xml:space="preserve">https://doi.org/10.1155/aia/8823593 </t>
  </si>
  <si>
    <t xml:space="preserve">https://doi.org/10.19080/ARTOAJ.2018.17.556024 </t>
  </si>
  <si>
    <t xml:space="preserve">https://doi.org/10.55197/qjoest.v6i3.238 </t>
  </si>
  <si>
    <t xml:space="preserve">https://doi.org/10.1038/s41598-026-52674-6 </t>
  </si>
  <si>
    <t xml:space="preserve">https://doi.org/10.1080/09712119.2023.2290829 </t>
  </si>
  <si>
    <t xml:space="preserve">https://doi.org/10.1007/s11250-018-1779-0 </t>
  </si>
  <si>
    <t xml:space="preserve">https://doi.org/10.1080/00128325.1986.11663503 </t>
  </si>
  <si>
    <t xml:space="preserve">https://doi.org/10.1007/s11250-020-02346-y </t>
  </si>
  <si>
    <t xml:space="preserve">https://doi.org/10.1007/s11250-022-03275-8 </t>
  </si>
  <si>
    <t>https://doi.org/10.1111/asj.13370</t>
  </si>
  <si>
    <t xml:space="preserve">https://doi.org/10.3168/jds.2021-21535 </t>
  </si>
  <si>
    <t xml:space="preserve">https://doi.org/10.1016/j.animal.2022.100632 </t>
  </si>
  <si>
    <t xml:space="preserve">https://doi.org/10.1016/j.animal.2024.101320 </t>
  </si>
  <si>
    <t xml:space="preserve">https://doi.org/10.1016/j.vas.2025.100511 </t>
  </si>
  <si>
    <t>Plus One</t>
  </si>
  <si>
    <t>Wondater</t>
  </si>
  <si>
    <t>LR0112</t>
  </si>
  <si>
    <t xml:space="preserve">https://doi.org/10.1371/journalpone.0282879 </t>
  </si>
  <si>
    <t>T0 (0% DCP)</t>
  </si>
  <si>
    <t>T1 (0.3% DCP)</t>
  </si>
  <si>
    <t>T2 (0.6% DCP)</t>
  </si>
  <si>
    <t>T3 (0.9% DCP)</t>
  </si>
  <si>
    <t>Rangeland fodder at 1.4% BW (hot dry season)</t>
  </si>
  <si>
    <t>Albizia gummifera leaves + pasture hay (40:60) -PEG</t>
  </si>
  <si>
    <t>Albizia gummifera leaves + pasture hay (40:60) +PEG</t>
  </si>
  <si>
    <t>Grewia ferruginea leaves + pasture hay (40:60) -PEG</t>
  </si>
  <si>
    <t>Grewia ferruginea leaves + pasture hay (40:60) +PEG</t>
  </si>
  <si>
    <t>Prunus africana leaves + pasture hay (40:60) -PEG</t>
  </si>
  <si>
    <t>Prunus africana leaves + pasture hay (40:60) +PEG</t>
  </si>
  <si>
    <t>Syzygium guineense leaves + pasture hay (40:60) -PEG</t>
  </si>
  <si>
    <t>Syzygium guineense leaves + pasture hay (40:60) +PEG</t>
  </si>
  <si>
    <t xml:space="preserve">Mekasha </t>
  </si>
  <si>
    <t>Erasums and Prinsloo</t>
  </si>
  <si>
    <t>LR0113</t>
  </si>
  <si>
    <t>LR0114</t>
  </si>
  <si>
    <t>LR0115</t>
  </si>
  <si>
    <t>LR0116</t>
  </si>
  <si>
    <t>LR0117</t>
  </si>
  <si>
    <t>LR0118</t>
  </si>
  <si>
    <t>LR0119</t>
  </si>
  <si>
    <t>LR0120</t>
  </si>
  <si>
    <t>LR0121</t>
  </si>
  <si>
    <t>LR0122</t>
  </si>
  <si>
    <t>LR0123</t>
  </si>
  <si>
    <t>LR0124</t>
  </si>
  <si>
    <t>LR0125</t>
  </si>
  <si>
    <t>LR0126</t>
  </si>
  <si>
    <t>LR0127</t>
  </si>
  <si>
    <t>LR0128</t>
  </si>
  <si>
    <t xml:space="preserve">Abate </t>
  </si>
  <si>
    <t>Abule</t>
  </si>
  <si>
    <t>Assefa</t>
  </si>
  <si>
    <t>Iwuanyanwu</t>
  </si>
  <si>
    <t>Jenet</t>
  </si>
  <si>
    <t xml:space="preserve">Njisane </t>
  </si>
  <si>
    <t xml:space="preserve">Osuji </t>
  </si>
  <si>
    <t xml:space="preserve">Umunezero </t>
  </si>
  <si>
    <t xml:space="preserve">van Wyngaard </t>
  </si>
  <si>
    <t>LR0129</t>
  </si>
  <si>
    <t>LR0130</t>
  </si>
  <si>
    <t>2018a</t>
  </si>
  <si>
    <t xml:space="preserve">Varvikko </t>
  </si>
  <si>
    <t xml:space="preserve">Yahaya </t>
  </si>
  <si>
    <t>10.1016/j.anifeedsci.2005.03.004</t>
  </si>
  <si>
    <t>Chloris gayana pasture - Period 1</t>
  </si>
  <si>
    <t>Chloris gayana pasture - Period 2</t>
  </si>
  <si>
    <t>Chloris gayana pasture - Period 3</t>
  </si>
  <si>
    <t>Chloris gayana pasture - Period 4</t>
  </si>
  <si>
    <t>Chloris gayana pasture - Period 5</t>
  </si>
  <si>
    <t>Chloris gayana pasture - Period 6</t>
  </si>
  <si>
    <t>Chloris gayana pasture - Period 7</t>
  </si>
  <si>
    <t>Chloris gayana pasture - Period 8</t>
  </si>
  <si>
    <t>Chloris gayana pasture - Period 9</t>
  </si>
  <si>
    <t>Chloris gayana pasture - Period 10</t>
  </si>
  <si>
    <t>Teff straw alone (Control)</t>
  </si>
  <si>
    <t>Teff straw + 0.5% BW Cowpea hay</t>
  </si>
  <si>
    <t>Teff straw + 1.0% BW Cowpea hay</t>
  </si>
  <si>
    <t>Teff straw + 1.5% BW Cowpea hay</t>
  </si>
  <si>
    <t>Teff straw + 0.5% BW Lablab hay</t>
  </si>
  <si>
    <t>Teff straw + 1.0% BW Lablab hay</t>
  </si>
  <si>
    <t>Teff straw + 1.5% BW Lablab hay</t>
  </si>
  <si>
    <t>Oats hay</t>
  </si>
  <si>
    <t>Vetch hay</t>
  </si>
  <si>
    <t>Oats-vetch mixture hay</t>
  </si>
  <si>
    <t>Natural pasture hay</t>
  </si>
  <si>
    <t>T1 (Hay alone)</t>
  </si>
  <si>
    <t>T2 (Hay + Concentrate mixture 1)</t>
  </si>
  <si>
    <t>T3 (Hay + Concentrate mixture 2)</t>
  </si>
  <si>
    <t>Control (C)</t>
  </si>
  <si>
    <t>Yeast Culture (YC)</t>
  </si>
  <si>
    <t>Monensin (M)</t>
  </si>
  <si>
    <t>Yeast Culture + Monensin (YC/M)</t>
  </si>
  <si>
    <t>Control (Hay alone)</t>
  </si>
  <si>
    <t>Low feeding level - Maintenance</t>
  </si>
  <si>
    <t>Medium feeding level - Maintenance</t>
  </si>
  <si>
    <t>High feeding level - Maintenance</t>
  </si>
  <si>
    <t>Napier grass alone (NG)</t>
  </si>
  <si>
    <t>Control C (No molasses)</t>
  </si>
  <si>
    <t>Diet M0 (Molasses with basal diet)</t>
  </si>
  <si>
    <t>Diet M1 (Molasses 3h post feeding)</t>
  </si>
  <si>
    <t>Diet M2 (Molasses 6h post feeding)</t>
  </si>
  <si>
    <t>0% Sorghum inclusion</t>
  </si>
  <si>
    <t>10% Sorghum inclusion</t>
  </si>
  <si>
    <t>20% Sorghum inclusion</t>
  </si>
  <si>
    <t>30% Sorghum inclusion</t>
  </si>
  <si>
    <t>40% Sorghum inclusion</t>
  </si>
  <si>
    <t>Diet M0 (Wheat bran alone)</t>
  </si>
  <si>
    <t>Diet ML (Low molasses)</t>
  </si>
  <si>
    <t>Diet MM (Medium molasses)</t>
  </si>
  <si>
    <t>Diet MH (High molasses)</t>
  </si>
  <si>
    <t>70% Triticale concentrate diet</t>
  </si>
  <si>
    <t>47% Triticale concentrate diet</t>
  </si>
  <si>
    <t>23% Triticale concentrate diet</t>
  </si>
  <si>
    <t>0% Triticale concentrate diet</t>
  </si>
  <si>
    <t>Lowlands region smallholder farms</t>
  </si>
  <si>
    <t>Highlands region smallholder farms</t>
  </si>
  <si>
    <t>Pasture + Low concentrate</t>
  </si>
  <si>
    <t>Pasture + High concentrate</t>
  </si>
  <si>
    <t>0 kg concentrate/day</t>
  </si>
  <si>
    <t>Diet 0 (0% Tagasaste replacement)</t>
  </si>
  <si>
    <t>Diet 33 (33% Tagasaste replacement)</t>
  </si>
  <si>
    <t>Diet 66 (66% Tagasaste replacement)</t>
  </si>
  <si>
    <t>Diet 100 (100% Tagasaste replacement)</t>
  </si>
  <si>
    <t>4 h work - Unsupplemented</t>
  </si>
  <si>
    <t>4 h work - Supplemented</t>
  </si>
  <si>
    <t>6 h work - Unsupplemented</t>
  </si>
  <si>
    <t>6 h work - Supplemented</t>
  </si>
  <si>
    <t xml:space="preserve"> Friesian and Ayrshire </t>
  </si>
  <si>
    <t xml:space="preserve">Friesian x Boran crossbred </t>
  </si>
  <si>
    <t xml:space="preserve">Boran x Friesian/Jersey </t>
  </si>
  <si>
    <t xml:space="preserve">Mpwapwa/Mpwapwa crossbred </t>
  </si>
  <si>
    <t>Bos taurus x Bos indicus</t>
  </si>
  <si>
    <t>Holstein Fresian</t>
  </si>
  <si>
    <t>Indigenous * exotics cross</t>
  </si>
  <si>
    <t>Bunaji zebu</t>
  </si>
  <si>
    <t>Heifers (11 months old)</t>
  </si>
  <si>
    <t xml:space="preserve">Calves </t>
  </si>
  <si>
    <t>Bull calves (1-2 yrs)</t>
  </si>
  <si>
    <t>Lactatng cow</t>
  </si>
  <si>
    <t>Steers</t>
  </si>
  <si>
    <t>Dairy heifers</t>
  </si>
  <si>
    <t xml:space="preserve">Steers Crossbred </t>
  </si>
  <si>
    <t xml:space="preserve">Lactating cows </t>
  </si>
  <si>
    <t>Work oxen</t>
  </si>
  <si>
    <t>Hay + 60g urea</t>
  </si>
  <si>
    <t>Hay + 60g erea + 100g molasses</t>
  </si>
  <si>
    <t xml:space="preserve">Hay + 60g urea + 200g molasses </t>
  </si>
  <si>
    <t xml:space="preserve">Hay + 60g urea + 300g molasses </t>
  </si>
  <si>
    <t>Purity &amp; growth</t>
  </si>
  <si>
    <t>Work &amp; growth</t>
  </si>
  <si>
    <t>Pregnancy and recovery</t>
  </si>
  <si>
    <t>Leucaena (L)</t>
  </si>
  <si>
    <t>Sweet potato vines (SPV)</t>
  </si>
  <si>
    <t>Non-lactating cow</t>
  </si>
  <si>
    <t>Steers (finisher)</t>
  </si>
  <si>
    <t xml:space="preserve">Simmenthal </t>
  </si>
  <si>
    <t>64% Triticale concentrate diet</t>
  </si>
  <si>
    <t>48% Triticale concentrate diet</t>
  </si>
  <si>
    <t>32% Triticale concentrate diet</t>
  </si>
  <si>
    <t>16% Triticale concentrate diet</t>
  </si>
  <si>
    <t>Grazing+Low Nitrate diet</t>
  </si>
  <si>
    <t>Grazing+CM</t>
  </si>
  <si>
    <t>Grazing+High Nitrate det</t>
  </si>
  <si>
    <t>Calves</t>
  </si>
  <si>
    <t>Fedlot cattle (18-24 months age)</t>
  </si>
  <si>
    <t>Fedlot cattle (yearling)</t>
  </si>
  <si>
    <t>Finishing steer (12-15 months age)</t>
  </si>
  <si>
    <t>Bull_feedlot</t>
  </si>
  <si>
    <t>Matured-cattle/feedlot</t>
  </si>
  <si>
    <t>Heifers (15-30 months age)</t>
  </si>
  <si>
    <t>http://www.sasas.co.za/Sajas.html</t>
  </si>
  <si>
    <t xml:space="preserve">https://doi.org/10.1016/0377-8401(94)90053-1 </t>
  </si>
  <si>
    <t xml:space="preserve">https://doi.org/10.1016/S0301-6226(98)00127-4 </t>
  </si>
  <si>
    <t>https://doi.org/10.1016/j.livprodsci.2004.02.005</t>
  </si>
  <si>
    <t xml:space="preserve">https://doi.org/10.1016/0377-8401(90)90132-R </t>
  </si>
  <si>
    <t xml:space="preserve">https://doi.org/10.1016/S0301-6226(96)00034-6 </t>
  </si>
  <si>
    <t xml:space="preserve">https://doi.org/10.1016/S0377-8401(01)00270-8 </t>
  </si>
  <si>
    <t xml:space="preserve">https://doi.org/10.1016/0301-6226(95)00077-1 </t>
  </si>
  <si>
    <t xml:space="preserve">https://doi.org/10.1016/0377-8401(81)90026-2 </t>
  </si>
  <si>
    <t>https://doi.org/10.1016/0377-8401(93)90160-L</t>
  </si>
  <si>
    <t xml:space="preserve">https://doi.org/10.1016/j.anifeedsci.2019.04.006 </t>
  </si>
  <si>
    <t xml:space="preserve">https://doi.org/10.1016/j.anifeedsci.2018.04.025 </t>
  </si>
  <si>
    <t xml:space="preserve">https://doi.org/10.1016/j.anopes.2025.100097 </t>
  </si>
  <si>
    <t xml:space="preserve">https://doi.org/10.1016/0377-8401(93)00593-K   </t>
  </si>
  <si>
    <t xml:space="preserve">https://doi.org/10.1016/j.anifeedsci.2024.116066 </t>
  </si>
  <si>
    <t xml:space="preserve">https://doi.org/10.1016/0377-8401(93)90161-M  </t>
  </si>
  <si>
    <t>https://doi.org/10.1016/S0377-8401(99)00017-6</t>
  </si>
  <si>
    <t xml:space="preserve">Horro </t>
  </si>
  <si>
    <t xml:space="preserve">Borana </t>
  </si>
  <si>
    <t xml:space="preserve">Holstein_Friesian </t>
  </si>
  <si>
    <t>Ogaden</t>
  </si>
  <si>
    <t>Borana x Hereford crosbred</t>
  </si>
  <si>
    <t>Hereford</t>
  </si>
  <si>
    <t xml:space="preserve">Borana-Friesian crossbred </t>
  </si>
  <si>
    <t xml:space="preserve">Bos taurus*Baoule </t>
  </si>
  <si>
    <t xml:space="preserve"> Fogera </t>
  </si>
  <si>
    <t xml:space="preserve">Holstien_Friesian </t>
  </si>
  <si>
    <t xml:space="preserve">Borana-Fresian crossbred </t>
  </si>
  <si>
    <t xml:space="preserve">Borana_Zebu </t>
  </si>
  <si>
    <t>Holstien * Borana cross</t>
  </si>
  <si>
    <t xml:space="preserve">Jersey </t>
  </si>
  <si>
    <t>Holstien_Friesian</t>
  </si>
  <si>
    <t>Friesian***Borana cross</t>
  </si>
  <si>
    <t>2015b</t>
  </si>
  <si>
    <t>2015a</t>
  </si>
  <si>
    <t>Zerbini</t>
  </si>
  <si>
    <t>LR0131</t>
  </si>
  <si>
    <t>LR0132</t>
  </si>
  <si>
    <t>LR0133</t>
  </si>
  <si>
    <t>LR0134</t>
  </si>
  <si>
    <t>LR0135</t>
  </si>
  <si>
    <t>LR0136</t>
  </si>
  <si>
    <t>LR0137</t>
  </si>
  <si>
    <t>LR0138</t>
  </si>
  <si>
    <t>LR0139</t>
  </si>
  <si>
    <t>LR0140</t>
  </si>
  <si>
    <t>LR0141</t>
  </si>
  <si>
    <t>LR0142</t>
  </si>
  <si>
    <t>LR0143</t>
  </si>
  <si>
    <t>LR0144</t>
  </si>
  <si>
    <t>LR0145</t>
  </si>
  <si>
    <t>LR0146</t>
  </si>
  <si>
    <t>LR0147</t>
  </si>
  <si>
    <t>LR0148</t>
  </si>
  <si>
    <t>LR0149</t>
  </si>
  <si>
    <t>LR0150</t>
  </si>
  <si>
    <t>CTL 66:34</t>
  </si>
  <si>
    <t>TMR 70:30</t>
  </si>
  <si>
    <t>TMR 60:40</t>
  </si>
  <si>
    <t>TMR 50:50</t>
  </si>
  <si>
    <t>BH</t>
  </si>
  <si>
    <t>BH-E</t>
  </si>
  <si>
    <t>CS-E</t>
  </si>
  <si>
    <t>RS</t>
  </si>
  <si>
    <t>RS-E</t>
  </si>
  <si>
    <t>GPJP0</t>
  </si>
  <si>
    <t>GPJP15</t>
  </si>
  <si>
    <t>GPJP30</t>
  </si>
  <si>
    <t>GPJP45</t>
  </si>
  <si>
    <t>Intervention diet (4% urea treated teff straw + concentrate mixture)</t>
  </si>
  <si>
    <t>DBSY0</t>
  </si>
  <si>
    <t>DBSY33</t>
  </si>
  <si>
    <t>DBSY66</t>
  </si>
  <si>
    <t>DBSY100</t>
  </si>
  <si>
    <t>Bos taurus - HN-</t>
  </si>
  <si>
    <t>Bos taurus - LN-</t>
  </si>
  <si>
    <t>Bos taurus - HN+</t>
  </si>
  <si>
    <t>Bos taurus - LN+</t>
  </si>
  <si>
    <t>Bos indicus - HN-</t>
  </si>
  <si>
    <t>Bos indicus - LN-</t>
  </si>
  <si>
    <t>Bos indicus - HN+</t>
  </si>
  <si>
    <t>Bos indicus - LN+</t>
  </si>
  <si>
    <t>High intake</t>
  </si>
  <si>
    <t>Low intake</t>
  </si>
  <si>
    <t>Salinomycin</t>
  </si>
  <si>
    <t>Coriander</t>
  </si>
  <si>
    <t>Hay diet</t>
  </si>
  <si>
    <t>Urea treated barley straw diet</t>
  </si>
  <si>
    <t>HO</t>
  </si>
  <si>
    <t>HLU</t>
  </si>
  <si>
    <t>HHU</t>
  </si>
  <si>
    <t>HLS</t>
  </si>
  <si>
    <t>HHS</t>
  </si>
  <si>
    <t>N'Dama - Not supplemented</t>
  </si>
  <si>
    <t>NDxH-F - Not supplemented</t>
  </si>
  <si>
    <t>NDxJ - Not supplemented</t>
  </si>
  <si>
    <t>N'Dama - Supplemented</t>
  </si>
  <si>
    <t>NDxH-F - Supplemented</t>
  </si>
  <si>
    <t>NDxJ - Supplemented</t>
  </si>
  <si>
    <t>N'Dama - Baby corn stovers + Concentrate (BCS:C)</t>
  </si>
  <si>
    <t>Crossbred - Baby corn stovers + Concentrate (BCS:C)</t>
  </si>
  <si>
    <t>N'Dama - Groundnut hay + Concentrate (GNH:C)</t>
  </si>
  <si>
    <t>Crossbred - Groundnut hay + Concentrate (GNH:C)</t>
  </si>
  <si>
    <t>N'Dama - Groundnut hay + Moringa (GNH:M)</t>
  </si>
  <si>
    <t>Crossbred - Groundnut hay + Moringa (GNH:M)</t>
  </si>
  <si>
    <t>0HS</t>
  </si>
  <si>
    <t>25HS</t>
  </si>
  <si>
    <t>50HS</t>
  </si>
  <si>
    <t>75HS</t>
  </si>
  <si>
    <t>100HS</t>
  </si>
  <si>
    <t>PMS1</t>
  </si>
  <si>
    <t>PMS2</t>
  </si>
  <si>
    <t>PMS3</t>
  </si>
  <si>
    <t>PMS4</t>
  </si>
  <si>
    <t>50% concentrate feed mixture, 30% corn silage, 20% rice straw</t>
  </si>
  <si>
    <t>50% concentrate feed mixture, 30% untreated sugar beet leaves silage, 20% rice straw</t>
  </si>
  <si>
    <t>50% concentrate feed mixture, 30% treated sugar beet leaves silage, 20% rice straw</t>
  </si>
  <si>
    <t>Concentrate alone (control)</t>
  </si>
  <si>
    <t>Concentrate + 45% CSC</t>
  </si>
  <si>
    <t>Concentrate + Bole</t>
  </si>
  <si>
    <t>Concentrate + 45% CSC + Bole</t>
  </si>
  <si>
    <t>H (Non-pregnant, early lactation)</t>
  </si>
  <si>
    <t>H+3 (Non-pregnant, early lactation)</t>
  </si>
  <si>
    <t>H+5 (Non-pregnant, early lactation)</t>
  </si>
  <si>
    <t>H+3 (Pregnant, late lactation)</t>
  </si>
  <si>
    <t>H+5 (Pregnant, late lactation)</t>
  </si>
  <si>
    <t xml:space="preserve">Hararghe highland </t>
  </si>
  <si>
    <t>Fresian x Borena crossbred</t>
  </si>
  <si>
    <t>Crossbred (Zebu x Friesian)</t>
  </si>
  <si>
    <t xml:space="preserve">Sudan Baggara </t>
  </si>
  <si>
    <t xml:space="preserve"> Holstien-Frisian</t>
  </si>
  <si>
    <t>Holstein Friesian</t>
  </si>
  <si>
    <t>Friesian x Boran and Simmental x Boran</t>
  </si>
  <si>
    <t>Mature heifers</t>
  </si>
  <si>
    <t>Bulls (4-6 years)</t>
  </si>
  <si>
    <t>Lactating dairy cows</t>
  </si>
  <si>
    <t>Bulls (18 months)</t>
  </si>
  <si>
    <t>bull-calves</t>
  </si>
  <si>
    <t>Abebaye</t>
  </si>
  <si>
    <t>Livestck Research for Rural Development</t>
  </si>
  <si>
    <t>Bassiouni</t>
  </si>
  <si>
    <t>Dagnew</t>
  </si>
  <si>
    <t xml:space="preserve">Gebreyowhans </t>
  </si>
  <si>
    <t xml:space="preserve">Gulilat </t>
  </si>
  <si>
    <t xml:space="preserve">Duressa </t>
  </si>
  <si>
    <t xml:space="preserve">Gobena </t>
  </si>
  <si>
    <t xml:space="preserve">Slayi </t>
  </si>
  <si>
    <t xml:space="preserve">Dejene </t>
  </si>
  <si>
    <t xml:space="preserve">Bos taurus x Bos indicus crossbred </t>
  </si>
  <si>
    <t>Gado</t>
  </si>
  <si>
    <t xml:space="preserve">10.1016/j.anifeedsci.2009.07.006 </t>
  </si>
  <si>
    <t xml:space="preserve">Brown Swiss </t>
  </si>
  <si>
    <t>TMR/control</t>
  </si>
  <si>
    <t>Control + ZADO</t>
  </si>
  <si>
    <t>Geberemariyam</t>
  </si>
  <si>
    <t xml:space="preserve">Grimaud </t>
  </si>
  <si>
    <t>Animal Research</t>
  </si>
  <si>
    <t>Baoule breed_B. taurus</t>
  </si>
  <si>
    <t>Peuhl Zebu cattle</t>
  </si>
  <si>
    <t>Non-lactating and non-pregnant cows</t>
  </si>
  <si>
    <t xml:space="preserve">Matloup </t>
  </si>
  <si>
    <t xml:space="preserve">Mlay </t>
  </si>
  <si>
    <t>Nouala</t>
  </si>
  <si>
    <t>N'Dama x Holstein-Friesian crossbred</t>
  </si>
  <si>
    <t>N'Dama x Jersey crossbred</t>
  </si>
  <si>
    <t>Stall feeding_NP grass only</t>
  </si>
  <si>
    <t>Stall feeding_NP+dairy meal+Protein rich fodder</t>
  </si>
  <si>
    <t>NP grass + natural pasture grazing</t>
  </si>
  <si>
    <t>NP grass + natural pasture grazing+dairy meal+Protein rich fodder</t>
  </si>
  <si>
    <t>Grazing mainly_natural pasture + NP grass</t>
  </si>
  <si>
    <t>Grazing mainly_natural pasture &amp; NP grass + dairy meal + crop residue + protein rich fodder</t>
  </si>
  <si>
    <t>Grazing only _natural pasture</t>
  </si>
  <si>
    <t>Natural pasture + dairy meal + rich fodder</t>
  </si>
  <si>
    <t xml:space="preserve">Ayrshire cross </t>
  </si>
  <si>
    <t xml:space="preserve">Ongadi </t>
  </si>
  <si>
    <t xml:space="preserve">Sarwatt </t>
  </si>
  <si>
    <t xml:space="preserve">Nouala </t>
  </si>
  <si>
    <t xml:space="preserve">Suliman </t>
  </si>
  <si>
    <t>International Journal of Zoological Research</t>
  </si>
  <si>
    <t>Tawab</t>
  </si>
  <si>
    <t>10.3923/ijzr.2017.74.82</t>
  </si>
  <si>
    <t xml:space="preserve">Tolla </t>
  </si>
  <si>
    <t xml:space="preserve">Zerbini </t>
  </si>
  <si>
    <t>Steer-bull</t>
  </si>
  <si>
    <t>&lt;10.1051/animres:2003011&gt;. &lt;hal-00889963&gt;</t>
  </si>
  <si>
    <t xml:space="preserve">https://doi.org/10.3168/jds.S0022-0302(99)75317-8 </t>
  </si>
  <si>
    <t xml:space="preserve">http://dx.doi.org/10.1016/j.anifeedsci.2017.02.012 </t>
  </si>
  <si>
    <t>10.1016/S0377-8401(03)00211-6</t>
  </si>
  <si>
    <t>http://journals.cambridge.org/abstract_S1357729800014521</t>
  </si>
  <si>
    <t>Buffalo</t>
  </si>
  <si>
    <t>https://doi.org/10.21608/ejnf.2023.316687</t>
  </si>
  <si>
    <t>Bulls (2 years old)</t>
  </si>
  <si>
    <t>Bull</t>
  </si>
  <si>
    <t>Ox</t>
  </si>
  <si>
    <t>yearling steer</t>
  </si>
  <si>
    <t>Growing cattle</t>
  </si>
  <si>
    <t>Beef weaner</t>
  </si>
  <si>
    <t>Diet A (unpelleted)</t>
  </si>
  <si>
    <t>Diet B (pelleted)</t>
  </si>
  <si>
    <t>5-transition Placebo</t>
  </si>
  <si>
    <t>5-transition M.e.</t>
  </si>
  <si>
    <t>3-transition Placebo</t>
  </si>
  <si>
    <t>3-transition M.e.</t>
  </si>
  <si>
    <t>Control (T1)</t>
  </si>
  <si>
    <t>40 g Mol (T2)</t>
  </si>
  <si>
    <t>60 g Mol (T3)</t>
  </si>
  <si>
    <t>0% BSG</t>
  </si>
  <si>
    <t>33% BSG</t>
  </si>
  <si>
    <t>67% BSG</t>
  </si>
  <si>
    <t>100% BSG</t>
  </si>
  <si>
    <t>VeS * 4.5ING</t>
  </si>
  <si>
    <t>VeS * 2.5ING</t>
  </si>
  <si>
    <t>ReS * 4.5ING</t>
  </si>
  <si>
    <t>ReS * 2.5ING</t>
  </si>
  <si>
    <t>MaS * 4.5ING</t>
  </si>
  <si>
    <t>MaS * 2.5ING</t>
  </si>
  <si>
    <t>LR0151</t>
  </si>
  <si>
    <t>LR0152</t>
  </si>
  <si>
    <t>LR0153</t>
  </si>
  <si>
    <t>LR0154</t>
  </si>
  <si>
    <t>LR0155</t>
  </si>
  <si>
    <t>LR0156</t>
  </si>
  <si>
    <t>Unidentified Crossbred</t>
  </si>
  <si>
    <t xml:space="preserve"> Bulls (1.5 years)</t>
  </si>
  <si>
    <t>Bulls 2 years)</t>
  </si>
  <si>
    <t>Yearling_Steers</t>
  </si>
  <si>
    <t>Lactating cows (40-60 months)</t>
  </si>
  <si>
    <t>Lacatating cow</t>
  </si>
  <si>
    <t xml:space="preserve"> Bulls (52 months)</t>
  </si>
  <si>
    <t xml:space="preserve">Babiker </t>
  </si>
  <si>
    <t xml:space="preserve">Wuanor </t>
  </si>
  <si>
    <t xml:space="preserve">Drouillard </t>
  </si>
  <si>
    <t xml:space="preserve">Abu El-Hamd </t>
  </si>
  <si>
    <t xml:space="preserve">Getu </t>
  </si>
  <si>
    <t>Journal of the Hellenic Veterinary Medical Society</t>
  </si>
  <si>
    <t>Tropical Animal Health &amp; Production</t>
  </si>
  <si>
    <t>Journal of Agriculture and Food Research</t>
  </si>
  <si>
    <t xml:space="preserve">https://doi.org/10.1016/j.jafr.2026.102670 </t>
  </si>
  <si>
    <t>https://doi.org/10.1007/s11250-020-02404-5</t>
  </si>
  <si>
    <t>10.12681/jhvms.32397</t>
  </si>
  <si>
    <t xml:space="preserve">http://dx.doi.org/10.4314/sajas.v42i2.13  </t>
  </si>
  <si>
    <t>10.9790/2380-087XXXXX</t>
  </si>
  <si>
    <t xml:space="preserve">https://doi.org/10.3923/pjn.2009.384.387 </t>
  </si>
  <si>
    <t>Journal of Agriculture and Veterinary Science</t>
  </si>
  <si>
    <t>1.0% BW supplement</t>
  </si>
  <si>
    <t>2.0% BW supplement</t>
  </si>
  <si>
    <t>3.0% BW supplement</t>
  </si>
  <si>
    <t>Heifer (1 year)</t>
  </si>
  <si>
    <t>Steer (18 months)</t>
  </si>
  <si>
    <t>Steers (17 months)</t>
  </si>
  <si>
    <t>ZG0%C</t>
  </si>
  <si>
    <t>OG1%C</t>
  </si>
  <si>
    <t>ZG1.5%C</t>
  </si>
  <si>
    <t>ZG2%C</t>
  </si>
  <si>
    <t>MO</t>
  </si>
  <si>
    <t>WO</t>
  </si>
  <si>
    <t>RO</t>
  </si>
  <si>
    <t>SP</t>
  </si>
  <si>
    <t xml:space="preserve">Friesian x Zebu crossbred </t>
  </si>
  <si>
    <t>Early lactation</t>
  </si>
  <si>
    <t xml:space="preserve"> bulls</t>
  </si>
  <si>
    <t>LR0157</t>
  </si>
  <si>
    <t>LR0158</t>
  </si>
  <si>
    <t>LR0159</t>
  </si>
  <si>
    <t xml:space="preserve">Katuromunda </t>
  </si>
  <si>
    <t xml:space="preserve">Abdul Aziz </t>
  </si>
  <si>
    <t xml:space="preserve">Jokthan </t>
  </si>
  <si>
    <t>Uganda Journal of Agricultural Science</t>
  </si>
  <si>
    <t>Animal Research International</t>
  </si>
  <si>
    <t>www.zoo-unn.org</t>
  </si>
  <si>
    <t>Cont + Calliandra</t>
  </si>
  <si>
    <t>Cont + Centrosema</t>
  </si>
  <si>
    <t>Cont + Desmodium</t>
  </si>
  <si>
    <t xml:space="preserve">T1 Napier(6w)+0 Lucern </t>
  </si>
  <si>
    <t>T2 Napier(6w)+1.5 Lucern</t>
  </si>
  <si>
    <t>T3 Napier(12w)+0 Lucern</t>
  </si>
  <si>
    <t>T4 Napier(12w)+1.5 L Lucern</t>
  </si>
  <si>
    <t>T5 Napier(12w)+2.5 L Lucern</t>
  </si>
  <si>
    <t>T6 Napier(12w)+3.5 L Lucern</t>
  </si>
  <si>
    <t>T4 Napier(12w)+1.5 Lucern</t>
  </si>
  <si>
    <t>T5 Napier(12w)+2.5 Lucern</t>
  </si>
  <si>
    <t>T6 Napier(12w)+3.5 Lucern</t>
  </si>
  <si>
    <t>Heifer (15 months old)</t>
  </si>
  <si>
    <t xml:space="preserve">Erasmus </t>
  </si>
  <si>
    <t xml:space="preserve">Etela </t>
  </si>
  <si>
    <t xml:space="preserve">Fushai </t>
  </si>
  <si>
    <t xml:space="preserve">Mero </t>
  </si>
  <si>
    <t xml:space="preserve">Steyn </t>
  </si>
  <si>
    <t>Livestock Feed Science and Technology</t>
  </si>
  <si>
    <t>C</t>
  </si>
  <si>
    <t>M</t>
  </si>
  <si>
    <t>V</t>
  </si>
  <si>
    <t>V+M</t>
  </si>
  <si>
    <t>Diet A (Bunaji)</t>
  </si>
  <si>
    <t>Diet B (Bunaji)</t>
  </si>
  <si>
    <t>Diet C (Bunaji)</t>
  </si>
  <si>
    <t>Diet D (Bunaji)</t>
  </si>
  <si>
    <t>Diet A (N'Dama)</t>
  </si>
  <si>
    <t>Diet B (N'Dama)</t>
  </si>
  <si>
    <t>Diet C (N'Dama)</t>
  </si>
  <si>
    <t>Diet D (N'Dama)</t>
  </si>
  <si>
    <t>Hay + MAS</t>
  </si>
  <si>
    <t>Hay + MAA</t>
  </si>
  <si>
    <t>Hay + NWM</t>
  </si>
  <si>
    <t>Hay + SSS</t>
  </si>
  <si>
    <t>Hay + FM</t>
  </si>
  <si>
    <t>NDAP</t>
  </si>
  <si>
    <t>LDAP</t>
  </si>
  <si>
    <t>MDAP</t>
  </si>
  <si>
    <t>HDAP</t>
  </si>
  <si>
    <t>LR0161</t>
  </si>
  <si>
    <t>LR0162</t>
  </si>
  <si>
    <t>LR0163</t>
  </si>
  <si>
    <t>LR0164</t>
  </si>
  <si>
    <t>LR0165</t>
  </si>
  <si>
    <t>LR0166</t>
  </si>
  <si>
    <t xml:space="preserve"> Jersey</t>
  </si>
  <si>
    <t>Lactating cow (37 months)</t>
  </si>
  <si>
    <t>Heafers (1.25 years)</t>
  </si>
  <si>
    <t>Boran - Jersey crossbred</t>
  </si>
  <si>
    <t xml:space="preserve">Heafers </t>
  </si>
  <si>
    <t>Bulls (1.5 years)</t>
  </si>
  <si>
    <t>https://doi.org/10.1016/j.livsci.2008.03.005</t>
  </si>
  <si>
    <t>10.1016/j.livsci.2008.04.010</t>
  </si>
  <si>
    <t>10.1016/j.anifeedsci.2005.11.006</t>
  </si>
  <si>
    <t>https://doi.org/10.1016/S0377-8401(97)00075-8</t>
  </si>
  <si>
    <t>http://dx.doi.org/10.1016/j.anifeedsci.2017.10.011</t>
  </si>
  <si>
    <t>grazing</t>
  </si>
  <si>
    <t>marker.method</t>
  </si>
  <si>
    <t>yes</t>
  </si>
  <si>
    <t>no</t>
  </si>
  <si>
    <t>Feed.consumed.while.grazing?</t>
  </si>
  <si>
    <t>adg_kg_day</t>
  </si>
  <si>
    <t>production.system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</si>
</sst>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theme="1"/>
      <name val="Aptos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  <font>
      <u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6" fillId="33" borderId="0" xfId="0" applyFont="1" applyFill="1" applyAlignment="1">
      <alignment horizontal="center" wrapText="1"/>
    </xf>
    <xf numFmtId="0" fontId="16" fillId="0" borderId="0" xfId="0" applyFont="1" applyAlignment="1">
      <alignment wrapText="1"/>
    </xf>
    <xf numFmtId="0" fontId="21" fillId="0" borderId="0" xfId="42"/>
    <xf numFmtId="0" fontId="0" fillId="34" borderId="0" xfId="0" applyFill="1"/>
    <xf numFmtId="0" fontId="0" fillId="0" borderId="0" xfId="0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0" fillId="34" borderId="0" xfId="0" applyFill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0" fontId="0" fillId="34" borderId="0" xfId="0" applyFill="1" applyAlignment="1">
      <alignment wrapText="1"/>
    </xf>
    <xf numFmtId="0" fontId="16" fillId="35" borderId="0" xfId="0" applyFont="1" applyFill="1" applyAlignment="1">
      <alignment horizontal="left"/>
    </xf>
    <xf numFmtId="0" fontId="16" fillId="35" borderId="0" xfId="0" applyFont="1" applyFill="1"/>
    <xf numFmtId="0" fontId="21" fillId="0" borderId="0" xfId="42" applyAlignment="1">
      <alignment vertical="center"/>
    </xf>
    <xf numFmtId="0" fontId="0" fillId="37" borderId="0" xfId="0" applyFill="1"/>
    <xf numFmtId="0" fontId="0" fillId="38" borderId="0" xfId="0" applyFill="1"/>
    <xf numFmtId="0" fontId="0" fillId="39" borderId="0" xfId="0" applyFill="1" applyAlignment="1">
      <alignment horizontal="left"/>
    </xf>
    <xf numFmtId="0" fontId="0" fillId="39" borderId="0" xfId="0" applyFill="1"/>
    <xf numFmtId="0" fontId="25" fillId="0" borderId="11" xfId="0" applyFont="1" applyBorder="1" applyAlignment="1">
      <alignment horizontal="left" vertical="center"/>
    </xf>
    <xf numFmtId="0" fontId="0" fillId="40" borderId="0" xfId="0" applyFill="1" applyAlignment="1">
      <alignment horizontal="left"/>
    </xf>
    <xf numFmtId="0" fontId="0" fillId="41" borderId="0" xfId="0" applyFill="1" applyAlignment="1">
      <alignment horizontal="left"/>
    </xf>
    <xf numFmtId="0" fontId="0" fillId="41" borderId="0" xfId="0" applyFill="1"/>
    <xf numFmtId="0" fontId="27" fillId="41" borderId="0" xfId="42" applyFont="1" applyFill="1"/>
    <xf numFmtId="0" fontId="27" fillId="0" borderId="0" xfId="42" applyFont="1" applyAlignment="1">
      <alignment vertical="center"/>
    </xf>
    <xf numFmtId="0" fontId="27" fillId="0" borderId="0" xfId="42" applyFont="1"/>
    <xf numFmtId="0" fontId="27" fillId="0" borderId="0" xfId="42" applyFont="1" applyFill="1" applyAlignment="1">
      <alignment vertical="center"/>
    </xf>
    <xf numFmtId="0" fontId="27" fillId="0" borderId="0" xfId="42" applyFont="1" applyFill="1"/>
    <xf numFmtId="0" fontId="28" fillId="0" borderId="0" xfId="0" applyFont="1"/>
    <xf numFmtId="0" fontId="27" fillId="0" borderId="10" xfId="42" applyFont="1" applyFill="1" applyBorder="1" applyAlignment="1">
      <alignment vertical="center" wrapText="1"/>
    </xf>
    <xf numFmtId="0" fontId="24" fillId="0" borderId="0" xfId="0" applyFont="1" applyAlignment="1">
      <alignment wrapText="1"/>
    </xf>
    <xf numFmtId="0" fontId="0" fillId="42" borderId="0" xfId="0" applyFill="1" applyAlignment="1">
      <alignment horizontal="left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0" fillId="43" borderId="0" xfId="0" applyFill="1" applyAlignment="1">
      <alignment horizontal="left"/>
    </xf>
    <xf numFmtId="0" fontId="0" fillId="43" borderId="0" xfId="0" applyFill="1"/>
    <xf numFmtId="0" fontId="21" fillId="43" borderId="0" xfId="42" applyFill="1"/>
    <xf numFmtId="0" fontId="0" fillId="36" borderId="0" xfId="0" applyFill="1"/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0" fontId="16" fillId="35" borderId="14" xfId="0" applyFont="1" applyFill="1" applyBorder="1"/>
    <xf numFmtId="0" fontId="0" fillId="0" borderId="14" xfId="0" applyBorder="1"/>
    <xf numFmtId="0" fontId="0" fillId="0" borderId="16" xfId="0" applyBorder="1"/>
    <xf numFmtId="0" fontId="33" fillId="0" borderId="14" xfId="0" applyFont="1" applyBorder="1"/>
    <xf numFmtId="0" fontId="0" fillId="34" borderId="14" xfId="0" applyFill="1" applyBorder="1"/>
    <xf numFmtId="0" fontId="14" fillId="0" borderId="14" xfId="0" applyFont="1" applyBorder="1"/>
    <xf numFmtId="0" fontId="23" fillId="0" borderId="13" xfId="0" applyFont="1" applyBorder="1" applyAlignment="1">
      <alignment horizontal="left"/>
    </xf>
    <xf numFmtId="0" fontId="0" fillId="0" borderId="15" xfId="0" applyBorder="1"/>
    <xf numFmtId="0" fontId="0" fillId="42" borderId="0" xfId="0" applyFill="1"/>
    <xf numFmtId="0" fontId="33" fillId="0" borderId="0" xfId="0" applyFont="1" applyAlignment="1">
      <alignment horizontal="left"/>
    </xf>
    <xf numFmtId="0" fontId="33" fillId="0" borderId="0" xfId="0" applyFont="1"/>
    <xf numFmtId="164" fontId="0" fillId="0" borderId="0" xfId="0" applyNumberFormat="1" applyAlignment="1">
      <alignment horizontal="left"/>
    </xf>
    <xf numFmtId="0" fontId="26" fillId="36" borderId="0" xfId="0" applyFont="1" applyFill="1" applyAlignment="1">
      <alignment horizontal="left" vertical="top" wrapText="1"/>
    </xf>
    <xf numFmtId="3" fontId="26" fillId="36" borderId="0" xfId="0" applyNumberFormat="1" applyFont="1" applyFill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2" fontId="26" fillId="0" borderId="0" xfId="0" applyNumberFormat="1" applyFont="1" applyAlignment="1">
      <alignment horizontal="left" vertical="center"/>
    </xf>
    <xf numFmtId="0" fontId="0" fillId="40" borderId="0" xfId="0" applyFill="1"/>
    <xf numFmtId="2" fontId="0" fillId="0" borderId="0" xfId="0" applyNumberFormat="1" applyAlignment="1">
      <alignment horizontal="left"/>
    </xf>
    <xf numFmtId="0" fontId="0" fillId="42" borderId="14" xfId="0" applyFill="1" applyBorder="1"/>
    <xf numFmtId="165" fontId="0" fillId="0" borderId="0" xfId="0" applyNumberFormat="1" applyAlignment="1">
      <alignment horizontal="left"/>
    </xf>
    <xf numFmtId="0" fontId="0" fillId="36" borderId="0" xfId="0" applyFill="1" applyAlignment="1">
      <alignment horizontal="left"/>
    </xf>
    <xf numFmtId="0" fontId="0" fillId="0" borderId="0" xfId="0" applyAlignment="1">
      <alignment horizontal="left" wrapText="1"/>
    </xf>
    <xf numFmtId="0" fontId="29" fillId="3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0" borderId="14" xfId="0" applyBorder="1" applyAlignment="1">
      <alignment horizontal="left"/>
    </xf>
    <xf numFmtId="0" fontId="29" fillId="36" borderId="0" xfId="0" applyFont="1" applyFill="1" applyAlignment="1">
      <alignment horizontal="left" vertical="center"/>
    </xf>
    <xf numFmtId="0" fontId="0" fillId="40" borderId="14" xfId="0" applyFill="1" applyBorder="1"/>
    <xf numFmtId="0" fontId="0" fillId="44" borderId="0" xfId="0" applyFill="1" applyAlignment="1">
      <alignment horizontal="left"/>
    </xf>
    <xf numFmtId="165" fontId="14" fillId="0" borderId="0" xfId="0" applyNumberFormat="1" applyFont="1" applyAlignment="1">
      <alignment horizontal="left"/>
    </xf>
    <xf numFmtId="0" fontId="0" fillId="45" borderId="0" xfId="0" applyFill="1"/>
    <xf numFmtId="0" fontId="0" fillId="45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46" borderId="0" xfId="0" applyFill="1" applyAlignment="1">
      <alignment horizontal="left"/>
    </xf>
    <xf numFmtId="0" fontId="0" fillId="4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es Hawkins" id="{3133984F-6AF2-4CDA-84CF-2CA5929BB892}" userId="bb158497c03b6847" providerId="Windows Live"/>
  <person displayName="Hawkins, James (ILRI)" id="{DEA6CA1E-72D9-49EC-8986-1B32B2AD327A}" userId="S::J.Hawkins@cgiar.org::fa0c5970-8857-44b2-99c8-2a84fc8ed5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1-08T08:33:43.25" personId="{3133984F-6AF2-4CDA-84CF-2CA5929BB892}" id="{43D8CCC5-D0F6-45D6-BC11-9E306D833478}">
    <text xml:space="preserve">Typically sheep and goats reach mature weight at 2+ years, so any age indicated as &lt;2 years would imply the animal is growing. </text>
  </threadedComment>
  <threadedComment ref="AE1312" dT="2025-12-04T07:56:55.75" personId="{DEA6CA1E-72D9-49EC-8986-1B32B2AD327A}" id="{81906831-D5D6-42E9-9CF8-80F4EDF626AF}">
    <text>This experiment pools sheep and goats (does not distinguish species in results) and therefore cannot be used</text>
  </threadedComment>
  <threadedComment ref="AE1325" dT="2025-12-04T08:12:27.95" personId="{DEA6CA1E-72D9-49EC-8986-1B32B2AD327A}" id="{A296E483-D6CE-4D06-A7B5-C7361C536B34}">
    <text>Does not report ADG</text>
  </threadedComment>
  <threadedComment ref="G1509" dT="2026-01-09T11:30:34.65" personId="{3133984F-6AF2-4CDA-84CF-2CA5929BB892}" id="{9D2F3658-EA52-4EBB-B93C-044566A35829}">
    <text>Double check</text>
  </threadedComment>
  <threadedComment ref="D2275" dT="2026-09-06T04:56:11.16" personId="{3133984F-6AF2-4CDA-84CF-2CA5929BB892}" id="{6A26FCB0-F0F6-4D92-872F-A1458D186506}">
    <text>Does not match</text>
  </threadedComment>
  <threadedComment ref="F2275" dT="2026-09-06T04:52:56.66" personId="{3133984F-6AF2-4CDA-84CF-2CA5929BB892}" id="{07B19C8A-489E-47B4-8658-E22EFE810F7C}">
    <text>Does not match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ciencepublishinggroup.com/j/aa" TargetMode="External"/><Relationship Id="rId21" Type="http://schemas.openxmlformats.org/officeDocument/2006/relationships/hyperlink" Target="https://doi.org/10.3168/jds.2017-14327" TargetMode="External"/><Relationship Id="rId42" Type="http://schemas.openxmlformats.org/officeDocument/2006/relationships/hyperlink" Target="https://doi.org/10.1007/s11250-020-02346-y" TargetMode="External"/><Relationship Id="rId47" Type="http://schemas.openxmlformats.org/officeDocument/2006/relationships/hyperlink" Target="https://doi.org/10.1111/jpn.12068" TargetMode="External"/><Relationship Id="rId63" Type="http://schemas.openxmlformats.org/officeDocument/2006/relationships/hyperlink" Target="https://doi.org/10.1016/j.animal.2024.101320" TargetMode="External"/><Relationship Id="rId68" Type="http://schemas.openxmlformats.org/officeDocument/2006/relationships/hyperlink" Target="https://doi.org/10.1016/j.livprodsci.2004.02.005" TargetMode="External"/><Relationship Id="rId84" Type="http://schemas.openxmlformats.org/officeDocument/2006/relationships/hyperlink" Target="https://doi.org/10.3168/jds.S0022-0302(99)75317-8" TargetMode="External"/><Relationship Id="rId89" Type="http://schemas.openxmlformats.org/officeDocument/2006/relationships/hyperlink" Target="https://doi.org/10.3923/pjn.2009.384.387" TargetMode="External"/><Relationship Id="rId16" Type="http://schemas.openxmlformats.org/officeDocument/2006/relationships/hyperlink" Target="https://doi.org/10.1007/s42452-026-09070-6" TargetMode="External"/><Relationship Id="rId11" Type="http://schemas.openxmlformats.org/officeDocument/2006/relationships/hyperlink" Target="https://www.aksuja.com.ng/viewpdf/articles/publications/d/70.pdf" TargetMode="External"/><Relationship Id="rId32" Type="http://schemas.openxmlformats.org/officeDocument/2006/relationships/hyperlink" Target="https://doi.org/10.1080/1745039X.2019.1572343" TargetMode="External"/><Relationship Id="rId37" Type="http://schemas.openxmlformats.org/officeDocument/2006/relationships/hyperlink" Target="https://doi.org/10.1016/j.sciaf.2020.e00673" TargetMode="External"/><Relationship Id="rId53" Type="http://schemas.openxmlformats.org/officeDocument/2006/relationships/hyperlink" Target="https://doi.org/10.1016/j.meatsci.2019.107969" TargetMode="External"/><Relationship Id="rId58" Type="http://schemas.openxmlformats.org/officeDocument/2006/relationships/hyperlink" Target="https://doi.org/10.1007/s11250-024-03959-3" TargetMode="External"/><Relationship Id="rId74" Type="http://schemas.openxmlformats.org/officeDocument/2006/relationships/hyperlink" Target="https://doi.org/10.1016/0377-8401(93)90160-L" TargetMode="External"/><Relationship Id="rId79" Type="http://schemas.openxmlformats.org/officeDocument/2006/relationships/hyperlink" Target="https://doi.org/10.1016/0377-8401(94)90053-1" TargetMode="External"/><Relationship Id="rId5" Type="http://schemas.openxmlformats.org/officeDocument/2006/relationships/hyperlink" Target="http://www.lrrd.org/lrrd29/4/atta29077.html" TargetMode="External"/><Relationship Id="rId90" Type="http://schemas.openxmlformats.org/officeDocument/2006/relationships/printerSettings" Target="../printerSettings/printerSettings2.bin"/><Relationship Id="rId14" Type="http://schemas.openxmlformats.org/officeDocument/2006/relationships/hyperlink" Target="https://www.researchgate.net/profile/Fred-Kabi/publication/237085419_Effect_of_supplementary_protein_source_on_the_performance_of_indigenous_meat_goats_fed_Guinea_grass_hay/links/00b7d51f3934756a06000000/Effect-of-supplementary-protein-source-on-the-performance-of-indigenous-meat-goats-fed-Guinea-grass-hay.pdf" TargetMode="External"/><Relationship Id="rId22" Type="http://schemas.openxmlformats.org/officeDocument/2006/relationships/hyperlink" Target="https://doi.org/10.1016/j.livsci.2013.12.016" TargetMode="External"/><Relationship Id="rId27" Type="http://schemas.openxmlformats.org/officeDocument/2006/relationships/hyperlink" Target="https://doi.org/10.1007/s11250-015-0801-z" TargetMode="External"/><Relationship Id="rId30" Type="http://schemas.openxmlformats.org/officeDocument/2006/relationships/hyperlink" Target="https://doi.org/10.1111/asj.13370" TargetMode="External"/><Relationship Id="rId35" Type="http://schemas.openxmlformats.org/officeDocument/2006/relationships/hyperlink" Target="https://doi.org/10.19080/ARTOAJ.2018.17.556024" TargetMode="External"/><Relationship Id="rId43" Type="http://schemas.openxmlformats.org/officeDocument/2006/relationships/hyperlink" Target="https://doi.org/10.1007/s11250-022-03275-8" TargetMode="External"/><Relationship Id="rId48" Type="http://schemas.openxmlformats.org/officeDocument/2006/relationships/hyperlink" Target="https://doi.org/10.1111/jpn.12068" TargetMode="External"/><Relationship Id="rId56" Type="http://schemas.openxmlformats.org/officeDocument/2006/relationships/hyperlink" Target="https://doi.org/10.1038/s41598-026-52674-6" TargetMode="External"/><Relationship Id="rId64" Type="http://schemas.openxmlformats.org/officeDocument/2006/relationships/hyperlink" Target="https://doi.org/10.1080/1745039X.2024.2356326" TargetMode="External"/><Relationship Id="rId69" Type="http://schemas.openxmlformats.org/officeDocument/2006/relationships/hyperlink" Target="https://doi.org/10.1016/0377-8401(90)90132-R" TargetMode="External"/><Relationship Id="rId77" Type="http://schemas.openxmlformats.org/officeDocument/2006/relationships/hyperlink" Target="https://doi.org/10.1016/j.anifeedsci.2019.04.006" TargetMode="External"/><Relationship Id="rId8" Type="http://schemas.openxmlformats.org/officeDocument/2006/relationships/hyperlink" Target="https://www.tropicalgrasslands.info/public/journals/4/Historic/Tropical%20Grasslands%20Journal%20archive/PDFs/Vol_29_1995/Vol_29_03_95_pp150_154.pdf" TargetMode="External"/><Relationship Id="rId51" Type="http://schemas.openxmlformats.org/officeDocument/2006/relationships/hyperlink" Target="https://doi.org/10.3168/jds.2017-14327" TargetMode="External"/><Relationship Id="rId72" Type="http://schemas.openxmlformats.org/officeDocument/2006/relationships/hyperlink" Target="https://doi.org/10.1016/0301-6226(95)00077-1" TargetMode="External"/><Relationship Id="rId80" Type="http://schemas.openxmlformats.org/officeDocument/2006/relationships/hyperlink" Target="https://doi.org/10.1016/0377-8401(93)00593-K" TargetMode="External"/><Relationship Id="rId85" Type="http://schemas.openxmlformats.org/officeDocument/2006/relationships/hyperlink" Target="http://dx.doi.org/10.1016/j.anifeedsci.2017.02.012" TargetMode="External"/><Relationship Id="rId3" Type="http://schemas.openxmlformats.org/officeDocument/2006/relationships/hyperlink" Target="https://www.ajol.info/index.php/tjas/article/download/187902/177179" TargetMode="External"/><Relationship Id="rId12" Type="http://schemas.openxmlformats.org/officeDocument/2006/relationships/hyperlink" Target="http://www.lifesciencesite.com/lsj/life0904/334_11751life0904_2250_2255.pdf" TargetMode="External"/><Relationship Id="rId17" Type="http://schemas.openxmlformats.org/officeDocument/2006/relationships/hyperlink" Target="https://doi.org/10.1093/jas/skad147" TargetMode="External"/><Relationship Id="rId25" Type="http://schemas.openxmlformats.org/officeDocument/2006/relationships/hyperlink" Target="https://doi.org/10.1111/jpn.12068" TargetMode="External"/><Relationship Id="rId33" Type="http://schemas.openxmlformats.org/officeDocument/2006/relationships/hyperlink" Target="http://dx.doi.org/10.1016/j.livsci.2015.11.001" TargetMode="External"/><Relationship Id="rId38" Type="http://schemas.openxmlformats.org/officeDocument/2006/relationships/hyperlink" Target="https://doi.org/10.1038/s41598-026-52674-6" TargetMode="External"/><Relationship Id="rId46" Type="http://schemas.openxmlformats.org/officeDocument/2006/relationships/hyperlink" Target="https://doi.org/10.1007/s11250-015-0801-z" TargetMode="External"/><Relationship Id="rId59" Type="http://schemas.openxmlformats.org/officeDocument/2006/relationships/hyperlink" Target="https://doi.org/10.1093/jas/skad147" TargetMode="External"/><Relationship Id="rId67" Type="http://schemas.openxmlformats.org/officeDocument/2006/relationships/hyperlink" Target="https://doi.org/10.1016/S0301-6226(98)00127-4" TargetMode="External"/><Relationship Id="rId20" Type="http://schemas.openxmlformats.org/officeDocument/2006/relationships/hyperlink" Target="https://doi.org/10.1016/j.animal.2020.100020" TargetMode="External"/><Relationship Id="rId41" Type="http://schemas.openxmlformats.org/officeDocument/2006/relationships/hyperlink" Target="https://doi.org/10.1080/00128325.1986.11663503" TargetMode="External"/><Relationship Id="rId54" Type="http://schemas.openxmlformats.org/officeDocument/2006/relationships/hyperlink" Target="https://doi.org/10.3168/jds.2021-21535" TargetMode="External"/><Relationship Id="rId62" Type="http://schemas.openxmlformats.org/officeDocument/2006/relationships/hyperlink" Target="https://doi.org/10.1007/s11250-024-04226-1" TargetMode="External"/><Relationship Id="rId70" Type="http://schemas.openxmlformats.org/officeDocument/2006/relationships/hyperlink" Target="https://doi.org/10.1016/S0301-6226(96)00034-6" TargetMode="External"/><Relationship Id="rId75" Type="http://schemas.openxmlformats.org/officeDocument/2006/relationships/hyperlink" Target="https://doi.org/10.1016/j.anifeedsci.2019.04.006" TargetMode="External"/><Relationship Id="rId83" Type="http://schemas.openxmlformats.org/officeDocument/2006/relationships/hyperlink" Target="https://doi.org/10.1016/S0377-8401(99)00017-6" TargetMode="External"/><Relationship Id="rId88" Type="http://schemas.openxmlformats.org/officeDocument/2006/relationships/hyperlink" Target="http://dx.doi.org/10.4314/sajas.v42i2.13" TargetMode="External"/><Relationship Id="rId1" Type="http://schemas.openxmlformats.org/officeDocument/2006/relationships/hyperlink" Target="http://www.lrrd.org/lrrd30/8/desta30149.html" TargetMode="External"/><Relationship Id="rId6" Type="http://schemas.openxmlformats.org/officeDocument/2006/relationships/hyperlink" Target="http://www.lrrd.org/lrrd27/9/kida27180.html" TargetMode="External"/><Relationship Id="rId15" Type="http://schemas.openxmlformats.org/officeDocument/2006/relationships/hyperlink" Target="https://www.ajol.info/index.php/sajas/article/view/138698" TargetMode="External"/><Relationship Id="rId23" Type="http://schemas.openxmlformats.org/officeDocument/2006/relationships/hyperlink" Target="http://dx.doi.org/10.18685/EJARD(7)2_EJARD-17-011" TargetMode="External"/><Relationship Id="rId28" Type="http://schemas.openxmlformats.org/officeDocument/2006/relationships/hyperlink" Target="https://doi.org/10.1007/s11250-010-9740-x" TargetMode="External"/><Relationship Id="rId36" Type="http://schemas.openxmlformats.org/officeDocument/2006/relationships/hyperlink" Target="https://doi.org/10.55197/qjoest.v6i3.238" TargetMode="External"/><Relationship Id="rId49" Type="http://schemas.openxmlformats.org/officeDocument/2006/relationships/hyperlink" Target="http://dx.doi.org/10.18685/EJARD(7)2_EJARD-17-011" TargetMode="External"/><Relationship Id="rId57" Type="http://schemas.openxmlformats.org/officeDocument/2006/relationships/hyperlink" Target="https://doi.org/10.3390/ani15172505" TargetMode="External"/><Relationship Id="rId10" Type="http://schemas.openxmlformats.org/officeDocument/2006/relationships/hyperlink" Target="https://journals.ju.edu.et/index.php/ejast/issue/view/196" TargetMode="External"/><Relationship Id="rId31" Type="http://schemas.openxmlformats.org/officeDocument/2006/relationships/hyperlink" Target="https://doi.org/10.1080/1745039X.2019.1572343" TargetMode="External"/><Relationship Id="rId44" Type="http://schemas.openxmlformats.org/officeDocument/2006/relationships/hyperlink" Target="https://doi.org/10.1111/asj.13370" TargetMode="External"/><Relationship Id="rId52" Type="http://schemas.openxmlformats.org/officeDocument/2006/relationships/hyperlink" Target="https://doi.org/10.1016/j.animal.2020.100020" TargetMode="External"/><Relationship Id="rId60" Type="http://schemas.openxmlformats.org/officeDocument/2006/relationships/hyperlink" Target="https://doi.org/10.1007/s42452-026-09070-6" TargetMode="External"/><Relationship Id="rId65" Type="http://schemas.openxmlformats.org/officeDocument/2006/relationships/hyperlink" Target="https://doi.org/10.1016/j.vas.2025.100511" TargetMode="External"/><Relationship Id="rId73" Type="http://schemas.openxmlformats.org/officeDocument/2006/relationships/hyperlink" Target="https://doi.org/10.1016/0377-8401(81)90026-2" TargetMode="External"/><Relationship Id="rId78" Type="http://schemas.openxmlformats.org/officeDocument/2006/relationships/hyperlink" Target="https://doi.org/10.1016/j.anopes.2025.100097" TargetMode="External"/><Relationship Id="rId81" Type="http://schemas.openxmlformats.org/officeDocument/2006/relationships/hyperlink" Target="https://doi.org/10.1016/j.anifeedsci.2024.116066" TargetMode="External"/><Relationship Id="rId86" Type="http://schemas.openxmlformats.org/officeDocument/2006/relationships/hyperlink" Target="https://doi.org/10.1016/j.jafr.2026.102670" TargetMode="External"/><Relationship Id="rId4" Type="http://schemas.openxmlformats.org/officeDocument/2006/relationships/hyperlink" Target="http://www.revista.ccba.uady.mx/ojs/index.php/TSA/article/view/2224" TargetMode="External"/><Relationship Id="rId9" Type="http://schemas.openxmlformats.org/officeDocument/2006/relationships/hyperlink" Target="https://www.tropicalgrasslands.info/public/journals/4/Historic/Tropical%20Grasslands%20Journal%20archive/PDFs/Vol_42_2008/Vol42_03_2008_pp188_192.pdf" TargetMode="External"/><Relationship Id="rId13" Type="http://schemas.openxmlformats.org/officeDocument/2006/relationships/hyperlink" Target="https://link.springer.com/content/pdf/10.1023/A:1021396629613.pdf?pdf=button%20sticky" TargetMode="External"/><Relationship Id="rId18" Type="http://schemas.openxmlformats.org/officeDocument/2006/relationships/hyperlink" Target="https://doi.org/10.1016/j.meatsci.2019.107969" TargetMode="External"/><Relationship Id="rId39" Type="http://schemas.openxmlformats.org/officeDocument/2006/relationships/hyperlink" Target="https://doi.org/10.1080/09712119.2023.2290829" TargetMode="External"/><Relationship Id="rId34" Type="http://schemas.openxmlformats.org/officeDocument/2006/relationships/hyperlink" Target="https://doi.org/10.1155/aia/8823593" TargetMode="External"/><Relationship Id="rId50" Type="http://schemas.openxmlformats.org/officeDocument/2006/relationships/hyperlink" Target="https://doi.org/10.1016/j.livsci.2013.12.016" TargetMode="External"/><Relationship Id="rId55" Type="http://schemas.openxmlformats.org/officeDocument/2006/relationships/hyperlink" Target="https://doi.org/10.1007/s11250-026-04974-2" TargetMode="External"/><Relationship Id="rId76" Type="http://schemas.openxmlformats.org/officeDocument/2006/relationships/hyperlink" Target="https://doi.org/10.1016/j.anifeedsci.2018.04.025" TargetMode="External"/><Relationship Id="rId7" Type="http://schemas.openxmlformats.org/officeDocument/2006/relationships/hyperlink" Target="https://pubag.nal.usda.gov/catalog/732199" TargetMode="External"/><Relationship Id="rId71" Type="http://schemas.openxmlformats.org/officeDocument/2006/relationships/hyperlink" Target="https://doi.org/10.1016/S0377-8401(01)00270-8" TargetMode="External"/><Relationship Id="rId2" Type="http://schemas.openxmlformats.org/officeDocument/2006/relationships/hyperlink" Target="https://uknowledge.uky.edu/cgi/viewcontent.cgi?article=1281&amp;context=igc" TargetMode="External"/><Relationship Id="rId29" Type="http://schemas.openxmlformats.org/officeDocument/2006/relationships/hyperlink" Target="https://doi.org/10.1007/s11250-018-1676-6" TargetMode="External"/><Relationship Id="rId24" Type="http://schemas.openxmlformats.org/officeDocument/2006/relationships/hyperlink" Target="https://doi.org/10.1111/jpn.12068" TargetMode="External"/><Relationship Id="rId40" Type="http://schemas.openxmlformats.org/officeDocument/2006/relationships/hyperlink" Target="https://doi.org/10.1007/s11250-018-1779-0" TargetMode="External"/><Relationship Id="rId45" Type="http://schemas.openxmlformats.org/officeDocument/2006/relationships/hyperlink" Target="https://doi.org/10.1007/s11250-018-1676-6" TargetMode="External"/><Relationship Id="rId66" Type="http://schemas.openxmlformats.org/officeDocument/2006/relationships/hyperlink" Target="https://doi.org/10.1371/journalpone.0282879" TargetMode="External"/><Relationship Id="rId87" Type="http://schemas.openxmlformats.org/officeDocument/2006/relationships/hyperlink" Target="https://doi.org/10.1007/s11250-020-02404-5" TargetMode="External"/><Relationship Id="rId61" Type="http://schemas.openxmlformats.org/officeDocument/2006/relationships/hyperlink" Target="https://doi.org/10.1016/j.animal.2022.100632" TargetMode="External"/><Relationship Id="rId82" Type="http://schemas.openxmlformats.org/officeDocument/2006/relationships/hyperlink" Target="https://doi.org/10.1016/0377-8401(93)90161-M" TargetMode="External"/><Relationship Id="rId19" Type="http://schemas.openxmlformats.org/officeDocument/2006/relationships/hyperlink" Target="https://doi.org/10.1007/s11250-024-03959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A5F2-5F64-40C0-9BBA-3D22DA78D42C}">
  <dimension ref="A1:D6"/>
  <sheetViews>
    <sheetView topLeftCell="A4" workbookViewId="0">
      <selection activeCell="A10" sqref="A10"/>
    </sheetView>
  </sheetViews>
  <sheetFormatPr defaultRowHeight="15"/>
  <cols>
    <col min="1" max="1" width="37.5703125" customWidth="1"/>
    <col min="2" max="2" width="29" customWidth="1"/>
    <col min="3" max="3" width="28.140625" customWidth="1"/>
    <col min="4" max="4" width="38.140625" customWidth="1"/>
  </cols>
  <sheetData>
    <row r="1" spans="1:4">
      <c r="A1" s="5" t="s">
        <v>1985</v>
      </c>
      <c r="B1" s="5" t="s">
        <v>1986</v>
      </c>
      <c r="C1" s="5" t="s">
        <v>1987</v>
      </c>
      <c r="D1" s="5" t="s">
        <v>1988</v>
      </c>
    </row>
    <row r="2" spans="1:4" ht="60">
      <c r="A2" s="2" t="s">
        <v>1989</v>
      </c>
      <c r="B2" s="3" t="s">
        <v>1990</v>
      </c>
      <c r="C2" s="3" t="s">
        <v>1991</v>
      </c>
      <c r="D2" s="4" t="s">
        <v>1992</v>
      </c>
    </row>
    <row r="3" spans="1:4" ht="30">
      <c r="A3" s="2" t="s">
        <v>2001</v>
      </c>
      <c r="B3" s="3" t="s">
        <v>1993</v>
      </c>
      <c r="C3" s="3" t="s">
        <v>1994</v>
      </c>
      <c r="D3" s="4" t="s">
        <v>1995</v>
      </c>
    </row>
    <row r="4" spans="1:4">
      <c r="A4" s="2" t="s">
        <v>1996</v>
      </c>
      <c r="B4" s="3" t="s">
        <v>1997</v>
      </c>
      <c r="C4" s="3" t="s">
        <v>1998</v>
      </c>
      <c r="D4" s="4" t="s">
        <v>1999</v>
      </c>
    </row>
    <row r="5" spans="1:4">
      <c r="A5" s="2" t="s">
        <v>2000</v>
      </c>
      <c r="B5" s="3" t="s">
        <v>2002</v>
      </c>
    </row>
    <row r="6" spans="1:4" ht="30">
      <c r="A6" s="2" t="s">
        <v>2004</v>
      </c>
      <c r="B6" s="3" t="s">
        <v>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BA2B-BF7F-48A8-9D1D-C8DDB9C4B4E4}">
  <dimension ref="A1:B12"/>
  <sheetViews>
    <sheetView workbookViewId="0">
      <selection activeCell="A6" sqref="A6"/>
    </sheetView>
  </sheetViews>
  <sheetFormatPr defaultColWidth="8.85546875" defaultRowHeight="15"/>
  <cols>
    <col min="1" max="1" width="38.85546875" customWidth="1"/>
    <col min="2" max="2" width="52.140625" customWidth="1"/>
  </cols>
  <sheetData>
    <row r="1" spans="1:2">
      <c r="A1" s="1" t="s">
        <v>2005</v>
      </c>
      <c r="B1" s="1" t="s">
        <v>2006</v>
      </c>
    </row>
    <row r="2" spans="1:2" ht="30">
      <c r="A2" s="6" t="s">
        <v>9</v>
      </c>
      <c r="B2" s="3" t="s">
        <v>2104</v>
      </c>
    </row>
    <row r="3" spans="1:2">
      <c r="A3" s="6" t="s">
        <v>11</v>
      </c>
      <c r="B3" s="3" t="s">
        <v>2114</v>
      </c>
    </row>
    <row r="4" spans="1:2" ht="30">
      <c r="A4" s="6" t="s">
        <v>1976</v>
      </c>
      <c r="B4" s="3" t="s">
        <v>2105</v>
      </c>
    </row>
    <row r="5" spans="1:2" ht="30">
      <c r="A5" s="6" t="s">
        <v>1977</v>
      </c>
      <c r="B5" s="3" t="s">
        <v>2106</v>
      </c>
    </row>
    <row r="6" spans="1:2" ht="30">
      <c r="A6" s="6" t="s">
        <v>1978</v>
      </c>
      <c r="B6" s="3" t="s">
        <v>2107</v>
      </c>
    </row>
    <row r="7" spans="1:2">
      <c r="A7" s="6" t="s">
        <v>1979</v>
      </c>
      <c r="B7" s="3" t="s">
        <v>2108</v>
      </c>
    </row>
    <row r="8" spans="1:2">
      <c r="A8" s="6" t="s">
        <v>1980</v>
      </c>
      <c r="B8" s="3" t="s">
        <v>2109</v>
      </c>
    </row>
    <row r="9" spans="1:2">
      <c r="A9" s="6" t="s">
        <v>1981</v>
      </c>
      <c r="B9" s="3" t="s">
        <v>2110</v>
      </c>
    </row>
    <row r="10" spans="1:2">
      <c r="A10" s="6" t="s">
        <v>1982</v>
      </c>
      <c r="B10" s="3" t="s">
        <v>2111</v>
      </c>
    </row>
    <row r="11" spans="1:2" ht="30">
      <c r="A11" s="6" t="s">
        <v>1983</v>
      </c>
      <c r="B11" s="3" t="s">
        <v>2112</v>
      </c>
    </row>
    <row r="12" spans="1:2">
      <c r="A12" s="6" t="s">
        <v>1984</v>
      </c>
      <c r="B12" s="3" t="s">
        <v>2113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19DF-4004-44F4-B3E1-88727D22FA27}">
  <dimension ref="A1:B81"/>
  <sheetViews>
    <sheetView topLeftCell="A61" workbookViewId="0">
      <selection activeCell="B30" sqref="B30"/>
    </sheetView>
  </sheetViews>
  <sheetFormatPr defaultRowHeight="15"/>
  <cols>
    <col min="1" max="1" width="31.5703125" customWidth="1"/>
    <col min="2" max="2" width="39.140625" customWidth="1"/>
  </cols>
  <sheetData>
    <row r="1" spans="1:2">
      <c r="A1" s="1" t="s">
        <v>2005</v>
      </c>
      <c r="B1" s="1" t="s">
        <v>2006</v>
      </c>
    </row>
    <row r="2" spans="1:2" ht="30">
      <c r="A2" s="3" t="s">
        <v>0</v>
      </c>
      <c r="B2" s="3" t="s">
        <v>2007</v>
      </c>
    </row>
    <row r="3" spans="1:2" ht="30">
      <c r="A3" s="3" t="s">
        <v>1</v>
      </c>
      <c r="B3" s="3" t="s">
        <v>2099</v>
      </c>
    </row>
    <row r="4" spans="1:2" ht="30">
      <c r="A4" s="3" t="s">
        <v>2</v>
      </c>
      <c r="B4" s="3" t="s">
        <v>2100</v>
      </c>
    </row>
    <row r="5" spans="1:2">
      <c r="A5" s="3" t="s">
        <v>3</v>
      </c>
      <c r="B5" s="3" t="s">
        <v>2008</v>
      </c>
    </row>
    <row r="6" spans="1:2" ht="30">
      <c r="A6" s="3" t="s">
        <v>4</v>
      </c>
      <c r="B6" s="3" t="s">
        <v>2009</v>
      </c>
    </row>
    <row r="7" spans="1:2">
      <c r="A7" s="3" t="s">
        <v>5</v>
      </c>
      <c r="B7" s="3" t="s">
        <v>2010</v>
      </c>
    </row>
    <row r="8" spans="1:2">
      <c r="A8" s="3" t="s">
        <v>6</v>
      </c>
      <c r="B8" s="3" t="s">
        <v>2011</v>
      </c>
    </row>
    <row r="9" spans="1:2" ht="30">
      <c r="A9" s="3" t="s">
        <v>7</v>
      </c>
      <c r="B9" s="3" t="s">
        <v>2012</v>
      </c>
    </row>
    <row r="10" spans="1:2">
      <c r="A10" s="3" t="s">
        <v>8</v>
      </c>
      <c r="B10" s="3" t="s">
        <v>2013</v>
      </c>
    </row>
    <row r="11" spans="1:2">
      <c r="A11" s="3" t="s">
        <v>9</v>
      </c>
      <c r="B11" s="3" t="s">
        <v>2014</v>
      </c>
    </row>
    <row r="12" spans="1:2">
      <c r="A12" s="3" t="s">
        <v>10</v>
      </c>
      <c r="B12" s="3" t="s">
        <v>2015</v>
      </c>
    </row>
    <row r="13" spans="1:2" ht="30">
      <c r="A13" s="3" t="s">
        <v>11</v>
      </c>
      <c r="B13" s="3" t="s">
        <v>2103</v>
      </c>
    </row>
    <row r="14" spans="1:2" ht="30">
      <c r="A14" s="3" t="s">
        <v>12</v>
      </c>
      <c r="B14" s="3" t="s">
        <v>2016</v>
      </c>
    </row>
    <row r="15" spans="1:2">
      <c r="A15" s="3" t="s">
        <v>13</v>
      </c>
      <c r="B15" s="3" t="s">
        <v>2017</v>
      </c>
    </row>
    <row r="16" spans="1:2" s="8" customFormat="1">
      <c r="A16" s="17" t="s">
        <v>14</v>
      </c>
      <c r="B16" s="17" t="s">
        <v>2018</v>
      </c>
    </row>
    <row r="17" spans="1:2">
      <c r="A17" s="3" t="s">
        <v>15</v>
      </c>
      <c r="B17" s="3" t="s">
        <v>2019</v>
      </c>
    </row>
    <row r="18" spans="1:2">
      <c r="A18" s="3" t="s">
        <v>2020</v>
      </c>
      <c r="B18" s="3" t="s">
        <v>2021</v>
      </c>
    </row>
    <row r="19" spans="1:2">
      <c r="A19" s="3" t="s">
        <v>17</v>
      </c>
      <c r="B19" s="3" t="s">
        <v>2022</v>
      </c>
    </row>
    <row r="20" spans="1:2">
      <c r="A20" s="3" t="s">
        <v>19</v>
      </c>
      <c r="B20" s="3" t="s">
        <v>2023</v>
      </c>
    </row>
    <row r="21" spans="1:2">
      <c r="A21" s="3" t="s">
        <v>20</v>
      </c>
      <c r="B21" s="3" t="s">
        <v>2024</v>
      </c>
    </row>
    <row r="22" spans="1:2">
      <c r="A22" s="3" t="s">
        <v>21</v>
      </c>
      <c r="B22" s="3" t="s">
        <v>2025</v>
      </c>
    </row>
    <row r="23" spans="1:2" ht="30">
      <c r="A23" s="3" t="s">
        <v>2026</v>
      </c>
      <c r="B23" s="3" t="s">
        <v>2027</v>
      </c>
    </row>
    <row r="24" spans="1:2">
      <c r="A24" s="3" t="s">
        <v>2028</v>
      </c>
      <c r="B24" s="3" t="s">
        <v>2029</v>
      </c>
    </row>
    <row r="25" spans="1:2">
      <c r="A25" s="3" t="s">
        <v>2030</v>
      </c>
      <c r="B25" s="3" t="s">
        <v>2031</v>
      </c>
    </row>
    <row r="26" spans="1:2">
      <c r="A26" s="3" t="s">
        <v>25</v>
      </c>
      <c r="B26" s="3" t="s">
        <v>2032</v>
      </c>
    </row>
    <row r="27" spans="1:2">
      <c r="A27" s="3" t="s">
        <v>2033</v>
      </c>
      <c r="B27" s="3" t="s">
        <v>2034</v>
      </c>
    </row>
    <row r="28" spans="1:2">
      <c r="A28" s="3" t="s">
        <v>30</v>
      </c>
      <c r="B28" s="3" t="s">
        <v>2035</v>
      </c>
    </row>
    <row r="29" spans="1:2">
      <c r="A29" s="3" t="s">
        <v>31</v>
      </c>
      <c r="B29" s="3" t="s">
        <v>2036</v>
      </c>
    </row>
    <row r="30" spans="1:2">
      <c r="A30" s="3" t="s">
        <v>32</v>
      </c>
      <c r="B30" s="3" t="s">
        <v>2037</v>
      </c>
    </row>
    <row r="31" spans="1:2" ht="30">
      <c r="A31" s="3" t="s">
        <v>2038</v>
      </c>
      <c r="B31" s="3" t="s">
        <v>2039</v>
      </c>
    </row>
    <row r="32" spans="1:2">
      <c r="A32" s="3" t="s">
        <v>34</v>
      </c>
      <c r="B32" s="3" t="s">
        <v>2040</v>
      </c>
    </row>
    <row r="33" spans="1:2">
      <c r="A33" s="3" t="s">
        <v>2041</v>
      </c>
      <c r="B33" s="3" t="s">
        <v>2042</v>
      </c>
    </row>
    <row r="34" spans="1:2">
      <c r="A34" s="3" t="s">
        <v>38</v>
      </c>
      <c r="B34" s="3" t="s">
        <v>2043</v>
      </c>
    </row>
    <row r="35" spans="1:2">
      <c r="A35" s="3" t="s">
        <v>39</v>
      </c>
      <c r="B35" s="3" t="s">
        <v>2044</v>
      </c>
    </row>
    <row r="36" spans="1:2" ht="30">
      <c r="A36" s="3" t="s">
        <v>2045</v>
      </c>
      <c r="B36" s="3" t="s">
        <v>2046</v>
      </c>
    </row>
    <row r="37" spans="1:2">
      <c r="A37" s="3" t="s">
        <v>42</v>
      </c>
      <c r="B37" s="3" t="s">
        <v>2047</v>
      </c>
    </row>
    <row r="38" spans="1:2">
      <c r="A38" s="3" t="s">
        <v>2048</v>
      </c>
      <c r="B38" s="3" t="s">
        <v>2049</v>
      </c>
    </row>
    <row r="39" spans="1:2">
      <c r="A39" s="3" t="s">
        <v>45</v>
      </c>
      <c r="B39" s="3" t="s">
        <v>2050</v>
      </c>
    </row>
    <row r="40" spans="1:2">
      <c r="A40" s="3" t="s">
        <v>46</v>
      </c>
      <c r="B40" s="3" t="s">
        <v>2051</v>
      </c>
    </row>
    <row r="41" spans="1:2">
      <c r="A41" s="3" t="s">
        <v>47</v>
      </c>
      <c r="B41" s="3" t="s">
        <v>2052</v>
      </c>
    </row>
    <row r="42" spans="1:2">
      <c r="A42" s="3" t="s">
        <v>48</v>
      </c>
      <c r="B42" s="3" t="s">
        <v>2053</v>
      </c>
    </row>
    <row r="43" spans="1:2">
      <c r="A43" s="3" t="s">
        <v>49</v>
      </c>
      <c r="B43" s="3" t="s">
        <v>2054</v>
      </c>
    </row>
    <row r="44" spans="1:2" ht="30">
      <c r="A44" s="3" t="s">
        <v>2055</v>
      </c>
      <c r="B44" s="3" t="s">
        <v>2056</v>
      </c>
    </row>
    <row r="45" spans="1:2">
      <c r="A45" s="3" t="s">
        <v>53</v>
      </c>
      <c r="B45" s="3" t="s">
        <v>2057</v>
      </c>
    </row>
    <row r="46" spans="1:2">
      <c r="A46" s="3" t="s">
        <v>54</v>
      </c>
      <c r="B46" s="3" t="s">
        <v>2058</v>
      </c>
    </row>
    <row r="47" spans="1:2">
      <c r="A47" s="3" t="s">
        <v>55</v>
      </c>
      <c r="B47" s="3" t="s">
        <v>2059</v>
      </c>
    </row>
    <row r="48" spans="1:2">
      <c r="A48" s="3" t="s">
        <v>56</v>
      </c>
      <c r="B48" s="3" t="s">
        <v>2060</v>
      </c>
    </row>
    <row r="49" spans="1:2">
      <c r="A49" s="3" t="s">
        <v>58</v>
      </c>
      <c r="B49" s="3" t="s">
        <v>2061</v>
      </c>
    </row>
    <row r="50" spans="1:2">
      <c r="A50" s="3" t="s">
        <v>59</v>
      </c>
      <c r="B50" s="3" t="s">
        <v>2062</v>
      </c>
    </row>
    <row r="51" spans="1:2">
      <c r="A51" s="3" t="s">
        <v>60</v>
      </c>
      <c r="B51" s="3" t="s">
        <v>2063</v>
      </c>
    </row>
    <row r="52" spans="1:2">
      <c r="A52" s="3" t="s">
        <v>61</v>
      </c>
      <c r="B52" s="3" t="s">
        <v>2064</v>
      </c>
    </row>
    <row r="53" spans="1:2">
      <c r="A53" s="3" t="s">
        <v>62</v>
      </c>
      <c r="B53" s="3" t="s">
        <v>2065</v>
      </c>
    </row>
    <row r="54" spans="1:2">
      <c r="A54" s="3" t="s">
        <v>63</v>
      </c>
      <c r="B54" s="3" t="s">
        <v>2066</v>
      </c>
    </row>
    <row r="55" spans="1:2">
      <c r="A55" s="3" t="s">
        <v>64</v>
      </c>
      <c r="B55" s="3" t="s">
        <v>2067</v>
      </c>
    </row>
    <row r="56" spans="1:2">
      <c r="A56" s="3" t="s">
        <v>65</v>
      </c>
      <c r="B56" s="3" t="s">
        <v>2068</v>
      </c>
    </row>
    <row r="57" spans="1:2">
      <c r="A57" s="3" t="s">
        <v>66</v>
      </c>
      <c r="B57" s="3" t="s">
        <v>2069</v>
      </c>
    </row>
    <row r="58" spans="1:2">
      <c r="A58" s="3" t="s">
        <v>67</v>
      </c>
      <c r="B58" s="3" t="s">
        <v>2070</v>
      </c>
    </row>
    <row r="59" spans="1:2">
      <c r="A59" s="3" t="s">
        <v>68</v>
      </c>
      <c r="B59" s="3" t="s">
        <v>2071</v>
      </c>
    </row>
    <row r="60" spans="1:2">
      <c r="A60" s="3" t="s">
        <v>2072</v>
      </c>
      <c r="B60" s="3" t="s">
        <v>2073</v>
      </c>
    </row>
    <row r="61" spans="1:2" ht="30">
      <c r="A61" s="3" t="s">
        <v>71</v>
      </c>
      <c r="B61" s="3" t="s">
        <v>2074</v>
      </c>
    </row>
    <row r="62" spans="1:2">
      <c r="A62" s="3" t="s">
        <v>74</v>
      </c>
      <c r="B62" s="3" t="s">
        <v>2075</v>
      </c>
    </row>
    <row r="63" spans="1:2">
      <c r="A63" s="3" t="s">
        <v>75</v>
      </c>
      <c r="B63" s="3" t="s">
        <v>2076</v>
      </c>
    </row>
    <row r="64" spans="1:2">
      <c r="A64" s="3" t="s">
        <v>76</v>
      </c>
      <c r="B64" s="3" t="s">
        <v>2077</v>
      </c>
    </row>
    <row r="65" spans="1:2" ht="30">
      <c r="A65" s="3" t="s">
        <v>2078</v>
      </c>
      <c r="B65" s="3" t="s">
        <v>2079</v>
      </c>
    </row>
    <row r="66" spans="1:2" s="8" customFormat="1">
      <c r="A66" s="17" t="s">
        <v>80</v>
      </c>
      <c r="B66" s="17" t="s">
        <v>2080</v>
      </c>
    </row>
    <row r="67" spans="1:2">
      <c r="A67" s="3" t="s">
        <v>2081</v>
      </c>
      <c r="B67" s="3" t="s">
        <v>2082</v>
      </c>
    </row>
    <row r="68" spans="1:2" ht="30">
      <c r="A68" s="3" t="s">
        <v>2102</v>
      </c>
      <c r="B68" s="3" t="s">
        <v>2083</v>
      </c>
    </row>
    <row r="69" spans="1:2">
      <c r="A69" s="3" t="s">
        <v>86</v>
      </c>
      <c r="B69" s="3" t="s">
        <v>2084</v>
      </c>
    </row>
    <row r="70" spans="1:2">
      <c r="A70" s="3" t="s">
        <v>87</v>
      </c>
      <c r="B70" s="3" t="s">
        <v>2085</v>
      </c>
    </row>
    <row r="71" spans="1:2">
      <c r="A71" s="3" t="s">
        <v>2086</v>
      </c>
      <c r="B71" s="3" t="s">
        <v>2087</v>
      </c>
    </row>
    <row r="72" spans="1:2" ht="30">
      <c r="A72" s="3" t="s">
        <v>89</v>
      </c>
      <c r="B72" s="3" t="s">
        <v>2088</v>
      </c>
    </row>
    <row r="73" spans="1:2">
      <c r="A73" s="36" t="s">
        <v>90</v>
      </c>
      <c r="B73" s="36" t="s">
        <v>2089</v>
      </c>
    </row>
    <row r="74" spans="1:2">
      <c r="A74" s="3" t="s">
        <v>94</v>
      </c>
      <c r="B74" s="3" t="s">
        <v>2090</v>
      </c>
    </row>
    <row r="75" spans="1:2">
      <c r="A75" s="3" t="s">
        <v>95</v>
      </c>
      <c r="B75" s="3" t="s">
        <v>2091</v>
      </c>
    </row>
    <row r="76" spans="1:2">
      <c r="A76" s="3" t="s">
        <v>96</v>
      </c>
      <c r="B76" s="3" t="s">
        <v>2092</v>
      </c>
    </row>
    <row r="77" spans="1:2">
      <c r="A77" s="3" t="s">
        <v>97</v>
      </c>
      <c r="B77" s="3" t="s">
        <v>2093</v>
      </c>
    </row>
    <row r="78" spans="1:2">
      <c r="A78" s="3" t="s">
        <v>98</v>
      </c>
      <c r="B78" s="3" t="s">
        <v>2094</v>
      </c>
    </row>
    <row r="79" spans="1:2">
      <c r="A79" s="3" t="s">
        <v>99</v>
      </c>
      <c r="B79" s="3" t="s">
        <v>2095</v>
      </c>
    </row>
    <row r="80" spans="1:2" ht="31.15" customHeight="1">
      <c r="A80" s="17" t="s">
        <v>2096</v>
      </c>
      <c r="B80" s="3" t="s">
        <v>2097</v>
      </c>
    </row>
    <row r="81" spans="1:2">
      <c r="A81" s="3" t="s">
        <v>2098</v>
      </c>
      <c r="B81" s="3" t="s">
        <v>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FA64-51A6-4E75-8691-F958A0D03A94}">
  <sheetPr filterMode="1"/>
  <dimension ref="A1:AF233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5"/>
  <cols>
    <col min="1" max="1" width="13.7109375" style="9" customWidth="1"/>
    <col min="2" max="2" width="27" style="9" customWidth="1"/>
    <col min="3" max="3" width="12.85546875" style="9" customWidth="1"/>
    <col min="4" max="5" width="11.85546875" style="9" customWidth="1"/>
    <col min="6" max="6" width="9.140625" style="9" customWidth="1"/>
    <col min="7" max="7" width="10.85546875" style="9" customWidth="1"/>
    <col min="8" max="8" width="8.85546875" style="9"/>
    <col min="9" max="9" width="9.85546875" style="9" customWidth="1"/>
    <col min="10" max="10" width="11.42578125" style="9" customWidth="1"/>
    <col min="11" max="11" width="35.5703125" style="9" customWidth="1"/>
    <col min="12" max="12" width="17.85546875" style="9" customWidth="1"/>
    <col min="13" max="13" width="12.5703125" style="9" customWidth="1"/>
    <col min="14" max="14" width="12.85546875" style="9" customWidth="1"/>
    <col min="15" max="15" width="20.140625" style="9" customWidth="1"/>
    <col min="16" max="16" width="24.5703125" style="9" customWidth="1"/>
    <col min="17" max="17" width="24.85546875" style="9" customWidth="1"/>
    <col min="18" max="18" width="21" style="9" customWidth="1"/>
    <col min="19" max="30" width="8.85546875" style="9"/>
    <col min="31" max="31" width="8.85546875" style="49"/>
  </cols>
  <sheetData>
    <row r="1" spans="1:31" s="19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5102</v>
      </c>
      <c r="H1" s="18" t="s">
        <v>7</v>
      </c>
      <c r="I1" s="18" t="s">
        <v>3807</v>
      </c>
      <c r="J1" s="18" t="s">
        <v>9</v>
      </c>
      <c r="K1" s="18" t="s">
        <v>3979</v>
      </c>
      <c r="L1" s="19" t="s">
        <v>4031</v>
      </c>
      <c r="M1" s="19" t="s">
        <v>4032</v>
      </c>
      <c r="N1" s="19" t="s">
        <v>4033</v>
      </c>
      <c r="O1" s="18" t="s">
        <v>11</v>
      </c>
      <c r="P1" s="18" t="s">
        <v>12</v>
      </c>
      <c r="Q1" s="18" t="s">
        <v>3798</v>
      </c>
      <c r="R1" s="18" t="s">
        <v>5103</v>
      </c>
      <c r="S1" s="18" t="s">
        <v>13</v>
      </c>
      <c r="T1" s="18" t="s">
        <v>15</v>
      </c>
      <c r="U1" s="18" t="s">
        <v>21</v>
      </c>
      <c r="V1" s="18" t="s">
        <v>32</v>
      </c>
      <c r="W1" s="18" t="s">
        <v>35</v>
      </c>
      <c r="X1" s="18" t="s">
        <v>54</v>
      </c>
      <c r="Y1" s="18" t="s">
        <v>97</v>
      </c>
      <c r="Z1" s="14" t="s">
        <v>14</v>
      </c>
      <c r="AA1" s="14" t="s">
        <v>90</v>
      </c>
      <c r="AB1" s="14" t="s">
        <v>100</v>
      </c>
      <c r="AC1" s="13" t="s">
        <v>5101</v>
      </c>
      <c r="AD1" s="13" t="s">
        <v>5098</v>
      </c>
      <c r="AE1" s="48" t="s">
        <v>3811</v>
      </c>
    </row>
    <row r="2" spans="1:31">
      <c r="A2" s="9" t="s">
        <v>120</v>
      </c>
      <c r="B2" s="9" t="s">
        <v>121</v>
      </c>
      <c r="C2" s="9" t="s">
        <v>105</v>
      </c>
      <c r="D2" s="9">
        <v>8.3000000000000007</v>
      </c>
      <c r="E2" s="9" t="s">
        <v>106</v>
      </c>
      <c r="F2" s="9" t="s">
        <v>106</v>
      </c>
      <c r="G2" s="9" t="s">
        <v>106</v>
      </c>
      <c r="H2" s="9">
        <v>5.4</v>
      </c>
      <c r="I2" s="9">
        <v>10</v>
      </c>
      <c r="J2" s="9" t="s">
        <v>122</v>
      </c>
      <c r="K2" s="9" t="s">
        <v>123</v>
      </c>
      <c r="L2" t="str">
        <f>IF(OR(J2="Cattle",J2="Zebu Cattle"),IF(COUNTIF(lists!$M$2:$M$258, K2) &gt; 0,"bos.indicus",IF(COUNTIF(lists!$L$2:$L$258, K2) &gt; 0,"cross.bred","pure.bred.exotic")),"NA")</f>
        <v>cross.bred</v>
      </c>
      <c r="M2"/>
      <c r="N2"/>
      <c r="O2" s="9" t="s">
        <v>124</v>
      </c>
      <c r="P2" s="9" t="s">
        <v>106</v>
      </c>
      <c r="Q2" s="9" t="s">
        <v>3809</v>
      </c>
      <c r="R2" s="9" t="s">
        <v>3829</v>
      </c>
      <c r="S2" s="9">
        <v>372.6</v>
      </c>
      <c r="T2" s="9">
        <v>138.30000000000001</v>
      </c>
      <c r="U2" s="9">
        <v>124.5</v>
      </c>
      <c r="V2" s="9">
        <v>156.6</v>
      </c>
      <c r="W2" s="9" t="s">
        <v>106</v>
      </c>
      <c r="X2" s="9">
        <v>386.3</v>
      </c>
      <c r="Y2" s="9" t="s">
        <v>106</v>
      </c>
      <c r="Z2" s="9" t="s">
        <v>106</v>
      </c>
      <c r="AA2" s="9" t="s">
        <v>106</v>
      </c>
      <c r="AB2" s="9" t="s">
        <v>106</v>
      </c>
      <c r="AC2" s="9" t="s">
        <v>5100</v>
      </c>
      <c r="AD2" s="16" t="s">
        <v>5099</v>
      </c>
    </row>
    <row r="3" spans="1:31">
      <c r="A3" s="9" t="s">
        <v>120</v>
      </c>
      <c r="B3" s="9" t="s">
        <v>125</v>
      </c>
      <c r="C3" s="9" t="s">
        <v>105</v>
      </c>
      <c r="D3" s="9">
        <v>8.1999999999999993</v>
      </c>
      <c r="E3" s="9" t="s">
        <v>106</v>
      </c>
      <c r="F3" s="9" t="s">
        <v>106</v>
      </c>
      <c r="G3" s="9" t="s">
        <v>106</v>
      </c>
      <c r="H3" s="9">
        <v>7.1</v>
      </c>
      <c r="I3" s="9">
        <v>10</v>
      </c>
      <c r="J3" s="9" t="s">
        <v>122</v>
      </c>
      <c r="K3" s="9" t="s">
        <v>123</v>
      </c>
      <c r="L3" t="str">
        <f>IF(OR(J3="Cattle",J3="Zebu Cattle"),IF(COUNTIF(lists!$M$2:$M$258, K3) &gt; 0,"bos.indicus",IF(COUNTIF(lists!$L$2:$L$258, K3) &gt; 0,"cross.bred","pure.bred.exotic")),"NA")</f>
        <v>cross.bred</v>
      </c>
      <c r="M3"/>
      <c r="N3"/>
      <c r="O3" s="9" t="s">
        <v>124</v>
      </c>
      <c r="P3" s="9" t="s">
        <v>106</v>
      </c>
      <c r="Q3" s="9" t="s">
        <v>3809</v>
      </c>
      <c r="R3" s="9" t="s">
        <v>3829</v>
      </c>
      <c r="S3" s="9">
        <v>300</v>
      </c>
      <c r="T3" s="9">
        <v>137.6</v>
      </c>
      <c r="U3" s="9">
        <v>153.1</v>
      </c>
      <c r="V3" s="9">
        <v>196.1</v>
      </c>
      <c r="W3" s="9" t="s">
        <v>106</v>
      </c>
      <c r="X3" s="9">
        <v>431</v>
      </c>
      <c r="Y3" s="9" t="s">
        <v>106</v>
      </c>
      <c r="Z3" s="9" t="s">
        <v>106</v>
      </c>
      <c r="AA3" s="9" t="s">
        <v>106</v>
      </c>
      <c r="AB3" s="9" t="s">
        <v>106</v>
      </c>
      <c r="AC3" s="9" t="s">
        <v>5100</v>
      </c>
      <c r="AD3" s="16" t="s">
        <v>5099</v>
      </c>
    </row>
    <row r="4" spans="1:31">
      <c r="A4" s="9" t="s">
        <v>120</v>
      </c>
      <c r="B4" s="9" t="s">
        <v>126</v>
      </c>
      <c r="C4" s="9" t="s">
        <v>105</v>
      </c>
      <c r="D4" s="9">
        <v>9.1</v>
      </c>
      <c r="E4" s="9" t="s">
        <v>106</v>
      </c>
      <c r="F4" s="9" t="s">
        <v>106</v>
      </c>
      <c r="G4" s="9" t="s">
        <v>106</v>
      </c>
      <c r="H4" s="9">
        <v>8.1</v>
      </c>
      <c r="I4" s="9">
        <v>10</v>
      </c>
      <c r="J4" s="9" t="s">
        <v>122</v>
      </c>
      <c r="K4" s="9" t="s">
        <v>123</v>
      </c>
      <c r="L4" t="str">
        <f>IF(OR(J4="Cattle",J4="Zebu Cattle"),IF(COUNTIF(lists!$M$2:$M$258, K4) &gt; 0,"bos.indicus",IF(COUNTIF(lists!$L$2:$L$258, K4) &gt; 0,"cross.bred","pure.bred.exotic")),"NA")</f>
        <v>cross.bred</v>
      </c>
      <c r="M4"/>
      <c r="N4"/>
      <c r="O4" s="9" t="s">
        <v>124</v>
      </c>
      <c r="P4" s="9" t="s">
        <v>106</v>
      </c>
      <c r="Q4" s="9" t="s">
        <v>3809</v>
      </c>
      <c r="R4" s="9" t="s">
        <v>3829</v>
      </c>
      <c r="S4" s="9">
        <v>323.8</v>
      </c>
      <c r="T4" s="9">
        <v>117.7</v>
      </c>
      <c r="U4" s="9">
        <v>157.9</v>
      </c>
      <c r="V4" s="9">
        <v>238.5</v>
      </c>
      <c r="W4" s="9" t="s">
        <v>106</v>
      </c>
      <c r="X4" s="9">
        <v>329.3</v>
      </c>
      <c r="Y4" s="9" t="s">
        <v>106</v>
      </c>
      <c r="Z4" s="9" t="s">
        <v>106</v>
      </c>
      <c r="AA4" s="9" t="s">
        <v>106</v>
      </c>
      <c r="AB4" s="9" t="s">
        <v>106</v>
      </c>
      <c r="AC4" s="9" t="s">
        <v>5100</v>
      </c>
      <c r="AD4" s="16" t="s">
        <v>5099</v>
      </c>
    </row>
    <row r="5" spans="1:31">
      <c r="A5" s="9" t="s">
        <v>120</v>
      </c>
      <c r="B5" s="9" t="s">
        <v>127</v>
      </c>
      <c r="C5" s="9" t="s">
        <v>105</v>
      </c>
      <c r="D5" s="9">
        <v>9.1999999999999993</v>
      </c>
      <c r="E5" s="9" t="s">
        <v>106</v>
      </c>
      <c r="F5" s="9" t="s">
        <v>106</v>
      </c>
      <c r="G5" s="9" t="s">
        <v>106</v>
      </c>
      <c r="H5" s="9">
        <v>9</v>
      </c>
      <c r="I5" s="9">
        <v>10</v>
      </c>
      <c r="J5" s="9" t="s">
        <v>122</v>
      </c>
      <c r="K5" s="9" t="s">
        <v>123</v>
      </c>
      <c r="L5" t="str">
        <f>IF(OR(J5="Cattle",J5="Zebu Cattle"),IF(COUNTIF(lists!$M$2:$M$258, K5) &gt; 0,"bos.indicus",IF(COUNTIF(lists!$L$2:$L$258, K5) &gt; 0,"cross.bred","pure.bred.exotic")),"NA")</f>
        <v>cross.bred</v>
      </c>
      <c r="M5"/>
      <c r="O5" s="9" t="s">
        <v>124</v>
      </c>
      <c r="P5" s="9" t="s">
        <v>106</v>
      </c>
      <c r="Q5" s="9" t="s">
        <v>3809</v>
      </c>
      <c r="R5" s="9" t="s">
        <v>3829</v>
      </c>
      <c r="S5" s="9">
        <v>300.7</v>
      </c>
      <c r="T5" s="9">
        <v>127.2</v>
      </c>
      <c r="U5" s="9">
        <v>169.1</v>
      </c>
      <c r="V5" s="9">
        <v>241.4</v>
      </c>
      <c r="W5" s="9" t="s">
        <v>106</v>
      </c>
      <c r="X5" s="9">
        <v>426.6</v>
      </c>
      <c r="Y5" s="9" t="s">
        <v>106</v>
      </c>
      <c r="Z5" s="9" t="s">
        <v>106</v>
      </c>
      <c r="AA5" s="9" t="s">
        <v>106</v>
      </c>
      <c r="AB5" s="9" t="s">
        <v>106</v>
      </c>
      <c r="AC5" s="9" t="s">
        <v>5100</v>
      </c>
      <c r="AD5" s="16" t="s">
        <v>5099</v>
      </c>
    </row>
    <row r="6" spans="1:31" hidden="1">
      <c r="A6" s="9" t="s">
        <v>178</v>
      </c>
      <c r="B6" s="9" t="s">
        <v>179</v>
      </c>
      <c r="C6" s="9" t="s">
        <v>105</v>
      </c>
      <c r="D6" s="9">
        <v>0.873</v>
      </c>
      <c r="E6" s="9">
        <v>11.4</v>
      </c>
      <c r="F6" s="9" t="s">
        <v>106</v>
      </c>
      <c r="G6" s="9" t="s">
        <v>106</v>
      </c>
      <c r="H6" s="9" t="s">
        <v>106</v>
      </c>
      <c r="I6" s="9">
        <v>6</v>
      </c>
      <c r="J6" s="16" t="s">
        <v>107</v>
      </c>
      <c r="K6" s="9" t="s">
        <v>180</v>
      </c>
      <c r="L6" t="str">
        <f>IF(OR(J6="Cattle",J6="Zebu Cattle"),IF(COUNTIF(lists!$M$2:$M$258, K6) &gt; 0,"bos.indicus",IF(COUNTIF(lists!$L$2:$L$258, K6) &gt; 0,"cross.bred","pure.bred.exotic")),"NA")</f>
        <v>NA</v>
      </c>
      <c r="M6"/>
      <c r="N6"/>
      <c r="O6" s="9" t="s">
        <v>180</v>
      </c>
      <c r="P6" s="9" t="s">
        <v>170</v>
      </c>
      <c r="Q6" s="9" t="s">
        <v>3804</v>
      </c>
      <c r="R6" s="9" t="s">
        <v>3830</v>
      </c>
      <c r="S6" s="9" t="s">
        <v>106</v>
      </c>
      <c r="T6" s="9" t="s">
        <v>106</v>
      </c>
      <c r="U6" s="9" t="s">
        <v>106</v>
      </c>
      <c r="V6" s="9" t="s">
        <v>106</v>
      </c>
      <c r="W6" s="9" t="s">
        <v>106</v>
      </c>
      <c r="X6" s="9" t="s">
        <v>106</v>
      </c>
      <c r="Y6" s="9" t="s">
        <v>106</v>
      </c>
      <c r="Z6" s="9" t="s">
        <v>106</v>
      </c>
      <c r="AA6" s="9" t="s">
        <v>106</v>
      </c>
      <c r="AB6" s="9" t="s">
        <v>106</v>
      </c>
    </row>
    <row r="7" spans="1:31" hidden="1">
      <c r="A7" s="9" t="s">
        <v>178</v>
      </c>
      <c r="B7" s="9" t="s">
        <v>181</v>
      </c>
      <c r="C7" s="9" t="s">
        <v>105</v>
      </c>
      <c r="D7" s="9">
        <v>0.86099999999999999</v>
      </c>
      <c r="E7" s="9">
        <v>11.4</v>
      </c>
      <c r="F7" s="9" t="s">
        <v>106</v>
      </c>
      <c r="G7" s="9" t="s">
        <v>106</v>
      </c>
      <c r="H7" s="9" t="s">
        <v>106</v>
      </c>
      <c r="I7" s="9">
        <v>6</v>
      </c>
      <c r="J7" s="16" t="s">
        <v>107</v>
      </c>
      <c r="K7" s="9" t="s">
        <v>180</v>
      </c>
      <c r="L7" t="str">
        <f>IF(OR(J7="Cattle",J7="Zebu Cattle"),IF(COUNTIF(lists!$M$2:$M$258, K7) &gt; 0,"bos.indicus",IF(COUNTIF(lists!$L$2:$L$258, K7) &gt; 0,"cross.bred","pure.bred.exotic")),"NA")</f>
        <v>NA</v>
      </c>
      <c r="M7"/>
      <c r="N7"/>
      <c r="O7" s="9" t="s">
        <v>180</v>
      </c>
      <c r="P7" s="9" t="s">
        <v>170</v>
      </c>
      <c r="Q7" s="9" t="s">
        <v>3804</v>
      </c>
      <c r="R7" s="9" t="s">
        <v>3830</v>
      </c>
      <c r="S7" s="9" t="s">
        <v>106</v>
      </c>
      <c r="T7" s="9" t="s">
        <v>106</v>
      </c>
      <c r="U7" s="9" t="s">
        <v>106</v>
      </c>
      <c r="V7" s="9" t="s">
        <v>106</v>
      </c>
      <c r="W7" s="9" t="s">
        <v>106</v>
      </c>
      <c r="X7" s="9" t="s">
        <v>106</v>
      </c>
      <c r="Y7" s="9" t="s">
        <v>106</v>
      </c>
      <c r="Z7" s="9" t="s">
        <v>106</v>
      </c>
      <c r="AA7" s="9" t="s">
        <v>106</v>
      </c>
      <c r="AB7" s="9" t="s">
        <v>106</v>
      </c>
    </row>
    <row r="8" spans="1:31" hidden="1">
      <c r="A8" s="9" t="s">
        <v>178</v>
      </c>
      <c r="B8" s="9" t="s">
        <v>182</v>
      </c>
      <c r="C8" s="9" t="s">
        <v>105</v>
      </c>
      <c r="D8" s="9">
        <v>0.85599999999999998</v>
      </c>
      <c r="E8" s="9">
        <v>11.4</v>
      </c>
      <c r="F8" s="9" t="s">
        <v>106</v>
      </c>
      <c r="G8" s="9" t="s">
        <v>106</v>
      </c>
      <c r="H8" s="9" t="s">
        <v>106</v>
      </c>
      <c r="I8" s="9">
        <v>6</v>
      </c>
      <c r="J8" s="16" t="s">
        <v>107</v>
      </c>
      <c r="K8" s="9" t="s">
        <v>180</v>
      </c>
      <c r="L8" t="str">
        <f>IF(OR(J8="Cattle",J8="Zebu Cattle"),IF(COUNTIF(lists!$M$2:$M$258, K8) &gt; 0,"bos.indicus",IF(COUNTIF(lists!$L$2:$L$258, K8) &gt; 0,"cross.bred","pure.bred.exotic")),"NA")</f>
        <v>NA</v>
      </c>
      <c r="M8"/>
      <c r="N8"/>
      <c r="O8" s="9" t="s">
        <v>180</v>
      </c>
      <c r="P8" s="9" t="s">
        <v>170</v>
      </c>
      <c r="Q8" s="9" t="s">
        <v>3804</v>
      </c>
      <c r="R8" s="9" t="s">
        <v>3830</v>
      </c>
      <c r="S8" s="9" t="s">
        <v>106</v>
      </c>
      <c r="T8" s="9" t="s">
        <v>106</v>
      </c>
      <c r="U8" s="9" t="s">
        <v>106</v>
      </c>
      <c r="V8" s="9" t="s">
        <v>106</v>
      </c>
      <c r="W8" s="9" t="s">
        <v>106</v>
      </c>
      <c r="X8" s="9" t="s">
        <v>106</v>
      </c>
      <c r="Y8" s="9" t="s">
        <v>106</v>
      </c>
      <c r="Z8" s="9" t="s">
        <v>106</v>
      </c>
      <c r="AA8" s="9" t="s">
        <v>106</v>
      </c>
      <c r="AB8" s="9" t="s">
        <v>106</v>
      </c>
    </row>
    <row r="9" spans="1:31" hidden="1">
      <c r="A9" s="9" t="s">
        <v>178</v>
      </c>
      <c r="B9" s="9" t="s">
        <v>183</v>
      </c>
      <c r="C9" s="9" t="s">
        <v>105</v>
      </c>
      <c r="D9" s="9">
        <v>0.83899999999999997</v>
      </c>
      <c r="E9" s="9">
        <v>11.4</v>
      </c>
      <c r="F9" s="9" t="s">
        <v>106</v>
      </c>
      <c r="G9" s="9" t="s">
        <v>106</v>
      </c>
      <c r="H9" s="9" t="s">
        <v>106</v>
      </c>
      <c r="I9" s="9">
        <v>6</v>
      </c>
      <c r="J9" s="16" t="s">
        <v>107</v>
      </c>
      <c r="K9" s="9" t="s">
        <v>180</v>
      </c>
      <c r="L9" t="str">
        <f>IF(OR(J9="Cattle",J9="Zebu Cattle"),IF(COUNTIF(lists!$M$2:$M$258, K9) &gt; 0,"bos.indicus",IF(COUNTIF(lists!$L$2:$L$258, K9) &gt; 0,"cross.bred","pure.bred.exotic")),"NA")</f>
        <v>NA</v>
      </c>
      <c r="M9"/>
      <c r="N9"/>
      <c r="O9" s="9" t="s">
        <v>180</v>
      </c>
      <c r="P9" s="9" t="s">
        <v>170</v>
      </c>
      <c r="Q9" s="9" t="s">
        <v>3804</v>
      </c>
      <c r="R9" s="9" t="s">
        <v>3830</v>
      </c>
      <c r="S9" s="9" t="s">
        <v>106</v>
      </c>
      <c r="T9" s="9" t="s">
        <v>106</v>
      </c>
      <c r="U9" s="9" t="s">
        <v>106</v>
      </c>
      <c r="V9" s="9" t="s">
        <v>106</v>
      </c>
      <c r="W9" s="9" t="s">
        <v>106</v>
      </c>
      <c r="X9" s="9" t="s">
        <v>106</v>
      </c>
      <c r="Y9" s="9" t="s">
        <v>106</v>
      </c>
      <c r="Z9" s="9" t="s">
        <v>106</v>
      </c>
      <c r="AA9" s="9" t="s">
        <v>106</v>
      </c>
      <c r="AB9" s="9" t="s">
        <v>106</v>
      </c>
    </row>
    <row r="10" spans="1:31" hidden="1">
      <c r="A10" s="9" t="s">
        <v>178</v>
      </c>
      <c r="B10" s="9" t="s">
        <v>184</v>
      </c>
      <c r="C10" s="9" t="s">
        <v>105</v>
      </c>
      <c r="D10" s="9">
        <v>0.83399999999999996</v>
      </c>
      <c r="E10" s="9">
        <v>11.4</v>
      </c>
      <c r="F10" s="9" t="s">
        <v>106</v>
      </c>
      <c r="G10" s="9" t="s">
        <v>106</v>
      </c>
      <c r="H10" s="9" t="s">
        <v>106</v>
      </c>
      <c r="I10" s="9">
        <v>6</v>
      </c>
      <c r="J10" s="16" t="s">
        <v>107</v>
      </c>
      <c r="K10" s="9" t="s">
        <v>180</v>
      </c>
      <c r="L10" t="str">
        <f>IF(OR(J10="Cattle",J10="Zebu Cattle"),IF(COUNTIF(lists!$M$2:$M$258, K10) &gt; 0,"bos.indicus",IF(COUNTIF(lists!$L$2:$L$258, K10) &gt; 0,"cross.bred","pure.bred.exotic")),"NA")</f>
        <v>NA</v>
      </c>
      <c r="M10"/>
      <c r="N10"/>
      <c r="O10" s="9" t="s">
        <v>180</v>
      </c>
      <c r="P10" s="9" t="s">
        <v>170</v>
      </c>
      <c r="Q10" s="9" t="s">
        <v>3804</v>
      </c>
      <c r="R10" s="9" t="s">
        <v>3830</v>
      </c>
      <c r="S10" s="9" t="s">
        <v>106</v>
      </c>
      <c r="T10" s="9" t="s">
        <v>106</v>
      </c>
      <c r="U10" s="9" t="s">
        <v>106</v>
      </c>
      <c r="V10" s="9" t="s">
        <v>106</v>
      </c>
      <c r="W10" s="9" t="s">
        <v>106</v>
      </c>
      <c r="X10" s="9" t="s">
        <v>106</v>
      </c>
      <c r="Y10" s="9" t="s">
        <v>106</v>
      </c>
      <c r="Z10" s="9" t="s">
        <v>106</v>
      </c>
      <c r="AA10" s="9" t="s">
        <v>106</v>
      </c>
      <c r="AB10" s="9" t="s">
        <v>106</v>
      </c>
    </row>
    <row r="11" spans="1:31">
      <c r="A11" s="9" t="s">
        <v>200</v>
      </c>
      <c r="B11" s="9" t="s">
        <v>201</v>
      </c>
      <c r="C11" s="9" t="s">
        <v>105</v>
      </c>
      <c r="D11" s="9">
        <v>13.43</v>
      </c>
      <c r="E11" s="9">
        <v>2.9000000000000001E-2</v>
      </c>
      <c r="F11" s="9">
        <v>404.71</v>
      </c>
      <c r="G11" s="9" t="s">
        <v>106</v>
      </c>
      <c r="H11" s="9">
        <v>16.66</v>
      </c>
      <c r="I11" s="9">
        <v>9</v>
      </c>
      <c r="J11" s="9" t="s">
        <v>122</v>
      </c>
      <c r="K11" s="9" t="s">
        <v>4801</v>
      </c>
      <c r="L11" t="str">
        <f>IF(OR(J11="Cattle",J11="Zebu Cattle"),IF(COUNTIF(lists!$M$2:$M$258, K11) &gt; 0,"bos.indicus",IF(COUNTIF(lists!$L$2:$L$258, K11) &gt; 0,"cross.bred","pure.bred.exotic")),"NA")</f>
        <v>pure.bred.exotic</v>
      </c>
      <c r="M11"/>
      <c r="N11"/>
      <c r="O11" s="9" t="s">
        <v>135</v>
      </c>
      <c r="P11" s="9" t="s">
        <v>202</v>
      </c>
      <c r="Q11" s="9" t="s">
        <v>3809</v>
      </c>
      <c r="R11" s="9" t="s">
        <v>3830</v>
      </c>
      <c r="S11" s="9">
        <v>254.8</v>
      </c>
      <c r="T11" s="9" t="s">
        <v>106</v>
      </c>
      <c r="U11" s="9">
        <v>120.4</v>
      </c>
      <c r="V11" s="9">
        <v>586.29999999999995</v>
      </c>
      <c r="W11" s="9">
        <v>23.2</v>
      </c>
      <c r="X11" s="9">
        <v>377.4</v>
      </c>
      <c r="Y11" s="9">
        <v>65.36</v>
      </c>
      <c r="Z11" s="9" t="s">
        <v>106</v>
      </c>
      <c r="AA11" s="9">
        <v>67.97</v>
      </c>
      <c r="AB11" s="9">
        <v>70.69</v>
      </c>
      <c r="AC11" s="9" t="s">
        <v>5100</v>
      </c>
      <c r="AD11" s="16" t="s">
        <v>5099</v>
      </c>
    </row>
    <row r="12" spans="1:31">
      <c r="A12" s="9" t="s">
        <v>200</v>
      </c>
      <c r="B12" s="9" t="s">
        <v>203</v>
      </c>
      <c r="C12" s="9" t="s">
        <v>105</v>
      </c>
      <c r="D12" s="9">
        <v>13.77</v>
      </c>
      <c r="E12" s="9">
        <v>2.9000000000000001E-2</v>
      </c>
      <c r="F12" s="9">
        <v>404.9</v>
      </c>
      <c r="G12" s="9" t="s">
        <v>106</v>
      </c>
      <c r="H12" s="9">
        <v>17.05</v>
      </c>
      <c r="I12" s="9">
        <v>9</v>
      </c>
      <c r="J12" s="9" t="s">
        <v>122</v>
      </c>
      <c r="K12" s="9" t="s">
        <v>4801</v>
      </c>
      <c r="L12" t="str">
        <f>IF(OR(J12="Cattle",J12="Zebu Cattle"),IF(COUNTIF(lists!$M$2:$M$258, K12) &gt; 0,"bos.indicus",IF(COUNTIF(lists!$L$2:$L$258, K12) &gt; 0,"cross.bred","pure.bred.exotic")),"NA")</f>
        <v>pure.bred.exotic</v>
      </c>
      <c r="M12"/>
      <c r="N12"/>
      <c r="O12" s="9" t="s">
        <v>135</v>
      </c>
      <c r="P12" s="9" t="s">
        <v>202</v>
      </c>
      <c r="Q12" s="9" t="s">
        <v>3809</v>
      </c>
      <c r="R12" s="9" t="s">
        <v>3830</v>
      </c>
      <c r="S12" s="9">
        <v>261.8</v>
      </c>
      <c r="T12" s="9" t="s">
        <v>106</v>
      </c>
      <c r="U12" s="9">
        <v>122.7</v>
      </c>
      <c r="V12" s="9">
        <v>557.9</v>
      </c>
      <c r="W12" s="9">
        <v>22</v>
      </c>
      <c r="X12" s="9">
        <v>384.79999999999899</v>
      </c>
      <c r="Y12" s="9">
        <v>69.64</v>
      </c>
      <c r="Z12" s="9" t="s">
        <v>106</v>
      </c>
      <c r="AA12" s="9">
        <v>68.61</v>
      </c>
      <c r="AB12" s="9">
        <v>72.61</v>
      </c>
      <c r="AC12" s="9" t="s">
        <v>5100</v>
      </c>
      <c r="AD12" s="16" t="s">
        <v>5099</v>
      </c>
    </row>
    <row r="13" spans="1:31">
      <c r="A13" s="9" t="s">
        <v>200</v>
      </c>
      <c r="B13" s="9" t="s">
        <v>204</v>
      </c>
      <c r="C13" s="9" t="s">
        <v>105</v>
      </c>
      <c r="D13" s="9">
        <v>13.66</v>
      </c>
      <c r="E13" s="9">
        <v>2.9000000000000001E-2</v>
      </c>
      <c r="F13" s="9">
        <v>405.22</v>
      </c>
      <c r="G13" s="9" t="s">
        <v>106</v>
      </c>
      <c r="H13" s="9">
        <v>18</v>
      </c>
      <c r="I13" s="9">
        <v>9</v>
      </c>
      <c r="J13" s="9" t="s">
        <v>122</v>
      </c>
      <c r="K13" s="9" t="s">
        <v>4801</v>
      </c>
      <c r="L13" t="str">
        <f>IF(OR(J13="Cattle",J13="Zebu Cattle"),IF(COUNTIF(lists!$M$2:$M$258, K13) &gt; 0,"bos.indicus",IF(COUNTIF(lists!$L$2:$L$258, K13) &gt; 0,"cross.bred","pure.bred.exotic")),"NA")</f>
        <v>pure.bred.exotic</v>
      </c>
      <c r="M13"/>
      <c r="N13"/>
      <c r="O13" s="9" t="s">
        <v>135</v>
      </c>
      <c r="P13" s="9" t="s">
        <v>202</v>
      </c>
      <c r="Q13" s="9" t="s">
        <v>3809</v>
      </c>
      <c r="R13" s="9" t="s">
        <v>3830</v>
      </c>
      <c r="S13" s="9">
        <v>258.39999999999998</v>
      </c>
      <c r="T13" s="9" t="s">
        <v>106</v>
      </c>
      <c r="U13" s="9">
        <v>119.9</v>
      </c>
      <c r="V13" s="9">
        <v>568.6</v>
      </c>
      <c r="W13" s="9">
        <v>22.6</v>
      </c>
      <c r="X13" s="9">
        <v>384.79999999999899</v>
      </c>
      <c r="Y13" s="9">
        <v>67.930000000000007</v>
      </c>
      <c r="Z13" s="9" t="s">
        <v>106</v>
      </c>
      <c r="AA13" s="9">
        <v>69.260000000000005</v>
      </c>
      <c r="AB13" s="9">
        <v>73.19</v>
      </c>
      <c r="AC13" s="9" t="s">
        <v>5100</v>
      </c>
      <c r="AD13" s="16" t="s">
        <v>5099</v>
      </c>
    </row>
    <row r="14" spans="1:31">
      <c r="A14" s="9" t="s">
        <v>221</v>
      </c>
      <c r="B14" s="9" t="s">
        <v>222</v>
      </c>
      <c r="C14" s="9" t="s">
        <v>105</v>
      </c>
      <c r="D14" s="9">
        <v>10.58</v>
      </c>
      <c r="E14" s="9">
        <v>19.03</v>
      </c>
      <c r="F14" s="9">
        <v>383.06</v>
      </c>
      <c r="G14" s="9">
        <v>0.28000000000000003</v>
      </c>
      <c r="H14" s="9">
        <v>10.06</v>
      </c>
      <c r="I14" s="9">
        <v>10</v>
      </c>
      <c r="J14" s="9" t="s">
        <v>122</v>
      </c>
      <c r="K14" s="9" t="s">
        <v>223</v>
      </c>
      <c r="L14" t="str">
        <f>IF(OR(J14="Cattle",J14="Zebu Cattle"),IF(COUNTIF(lists!$M$2:$M$258, K14) &gt; 0,"bos.indicus",IF(COUNTIF(lists!$L$2:$L$258, K14) &gt; 0,"cross.bred","pure.bred.exotic")),"NA")</f>
        <v>cross.bred</v>
      </c>
      <c r="M14"/>
      <c r="N14"/>
      <c r="O14" s="9" t="s">
        <v>106</v>
      </c>
      <c r="P14" s="9" t="s">
        <v>202</v>
      </c>
      <c r="Q14" s="9" t="s">
        <v>3809</v>
      </c>
      <c r="R14" s="9" t="s">
        <v>3829</v>
      </c>
      <c r="S14" s="9" t="s">
        <v>106</v>
      </c>
      <c r="T14" s="9">
        <v>61.3</v>
      </c>
      <c r="U14" s="9">
        <v>151.30000000000001</v>
      </c>
      <c r="V14" s="9" t="s">
        <v>106</v>
      </c>
      <c r="W14" s="9" t="s">
        <v>106</v>
      </c>
      <c r="X14" s="9">
        <v>502.5</v>
      </c>
      <c r="Y14" s="9" t="s">
        <v>106</v>
      </c>
      <c r="Z14" s="9" t="s">
        <v>106</v>
      </c>
      <c r="AA14" s="9" t="s">
        <v>106</v>
      </c>
      <c r="AB14" s="9" t="s">
        <v>106</v>
      </c>
      <c r="AC14" s="9" t="s">
        <v>5100</v>
      </c>
      <c r="AD14" s="9" t="s">
        <v>5100</v>
      </c>
    </row>
    <row r="15" spans="1:31">
      <c r="A15" s="9" t="s">
        <v>221</v>
      </c>
      <c r="B15" s="9" t="s">
        <v>224</v>
      </c>
      <c r="C15" s="9" t="s">
        <v>105</v>
      </c>
      <c r="D15" s="9">
        <v>10.18</v>
      </c>
      <c r="E15" s="9">
        <v>19.03</v>
      </c>
      <c r="F15" s="9">
        <v>291.02999999999997</v>
      </c>
      <c r="G15" s="9">
        <v>0.16</v>
      </c>
      <c r="H15" s="9">
        <v>9.61</v>
      </c>
      <c r="I15" s="9">
        <v>15</v>
      </c>
      <c r="J15" s="9" t="s">
        <v>122</v>
      </c>
      <c r="K15" s="9" t="s">
        <v>223</v>
      </c>
      <c r="L15" t="str">
        <f>IF(OR(J15="Cattle",J15="Zebu Cattle"),IF(COUNTIF(lists!$M$2:$M$258, K15) &gt; 0,"bos.indicus",IF(COUNTIF(lists!$L$2:$L$258, K15) &gt; 0,"cross.bred","pure.bred.exotic")),"NA")</f>
        <v>cross.bred</v>
      </c>
      <c r="M15"/>
      <c r="N15"/>
      <c r="O15" s="9" t="s">
        <v>106</v>
      </c>
      <c r="P15" s="9" t="s">
        <v>202</v>
      </c>
      <c r="Q15" s="9" t="s">
        <v>3809</v>
      </c>
      <c r="R15" s="9" t="s">
        <v>3829</v>
      </c>
      <c r="S15" s="9" t="s">
        <v>106</v>
      </c>
      <c r="T15" s="9" t="s">
        <v>106</v>
      </c>
      <c r="U15" s="9" t="s">
        <v>106</v>
      </c>
      <c r="V15" s="9" t="s">
        <v>106</v>
      </c>
      <c r="W15" s="9" t="s">
        <v>106</v>
      </c>
      <c r="X15" s="9" t="s">
        <v>106</v>
      </c>
      <c r="Y15" s="9" t="s">
        <v>106</v>
      </c>
      <c r="Z15" s="9" t="s">
        <v>106</v>
      </c>
      <c r="AA15" s="9" t="s">
        <v>106</v>
      </c>
      <c r="AB15" s="9" t="s">
        <v>106</v>
      </c>
      <c r="AC15" s="9" t="s">
        <v>5100</v>
      </c>
      <c r="AD15" s="9" t="s">
        <v>5100</v>
      </c>
    </row>
    <row r="16" spans="1:31">
      <c r="A16" s="9" t="s">
        <v>221</v>
      </c>
      <c r="B16" s="9" t="s">
        <v>225</v>
      </c>
      <c r="C16" s="9" t="s">
        <v>105</v>
      </c>
      <c r="D16" s="9">
        <v>10.1</v>
      </c>
      <c r="E16" s="9">
        <v>19.03</v>
      </c>
      <c r="F16" s="9">
        <v>286.7</v>
      </c>
      <c r="G16" s="9">
        <v>0.02</v>
      </c>
      <c r="H16" s="9">
        <v>8.6999999999999993</v>
      </c>
      <c r="I16" s="9">
        <v>15</v>
      </c>
      <c r="J16" s="9" t="s">
        <v>122</v>
      </c>
      <c r="K16" s="9" t="s">
        <v>223</v>
      </c>
      <c r="L16" t="str">
        <f>IF(OR(J16="Cattle",J16="Zebu Cattle"),IF(COUNTIF(lists!$M$2:$M$258, K16) &gt; 0,"bos.indicus",IF(COUNTIF(lists!$L$2:$L$258, K16) &gt; 0,"cross.bred","pure.bred.exotic")),"NA")</f>
        <v>cross.bred</v>
      </c>
      <c r="M16"/>
      <c r="N16"/>
      <c r="O16" s="9" t="s">
        <v>106</v>
      </c>
      <c r="P16" s="9" t="s">
        <v>202</v>
      </c>
      <c r="Q16" s="9" t="s">
        <v>3809</v>
      </c>
      <c r="R16" s="9" t="s">
        <v>3829</v>
      </c>
      <c r="S16" s="9" t="s">
        <v>106</v>
      </c>
      <c r="T16" s="9">
        <v>70.7</v>
      </c>
      <c r="U16" s="9">
        <v>118.2</v>
      </c>
      <c r="V16" s="9" t="s">
        <v>106</v>
      </c>
      <c r="W16" s="9" t="s">
        <v>106</v>
      </c>
      <c r="X16" s="9">
        <v>552.4</v>
      </c>
      <c r="Y16" s="9" t="s">
        <v>106</v>
      </c>
      <c r="Z16" s="9" t="s">
        <v>106</v>
      </c>
      <c r="AA16" s="9" t="s">
        <v>106</v>
      </c>
      <c r="AB16" s="9" t="s">
        <v>106</v>
      </c>
      <c r="AC16" s="9" t="s">
        <v>5100</v>
      </c>
      <c r="AD16" s="9" t="s">
        <v>5100</v>
      </c>
    </row>
    <row r="17" spans="1:30">
      <c r="A17" s="9" t="s">
        <v>235</v>
      </c>
      <c r="B17" s="9" t="s">
        <v>236</v>
      </c>
      <c r="C17" s="9" t="s">
        <v>105</v>
      </c>
      <c r="D17" s="9">
        <v>5.81</v>
      </c>
      <c r="E17" s="9">
        <v>1.37</v>
      </c>
      <c r="F17" s="9">
        <v>134.69999999999999</v>
      </c>
      <c r="G17" s="9">
        <v>0.6</v>
      </c>
      <c r="H17" s="9" t="s">
        <v>106</v>
      </c>
      <c r="I17" s="16">
        <v>3</v>
      </c>
      <c r="J17" s="9" t="s">
        <v>122</v>
      </c>
      <c r="K17" s="9" t="s">
        <v>237</v>
      </c>
      <c r="L17" t="str">
        <f>IF(OR(J17="Cattle",J17="Zebu Cattle"),IF(COUNTIF(lists!$M$2:$M$258, K17) &gt; 0,"bos.indicus",IF(COUNTIF(lists!$L$2:$L$258, K17) &gt; 0,"cross.bred","pure.bred.exotic")),"NA")</f>
        <v>bos.indicus</v>
      </c>
      <c r="M17"/>
      <c r="N17"/>
      <c r="O17" s="9" t="s">
        <v>109</v>
      </c>
      <c r="P17" s="9" t="s">
        <v>4162</v>
      </c>
      <c r="Q17" s="9" t="s">
        <v>3804</v>
      </c>
      <c r="R17" s="9" t="s">
        <v>3830</v>
      </c>
      <c r="S17" s="9">
        <v>331.8</v>
      </c>
      <c r="T17" s="9">
        <v>126.1</v>
      </c>
      <c r="U17" s="9">
        <v>179</v>
      </c>
      <c r="V17" s="12">
        <v>973.6</v>
      </c>
      <c r="W17" s="9">
        <v>41.9</v>
      </c>
      <c r="X17" s="9">
        <v>526.599999999999</v>
      </c>
      <c r="Y17" s="9" t="s">
        <v>106</v>
      </c>
      <c r="Z17" s="9" t="s">
        <v>106</v>
      </c>
      <c r="AA17" s="9" t="s">
        <v>106</v>
      </c>
      <c r="AB17" s="9" t="s">
        <v>106</v>
      </c>
      <c r="AC17" s="9" t="s">
        <v>5100</v>
      </c>
      <c r="AD17" s="9" t="s">
        <v>5100</v>
      </c>
    </row>
    <row r="18" spans="1:30">
      <c r="A18" s="9" t="s">
        <v>235</v>
      </c>
      <c r="B18" s="9" t="s">
        <v>238</v>
      </c>
      <c r="C18" s="9" t="s">
        <v>105</v>
      </c>
      <c r="D18" s="9">
        <v>5.13</v>
      </c>
      <c r="E18" s="9">
        <v>1.37</v>
      </c>
      <c r="F18" s="9">
        <v>134</v>
      </c>
      <c r="G18" s="9">
        <v>0.69</v>
      </c>
      <c r="H18" s="9" t="s">
        <v>106</v>
      </c>
      <c r="I18" s="16">
        <v>3</v>
      </c>
      <c r="J18" s="9" t="s">
        <v>122</v>
      </c>
      <c r="K18" s="9" t="s">
        <v>237</v>
      </c>
      <c r="L18" t="str">
        <f>IF(OR(J18="Cattle",J18="Zebu Cattle"),IF(COUNTIF(lists!$M$2:$M$258, K18) &gt; 0,"bos.indicus",IF(COUNTIF(lists!$L$2:$L$258, K18) &gt; 0,"cross.bred","pure.bred.exotic")),"NA")</f>
        <v>bos.indicus</v>
      </c>
      <c r="M18"/>
      <c r="N18"/>
      <c r="O18" s="9" t="s">
        <v>109</v>
      </c>
      <c r="P18" s="9" t="s">
        <v>4162</v>
      </c>
      <c r="Q18" s="9" t="s">
        <v>3804</v>
      </c>
      <c r="R18" s="9" t="s">
        <v>3830</v>
      </c>
      <c r="S18" s="9">
        <v>358.2</v>
      </c>
      <c r="T18" s="9">
        <v>89.8</v>
      </c>
      <c r="U18" s="9">
        <v>171.5</v>
      </c>
      <c r="V18" s="12">
        <v>976.9</v>
      </c>
      <c r="W18" s="9">
        <v>36.4</v>
      </c>
      <c r="X18" s="9">
        <v>568.6</v>
      </c>
      <c r="Y18" s="9" t="s">
        <v>106</v>
      </c>
      <c r="Z18" s="9" t="s">
        <v>106</v>
      </c>
      <c r="AA18" s="9" t="s">
        <v>106</v>
      </c>
      <c r="AB18" s="9" t="s">
        <v>106</v>
      </c>
      <c r="AC18" s="9" t="s">
        <v>5100</v>
      </c>
      <c r="AD18" s="9" t="s">
        <v>5100</v>
      </c>
    </row>
    <row r="19" spans="1:30">
      <c r="A19" s="9" t="s">
        <v>235</v>
      </c>
      <c r="B19" s="9" t="s">
        <v>239</v>
      </c>
      <c r="C19" s="9" t="s">
        <v>105</v>
      </c>
      <c r="D19" s="9">
        <v>5.03</v>
      </c>
      <c r="E19" s="9">
        <v>1.37</v>
      </c>
      <c r="F19" s="9">
        <v>133.69999999999999</v>
      </c>
      <c r="G19" s="9">
        <v>0.62</v>
      </c>
      <c r="H19" s="9" t="s">
        <v>106</v>
      </c>
      <c r="I19" s="16">
        <v>3</v>
      </c>
      <c r="J19" s="9" t="s">
        <v>122</v>
      </c>
      <c r="K19" s="9" t="s">
        <v>237</v>
      </c>
      <c r="L19" t="str">
        <f>IF(OR(J19="Cattle",J19="Zebu Cattle"),IF(COUNTIF(lists!$M$2:$M$258, K19) &gt; 0,"bos.indicus",IF(COUNTIF(lists!$L$2:$L$258, K19) &gt; 0,"cross.bred","pure.bred.exotic")),"NA")</f>
        <v>bos.indicus</v>
      </c>
      <c r="M19"/>
      <c r="N19"/>
      <c r="O19" s="9" t="s">
        <v>109</v>
      </c>
      <c r="P19" s="9" t="s">
        <v>4162</v>
      </c>
      <c r="Q19" s="9" t="s">
        <v>3804</v>
      </c>
      <c r="R19" s="9" t="s">
        <v>3830</v>
      </c>
      <c r="S19" s="9">
        <v>327.5</v>
      </c>
      <c r="T19" s="9">
        <v>130.19999999999999</v>
      </c>
      <c r="U19" s="9">
        <v>182.1</v>
      </c>
      <c r="V19" s="9">
        <v>861</v>
      </c>
      <c r="W19" s="9">
        <v>46.9</v>
      </c>
      <c r="X19" s="9">
        <v>519.79999999999995</v>
      </c>
      <c r="Y19" s="9" t="s">
        <v>106</v>
      </c>
      <c r="Z19" s="9" t="s">
        <v>106</v>
      </c>
      <c r="AA19" s="9" t="s">
        <v>106</v>
      </c>
      <c r="AB19" s="9" t="s">
        <v>106</v>
      </c>
      <c r="AC19" s="9" t="s">
        <v>5100</v>
      </c>
      <c r="AD19" s="9" t="s">
        <v>5100</v>
      </c>
    </row>
    <row r="20" spans="1:30">
      <c r="A20" s="9" t="s">
        <v>235</v>
      </c>
      <c r="B20" s="9" t="s">
        <v>240</v>
      </c>
      <c r="C20" s="9" t="s">
        <v>105</v>
      </c>
      <c r="D20" s="9">
        <v>4.7699999999999996</v>
      </c>
      <c r="E20" s="9">
        <v>1.37</v>
      </c>
      <c r="F20" s="9">
        <v>124.3</v>
      </c>
      <c r="G20" s="9">
        <v>0.56999999999999995</v>
      </c>
      <c r="H20" s="9" t="s">
        <v>106</v>
      </c>
      <c r="I20" s="16">
        <v>3</v>
      </c>
      <c r="J20" s="9" t="s">
        <v>122</v>
      </c>
      <c r="K20" s="9" t="s">
        <v>237</v>
      </c>
      <c r="L20" t="str">
        <f>IF(OR(J20="Cattle",J20="Zebu Cattle"),IF(COUNTIF(lists!$M$2:$M$258, K20) &gt; 0,"bos.indicus",IF(COUNTIF(lists!$L$2:$L$258, K20) &gt; 0,"cross.bred","pure.bred.exotic")),"NA")</f>
        <v>bos.indicus</v>
      </c>
      <c r="M20"/>
      <c r="N20"/>
      <c r="O20" s="9" t="s">
        <v>109</v>
      </c>
      <c r="P20" s="9" t="s">
        <v>4162</v>
      </c>
      <c r="Q20" s="9" t="s">
        <v>3804</v>
      </c>
      <c r="R20" s="9" t="s">
        <v>3830</v>
      </c>
      <c r="S20" s="9">
        <v>314.2</v>
      </c>
      <c r="T20" s="9">
        <v>139.4</v>
      </c>
      <c r="U20" s="9">
        <v>184.4</v>
      </c>
      <c r="V20" s="9">
        <v>875.69999999999902</v>
      </c>
      <c r="W20" s="9">
        <v>50.599999999999902</v>
      </c>
      <c r="X20" s="9">
        <v>498.8</v>
      </c>
      <c r="Y20" s="9" t="s">
        <v>106</v>
      </c>
      <c r="Z20" s="9" t="s">
        <v>106</v>
      </c>
      <c r="AA20" s="9" t="s">
        <v>106</v>
      </c>
      <c r="AB20" s="9" t="s">
        <v>106</v>
      </c>
      <c r="AC20" s="9" t="s">
        <v>5100</v>
      </c>
      <c r="AD20" s="9" t="s">
        <v>5100</v>
      </c>
    </row>
    <row r="21" spans="1:30">
      <c r="A21" s="9" t="s">
        <v>251</v>
      </c>
      <c r="B21" s="78" t="s">
        <v>252</v>
      </c>
      <c r="C21" s="9" t="s">
        <v>105</v>
      </c>
      <c r="D21" s="9">
        <v>2.72</v>
      </c>
      <c r="E21" s="9">
        <v>0.45</v>
      </c>
      <c r="F21" s="9">
        <v>163.69999999999999</v>
      </c>
      <c r="G21" s="9">
        <v>0.23</v>
      </c>
      <c r="H21" s="9" t="s">
        <v>106</v>
      </c>
      <c r="I21" s="9">
        <v>3</v>
      </c>
      <c r="J21" s="9" t="s">
        <v>122</v>
      </c>
      <c r="K21" s="9" t="s">
        <v>237</v>
      </c>
      <c r="L21" t="str">
        <f>IF(OR(J21="Cattle",J21="Zebu Cattle"),IF(COUNTIF(lists!$M$2:$M$258, K21) &gt; 0,"bos.indicus",IF(COUNTIF(lists!$L$2:$L$258, K21) &gt; 0,"cross.bred","pure.bred.exotic")),"NA")</f>
        <v>bos.indicus</v>
      </c>
      <c r="M21"/>
      <c r="N21"/>
      <c r="O21" s="9" t="s">
        <v>109</v>
      </c>
      <c r="P21" s="9" t="s">
        <v>106</v>
      </c>
      <c r="Q21" s="9" t="s">
        <v>3800</v>
      </c>
      <c r="R21" s="9" t="s">
        <v>3830</v>
      </c>
      <c r="S21" s="9">
        <v>253.6</v>
      </c>
      <c r="T21" s="9">
        <v>118.33</v>
      </c>
      <c r="U21" s="9">
        <v>104.3</v>
      </c>
      <c r="V21" s="9">
        <v>952.7</v>
      </c>
      <c r="W21" s="9">
        <v>38.97</v>
      </c>
      <c r="X21" s="9">
        <v>563.29999999999995</v>
      </c>
      <c r="Y21" s="9" t="s">
        <v>106</v>
      </c>
      <c r="Z21" s="9" t="s">
        <v>106</v>
      </c>
      <c r="AA21" s="9" t="s">
        <v>106</v>
      </c>
      <c r="AB21" s="9" t="s">
        <v>106</v>
      </c>
      <c r="AC21" s="9" t="s">
        <v>5100</v>
      </c>
      <c r="AD21" s="9" t="s">
        <v>5100</v>
      </c>
    </row>
    <row r="22" spans="1:30">
      <c r="A22" s="9" t="s">
        <v>251</v>
      </c>
      <c r="B22" s="9" t="s">
        <v>253</v>
      </c>
      <c r="C22" s="9" t="s">
        <v>105</v>
      </c>
      <c r="D22" s="9">
        <v>2.58</v>
      </c>
      <c r="E22" s="9">
        <v>0.45</v>
      </c>
      <c r="F22" s="9">
        <v>166.7</v>
      </c>
      <c r="G22" s="9">
        <v>0.28999999999999998</v>
      </c>
      <c r="H22" s="9" t="s">
        <v>106</v>
      </c>
      <c r="I22" s="9">
        <v>3</v>
      </c>
      <c r="J22" s="9" t="s">
        <v>122</v>
      </c>
      <c r="K22" s="9" t="s">
        <v>237</v>
      </c>
      <c r="L22" t="str">
        <f>IF(OR(J22="Cattle",J22="Zebu Cattle"),IF(COUNTIF(lists!$M$2:$M$258, K22) &gt; 0,"bos.indicus",IF(COUNTIF(lists!$L$2:$L$258, K22) &gt; 0,"cross.bred","pure.bred.exotic")),"NA")</f>
        <v>bos.indicus</v>
      </c>
      <c r="M22"/>
      <c r="N22"/>
      <c r="O22" s="9" t="s">
        <v>109</v>
      </c>
      <c r="P22" s="9" t="s">
        <v>106</v>
      </c>
      <c r="Q22" s="9" t="s">
        <v>3800</v>
      </c>
      <c r="R22" s="9" t="s">
        <v>3830</v>
      </c>
      <c r="S22" s="9">
        <v>220.5</v>
      </c>
      <c r="T22" s="9">
        <v>118.84</v>
      </c>
      <c r="U22" s="9">
        <v>121.36</v>
      </c>
      <c r="V22" s="9">
        <v>951.9</v>
      </c>
      <c r="W22" s="9">
        <v>33.549999999999997</v>
      </c>
      <c r="X22" s="9">
        <v>561.5</v>
      </c>
      <c r="Y22" s="9" t="s">
        <v>106</v>
      </c>
      <c r="Z22" s="9" t="s">
        <v>106</v>
      </c>
      <c r="AA22" s="9" t="s">
        <v>106</v>
      </c>
      <c r="AB22" s="9" t="s">
        <v>106</v>
      </c>
      <c r="AC22" s="9" t="s">
        <v>5100</v>
      </c>
      <c r="AD22" s="9" t="s">
        <v>5100</v>
      </c>
    </row>
    <row r="23" spans="1:30">
      <c r="A23" s="9" t="s">
        <v>251</v>
      </c>
      <c r="B23" s="9" t="s">
        <v>254</v>
      </c>
      <c r="C23" s="9" t="s">
        <v>105</v>
      </c>
      <c r="D23" s="9">
        <v>2.81</v>
      </c>
      <c r="E23" s="9">
        <v>0.45</v>
      </c>
      <c r="F23" s="9">
        <v>175.8</v>
      </c>
      <c r="G23" s="9">
        <v>0.44</v>
      </c>
      <c r="H23" s="9" t="s">
        <v>106</v>
      </c>
      <c r="I23" s="9">
        <v>3</v>
      </c>
      <c r="J23" s="9" t="s">
        <v>122</v>
      </c>
      <c r="K23" s="9" t="s">
        <v>237</v>
      </c>
      <c r="L23" t="str">
        <f>IF(OR(J23="Cattle",J23="Zebu Cattle"),IF(COUNTIF(lists!$M$2:$M$258, K23) &gt; 0,"bos.indicus",IF(COUNTIF(lists!$L$2:$L$258, K23) &gt; 0,"cross.bred","pure.bred.exotic")),"NA")</f>
        <v>bos.indicus</v>
      </c>
      <c r="M23"/>
      <c r="N23"/>
      <c r="O23" s="9" t="s">
        <v>109</v>
      </c>
      <c r="P23" s="9" t="s">
        <v>106</v>
      </c>
      <c r="Q23" s="9" t="s">
        <v>3800</v>
      </c>
      <c r="R23" s="9" t="s">
        <v>3830</v>
      </c>
      <c r="S23" s="9">
        <v>208.7</v>
      </c>
      <c r="T23" s="9">
        <v>116.83</v>
      </c>
      <c r="U23" s="9">
        <v>122.85</v>
      </c>
      <c r="V23" s="9">
        <v>942.7</v>
      </c>
      <c r="W23" s="9">
        <v>36.31</v>
      </c>
      <c r="X23" s="9">
        <v>558.29999999999995</v>
      </c>
      <c r="Y23" s="9" t="s">
        <v>106</v>
      </c>
      <c r="Z23" s="9" t="s">
        <v>106</v>
      </c>
      <c r="AA23" s="9" t="s">
        <v>106</v>
      </c>
      <c r="AB23" s="9" t="s">
        <v>106</v>
      </c>
      <c r="AC23" s="9" t="s">
        <v>5100</v>
      </c>
      <c r="AD23" s="9" t="s">
        <v>5100</v>
      </c>
    </row>
    <row r="24" spans="1:30">
      <c r="A24" s="9" t="s">
        <v>251</v>
      </c>
      <c r="B24" s="78" t="s">
        <v>255</v>
      </c>
      <c r="C24" s="9" t="s">
        <v>105</v>
      </c>
      <c r="D24" s="9">
        <v>2.69</v>
      </c>
      <c r="E24" s="9">
        <v>0.45</v>
      </c>
      <c r="F24" s="9">
        <v>164.9</v>
      </c>
      <c r="G24" s="9">
        <v>0.25</v>
      </c>
      <c r="H24" s="9" t="s">
        <v>106</v>
      </c>
      <c r="I24" s="9">
        <v>3</v>
      </c>
      <c r="J24" s="9" t="s">
        <v>122</v>
      </c>
      <c r="K24" s="9" t="s">
        <v>237</v>
      </c>
      <c r="L24" t="str">
        <f>IF(OR(J24="Cattle",J24="Zebu Cattle"),IF(COUNTIF(lists!$M$2:$M$258, K24) &gt; 0,"bos.indicus",IF(COUNTIF(lists!$L$2:$L$258, K24) &gt; 0,"cross.bred","pure.bred.exotic")),"NA")</f>
        <v>bos.indicus</v>
      </c>
      <c r="M24"/>
      <c r="N24"/>
      <c r="O24" s="9" t="s">
        <v>109</v>
      </c>
      <c r="P24" s="9" t="s">
        <v>106</v>
      </c>
      <c r="Q24" s="9" t="s">
        <v>3800</v>
      </c>
      <c r="R24" s="9" t="s">
        <v>3830</v>
      </c>
      <c r="S24" s="9">
        <v>233.6</v>
      </c>
      <c r="T24" s="9">
        <v>116.75</v>
      </c>
      <c r="U24" s="9">
        <v>116.97</v>
      </c>
      <c r="V24" s="9">
        <v>952.5</v>
      </c>
      <c r="W24" s="9">
        <v>34.200000000000003</v>
      </c>
      <c r="X24" s="9">
        <v>554.4</v>
      </c>
      <c r="Y24" s="9" t="s">
        <v>106</v>
      </c>
      <c r="Z24" s="9" t="s">
        <v>106</v>
      </c>
      <c r="AA24" s="9" t="s">
        <v>106</v>
      </c>
      <c r="AB24" s="9" t="s">
        <v>106</v>
      </c>
      <c r="AC24" s="9" t="s">
        <v>5100</v>
      </c>
      <c r="AD24" s="9" t="s">
        <v>5100</v>
      </c>
    </row>
    <row r="25" spans="1:30">
      <c r="A25" s="9" t="s">
        <v>308</v>
      </c>
      <c r="B25" s="9" t="s">
        <v>309</v>
      </c>
      <c r="C25" s="9" t="s">
        <v>105</v>
      </c>
      <c r="D25" s="9">
        <v>16.7</v>
      </c>
      <c r="E25" s="9" t="s">
        <v>106</v>
      </c>
      <c r="F25" s="9" t="s">
        <v>106</v>
      </c>
      <c r="G25" s="9" t="s">
        <v>106</v>
      </c>
      <c r="H25" s="9">
        <v>18.55</v>
      </c>
      <c r="J25" s="9" t="s">
        <v>122</v>
      </c>
      <c r="K25" s="9" t="s">
        <v>4801</v>
      </c>
      <c r="L25" t="str">
        <f>IF(OR(J25="Cattle",J25="Zebu Cattle"),IF(COUNTIF(lists!$M$2:$M$258, K25) &gt; 0,"bos.indicus",IF(COUNTIF(lists!$L$2:$L$258, K25) &gt; 0,"cross.bred","pure.bred.exotic")),"NA")</f>
        <v>pure.bred.exotic</v>
      </c>
      <c r="M25"/>
      <c r="N25"/>
      <c r="O25" s="9" t="s">
        <v>135</v>
      </c>
      <c r="P25" s="9" t="s">
        <v>202</v>
      </c>
      <c r="Q25" s="9" t="s">
        <v>3809</v>
      </c>
      <c r="R25" s="9" t="s">
        <v>3830</v>
      </c>
      <c r="S25" s="9">
        <v>194</v>
      </c>
      <c r="T25" s="9">
        <v>98</v>
      </c>
      <c r="U25" s="9">
        <v>133</v>
      </c>
      <c r="V25" s="9" t="s">
        <v>106</v>
      </c>
      <c r="W25" s="9">
        <v>29.4</v>
      </c>
      <c r="X25" s="9">
        <v>331.2</v>
      </c>
      <c r="Y25" s="9">
        <v>63.76</v>
      </c>
      <c r="Z25" s="9" t="s">
        <v>106</v>
      </c>
      <c r="AA25" s="9" t="s">
        <v>106</v>
      </c>
      <c r="AB25" s="9" t="s">
        <v>106</v>
      </c>
      <c r="AC25" s="9" t="s">
        <v>5100</v>
      </c>
      <c r="AD25" s="9" t="s">
        <v>5100</v>
      </c>
    </row>
    <row r="26" spans="1:30">
      <c r="A26" s="9" t="s">
        <v>308</v>
      </c>
      <c r="B26" s="9" t="s">
        <v>310</v>
      </c>
      <c r="C26" s="9" t="s">
        <v>105</v>
      </c>
      <c r="D26" s="9">
        <v>16.3</v>
      </c>
      <c r="E26" s="9" t="s">
        <v>106</v>
      </c>
      <c r="F26" s="9" t="s">
        <v>106</v>
      </c>
      <c r="G26" s="9" t="s">
        <v>106</v>
      </c>
      <c r="H26" s="9">
        <v>16.8</v>
      </c>
      <c r="J26" s="9" t="s">
        <v>122</v>
      </c>
      <c r="K26" s="9" t="s">
        <v>4801</v>
      </c>
      <c r="L26" t="str">
        <f>IF(OR(J26="Cattle",J26="Zebu Cattle"),IF(COUNTIF(lists!$M$2:$M$258, K26) &gt; 0,"bos.indicus",IF(COUNTIF(lists!$L$2:$L$258, K26) &gt; 0,"cross.bred","pure.bred.exotic")),"NA")</f>
        <v>pure.bred.exotic</v>
      </c>
      <c r="M26"/>
      <c r="N26"/>
      <c r="O26" s="9" t="s">
        <v>135</v>
      </c>
      <c r="P26" s="9" t="s">
        <v>202</v>
      </c>
      <c r="Q26" s="9" t="s">
        <v>3809</v>
      </c>
      <c r="R26" s="9" t="s">
        <v>3830</v>
      </c>
      <c r="S26" s="9">
        <v>224</v>
      </c>
      <c r="T26" s="9">
        <v>98.3</v>
      </c>
      <c r="U26" s="9">
        <v>124</v>
      </c>
      <c r="V26" s="9" t="s">
        <v>106</v>
      </c>
      <c r="W26" s="9">
        <v>29</v>
      </c>
      <c r="X26" s="9">
        <v>356</v>
      </c>
      <c r="Y26" s="9">
        <v>62.06</v>
      </c>
      <c r="Z26" s="9" t="s">
        <v>106</v>
      </c>
      <c r="AA26" s="9" t="s">
        <v>106</v>
      </c>
      <c r="AB26" s="9" t="s">
        <v>106</v>
      </c>
      <c r="AC26" s="9" t="s">
        <v>5100</v>
      </c>
      <c r="AD26" s="9" t="s">
        <v>5100</v>
      </c>
    </row>
    <row r="27" spans="1:30">
      <c r="A27" s="9" t="s">
        <v>308</v>
      </c>
      <c r="B27" s="9" t="s">
        <v>311</v>
      </c>
      <c r="C27" s="9" t="s">
        <v>105</v>
      </c>
      <c r="D27" s="9">
        <v>16.7</v>
      </c>
      <c r="E27" s="9" t="s">
        <v>106</v>
      </c>
      <c r="F27" s="9" t="s">
        <v>106</v>
      </c>
      <c r="G27" s="9" t="s">
        <v>106</v>
      </c>
      <c r="H27" s="9">
        <v>18.21</v>
      </c>
      <c r="J27" s="9" t="s">
        <v>122</v>
      </c>
      <c r="K27" s="9" t="s">
        <v>4801</v>
      </c>
      <c r="L27" t="str">
        <f>IF(OR(J27="Cattle",J27="Zebu Cattle"),IF(COUNTIF(lists!$M$2:$M$258, K27) &gt; 0,"bos.indicus",IF(COUNTIF(lists!$L$2:$L$258, K27) &gt; 0,"cross.bred","pure.bred.exotic")),"NA")</f>
        <v>pure.bred.exotic</v>
      </c>
      <c r="M27"/>
      <c r="N27"/>
      <c r="O27" s="9" t="s">
        <v>135</v>
      </c>
      <c r="P27" s="9" t="s">
        <v>202</v>
      </c>
      <c r="Q27" s="9" t="s">
        <v>3809</v>
      </c>
      <c r="R27" s="9" t="s">
        <v>3830</v>
      </c>
      <c r="S27" s="9">
        <v>202</v>
      </c>
      <c r="T27" s="9">
        <v>97.9</v>
      </c>
      <c r="U27" s="9">
        <v>131</v>
      </c>
      <c r="V27" s="9" t="s">
        <v>106</v>
      </c>
      <c r="W27" s="9">
        <v>29.2</v>
      </c>
      <c r="X27" s="9">
        <v>337.5</v>
      </c>
      <c r="Y27" s="9">
        <v>63.03</v>
      </c>
      <c r="Z27" s="9" t="s">
        <v>106</v>
      </c>
      <c r="AA27" s="9" t="s">
        <v>106</v>
      </c>
      <c r="AB27" s="9" t="s">
        <v>106</v>
      </c>
      <c r="AC27" s="9" t="s">
        <v>5100</v>
      </c>
      <c r="AD27" s="9" t="s">
        <v>5100</v>
      </c>
    </row>
    <row r="28" spans="1:30">
      <c r="A28" s="9" t="s">
        <v>308</v>
      </c>
      <c r="B28" s="9" t="s">
        <v>312</v>
      </c>
      <c r="C28" s="9" t="s">
        <v>105</v>
      </c>
      <c r="D28" s="9">
        <v>16.600000000000001</v>
      </c>
      <c r="E28" s="9" t="s">
        <v>106</v>
      </c>
      <c r="F28" s="9" t="s">
        <v>106</v>
      </c>
      <c r="G28" s="9" t="s">
        <v>106</v>
      </c>
      <c r="H28" s="9">
        <v>17.670000000000002</v>
      </c>
      <c r="J28" s="9" t="s">
        <v>122</v>
      </c>
      <c r="K28" s="9" t="s">
        <v>4801</v>
      </c>
      <c r="L28" t="str">
        <f>IF(OR(J28="Cattle",J28="Zebu Cattle"),IF(COUNTIF(lists!$M$2:$M$258, K28) &gt; 0,"bos.indicus",IF(COUNTIF(lists!$L$2:$L$258, K28) &gt; 0,"cross.bred","pure.bred.exotic")),"NA")</f>
        <v>pure.bred.exotic</v>
      </c>
      <c r="M28"/>
      <c r="N28"/>
      <c r="O28" s="9" t="s">
        <v>135</v>
      </c>
      <c r="P28" s="9" t="s">
        <v>202</v>
      </c>
      <c r="Q28" s="9" t="s">
        <v>3809</v>
      </c>
      <c r="R28" s="9" t="s">
        <v>3830</v>
      </c>
      <c r="S28" s="9">
        <v>210</v>
      </c>
      <c r="T28" s="9">
        <v>99.7</v>
      </c>
      <c r="U28" s="9">
        <v>127</v>
      </c>
      <c r="V28" s="9" t="s">
        <v>106</v>
      </c>
      <c r="W28" s="9">
        <v>29.1</v>
      </c>
      <c r="X28" s="9">
        <v>344.4</v>
      </c>
      <c r="Y28" s="9">
        <v>62.68</v>
      </c>
      <c r="Z28" s="9" t="s">
        <v>106</v>
      </c>
      <c r="AA28" s="9" t="s">
        <v>106</v>
      </c>
      <c r="AB28" s="9" t="s">
        <v>106</v>
      </c>
      <c r="AC28" s="9" t="s">
        <v>5100</v>
      </c>
      <c r="AD28" s="9" t="s">
        <v>5100</v>
      </c>
    </row>
    <row r="29" spans="1:30">
      <c r="A29" s="9" t="s">
        <v>308</v>
      </c>
      <c r="B29" s="9" t="s">
        <v>313</v>
      </c>
      <c r="C29" s="9" t="s">
        <v>105</v>
      </c>
      <c r="D29" s="9">
        <v>16.3</v>
      </c>
      <c r="E29" s="9" t="s">
        <v>106</v>
      </c>
      <c r="F29" s="9" t="s">
        <v>106</v>
      </c>
      <c r="G29" s="9" t="s">
        <v>106</v>
      </c>
      <c r="H29" s="9">
        <v>17.09</v>
      </c>
      <c r="J29" s="9" t="s">
        <v>122</v>
      </c>
      <c r="K29" s="9" t="s">
        <v>4801</v>
      </c>
      <c r="L29" t="str">
        <f>IF(OR(J29="Cattle",J29="Zebu Cattle"),IF(COUNTIF(lists!$M$2:$M$258, K29) &gt; 0,"bos.indicus",IF(COUNTIF(lists!$L$2:$L$258, K29) &gt; 0,"cross.bred","pure.bred.exotic")),"NA")</f>
        <v>pure.bred.exotic</v>
      </c>
      <c r="M29"/>
      <c r="N29"/>
      <c r="O29" s="9" t="s">
        <v>135</v>
      </c>
      <c r="P29" s="9" t="s">
        <v>202</v>
      </c>
      <c r="Q29" s="9" t="s">
        <v>3809</v>
      </c>
      <c r="R29" s="9" t="s">
        <v>3830</v>
      </c>
      <c r="S29" s="9">
        <v>217</v>
      </c>
      <c r="T29" s="9">
        <v>98.3</v>
      </c>
      <c r="U29" s="9">
        <v>126</v>
      </c>
      <c r="V29" s="9" t="s">
        <v>106</v>
      </c>
      <c r="W29" s="9">
        <v>29.2</v>
      </c>
      <c r="X29" s="9">
        <v>351</v>
      </c>
      <c r="Y29" s="9">
        <v>62.14</v>
      </c>
      <c r="Z29" s="9" t="s">
        <v>106</v>
      </c>
      <c r="AA29" s="9" t="s">
        <v>106</v>
      </c>
      <c r="AB29" s="9" t="s">
        <v>106</v>
      </c>
      <c r="AC29" s="9" t="s">
        <v>5100</v>
      </c>
      <c r="AD29" s="9" t="s">
        <v>5100</v>
      </c>
    </row>
    <row r="30" spans="1:30" hidden="1">
      <c r="A30" s="9" t="s">
        <v>314</v>
      </c>
      <c r="B30" s="12" t="s">
        <v>315</v>
      </c>
      <c r="C30" s="9" t="s">
        <v>105</v>
      </c>
      <c r="D30" s="9">
        <v>15.99</v>
      </c>
      <c r="E30" s="9" t="s">
        <v>106</v>
      </c>
      <c r="F30" s="9" t="s">
        <v>106</v>
      </c>
      <c r="G30" s="9" t="s">
        <v>106</v>
      </c>
      <c r="H30" s="9">
        <v>11.9</v>
      </c>
      <c r="I30" s="9">
        <v>10</v>
      </c>
      <c r="J30" s="12" t="s">
        <v>4959</v>
      </c>
      <c r="K30" s="9" t="s">
        <v>180</v>
      </c>
      <c r="L30" t="str">
        <f>IF(OR(J30="Cattle",J30="Zebu Cattle"),IF(COUNTIF(lists!$M$2:$M$258, K30) &gt; 0,"bos.indicus",IF(COUNTIF(lists!$L$2:$L$258, K30) &gt; 0,"cross.bred","pure.bred.exotic")),"NA")</f>
        <v>NA</v>
      </c>
      <c r="M30"/>
      <c r="N30"/>
      <c r="O30" s="9" t="s">
        <v>180</v>
      </c>
      <c r="P30" s="9" t="s">
        <v>316</v>
      </c>
      <c r="Q30" s="9" t="s">
        <v>3809</v>
      </c>
      <c r="R30" s="9" t="s">
        <v>3830</v>
      </c>
      <c r="S30" s="9" t="s">
        <v>106</v>
      </c>
      <c r="T30" s="9">
        <v>59.8</v>
      </c>
      <c r="U30" s="9">
        <v>251.5</v>
      </c>
      <c r="V30" s="9">
        <v>390</v>
      </c>
      <c r="W30" s="9">
        <v>4.3</v>
      </c>
      <c r="X30" s="9" t="s">
        <v>106</v>
      </c>
      <c r="Y30" s="9" t="s">
        <v>106</v>
      </c>
      <c r="Z30" s="9" t="s">
        <v>106</v>
      </c>
      <c r="AA30" s="9" t="s">
        <v>106</v>
      </c>
      <c r="AB30" s="9" t="s">
        <v>106</v>
      </c>
    </row>
    <row r="31" spans="1:30">
      <c r="A31" s="9" t="s">
        <v>314</v>
      </c>
      <c r="B31" s="9" t="s">
        <v>317</v>
      </c>
      <c r="C31" s="9" t="s">
        <v>105</v>
      </c>
      <c r="D31" s="9">
        <v>15.68</v>
      </c>
      <c r="E31" s="9" t="s">
        <v>106</v>
      </c>
      <c r="F31" s="9" t="s">
        <v>106</v>
      </c>
      <c r="G31" s="9" t="s">
        <v>106</v>
      </c>
      <c r="H31" s="9">
        <v>27.8</v>
      </c>
      <c r="I31" s="9">
        <v>6</v>
      </c>
      <c r="J31" s="9" t="s">
        <v>122</v>
      </c>
      <c r="K31" s="9" t="s">
        <v>180</v>
      </c>
      <c r="L31" t="str">
        <f>IF(OR(J31="Cattle",J31="Zebu Cattle"),IF(COUNTIF(lists!$M$2:$M$258, K31) &gt; 0,"bos.indicus",IF(COUNTIF(lists!$L$2:$L$258, K31) &gt; 0,"cross.bred","pure.bred.exotic")),"NA")</f>
        <v>bos.indicus</v>
      </c>
      <c r="M31"/>
      <c r="N31"/>
      <c r="O31" s="9" t="s">
        <v>180</v>
      </c>
      <c r="P31" s="9" t="s">
        <v>316</v>
      </c>
      <c r="Q31" s="9" t="s">
        <v>3809</v>
      </c>
      <c r="R31" s="9" t="s">
        <v>3830</v>
      </c>
      <c r="S31" s="9" t="s">
        <v>106</v>
      </c>
      <c r="T31" s="9">
        <v>59.8</v>
      </c>
      <c r="U31" s="9">
        <v>251.5</v>
      </c>
      <c r="V31" s="9">
        <v>390</v>
      </c>
      <c r="W31" s="9">
        <v>4.3</v>
      </c>
      <c r="X31" s="9" t="s">
        <v>106</v>
      </c>
      <c r="Y31" s="9" t="s">
        <v>106</v>
      </c>
      <c r="Z31" s="9" t="s">
        <v>106</v>
      </c>
      <c r="AA31" s="9" t="s">
        <v>106</v>
      </c>
      <c r="AB31" s="9" t="s">
        <v>106</v>
      </c>
      <c r="AC31" s="9" t="s">
        <v>5100</v>
      </c>
      <c r="AD31" s="9" t="s">
        <v>5100</v>
      </c>
    </row>
    <row r="32" spans="1:30" hidden="1">
      <c r="A32" s="9" t="s">
        <v>314</v>
      </c>
      <c r="B32" s="12" t="s">
        <v>318</v>
      </c>
      <c r="C32" s="9" t="s">
        <v>105</v>
      </c>
      <c r="D32" s="9">
        <v>15.21</v>
      </c>
      <c r="E32" s="9" t="s">
        <v>106</v>
      </c>
      <c r="F32" s="9" t="s">
        <v>106</v>
      </c>
      <c r="G32" s="9" t="s">
        <v>106</v>
      </c>
      <c r="H32" s="9">
        <v>10.85</v>
      </c>
      <c r="I32" s="9">
        <v>10</v>
      </c>
      <c r="J32" s="12" t="s">
        <v>4959</v>
      </c>
      <c r="K32" s="9" t="s">
        <v>180</v>
      </c>
      <c r="L32" t="str">
        <f>IF(OR(J32="Cattle",J32="Zebu Cattle"),IF(COUNTIF(lists!$M$2:$M$258, K32) &gt; 0,"bos.indicus",IF(COUNTIF(lists!$L$2:$L$258, K32) &gt; 0,"cross.bred","pure.bred.exotic")),"NA")</f>
        <v>NA</v>
      </c>
      <c r="M32"/>
      <c r="N32"/>
      <c r="O32" s="9" t="s">
        <v>180</v>
      </c>
      <c r="P32" s="9" t="s">
        <v>316</v>
      </c>
      <c r="Q32" s="9" t="s">
        <v>3809</v>
      </c>
      <c r="R32" s="9" t="s">
        <v>3830</v>
      </c>
      <c r="S32" s="9" t="s">
        <v>106</v>
      </c>
      <c r="T32" s="9">
        <v>48.4</v>
      </c>
      <c r="U32" s="9">
        <v>82.1</v>
      </c>
      <c r="V32" s="9">
        <v>350</v>
      </c>
      <c r="W32" s="9">
        <v>19.8</v>
      </c>
      <c r="X32" s="9" t="s">
        <v>106</v>
      </c>
      <c r="Y32" s="9" t="s">
        <v>106</v>
      </c>
      <c r="Z32" s="9" t="s">
        <v>106</v>
      </c>
      <c r="AA32" s="9" t="s">
        <v>106</v>
      </c>
      <c r="AB32" s="9" t="s">
        <v>106</v>
      </c>
    </row>
    <row r="33" spans="1:31">
      <c r="A33" s="9" t="s">
        <v>314</v>
      </c>
      <c r="B33" s="9" t="s">
        <v>319</v>
      </c>
      <c r="C33" s="9" t="s">
        <v>105</v>
      </c>
      <c r="D33" s="9">
        <v>14.75</v>
      </c>
      <c r="E33" s="9" t="s">
        <v>106</v>
      </c>
      <c r="F33" s="9" t="s">
        <v>106</v>
      </c>
      <c r="G33" s="9" t="s">
        <v>106</v>
      </c>
      <c r="H33" s="9">
        <v>25.5</v>
      </c>
      <c r="I33" s="9">
        <v>6</v>
      </c>
      <c r="J33" s="9" t="s">
        <v>122</v>
      </c>
      <c r="K33" s="9" t="s">
        <v>180</v>
      </c>
      <c r="L33" t="str">
        <f>IF(OR(J33="Cattle",J33="Zebu Cattle"),IF(COUNTIF(lists!$M$2:$M$258, K33) &gt; 0,"bos.indicus",IF(COUNTIF(lists!$L$2:$L$258, K33) &gt; 0,"cross.bred","pure.bred.exotic")),"NA")</f>
        <v>bos.indicus</v>
      </c>
      <c r="M33"/>
      <c r="N33"/>
      <c r="O33" s="9" t="s">
        <v>180</v>
      </c>
      <c r="P33" s="9" t="s">
        <v>316</v>
      </c>
      <c r="Q33" s="9" t="s">
        <v>3809</v>
      </c>
      <c r="R33" s="9" t="s">
        <v>3830</v>
      </c>
      <c r="S33" s="9" t="s">
        <v>106</v>
      </c>
      <c r="T33" s="9">
        <v>48.4</v>
      </c>
      <c r="U33" s="9">
        <v>82.1</v>
      </c>
      <c r="V33" s="9">
        <v>350</v>
      </c>
      <c r="W33" s="9">
        <v>19.8</v>
      </c>
      <c r="X33" s="9" t="s">
        <v>106</v>
      </c>
      <c r="Y33" s="9" t="s">
        <v>106</v>
      </c>
      <c r="Z33" s="9" t="s">
        <v>106</v>
      </c>
      <c r="AA33" s="9" t="s">
        <v>106</v>
      </c>
      <c r="AB33" s="9" t="s">
        <v>106</v>
      </c>
      <c r="AC33" s="9" t="s">
        <v>5100</v>
      </c>
      <c r="AD33" s="9" t="s">
        <v>5100</v>
      </c>
    </row>
    <row r="34" spans="1:31">
      <c r="A34" s="9" t="s">
        <v>320</v>
      </c>
      <c r="B34" s="9" t="s">
        <v>321</v>
      </c>
      <c r="C34" s="9" t="s">
        <v>105</v>
      </c>
      <c r="D34" s="9">
        <v>8.4</v>
      </c>
      <c r="E34" s="9">
        <v>0.14000000000000001</v>
      </c>
      <c r="F34" s="9">
        <v>247.6</v>
      </c>
      <c r="G34" s="9">
        <v>1.1399999999999999</v>
      </c>
      <c r="H34" s="9" t="s">
        <v>106</v>
      </c>
      <c r="I34" s="9">
        <v>4</v>
      </c>
      <c r="J34" s="9" t="s">
        <v>122</v>
      </c>
      <c r="K34" s="9" t="s">
        <v>237</v>
      </c>
      <c r="L34" t="str">
        <f>IF(OR(J34="Cattle",J34="Zebu Cattle"),IF(COUNTIF(lists!$M$2:$M$258, K34) &gt; 0,"bos.indicus",IF(COUNTIF(lists!$L$2:$L$258, K34) &gt; 0,"cross.bred","pure.bred.exotic")),"NA")</f>
        <v>bos.indicus</v>
      </c>
      <c r="M34"/>
      <c r="N34"/>
      <c r="O34" s="9" t="s">
        <v>109</v>
      </c>
      <c r="P34" s="9" t="s">
        <v>4162</v>
      </c>
      <c r="Q34" s="9" t="s">
        <v>3804</v>
      </c>
      <c r="R34" s="9" t="s">
        <v>3830</v>
      </c>
      <c r="S34" s="9">
        <v>277</v>
      </c>
      <c r="T34" s="9">
        <v>95.8</v>
      </c>
      <c r="U34" s="9">
        <v>112.3</v>
      </c>
      <c r="V34" s="9" t="s">
        <v>106</v>
      </c>
      <c r="W34" s="9">
        <v>79</v>
      </c>
      <c r="X34" s="9">
        <v>444.2</v>
      </c>
      <c r="Y34" s="9" t="s">
        <v>106</v>
      </c>
      <c r="Z34" s="9" t="s">
        <v>106</v>
      </c>
      <c r="AA34" s="9" t="s">
        <v>106</v>
      </c>
      <c r="AB34" s="9" t="s">
        <v>106</v>
      </c>
      <c r="AC34" s="9" t="s">
        <v>5100</v>
      </c>
      <c r="AD34" s="9" t="s">
        <v>5100</v>
      </c>
    </row>
    <row r="35" spans="1:31">
      <c r="A35" s="9" t="s">
        <v>320</v>
      </c>
      <c r="B35" s="9" t="s">
        <v>322</v>
      </c>
      <c r="C35" s="9" t="s">
        <v>105</v>
      </c>
      <c r="D35" s="9">
        <v>8.75</v>
      </c>
      <c r="E35" s="9">
        <v>0.14000000000000001</v>
      </c>
      <c r="F35" s="9">
        <v>257.89999999999998</v>
      </c>
      <c r="G35" s="9">
        <v>1.33</v>
      </c>
      <c r="H35" s="9" t="s">
        <v>106</v>
      </c>
      <c r="I35" s="9">
        <v>4</v>
      </c>
      <c r="J35" s="9" t="s">
        <v>122</v>
      </c>
      <c r="K35" s="9" t="s">
        <v>237</v>
      </c>
      <c r="L35" t="str">
        <f>IF(OR(J35="Cattle",J35="Zebu Cattle"),IF(COUNTIF(lists!$M$2:$M$258, K35) &gt; 0,"bos.indicus",IF(COUNTIF(lists!$L$2:$L$258, K35) &gt; 0,"cross.bred","pure.bred.exotic")),"NA")</f>
        <v>bos.indicus</v>
      </c>
      <c r="M35"/>
      <c r="N35"/>
      <c r="O35" s="9" t="s">
        <v>109</v>
      </c>
      <c r="P35" s="9" t="s">
        <v>4162</v>
      </c>
      <c r="Q35" s="9" t="s">
        <v>3804</v>
      </c>
      <c r="R35" s="9" t="s">
        <v>3830</v>
      </c>
      <c r="S35" s="9">
        <v>307.2</v>
      </c>
      <c r="T35" s="9">
        <v>94.1</v>
      </c>
      <c r="U35" s="9">
        <v>111.94</v>
      </c>
      <c r="V35" s="9" t="s">
        <v>106</v>
      </c>
      <c r="W35" s="9">
        <v>75.099999999999994</v>
      </c>
      <c r="X35" s="9">
        <v>490.6</v>
      </c>
      <c r="Y35" s="9" t="s">
        <v>106</v>
      </c>
      <c r="Z35" s="9" t="s">
        <v>106</v>
      </c>
      <c r="AA35" s="9" t="s">
        <v>106</v>
      </c>
      <c r="AB35" s="9" t="s">
        <v>106</v>
      </c>
      <c r="AC35" s="9" t="s">
        <v>5100</v>
      </c>
      <c r="AD35" s="9" t="s">
        <v>5100</v>
      </c>
    </row>
    <row r="36" spans="1:31">
      <c r="A36" s="9" t="s">
        <v>320</v>
      </c>
      <c r="B36" s="9" t="s">
        <v>323</v>
      </c>
      <c r="C36" s="9" t="s">
        <v>105</v>
      </c>
      <c r="D36" s="9">
        <v>8.1999999999999993</v>
      </c>
      <c r="E36" s="9">
        <v>0.14000000000000001</v>
      </c>
      <c r="F36" s="9">
        <v>253.7</v>
      </c>
      <c r="G36" s="9">
        <v>1.1599999999999999</v>
      </c>
      <c r="H36" s="9" t="s">
        <v>106</v>
      </c>
      <c r="I36" s="9">
        <v>4</v>
      </c>
      <c r="J36" s="9" t="s">
        <v>122</v>
      </c>
      <c r="K36" s="9" t="s">
        <v>237</v>
      </c>
      <c r="L36" t="str">
        <f>IF(OR(J36="Cattle",J36="Zebu Cattle"),IF(COUNTIF(lists!$M$2:$M$258, K36) &gt; 0,"bos.indicus",IF(COUNTIF(lists!$L$2:$L$258, K36) &gt; 0,"cross.bred","pure.bred.exotic")),"NA")</f>
        <v>bos.indicus</v>
      </c>
      <c r="M36"/>
      <c r="N36"/>
      <c r="O36" s="9" t="s">
        <v>109</v>
      </c>
      <c r="P36" s="9" t="s">
        <v>4162</v>
      </c>
      <c r="Q36" s="9" t="s">
        <v>3804</v>
      </c>
      <c r="R36" s="9" t="s">
        <v>3830</v>
      </c>
      <c r="S36" s="9">
        <v>294.7</v>
      </c>
      <c r="T36" s="9">
        <v>98.3</v>
      </c>
      <c r="U36" s="9">
        <v>136</v>
      </c>
      <c r="V36" s="9" t="s">
        <v>106</v>
      </c>
      <c r="W36" s="9">
        <v>88.2</v>
      </c>
      <c r="X36" s="9">
        <v>457.8</v>
      </c>
      <c r="Y36" s="9" t="s">
        <v>106</v>
      </c>
      <c r="Z36" s="9" t="s">
        <v>106</v>
      </c>
      <c r="AA36" s="9" t="s">
        <v>106</v>
      </c>
      <c r="AB36" s="9" t="s">
        <v>106</v>
      </c>
      <c r="AC36" s="9" t="s">
        <v>5100</v>
      </c>
      <c r="AD36" s="9" t="s">
        <v>5100</v>
      </c>
    </row>
    <row r="37" spans="1:31">
      <c r="A37" s="9" t="s">
        <v>320</v>
      </c>
      <c r="B37" s="9" t="s">
        <v>324</v>
      </c>
      <c r="C37" s="9" t="s">
        <v>105</v>
      </c>
      <c r="D37" s="9">
        <v>8.49</v>
      </c>
      <c r="E37" s="9">
        <v>0.14000000000000001</v>
      </c>
      <c r="F37" s="9">
        <v>256.3</v>
      </c>
      <c r="G37" s="9">
        <v>1.31</v>
      </c>
      <c r="H37" s="9" t="s">
        <v>106</v>
      </c>
      <c r="I37" s="9">
        <v>4</v>
      </c>
      <c r="J37" s="9" t="s">
        <v>122</v>
      </c>
      <c r="K37" s="9" t="s">
        <v>237</v>
      </c>
      <c r="L37" t="str">
        <f>IF(OR(J37="Cattle",J37="Zebu Cattle"),IF(COUNTIF(lists!$M$2:$M$258, K37) &gt; 0,"bos.indicus",IF(COUNTIF(lists!$L$2:$L$258, K37) &gt; 0,"cross.bred","pure.bred.exotic")),"NA")</f>
        <v>bos.indicus</v>
      </c>
      <c r="M37"/>
      <c r="N37"/>
      <c r="O37" s="9" t="s">
        <v>109</v>
      </c>
      <c r="P37" s="9" t="s">
        <v>4162</v>
      </c>
      <c r="Q37" s="9" t="s">
        <v>3804</v>
      </c>
      <c r="R37" s="9" t="s">
        <v>3830</v>
      </c>
      <c r="S37" s="9">
        <v>342.9</v>
      </c>
      <c r="T37" s="9">
        <v>97.8</v>
      </c>
      <c r="U37" s="9">
        <v>131.9</v>
      </c>
      <c r="V37" s="9" t="s">
        <v>106</v>
      </c>
      <c r="W37" s="9">
        <v>82.6</v>
      </c>
      <c r="X37" s="9">
        <v>552.20000000000005</v>
      </c>
      <c r="Y37" s="9" t="s">
        <v>106</v>
      </c>
      <c r="Z37" s="9" t="s">
        <v>106</v>
      </c>
      <c r="AA37" s="9" t="s">
        <v>106</v>
      </c>
      <c r="AB37" s="9" t="s">
        <v>106</v>
      </c>
      <c r="AC37" s="9" t="s">
        <v>5100</v>
      </c>
      <c r="AD37" s="9" t="s">
        <v>5100</v>
      </c>
    </row>
    <row r="38" spans="1:31">
      <c r="A38" s="9" t="s">
        <v>320</v>
      </c>
      <c r="B38" s="9" t="s">
        <v>325</v>
      </c>
      <c r="C38" s="9" t="s">
        <v>105</v>
      </c>
      <c r="D38" s="9">
        <v>8.36</v>
      </c>
      <c r="E38" s="9">
        <v>0.14000000000000001</v>
      </c>
      <c r="F38" s="9">
        <v>250.8</v>
      </c>
      <c r="G38" s="9">
        <v>1.18</v>
      </c>
      <c r="H38" s="9" t="s">
        <v>106</v>
      </c>
      <c r="I38" s="9">
        <v>4</v>
      </c>
      <c r="J38" s="9" t="s">
        <v>122</v>
      </c>
      <c r="K38" s="9" t="s">
        <v>237</v>
      </c>
      <c r="L38" t="str">
        <f>IF(OR(J38="Cattle",J38="Zebu Cattle"),IF(COUNTIF(lists!$M$2:$M$258, K38) &gt; 0,"bos.indicus",IF(COUNTIF(lists!$L$2:$L$258, K38) &gt; 0,"cross.bred","pure.bred.exotic")),"NA")</f>
        <v>bos.indicus</v>
      </c>
      <c r="M38"/>
      <c r="N38"/>
      <c r="O38" s="9" t="s">
        <v>109</v>
      </c>
      <c r="P38" s="9" t="s">
        <v>4162</v>
      </c>
      <c r="Q38" s="9" t="s">
        <v>3804</v>
      </c>
      <c r="R38" s="9" t="s">
        <v>3830</v>
      </c>
      <c r="S38" s="9">
        <v>381.2</v>
      </c>
      <c r="T38" s="9">
        <v>94.9</v>
      </c>
      <c r="U38" s="9">
        <v>108</v>
      </c>
      <c r="V38" s="9" t="s">
        <v>106</v>
      </c>
      <c r="W38" s="9">
        <v>71.2</v>
      </c>
      <c r="X38" s="9">
        <v>563.9</v>
      </c>
      <c r="Y38" s="9" t="s">
        <v>106</v>
      </c>
      <c r="Z38" s="9" t="s">
        <v>106</v>
      </c>
      <c r="AA38" s="9" t="s">
        <v>106</v>
      </c>
      <c r="AB38" s="9" t="s">
        <v>106</v>
      </c>
      <c r="AC38" s="9" t="s">
        <v>5100</v>
      </c>
      <c r="AD38" s="9" t="s">
        <v>5100</v>
      </c>
    </row>
    <row r="39" spans="1:31" s="47" customFormat="1" hidden="1">
      <c r="A39" s="46" t="s">
        <v>354</v>
      </c>
      <c r="B39" s="46" t="s">
        <v>355</v>
      </c>
      <c r="C39" s="46" t="s">
        <v>105</v>
      </c>
      <c r="D39" s="46">
        <v>0.42159999999999997</v>
      </c>
      <c r="E39" s="46" t="s">
        <v>106</v>
      </c>
      <c r="F39" s="46" t="s">
        <v>106</v>
      </c>
      <c r="G39" s="46" t="s">
        <v>106</v>
      </c>
      <c r="H39" s="46">
        <v>3.34</v>
      </c>
      <c r="I39" s="46"/>
      <c r="J39" s="54" t="s">
        <v>107</v>
      </c>
      <c r="K39" s="46" t="s">
        <v>356</v>
      </c>
      <c r="L39" s="47" t="str">
        <f>IF(OR(J39="Cattle",J39="Zebu Cattle"),IF(COUNTIF(lists!$M$2:$M$258, K39) &gt; 0,"bos.indicus",IF(COUNTIF(lists!$L$2:$L$258, K39) &gt; 0,"cross.bred","pure.bred.exotic")),"NA")</f>
        <v>NA</v>
      </c>
      <c r="O39" s="46" t="s">
        <v>109</v>
      </c>
      <c r="P39" s="46" t="s">
        <v>202</v>
      </c>
      <c r="Q39" s="46" t="s">
        <v>3809</v>
      </c>
      <c r="R39" s="46" t="s">
        <v>3830</v>
      </c>
      <c r="S39" s="46" t="s">
        <v>106</v>
      </c>
      <c r="T39" s="46" t="s">
        <v>106</v>
      </c>
      <c r="U39" s="46" t="s">
        <v>106</v>
      </c>
      <c r="V39" s="46" t="s">
        <v>106</v>
      </c>
      <c r="W39" s="46" t="s">
        <v>106</v>
      </c>
      <c r="X39" s="46" t="s">
        <v>106</v>
      </c>
      <c r="Y39" s="46">
        <v>62.76</v>
      </c>
      <c r="Z39" s="46" t="s">
        <v>106</v>
      </c>
      <c r="AA39" s="46"/>
      <c r="AB39" s="46"/>
      <c r="AC39" s="9"/>
      <c r="AD39" s="9"/>
      <c r="AE39" s="50"/>
    </row>
    <row r="40" spans="1:31" hidden="1">
      <c r="A40" s="9" t="s">
        <v>354</v>
      </c>
      <c r="B40" s="9" t="s">
        <v>357</v>
      </c>
      <c r="C40" s="9" t="s">
        <v>105</v>
      </c>
      <c r="D40" s="9">
        <v>0.26639999999999903</v>
      </c>
      <c r="E40" s="9" t="s">
        <v>106</v>
      </c>
      <c r="F40" s="9" t="s">
        <v>106</v>
      </c>
      <c r="G40" s="9" t="s">
        <v>106</v>
      </c>
      <c r="H40" s="9">
        <v>3.34</v>
      </c>
      <c r="J40" s="16" t="s">
        <v>107</v>
      </c>
      <c r="K40" s="9" t="s">
        <v>356</v>
      </c>
      <c r="L40" t="str">
        <f>IF(OR(J40="Cattle",J40="Zebu Cattle"),IF(COUNTIF(lists!$M$2:$M$258, K40) &gt; 0,"bos.indicus",IF(COUNTIF(lists!$L$2:$L$258, K40) &gt; 0,"cross.bred","pure.bred.exotic")),"NA")</f>
        <v>NA</v>
      </c>
      <c r="M40"/>
      <c r="N40"/>
      <c r="O40" s="9" t="s">
        <v>109</v>
      </c>
      <c r="P40" s="9" t="s">
        <v>202</v>
      </c>
      <c r="Q40" s="9" t="s">
        <v>3809</v>
      </c>
      <c r="R40" s="9" t="s">
        <v>3830</v>
      </c>
      <c r="S40" s="9" t="s">
        <v>106</v>
      </c>
      <c r="T40" s="9" t="s">
        <v>106</v>
      </c>
      <c r="U40" s="9" t="s">
        <v>106</v>
      </c>
      <c r="V40" s="9" t="s">
        <v>106</v>
      </c>
      <c r="W40" s="9" t="s">
        <v>106</v>
      </c>
      <c r="X40" s="9" t="s">
        <v>106</v>
      </c>
      <c r="Y40" s="9">
        <v>69.650000000000006</v>
      </c>
      <c r="Z40" s="9" t="s">
        <v>106</v>
      </c>
    </row>
    <row r="41" spans="1:31" hidden="1">
      <c r="A41" s="9" t="s">
        <v>354</v>
      </c>
      <c r="B41" s="9" t="s">
        <v>358</v>
      </c>
      <c r="C41" s="9" t="s">
        <v>105</v>
      </c>
      <c r="D41" s="9">
        <v>0.42099999999999999</v>
      </c>
      <c r="E41" s="9" t="s">
        <v>106</v>
      </c>
      <c r="F41" s="9" t="s">
        <v>106</v>
      </c>
      <c r="G41" s="9" t="s">
        <v>106</v>
      </c>
      <c r="H41" s="9">
        <v>3.34</v>
      </c>
      <c r="J41" s="16" t="s">
        <v>107</v>
      </c>
      <c r="K41" s="9" t="s">
        <v>356</v>
      </c>
      <c r="L41" t="str">
        <f>IF(OR(J41="Cattle",J41="Zebu Cattle"),IF(COUNTIF(lists!$M$2:$M$258, K41) &gt; 0,"bos.indicus",IF(COUNTIF(lists!$L$2:$L$258, K41) &gt; 0,"cross.bred","pure.bred.exotic")),"NA")</f>
        <v>NA</v>
      </c>
      <c r="M41"/>
      <c r="N41"/>
      <c r="O41" s="9" t="s">
        <v>109</v>
      </c>
      <c r="P41" s="9" t="s">
        <v>202</v>
      </c>
      <c r="Q41" s="9" t="s">
        <v>3809</v>
      </c>
      <c r="R41" s="9" t="s">
        <v>3830</v>
      </c>
      <c r="S41" s="9" t="s">
        <v>106</v>
      </c>
      <c r="T41" s="9" t="s">
        <v>106</v>
      </c>
      <c r="U41" s="9" t="s">
        <v>106</v>
      </c>
      <c r="V41" s="9" t="s">
        <v>106</v>
      </c>
      <c r="W41" s="9" t="s">
        <v>106</v>
      </c>
      <c r="X41" s="9" t="s">
        <v>106</v>
      </c>
      <c r="Y41" s="9">
        <v>78.95</v>
      </c>
      <c r="Z41" s="9" t="s">
        <v>106</v>
      </c>
    </row>
    <row r="42" spans="1:31" hidden="1">
      <c r="A42" s="9" t="s">
        <v>354</v>
      </c>
      <c r="B42" s="9" t="s">
        <v>359</v>
      </c>
      <c r="C42" s="9" t="s">
        <v>105</v>
      </c>
      <c r="D42" s="9">
        <v>0.4556</v>
      </c>
      <c r="E42" s="9" t="s">
        <v>106</v>
      </c>
      <c r="F42" s="9" t="s">
        <v>106</v>
      </c>
      <c r="G42" s="9" t="s">
        <v>106</v>
      </c>
      <c r="H42" s="9">
        <v>3.34</v>
      </c>
      <c r="J42" s="16" t="s">
        <v>107</v>
      </c>
      <c r="K42" s="9" t="s">
        <v>356</v>
      </c>
      <c r="L42" t="str">
        <f>IF(OR(J42="Cattle",J42="Zebu Cattle"),IF(COUNTIF(lists!$M$2:$M$258, K42) &gt; 0,"bos.indicus",IF(COUNTIF(lists!$L$2:$L$258, K42) &gt; 0,"cross.bred","pure.bred.exotic")),"NA")</f>
        <v>NA</v>
      </c>
      <c r="M42"/>
      <c r="N42"/>
      <c r="O42" s="9" t="s">
        <v>109</v>
      </c>
      <c r="P42" s="9" t="s">
        <v>202</v>
      </c>
      <c r="Q42" s="9" t="s">
        <v>3809</v>
      </c>
      <c r="R42" s="9" t="s">
        <v>3830</v>
      </c>
      <c r="S42" s="9" t="s">
        <v>106</v>
      </c>
      <c r="T42" s="9" t="s">
        <v>106</v>
      </c>
      <c r="U42" s="9" t="s">
        <v>106</v>
      </c>
      <c r="V42" s="9" t="s">
        <v>106</v>
      </c>
      <c r="W42" s="9" t="s">
        <v>106</v>
      </c>
      <c r="X42" s="9" t="s">
        <v>106</v>
      </c>
      <c r="Y42" s="9">
        <v>81.849999999999994</v>
      </c>
      <c r="Z42" s="9" t="s">
        <v>106</v>
      </c>
    </row>
    <row r="43" spans="1:31" hidden="1">
      <c r="A43" s="9" t="s">
        <v>354</v>
      </c>
      <c r="B43" s="9" t="s">
        <v>360</v>
      </c>
      <c r="C43" s="9" t="s">
        <v>105</v>
      </c>
      <c r="D43" s="9">
        <v>0.37269999999999998</v>
      </c>
      <c r="E43" s="9" t="s">
        <v>106</v>
      </c>
      <c r="F43" s="9" t="s">
        <v>106</v>
      </c>
      <c r="G43" s="9" t="s">
        <v>106</v>
      </c>
      <c r="H43" s="9">
        <v>3.34</v>
      </c>
      <c r="J43" s="16" t="s">
        <v>107</v>
      </c>
      <c r="K43" s="9" t="s">
        <v>356</v>
      </c>
      <c r="L43" t="str">
        <f>IF(OR(J43="Cattle",J43="Zebu Cattle"),IF(COUNTIF(lists!$M$2:$M$258, K43) &gt; 0,"bos.indicus",IF(COUNTIF(lists!$L$2:$L$258, K43) &gt; 0,"cross.bred","pure.bred.exotic")),"NA")</f>
        <v>NA</v>
      </c>
      <c r="M43"/>
      <c r="N43"/>
      <c r="O43" s="9" t="s">
        <v>109</v>
      </c>
      <c r="P43" s="9" t="s">
        <v>202</v>
      </c>
      <c r="Q43" s="9" t="s">
        <v>3809</v>
      </c>
      <c r="R43" s="9" t="s">
        <v>3830</v>
      </c>
      <c r="S43" s="9" t="s">
        <v>106</v>
      </c>
      <c r="T43" s="9" t="s">
        <v>106</v>
      </c>
      <c r="U43" s="9" t="s">
        <v>106</v>
      </c>
      <c r="V43" s="9" t="s">
        <v>106</v>
      </c>
      <c r="W43" s="9" t="s">
        <v>106</v>
      </c>
      <c r="X43" s="9" t="s">
        <v>106</v>
      </c>
      <c r="Y43" s="9">
        <v>74.23</v>
      </c>
      <c r="Z43" s="9" t="s">
        <v>106</v>
      </c>
    </row>
    <row r="44" spans="1:31">
      <c r="A44" s="9" t="s">
        <v>354</v>
      </c>
      <c r="B44" s="9" t="s">
        <v>361</v>
      </c>
      <c r="C44" s="9" t="s">
        <v>105</v>
      </c>
      <c r="D44" s="9">
        <v>8.85</v>
      </c>
      <c r="E44" s="9">
        <v>0.56000000000000005</v>
      </c>
      <c r="F44" s="9">
        <v>247.1</v>
      </c>
      <c r="G44" s="65">
        <v>0.627</v>
      </c>
      <c r="H44" s="9">
        <v>3.34</v>
      </c>
      <c r="I44" s="9">
        <v>4</v>
      </c>
      <c r="J44" s="9" t="s">
        <v>122</v>
      </c>
      <c r="K44" s="9" t="s">
        <v>356</v>
      </c>
      <c r="L44" t="str">
        <f>IF(OR(J44="Cattle",J44="Zebu Cattle"),IF(COUNTIF(lists!$M$2:$M$258, K44) &gt; 0,"bos.indicus",IF(COUNTIF(lists!$L$2:$L$258, K44) &gt; 0,"cross.bred","pure.bred.exotic")),"NA")</f>
        <v>bos.indicus</v>
      </c>
      <c r="M44"/>
      <c r="N44"/>
      <c r="O44" s="9" t="s">
        <v>109</v>
      </c>
      <c r="P44" s="9" t="s">
        <v>202</v>
      </c>
      <c r="Q44" s="9" t="s">
        <v>3809</v>
      </c>
      <c r="R44" s="9" t="s">
        <v>3830</v>
      </c>
      <c r="S44" s="9">
        <v>258.2</v>
      </c>
      <c r="T44" s="9">
        <v>172.1</v>
      </c>
      <c r="U44" s="9">
        <v>168.3</v>
      </c>
      <c r="V44" s="9">
        <v>866.6</v>
      </c>
      <c r="W44" s="9" t="s">
        <v>106</v>
      </c>
      <c r="X44" s="9">
        <v>452.5</v>
      </c>
      <c r="Y44" s="9">
        <v>56.65</v>
      </c>
      <c r="Z44" s="9">
        <v>52.52</v>
      </c>
      <c r="AA44" s="9">
        <v>87.7</v>
      </c>
      <c r="AB44" s="9">
        <v>79.39</v>
      </c>
      <c r="AC44" s="9" t="s">
        <v>5100</v>
      </c>
      <c r="AD44" s="9" t="s">
        <v>5100</v>
      </c>
    </row>
    <row r="45" spans="1:31">
      <c r="A45" s="9" t="s">
        <v>354</v>
      </c>
      <c r="B45" s="9" t="s">
        <v>362</v>
      </c>
      <c r="C45" s="9" t="s">
        <v>105</v>
      </c>
      <c r="D45" s="9">
        <v>8.1</v>
      </c>
      <c r="E45" s="9">
        <v>0.56000000000000005</v>
      </c>
      <c r="F45" s="9">
        <v>245.1</v>
      </c>
      <c r="G45" s="65">
        <v>0.48599999999999999</v>
      </c>
      <c r="H45" s="9">
        <v>2.71</v>
      </c>
      <c r="I45" s="9">
        <v>4</v>
      </c>
      <c r="J45" s="9" t="s">
        <v>122</v>
      </c>
      <c r="K45" s="9" t="s">
        <v>356</v>
      </c>
      <c r="L45" t="str">
        <f>IF(OR(J45="Cattle",J45="Zebu Cattle"),IF(COUNTIF(lists!$M$2:$M$258, K45) &gt; 0,"bos.indicus",IF(COUNTIF(lists!$L$2:$L$258, K45) &gt; 0,"cross.bred","pure.bred.exotic")),"NA")</f>
        <v>bos.indicus</v>
      </c>
      <c r="M45"/>
      <c r="N45"/>
      <c r="O45" s="9" t="s">
        <v>109</v>
      </c>
      <c r="P45" s="9" t="s">
        <v>202</v>
      </c>
      <c r="Q45" s="9" t="s">
        <v>3809</v>
      </c>
      <c r="R45" s="9" t="s">
        <v>3830</v>
      </c>
      <c r="S45" s="9">
        <v>302.3</v>
      </c>
      <c r="T45" s="9">
        <v>160.6</v>
      </c>
      <c r="U45" s="9">
        <v>147.80000000000001</v>
      </c>
      <c r="V45" s="9">
        <v>863.7</v>
      </c>
      <c r="W45" s="9" t="s">
        <v>106</v>
      </c>
      <c r="X45" s="9">
        <v>483.6</v>
      </c>
      <c r="Y45" s="9">
        <v>54.24</v>
      </c>
      <c r="Z45" s="9">
        <v>54.24</v>
      </c>
      <c r="AA45" s="9">
        <v>80.599999999999994</v>
      </c>
      <c r="AB45" s="9">
        <v>74.12</v>
      </c>
      <c r="AC45" s="9" t="s">
        <v>5100</v>
      </c>
      <c r="AD45" s="9" t="s">
        <v>5100</v>
      </c>
    </row>
    <row r="46" spans="1:31">
      <c r="A46" s="9" t="s">
        <v>354</v>
      </c>
      <c r="B46" s="9" t="s">
        <v>363</v>
      </c>
      <c r="C46" s="9" t="s">
        <v>105</v>
      </c>
      <c r="D46" s="9">
        <v>6.21</v>
      </c>
      <c r="E46" s="9">
        <v>0.56000000000000005</v>
      </c>
      <c r="F46" s="9">
        <v>242.9</v>
      </c>
      <c r="G46" s="65">
        <v>0.32600000000000001</v>
      </c>
      <c r="H46" s="9">
        <v>1.77</v>
      </c>
      <c r="I46" s="9">
        <v>4</v>
      </c>
      <c r="J46" s="9" t="s">
        <v>122</v>
      </c>
      <c r="K46" s="9" t="s">
        <v>356</v>
      </c>
      <c r="L46" t="str">
        <f>IF(OR(J46="Cattle",J46="Zebu Cattle"),IF(COUNTIF(lists!$M$2:$M$258, K46) &gt; 0,"bos.indicus",IF(COUNTIF(lists!$L$2:$L$258, K46) &gt; 0,"cross.bred","pure.bred.exotic")),"NA")</f>
        <v>bos.indicus</v>
      </c>
      <c r="M46"/>
      <c r="N46"/>
      <c r="O46" s="9" t="s">
        <v>109</v>
      </c>
      <c r="P46" s="9" t="s">
        <v>202</v>
      </c>
      <c r="Q46" s="9" t="s">
        <v>3809</v>
      </c>
      <c r="R46" s="9" t="s">
        <v>3830</v>
      </c>
      <c r="S46" s="9">
        <v>333</v>
      </c>
      <c r="T46" s="9">
        <v>107.5</v>
      </c>
      <c r="U46" s="9">
        <v>122.9</v>
      </c>
      <c r="V46" s="9">
        <v>901.2</v>
      </c>
      <c r="W46" s="9" t="s">
        <v>106</v>
      </c>
      <c r="X46" s="9">
        <v>541.20000000000005</v>
      </c>
      <c r="Y46" s="9">
        <v>48.14</v>
      </c>
      <c r="Z46" s="9">
        <v>68.430000000000007</v>
      </c>
      <c r="AA46" s="9">
        <v>64.2</v>
      </c>
      <c r="AB46" s="9">
        <v>58.9</v>
      </c>
      <c r="AC46" s="9" t="s">
        <v>5100</v>
      </c>
      <c r="AD46" s="9" t="s">
        <v>5100</v>
      </c>
    </row>
    <row r="47" spans="1:31">
      <c r="A47" s="9" t="s">
        <v>354</v>
      </c>
      <c r="B47" s="9" t="s">
        <v>364</v>
      </c>
      <c r="C47" s="9" t="s">
        <v>105</v>
      </c>
      <c r="D47" s="9">
        <v>7.71</v>
      </c>
      <c r="E47" s="9">
        <v>0.56000000000000005</v>
      </c>
      <c r="F47" s="9">
        <v>244.5</v>
      </c>
      <c r="G47" s="65">
        <v>0.44600000000000001</v>
      </c>
      <c r="H47" s="9">
        <v>2.34</v>
      </c>
      <c r="I47" s="9">
        <v>4</v>
      </c>
      <c r="J47" s="9" t="s">
        <v>122</v>
      </c>
      <c r="K47" s="9" t="s">
        <v>356</v>
      </c>
      <c r="L47" t="str">
        <f>IF(OR(J47="Cattle",J47="Zebu Cattle"),IF(COUNTIF(lists!$M$2:$M$258, K47) &gt; 0,"bos.indicus",IF(COUNTIF(lists!$L$2:$L$258, K47) &gt; 0,"cross.bred","pure.bred.exotic")),"NA")</f>
        <v>bos.indicus</v>
      </c>
      <c r="M47"/>
      <c r="N47"/>
      <c r="O47" s="9" t="s">
        <v>109</v>
      </c>
      <c r="P47" s="9" t="s">
        <v>202</v>
      </c>
      <c r="Q47" s="9" t="s">
        <v>3809</v>
      </c>
      <c r="R47" s="9" t="s">
        <v>3830</v>
      </c>
      <c r="S47" s="9">
        <v>304.10000000000002</v>
      </c>
      <c r="T47" s="9">
        <v>395.6</v>
      </c>
      <c r="U47" s="9">
        <v>158.1</v>
      </c>
      <c r="V47" s="9">
        <v>690.1</v>
      </c>
      <c r="W47" s="9" t="s">
        <v>106</v>
      </c>
      <c r="X47" s="9">
        <v>492.5</v>
      </c>
      <c r="Y47" s="9">
        <v>52.89</v>
      </c>
      <c r="Z47" s="9">
        <v>55.04</v>
      </c>
      <c r="AA47" s="9">
        <v>79.599999999999994</v>
      </c>
      <c r="AB47" s="9">
        <v>71.47</v>
      </c>
      <c r="AC47" s="9" t="s">
        <v>5100</v>
      </c>
      <c r="AD47" s="9" t="s">
        <v>5100</v>
      </c>
    </row>
    <row r="48" spans="1:31">
      <c r="A48" s="9" t="s">
        <v>377</v>
      </c>
      <c r="B48" s="9" t="s">
        <v>151</v>
      </c>
      <c r="C48" s="9" t="s">
        <v>105</v>
      </c>
      <c r="D48" s="9">
        <v>7.36</v>
      </c>
      <c r="E48" s="9">
        <v>0.09</v>
      </c>
      <c r="F48" s="9">
        <v>247.8</v>
      </c>
      <c r="G48" s="9" t="s">
        <v>106</v>
      </c>
      <c r="H48" s="9" t="s">
        <v>106</v>
      </c>
      <c r="I48" s="9">
        <v>5</v>
      </c>
      <c r="J48" s="9" t="s">
        <v>122</v>
      </c>
      <c r="K48" s="9" t="s">
        <v>378</v>
      </c>
      <c r="L48" t="str">
        <f>IF(OR(J48="Cattle",J48="Zebu Cattle"),IF(COUNTIF(lists!$M$2:$M$258, K48) &gt; 0,"bos.indicus",IF(COUNTIF(lists!$L$2:$L$258, K48) &gt; 0,"cross.bred","pure.bred.exotic")),"NA")</f>
        <v>bos.indicus</v>
      </c>
      <c r="M48"/>
      <c r="N48"/>
      <c r="O48" s="9" t="s">
        <v>109</v>
      </c>
      <c r="P48" s="9" t="s">
        <v>4961</v>
      </c>
      <c r="Q48" s="40" t="s">
        <v>3804</v>
      </c>
      <c r="R48" s="9" t="s">
        <v>3830</v>
      </c>
      <c r="S48" s="9">
        <v>307.8</v>
      </c>
      <c r="T48" s="9">
        <v>60.9</v>
      </c>
      <c r="U48" s="9">
        <v>95.1</v>
      </c>
      <c r="V48" s="9" t="s">
        <v>106</v>
      </c>
      <c r="W48" s="9" t="s">
        <v>106</v>
      </c>
      <c r="X48" s="9">
        <v>492.3</v>
      </c>
      <c r="Y48" s="9" t="s">
        <v>106</v>
      </c>
      <c r="Z48" s="9" t="s">
        <v>106</v>
      </c>
      <c r="AA48" s="9" t="s">
        <v>106</v>
      </c>
      <c r="AB48" s="9" t="s">
        <v>106</v>
      </c>
      <c r="AC48" s="9" t="s">
        <v>5100</v>
      </c>
      <c r="AD48" s="9" t="s">
        <v>5100</v>
      </c>
    </row>
    <row r="49" spans="1:31">
      <c r="A49" s="9" t="s">
        <v>377</v>
      </c>
      <c r="B49" s="9" t="s">
        <v>154</v>
      </c>
      <c r="C49" s="9" t="s">
        <v>105</v>
      </c>
      <c r="D49" s="9">
        <v>7.58</v>
      </c>
      <c r="E49" s="9">
        <v>0.09</v>
      </c>
      <c r="F49" s="9">
        <v>219.1</v>
      </c>
      <c r="G49" s="9" t="s">
        <v>106</v>
      </c>
      <c r="H49" s="9" t="s">
        <v>106</v>
      </c>
      <c r="I49" s="9">
        <v>5</v>
      </c>
      <c r="J49" s="9" t="s">
        <v>122</v>
      </c>
      <c r="K49" s="9" t="s">
        <v>378</v>
      </c>
      <c r="L49" t="str">
        <f>IF(OR(J49="Cattle",J49="Zebu Cattle"),IF(COUNTIF(lists!$M$2:$M$258, K49) &gt; 0,"bos.indicus",IF(COUNTIF(lists!$L$2:$L$258, K49) &gt; 0,"cross.bred","pure.bred.exotic")),"NA")</f>
        <v>bos.indicus</v>
      </c>
      <c r="M49"/>
      <c r="N49"/>
      <c r="O49" s="9" t="s">
        <v>109</v>
      </c>
      <c r="P49" s="9" t="s">
        <v>4961</v>
      </c>
      <c r="Q49" s="9" t="s">
        <v>3806</v>
      </c>
      <c r="R49" s="9" t="s">
        <v>3830</v>
      </c>
      <c r="S49" s="9">
        <v>308.5</v>
      </c>
      <c r="T49" s="9">
        <v>66.3</v>
      </c>
      <c r="U49" s="9">
        <v>99.7</v>
      </c>
      <c r="V49" s="9" t="s">
        <v>106</v>
      </c>
      <c r="W49" s="9" t="s">
        <v>106</v>
      </c>
      <c r="X49" s="9">
        <v>493.8</v>
      </c>
      <c r="Y49" s="9" t="s">
        <v>106</v>
      </c>
      <c r="Z49" s="9" t="s">
        <v>106</v>
      </c>
      <c r="AA49" s="9" t="s">
        <v>106</v>
      </c>
      <c r="AB49" s="9" t="s">
        <v>106</v>
      </c>
      <c r="AC49" s="9" t="s">
        <v>5100</v>
      </c>
      <c r="AD49" s="9" t="s">
        <v>5100</v>
      </c>
    </row>
    <row r="50" spans="1:31">
      <c r="A50" s="9" t="s">
        <v>377</v>
      </c>
      <c r="B50" s="9" t="s">
        <v>155</v>
      </c>
      <c r="C50" s="9" t="s">
        <v>105</v>
      </c>
      <c r="D50" s="9">
        <v>7.86</v>
      </c>
      <c r="E50" s="9">
        <v>0.09</v>
      </c>
      <c r="F50" s="9">
        <v>252.7</v>
      </c>
      <c r="G50" s="9" t="s">
        <v>106</v>
      </c>
      <c r="H50" s="9" t="s">
        <v>106</v>
      </c>
      <c r="I50" s="9">
        <v>5</v>
      </c>
      <c r="J50" s="9" t="s">
        <v>122</v>
      </c>
      <c r="K50" s="9" t="s">
        <v>378</v>
      </c>
      <c r="L50" t="str">
        <f>IF(OR(J50="Cattle",J50="Zebu Cattle"),IF(COUNTIF(lists!$M$2:$M$258, K50) &gt; 0,"bos.indicus",IF(COUNTIF(lists!$L$2:$L$258, K50) &gt; 0,"cross.bred","pure.bred.exotic")),"NA")</f>
        <v>bos.indicus</v>
      </c>
      <c r="M50"/>
      <c r="N50"/>
      <c r="O50" s="9" t="s">
        <v>109</v>
      </c>
      <c r="P50" s="9" t="s">
        <v>4961</v>
      </c>
      <c r="Q50" s="9" t="s">
        <v>3806</v>
      </c>
      <c r="R50" s="9" t="s">
        <v>3830</v>
      </c>
      <c r="S50" s="9">
        <v>320.39999999999998</v>
      </c>
      <c r="T50" s="9">
        <v>62.8</v>
      </c>
      <c r="U50" s="9">
        <v>94.2</v>
      </c>
      <c r="V50" s="9" t="s">
        <v>106</v>
      </c>
      <c r="W50" s="9" t="s">
        <v>106</v>
      </c>
      <c r="X50" s="9">
        <v>501.8</v>
      </c>
      <c r="Y50" s="9" t="s">
        <v>106</v>
      </c>
      <c r="Z50" s="9" t="s">
        <v>106</v>
      </c>
      <c r="AA50" s="9" t="s">
        <v>106</v>
      </c>
      <c r="AB50" s="9" t="s">
        <v>106</v>
      </c>
      <c r="AC50" s="9" t="s">
        <v>5100</v>
      </c>
      <c r="AD50" s="9" t="s">
        <v>5100</v>
      </c>
    </row>
    <row r="51" spans="1:31">
      <c r="A51" s="9" t="s">
        <v>377</v>
      </c>
      <c r="B51" s="9" t="s">
        <v>156</v>
      </c>
      <c r="C51" s="9" t="s">
        <v>105</v>
      </c>
      <c r="D51" s="9">
        <v>7.43</v>
      </c>
      <c r="E51" s="9">
        <v>0.09</v>
      </c>
      <c r="F51" s="9">
        <v>232.9</v>
      </c>
      <c r="G51" s="9" t="s">
        <v>106</v>
      </c>
      <c r="H51" s="9" t="s">
        <v>106</v>
      </c>
      <c r="I51" s="9">
        <v>5</v>
      </c>
      <c r="J51" s="9" t="s">
        <v>122</v>
      </c>
      <c r="K51" s="9" t="s">
        <v>378</v>
      </c>
      <c r="L51" t="str">
        <f>IF(OR(J51="Cattle",J51="Zebu Cattle"),IF(COUNTIF(lists!$M$2:$M$258, K51) &gt; 0,"bos.indicus",IF(COUNTIF(lists!$L$2:$L$258, K51) &gt; 0,"cross.bred","pure.bred.exotic")),"NA")</f>
        <v>bos.indicus</v>
      </c>
      <c r="M51"/>
      <c r="N51"/>
      <c r="O51" s="9" t="s">
        <v>109</v>
      </c>
      <c r="P51" s="9" t="s">
        <v>4961</v>
      </c>
      <c r="Q51" s="9" t="s">
        <v>3806</v>
      </c>
      <c r="R51" s="9" t="s">
        <v>3830</v>
      </c>
      <c r="S51" s="9">
        <v>310.10000000000002</v>
      </c>
      <c r="T51" s="9">
        <v>61.2</v>
      </c>
      <c r="U51" s="9">
        <v>94.8</v>
      </c>
      <c r="V51" s="9" t="s">
        <v>106</v>
      </c>
      <c r="W51" s="9" t="s">
        <v>106</v>
      </c>
      <c r="X51" s="9">
        <v>492.3</v>
      </c>
      <c r="Y51" s="9" t="s">
        <v>106</v>
      </c>
      <c r="Z51" s="9" t="s">
        <v>106</v>
      </c>
      <c r="AA51" s="9" t="s">
        <v>106</v>
      </c>
      <c r="AB51" s="9" t="s">
        <v>106</v>
      </c>
      <c r="AC51" s="9" t="s">
        <v>5100</v>
      </c>
      <c r="AD51" s="9" t="s">
        <v>5100</v>
      </c>
    </row>
    <row r="52" spans="1:31">
      <c r="A52" s="9" t="s">
        <v>439</v>
      </c>
      <c r="B52" s="9" t="s">
        <v>440</v>
      </c>
      <c r="C52" s="9" t="s">
        <v>105</v>
      </c>
      <c r="D52" s="9">
        <v>5.05</v>
      </c>
      <c r="E52" s="9" t="s">
        <v>106</v>
      </c>
      <c r="F52" s="9">
        <v>206</v>
      </c>
      <c r="G52" s="9">
        <v>0.83</v>
      </c>
      <c r="H52" s="9" t="s">
        <v>106</v>
      </c>
      <c r="I52" s="9">
        <v>10</v>
      </c>
      <c r="J52" s="9" t="s">
        <v>122</v>
      </c>
      <c r="K52" s="9" t="s">
        <v>441</v>
      </c>
      <c r="L52" t="str">
        <f>IF(OR(J52="Cattle",J52="Zebu Cattle"),IF(COUNTIF(lists!$M$2:$M$258, K52) &gt; 0,"bos.indicus",IF(COUNTIF(lists!$L$2:$L$258, K52) &gt; 0,"cross.bred","pure.bred.exotic")),"NA")</f>
        <v>bos.indicus</v>
      </c>
      <c r="M52"/>
      <c r="N52"/>
      <c r="O52" s="9" t="s">
        <v>109</v>
      </c>
      <c r="P52" s="9" t="s">
        <v>442</v>
      </c>
      <c r="Q52" s="9" t="s">
        <v>3800</v>
      </c>
      <c r="R52" s="9" t="s">
        <v>3830</v>
      </c>
      <c r="S52" s="9" t="s">
        <v>106</v>
      </c>
      <c r="T52" s="9" t="s">
        <v>106</v>
      </c>
      <c r="U52" s="9">
        <v>155</v>
      </c>
      <c r="V52" s="9" t="s">
        <v>106</v>
      </c>
      <c r="W52" s="9">
        <v>31</v>
      </c>
      <c r="X52" s="9">
        <v>417</v>
      </c>
      <c r="Y52" s="9" t="s">
        <v>106</v>
      </c>
      <c r="Z52" s="9" t="s">
        <v>106</v>
      </c>
      <c r="AA52" s="9" t="s">
        <v>106</v>
      </c>
      <c r="AB52" s="9" t="s">
        <v>106</v>
      </c>
      <c r="AC52" s="9" t="s">
        <v>5100</v>
      </c>
      <c r="AD52" s="9" t="s">
        <v>5100</v>
      </c>
    </row>
    <row r="53" spans="1:31">
      <c r="A53" s="9" t="s">
        <v>439</v>
      </c>
      <c r="B53" s="9" t="s">
        <v>443</v>
      </c>
      <c r="C53" s="9" t="s">
        <v>105</v>
      </c>
      <c r="D53" s="9">
        <v>4.99</v>
      </c>
      <c r="E53" s="9" t="s">
        <v>106</v>
      </c>
      <c r="F53" s="9">
        <v>209</v>
      </c>
      <c r="G53" s="9">
        <v>0.77</v>
      </c>
      <c r="H53" s="9" t="s">
        <v>106</v>
      </c>
      <c r="I53" s="9">
        <v>10</v>
      </c>
      <c r="J53" s="9" t="s">
        <v>122</v>
      </c>
      <c r="K53" s="9" t="s">
        <v>441</v>
      </c>
      <c r="L53" t="str">
        <f>IF(OR(J53="Cattle",J53="Zebu Cattle"),IF(COUNTIF(lists!$M$2:$M$258, K53) &gt; 0,"bos.indicus",IF(COUNTIF(lists!$L$2:$L$258, K53) &gt; 0,"cross.bred","pure.bred.exotic")),"NA")</f>
        <v>bos.indicus</v>
      </c>
      <c r="M53"/>
      <c r="N53"/>
      <c r="O53" s="9" t="s">
        <v>109</v>
      </c>
      <c r="P53" s="9" t="s">
        <v>442</v>
      </c>
      <c r="Q53" s="9" t="s">
        <v>3800</v>
      </c>
      <c r="R53" s="9" t="s">
        <v>3830</v>
      </c>
      <c r="S53" s="9">
        <v>94.766666666666595</v>
      </c>
      <c r="T53" s="9" t="s">
        <v>106</v>
      </c>
      <c r="U53" s="9">
        <v>156</v>
      </c>
      <c r="V53" s="9">
        <v>949.6</v>
      </c>
      <c r="W53" s="9">
        <v>28</v>
      </c>
      <c r="X53" s="9">
        <v>459</v>
      </c>
      <c r="Y53" s="9" t="s">
        <v>106</v>
      </c>
      <c r="Z53" s="9" t="s">
        <v>106</v>
      </c>
      <c r="AA53" s="9" t="s">
        <v>106</v>
      </c>
      <c r="AB53" s="9" t="s">
        <v>106</v>
      </c>
      <c r="AC53" s="9" t="s">
        <v>5100</v>
      </c>
      <c r="AD53" s="9" t="s">
        <v>5100</v>
      </c>
    </row>
    <row r="54" spans="1:31">
      <c r="A54" s="9" t="s">
        <v>439</v>
      </c>
      <c r="B54" s="9" t="s">
        <v>444</v>
      </c>
      <c r="C54" s="9" t="s">
        <v>105</v>
      </c>
      <c r="D54" s="9">
        <v>4.3499999999999996</v>
      </c>
      <c r="E54" s="9" t="s">
        <v>106</v>
      </c>
      <c r="F54" s="9">
        <v>195</v>
      </c>
      <c r="G54" s="9">
        <v>0.38</v>
      </c>
      <c r="H54" s="9" t="s">
        <v>106</v>
      </c>
      <c r="I54" s="9">
        <v>10</v>
      </c>
      <c r="J54" s="9" t="s">
        <v>122</v>
      </c>
      <c r="K54" s="9" t="s">
        <v>441</v>
      </c>
      <c r="L54" t="str">
        <f>IF(OR(J54="Cattle",J54="Zebu Cattle"),IF(COUNTIF(lists!$M$2:$M$258, K54) &gt; 0,"bos.indicus",IF(COUNTIF(lists!$L$2:$L$258, K54) &gt; 0,"cross.bred","pure.bred.exotic")),"NA")</f>
        <v>bos.indicus</v>
      </c>
      <c r="M54"/>
      <c r="N54"/>
      <c r="O54" s="9" t="s">
        <v>109</v>
      </c>
      <c r="P54" s="9" t="s">
        <v>442</v>
      </c>
      <c r="Q54" s="9" t="s">
        <v>3800</v>
      </c>
      <c r="R54" s="9" t="s">
        <v>3830</v>
      </c>
      <c r="S54" s="9" t="s">
        <v>106</v>
      </c>
      <c r="T54" s="9" t="s">
        <v>106</v>
      </c>
      <c r="U54" s="9">
        <v>152</v>
      </c>
      <c r="V54" s="9" t="s">
        <v>106</v>
      </c>
      <c r="W54" s="9">
        <v>11</v>
      </c>
      <c r="X54" s="9">
        <v>462</v>
      </c>
      <c r="Y54" s="9" t="s">
        <v>106</v>
      </c>
      <c r="Z54" s="9" t="s">
        <v>106</v>
      </c>
      <c r="AA54" s="9" t="s">
        <v>106</v>
      </c>
      <c r="AB54" s="9" t="s">
        <v>106</v>
      </c>
      <c r="AC54" s="9" t="s">
        <v>5100</v>
      </c>
      <c r="AD54" s="9" t="s">
        <v>5100</v>
      </c>
    </row>
    <row r="55" spans="1:31" s="10" customFormat="1">
      <c r="A55" s="9" t="s">
        <v>450</v>
      </c>
      <c r="B55" s="9" t="s">
        <v>451</v>
      </c>
      <c r="C55" s="9" t="s">
        <v>105</v>
      </c>
      <c r="D55" s="9">
        <v>15.9</v>
      </c>
      <c r="E55" s="9" t="s">
        <v>106</v>
      </c>
      <c r="F55" s="9" t="s">
        <v>106</v>
      </c>
      <c r="G55" s="9" t="s">
        <v>106</v>
      </c>
      <c r="H55" s="9">
        <v>14.64</v>
      </c>
      <c r="I55" s="9">
        <v>5</v>
      </c>
      <c r="J55" s="9" t="s">
        <v>122</v>
      </c>
      <c r="K55" s="9" t="s">
        <v>4801</v>
      </c>
      <c r="L55" t="str">
        <f>IF(OR(J55="Cattle",J55="Zebu Cattle"),IF(COUNTIF(lists!$M$2:$M$258, K55) &gt; 0,"bos.indicus",IF(COUNTIF(lists!$L$2:$L$258, K55) &gt; 0,"cross.bred","pure.bred.exotic")),"NA")</f>
        <v>pure.bred.exotic</v>
      </c>
      <c r="M55"/>
      <c r="N55"/>
      <c r="O55" s="9" t="s">
        <v>135</v>
      </c>
      <c r="P55" s="9" t="s">
        <v>202</v>
      </c>
      <c r="Q55" s="9" t="s">
        <v>3809</v>
      </c>
      <c r="R55" s="9" t="s">
        <v>3830</v>
      </c>
      <c r="S55" s="9">
        <v>82.8</v>
      </c>
      <c r="T55" s="9">
        <v>92.8</v>
      </c>
      <c r="U55" s="9">
        <v>118.6</v>
      </c>
      <c r="V55" s="9">
        <v>644.5</v>
      </c>
      <c r="W55" s="9">
        <v>24.5</v>
      </c>
      <c r="X55" s="9" t="s">
        <v>106</v>
      </c>
      <c r="Y55" s="9" t="s">
        <v>106</v>
      </c>
      <c r="Z55" s="9" t="s">
        <v>106</v>
      </c>
      <c r="AA55" s="9">
        <v>66.650000000000006</v>
      </c>
      <c r="AB55" s="9">
        <v>68.900000000000006</v>
      </c>
      <c r="AC55" s="9" t="s">
        <v>5100</v>
      </c>
      <c r="AD55" s="11" t="s">
        <v>5099</v>
      </c>
      <c r="AE55" s="53"/>
    </row>
    <row r="56" spans="1:31" s="10" customFormat="1">
      <c r="A56" s="9" t="s">
        <v>450</v>
      </c>
      <c r="B56" s="9" t="s">
        <v>452</v>
      </c>
      <c r="C56" s="9" t="s">
        <v>105</v>
      </c>
      <c r="D56" s="9">
        <v>16.100000000000001</v>
      </c>
      <c r="E56" s="9" t="s">
        <v>106</v>
      </c>
      <c r="F56" s="9" t="s">
        <v>106</v>
      </c>
      <c r="G56" s="9" t="s">
        <v>106</v>
      </c>
      <c r="H56" s="9">
        <v>15.94</v>
      </c>
      <c r="I56" s="9">
        <v>5</v>
      </c>
      <c r="J56" s="9" t="s">
        <v>122</v>
      </c>
      <c r="K56" s="9" t="s">
        <v>4801</v>
      </c>
      <c r="L56" t="str">
        <f>IF(OR(J56="Cattle",J56="Zebu Cattle"),IF(COUNTIF(lists!$M$2:$M$258, K56) &gt; 0,"bos.indicus",IF(COUNTIF(lists!$L$2:$L$258, K56) &gt; 0,"cross.bred","pure.bred.exotic")),"NA")</f>
        <v>pure.bred.exotic</v>
      </c>
      <c r="M56"/>
      <c r="N56"/>
      <c r="O56" s="9" t="s">
        <v>135</v>
      </c>
      <c r="P56" s="9" t="s">
        <v>202</v>
      </c>
      <c r="Q56" s="9" t="s">
        <v>3809</v>
      </c>
      <c r="R56" s="9" t="s">
        <v>3830</v>
      </c>
      <c r="S56" s="9">
        <v>83.4</v>
      </c>
      <c r="T56" s="9">
        <v>94.4</v>
      </c>
      <c r="U56" s="9">
        <v>120.7</v>
      </c>
      <c r="V56" s="9">
        <v>644</v>
      </c>
      <c r="W56" s="9">
        <v>23.799999999999901</v>
      </c>
      <c r="X56" s="9" t="s">
        <v>106</v>
      </c>
      <c r="Y56" s="9" t="s">
        <v>106</v>
      </c>
      <c r="Z56" s="9" t="s">
        <v>106</v>
      </c>
      <c r="AA56" s="9">
        <v>70.13</v>
      </c>
      <c r="AB56" s="9">
        <v>72.459999999999994</v>
      </c>
      <c r="AC56" s="9" t="s">
        <v>5100</v>
      </c>
      <c r="AD56" s="11" t="s">
        <v>5099</v>
      </c>
      <c r="AE56" s="53"/>
    </row>
    <row r="57" spans="1:31" s="10" customFormat="1">
      <c r="A57" s="9" t="s">
        <v>450</v>
      </c>
      <c r="B57" s="9" t="s">
        <v>453</v>
      </c>
      <c r="C57" s="9" t="s">
        <v>105</v>
      </c>
      <c r="D57" s="9">
        <v>15.89</v>
      </c>
      <c r="E57" s="9" t="s">
        <v>106</v>
      </c>
      <c r="F57" s="9" t="s">
        <v>106</v>
      </c>
      <c r="G57" s="9" t="s">
        <v>106</v>
      </c>
      <c r="H57" s="9">
        <v>16.3</v>
      </c>
      <c r="I57" s="9">
        <v>5</v>
      </c>
      <c r="J57" s="9" t="s">
        <v>122</v>
      </c>
      <c r="K57" s="9" t="s">
        <v>4801</v>
      </c>
      <c r="L57" t="str">
        <f>IF(OR(J57="Cattle",J57="Zebu Cattle"),IF(COUNTIF(lists!$M$2:$M$258, K57) &gt; 0,"bos.indicus",IF(COUNTIF(lists!$L$2:$L$258, K57) &gt; 0,"cross.bred","pure.bred.exotic")),"NA")</f>
        <v>pure.bred.exotic</v>
      </c>
      <c r="M57"/>
      <c r="N57"/>
      <c r="O57" s="9" t="s">
        <v>135</v>
      </c>
      <c r="P57" s="9" t="s">
        <v>202</v>
      </c>
      <c r="Q57" s="9" t="s">
        <v>3809</v>
      </c>
      <c r="R57" s="9" t="s">
        <v>3830</v>
      </c>
      <c r="S57" s="9">
        <v>86</v>
      </c>
      <c r="T57" s="9">
        <v>96</v>
      </c>
      <c r="U57" s="9">
        <v>122.8</v>
      </c>
      <c r="V57" s="9">
        <v>643.79999999999995</v>
      </c>
      <c r="W57" s="9">
        <v>23.2</v>
      </c>
      <c r="X57" s="9" t="s">
        <v>106</v>
      </c>
      <c r="Y57" s="9" t="s">
        <v>106</v>
      </c>
      <c r="Z57" s="9" t="s">
        <v>106</v>
      </c>
      <c r="AA57" s="9">
        <v>69.73</v>
      </c>
      <c r="AB57" s="9">
        <v>72.03</v>
      </c>
      <c r="AC57" s="9" t="s">
        <v>5100</v>
      </c>
      <c r="AD57" s="11" t="s">
        <v>5099</v>
      </c>
      <c r="AE57" s="53"/>
    </row>
    <row r="58" spans="1:31">
      <c r="A58" s="9" t="s">
        <v>494</v>
      </c>
      <c r="B58" s="9" t="s">
        <v>495</v>
      </c>
      <c r="C58" s="9" t="s">
        <v>105</v>
      </c>
      <c r="D58" s="9">
        <v>5.01</v>
      </c>
      <c r="E58" s="9">
        <v>0.19</v>
      </c>
      <c r="F58" s="9" t="s">
        <v>106</v>
      </c>
      <c r="G58" s="9" t="s">
        <v>106</v>
      </c>
      <c r="H58" s="9">
        <v>2.5299999999999998</v>
      </c>
      <c r="I58" s="9">
        <v>4</v>
      </c>
      <c r="J58" s="9" t="s">
        <v>122</v>
      </c>
      <c r="K58" s="9" t="s">
        <v>390</v>
      </c>
      <c r="L58" t="str">
        <f>IF(OR(J58="Cattle",J58="Zebu Cattle"),IF(COUNTIF(lists!$M$2:$M$258, K58) &gt; 0,"bos.indicus",IF(COUNTIF(lists!$L$2:$L$258, K58) &gt; 0,"cross.bred","pure.bred.exotic")),"NA")</f>
        <v>bos.indicus</v>
      </c>
      <c r="M58"/>
      <c r="N58"/>
      <c r="O58" s="9" t="s">
        <v>109</v>
      </c>
      <c r="P58" s="9" t="s">
        <v>496</v>
      </c>
      <c r="Q58" s="9" t="s">
        <v>3809</v>
      </c>
      <c r="R58" s="9" t="s">
        <v>3830</v>
      </c>
      <c r="S58" s="9" t="s">
        <v>106</v>
      </c>
      <c r="T58" s="9" t="s">
        <v>106</v>
      </c>
      <c r="U58" s="9" t="s">
        <v>106</v>
      </c>
      <c r="V58" s="9" t="s">
        <v>106</v>
      </c>
      <c r="W58" s="9" t="s">
        <v>106</v>
      </c>
      <c r="X58" s="9" t="s">
        <v>106</v>
      </c>
      <c r="Y58" s="9" t="s">
        <v>106</v>
      </c>
      <c r="Z58" s="9" t="s">
        <v>106</v>
      </c>
      <c r="AA58" s="9" t="s">
        <v>106</v>
      </c>
      <c r="AB58" s="9" t="s">
        <v>106</v>
      </c>
      <c r="AC58" s="9" t="s">
        <v>5100</v>
      </c>
      <c r="AD58" s="9" t="s">
        <v>5100</v>
      </c>
    </row>
    <row r="59" spans="1:31">
      <c r="A59" s="9" t="s">
        <v>494</v>
      </c>
      <c r="B59" s="9" t="s">
        <v>497</v>
      </c>
      <c r="C59" s="9" t="s">
        <v>105</v>
      </c>
      <c r="D59" s="9">
        <v>5.88</v>
      </c>
      <c r="E59" s="9">
        <v>0.19</v>
      </c>
      <c r="F59" s="9" t="s">
        <v>106</v>
      </c>
      <c r="G59" s="9" t="s">
        <v>106</v>
      </c>
      <c r="H59" s="9">
        <v>2.89</v>
      </c>
      <c r="I59" s="9">
        <v>4</v>
      </c>
      <c r="J59" s="9" t="s">
        <v>122</v>
      </c>
      <c r="K59" s="9" t="s">
        <v>390</v>
      </c>
      <c r="L59" t="str">
        <f>IF(OR(J59="Cattle",J59="Zebu Cattle"),IF(COUNTIF(lists!$M$2:$M$258, K59) &gt; 0,"bos.indicus",IF(COUNTIF(lists!$L$2:$L$258, K59) &gt; 0,"cross.bred","pure.bred.exotic")),"NA")</f>
        <v>bos.indicus</v>
      </c>
      <c r="M59"/>
      <c r="N59"/>
      <c r="O59" s="9" t="s">
        <v>109</v>
      </c>
      <c r="P59" s="9" t="s">
        <v>496</v>
      </c>
      <c r="Q59" s="9" t="s">
        <v>3809</v>
      </c>
      <c r="R59" s="9" t="s">
        <v>3830</v>
      </c>
      <c r="S59" s="9" t="s">
        <v>106</v>
      </c>
      <c r="T59" s="9" t="s">
        <v>106</v>
      </c>
      <c r="U59" s="9" t="s">
        <v>106</v>
      </c>
      <c r="V59" s="9" t="s">
        <v>106</v>
      </c>
      <c r="W59" s="9" t="s">
        <v>106</v>
      </c>
      <c r="X59" s="9" t="s">
        <v>106</v>
      </c>
      <c r="Y59" s="9" t="s">
        <v>106</v>
      </c>
      <c r="Z59" s="9" t="s">
        <v>106</v>
      </c>
      <c r="AA59" s="9" t="s">
        <v>106</v>
      </c>
      <c r="AB59" s="9" t="s">
        <v>106</v>
      </c>
      <c r="AC59" s="9" t="s">
        <v>5100</v>
      </c>
      <c r="AD59" s="9" t="s">
        <v>5100</v>
      </c>
    </row>
    <row r="60" spans="1:31">
      <c r="A60" s="9" t="s">
        <v>494</v>
      </c>
      <c r="B60" s="9" t="s">
        <v>498</v>
      </c>
      <c r="C60" s="9" t="s">
        <v>105</v>
      </c>
      <c r="D60" s="9">
        <v>6.91</v>
      </c>
      <c r="E60" s="9">
        <v>0.19</v>
      </c>
      <c r="F60" s="9" t="s">
        <v>106</v>
      </c>
      <c r="G60" s="9" t="s">
        <v>106</v>
      </c>
      <c r="H60" s="9">
        <v>3.45</v>
      </c>
      <c r="I60" s="9">
        <v>4</v>
      </c>
      <c r="J60" s="9" t="s">
        <v>122</v>
      </c>
      <c r="K60" s="9" t="s">
        <v>390</v>
      </c>
      <c r="L60" t="str">
        <f>IF(OR(J60="Cattle",J60="Zebu Cattle"),IF(COUNTIF(lists!$M$2:$M$258, K60) &gt; 0,"bos.indicus",IF(COUNTIF(lists!$L$2:$L$258, K60) &gt; 0,"cross.bred","pure.bred.exotic")),"NA")</f>
        <v>bos.indicus</v>
      </c>
      <c r="M60"/>
      <c r="N60"/>
      <c r="O60" s="9" t="s">
        <v>109</v>
      </c>
      <c r="P60" s="9" t="s">
        <v>496</v>
      </c>
      <c r="Q60" s="9" t="s">
        <v>3809</v>
      </c>
      <c r="R60" s="9" t="s">
        <v>3830</v>
      </c>
      <c r="S60" s="9" t="s">
        <v>106</v>
      </c>
      <c r="T60" s="9" t="s">
        <v>106</v>
      </c>
      <c r="U60" s="9" t="s">
        <v>106</v>
      </c>
      <c r="V60" s="9" t="s">
        <v>106</v>
      </c>
      <c r="W60" s="9" t="s">
        <v>106</v>
      </c>
      <c r="X60" s="9" t="s">
        <v>106</v>
      </c>
      <c r="Y60" s="9" t="s">
        <v>106</v>
      </c>
      <c r="Z60" s="9" t="s">
        <v>106</v>
      </c>
      <c r="AA60" s="9" t="s">
        <v>106</v>
      </c>
      <c r="AB60" s="9" t="s">
        <v>106</v>
      </c>
      <c r="AC60" s="9" t="s">
        <v>5100</v>
      </c>
      <c r="AD60" s="9" t="s">
        <v>5100</v>
      </c>
    </row>
    <row r="61" spans="1:31">
      <c r="A61" s="9" t="s">
        <v>546</v>
      </c>
      <c r="B61" s="9" t="s">
        <v>547</v>
      </c>
      <c r="C61" s="9" t="s">
        <v>105</v>
      </c>
      <c r="D61" s="9">
        <v>5.1607700000000003</v>
      </c>
      <c r="E61" s="9">
        <v>30.3</v>
      </c>
      <c r="F61" s="9">
        <v>116.96</v>
      </c>
      <c r="G61" s="9">
        <v>0.31</v>
      </c>
      <c r="H61" s="9" t="s">
        <v>106</v>
      </c>
      <c r="I61" s="9">
        <v>4</v>
      </c>
      <c r="J61" s="9" t="s">
        <v>122</v>
      </c>
      <c r="K61" s="9" t="s">
        <v>548</v>
      </c>
      <c r="L61" t="str">
        <f>IF(OR(J61="Cattle",J61="Zebu Cattle"),IF(COUNTIF(lists!$M$2:$M$258, K61) &gt; 0,"bos.indicus",IF(COUNTIF(lists!$L$2:$L$258, K61) &gt; 0,"cross.bred","pure.bred.exotic")),"NA")</f>
        <v>bos.indicus</v>
      </c>
      <c r="M61"/>
      <c r="N61"/>
      <c r="O61" s="9" t="s">
        <v>109</v>
      </c>
      <c r="P61" s="9" t="s">
        <v>4162</v>
      </c>
      <c r="Q61" s="9" t="s">
        <v>3804</v>
      </c>
      <c r="R61" s="9" t="s">
        <v>3830</v>
      </c>
      <c r="S61" s="9">
        <v>99.3</v>
      </c>
      <c r="T61" s="9">
        <v>92</v>
      </c>
      <c r="U61" s="9">
        <v>164</v>
      </c>
      <c r="V61" s="9" t="s">
        <v>106</v>
      </c>
      <c r="W61" s="9">
        <v>9.4</v>
      </c>
      <c r="X61" s="9">
        <v>309</v>
      </c>
      <c r="Y61" s="9" t="s">
        <v>106</v>
      </c>
      <c r="Z61" s="9" t="s">
        <v>106</v>
      </c>
      <c r="AA61" s="9" t="s">
        <v>106</v>
      </c>
      <c r="AB61" s="9" t="s">
        <v>106</v>
      </c>
      <c r="AC61" s="9" t="s">
        <v>5100</v>
      </c>
      <c r="AD61" s="9" t="s">
        <v>5100</v>
      </c>
    </row>
    <row r="62" spans="1:31">
      <c r="A62" s="9" t="s">
        <v>546</v>
      </c>
      <c r="B62" s="9" t="s">
        <v>550</v>
      </c>
      <c r="C62" s="9" t="s">
        <v>105</v>
      </c>
      <c r="D62" s="9">
        <v>5.2493499999999997</v>
      </c>
      <c r="E62" s="9">
        <v>30.3</v>
      </c>
      <c r="F62" s="9">
        <v>121.7</v>
      </c>
      <c r="G62" s="9">
        <v>0.37</v>
      </c>
      <c r="H62" s="9" t="s">
        <v>106</v>
      </c>
      <c r="I62" s="9">
        <v>4</v>
      </c>
      <c r="J62" s="9" t="s">
        <v>122</v>
      </c>
      <c r="K62" s="9" t="s">
        <v>548</v>
      </c>
      <c r="L62" t="str">
        <f>IF(OR(J62="Cattle",J62="Zebu Cattle"),IF(COUNTIF(lists!$M$2:$M$258, K62) &gt; 0,"bos.indicus",IF(COUNTIF(lists!$L$2:$L$258, K62) &gt; 0,"cross.bred","pure.bred.exotic")),"NA")</f>
        <v>bos.indicus</v>
      </c>
      <c r="M62"/>
      <c r="N62"/>
      <c r="O62" s="9" t="s">
        <v>109</v>
      </c>
      <c r="P62" s="9" t="s">
        <v>4162</v>
      </c>
      <c r="Q62" s="9" t="s">
        <v>3804</v>
      </c>
      <c r="R62" s="9" t="s">
        <v>3830</v>
      </c>
      <c r="S62" s="9">
        <v>96</v>
      </c>
      <c r="T62" s="9">
        <v>87</v>
      </c>
      <c r="U62" s="9">
        <v>171</v>
      </c>
      <c r="V62" s="9" t="s">
        <v>106</v>
      </c>
      <c r="W62" s="9">
        <v>9.6</v>
      </c>
      <c r="X62" s="9">
        <v>302</v>
      </c>
      <c r="Y62" s="9" t="s">
        <v>106</v>
      </c>
      <c r="Z62" s="9" t="s">
        <v>106</v>
      </c>
      <c r="AA62" s="9" t="s">
        <v>106</v>
      </c>
      <c r="AB62" s="9" t="s">
        <v>106</v>
      </c>
      <c r="AC62" s="9" t="s">
        <v>5100</v>
      </c>
      <c r="AD62" s="9" t="s">
        <v>5100</v>
      </c>
    </row>
    <row r="63" spans="1:31">
      <c r="A63" s="9" t="s">
        <v>546</v>
      </c>
      <c r="B63" s="9" t="s">
        <v>551</v>
      </c>
      <c r="C63" s="9" t="s">
        <v>105</v>
      </c>
      <c r="D63" s="9">
        <v>5.4406999999999996</v>
      </c>
      <c r="E63" s="9">
        <v>30.3</v>
      </c>
      <c r="F63" s="9">
        <v>119.75</v>
      </c>
      <c r="G63" s="9">
        <v>0.36</v>
      </c>
      <c r="H63" s="9" t="s">
        <v>106</v>
      </c>
      <c r="I63" s="9">
        <v>4</v>
      </c>
      <c r="J63" s="9" t="s">
        <v>122</v>
      </c>
      <c r="K63" s="9" t="s">
        <v>548</v>
      </c>
      <c r="L63" t="str">
        <f>IF(OR(J63="Cattle",J63="Zebu Cattle"),IF(COUNTIF(lists!$M$2:$M$258, K63) &gt; 0,"bos.indicus",IF(COUNTIF(lists!$L$2:$L$258, K63) &gt; 0,"cross.bred","pure.bred.exotic")),"NA")</f>
        <v>bos.indicus</v>
      </c>
      <c r="M63"/>
      <c r="N63"/>
      <c r="O63" s="9" t="s">
        <v>109</v>
      </c>
      <c r="P63" s="9" t="s">
        <v>4162</v>
      </c>
      <c r="Q63" s="9" t="s">
        <v>3804</v>
      </c>
      <c r="R63" s="9" t="s">
        <v>3830</v>
      </c>
      <c r="S63" s="9">
        <v>88.9</v>
      </c>
      <c r="T63" s="9">
        <v>84</v>
      </c>
      <c r="U63" s="9">
        <v>172</v>
      </c>
      <c r="V63" s="9" t="s">
        <v>106</v>
      </c>
      <c r="W63" s="9">
        <v>10.199999999999999</v>
      </c>
      <c r="X63" s="9">
        <v>302</v>
      </c>
      <c r="Y63" s="9" t="s">
        <v>106</v>
      </c>
      <c r="Z63" s="9" t="s">
        <v>106</v>
      </c>
      <c r="AA63" s="9" t="s">
        <v>106</v>
      </c>
      <c r="AB63" s="9" t="s">
        <v>106</v>
      </c>
      <c r="AC63" s="9" t="s">
        <v>5100</v>
      </c>
      <c r="AD63" s="9" t="s">
        <v>5100</v>
      </c>
    </row>
    <row r="64" spans="1:31">
      <c r="A64" s="9" t="s">
        <v>546</v>
      </c>
      <c r="B64" s="9" t="s">
        <v>552</v>
      </c>
      <c r="C64" s="9" t="s">
        <v>105</v>
      </c>
      <c r="D64" s="9">
        <v>5.5249600000000001</v>
      </c>
      <c r="E64" s="9">
        <v>30.3</v>
      </c>
      <c r="F64" s="9">
        <v>119.9</v>
      </c>
      <c r="G64" s="9">
        <v>0.36</v>
      </c>
      <c r="H64" s="9" t="s">
        <v>106</v>
      </c>
      <c r="I64" s="9">
        <v>4</v>
      </c>
      <c r="J64" s="9" t="s">
        <v>122</v>
      </c>
      <c r="K64" s="9" t="s">
        <v>548</v>
      </c>
      <c r="L64" t="str">
        <f>IF(OR(J64="Cattle",J64="Zebu Cattle"),IF(COUNTIF(lists!$M$2:$M$258, K64) &gt; 0,"bos.indicus",IF(COUNTIF(lists!$L$2:$L$258, K64) &gt; 0,"cross.bred","pure.bred.exotic")),"NA")</f>
        <v>bos.indicus</v>
      </c>
      <c r="M64"/>
      <c r="N64"/>
      <c r="O64" s="9" t="s">
        <v>109</v>
      </c>
      <c r="P64" s="9" t="s">
        <v>4162</v>
      </c>
      <c r="Q64" s="9" t="s">
        <v>3804</v>
      </c>
      <c r="R64" s="9" t="s">
        <v>3830</v>
      </c>
      <c r="S64" s="9">
        <v>85.3</v>
      </c>
      <c r="T64" s="9">
        <v>81</v>
      </c>
      <c r="U64" s="9">
        <v>173</v>
      </c>
      <c r="V64" s="9" t="s">
        <v>106</v>
      </c>
      <c r="W64" s="9">
        <v>10.4</v>
      </c>
      <c r="X64" s="9">
        <v>301</v>
      </c>
      <c r="Y64" s="9" t="s">
        <v>106</v>
      </c>
      <c r="Z64" s="9" t="s">
        <v>106</v>
      </c>
      <c r="AA64" s="9" t="s">
        <v>106</v>
      </c>
      <c r="AB64" s="9" t="s">
        <v>106</v>
      </c>
      <c r="AC64" s="9" t="s">
        <v>5100</v>
      </c>
      <c r="AD64" s="9" t="s">
        <v>5100</v>
      </c>
    </row>
    <row r="65" spans="1:30">
      <c r="A65" s="9" t="s">
        <v>628</v>
      </c>
      <c r="B65" s="9" t="s">
        <v>587</v>
      </c>
      <c r="C65" s="9" t="s">
        <v>105</v>
      </c>
      <c r="D65" s="9">
        <v>8.23</v>
      </c>
      <c r="E65" s="9">
        <v>0.23300000000000001</v>
      </c>
      <c r="F65" s="9" t="s">
        <v>106</v>
      </c>
      <c r="G65" s="9" t="s">
        <v>106</v>
      </c>
      <c r="H65" s="9">
        <v>6.58</v>
      </c>
      <c r="I65" s="9">
        <v>4</v>
      </c>
      <c r="J65" s="9" t="s">
        <v>122</v>
      </c>
      <c r="K65" s="9" t="s">
        <v>223</v>
      </c>
      <c r="L65" t="str">
        <f>IF(OR(J65="Cattle",J65="Zebu Cattle"),IF(COUNTIF(lists!$M$2:$M$258, K65) &gt; 0,"bos.indicus",IF(COUNTIF(lists!$L$2:$L$258, K65) &gt; 0,"cross.bred","pure.bred.exotic")),"NA")</f>
        <v>cross.bred</v>
      </c>
      <c r="M65"/>
      <c r="N65"/>
      <c r="O65" s="9" t="s">
        <v>124</v>
      </c>
      <c r="P65" s="9" t="s">
        <v>202</v>
      </c>
      <c r="Q65" s="9" t="s">
        <v>3809</v>
      </c>
      <c r="R65" s="9" t="s">
        <v>3830</v>
      </c>
      <c r="S65" s="9">
        <v>357.8</v>
      </c>
      <c r="T65" s="9">
        <v>92.7</v>
      </c>
      <c r="U65" s="9">
        <v>112.6</v>
      </c>
      <c r="V65" s="9">
        <v>914.9</v>
      </c>
      <c r="W65" s="9" t="s">
        <v>106</v>
      </c>
      <c r="X65" s="9">
        <v>574.29999999999995</v>
      </c>
      <c r="Y65" s="9" t="s">
        <v>106</v>
      </c>
      <c r="Z65" s="9">
        <v>130.69999999999999</v>
      </c>
      <c r="AA65" s="9" t="s">
        <v>106</v>
      </c>
      <c r="AB65" s="9">
        <v>56.7</v>
      </c>
      <c r="AC65" s="9" t="s">
        <v>5100</v>
      </c>
      <c r="AD65" s="9" t="s">
        <v>5100</v>
      </c>
    </row>
    <row r="66" spans="1:30">
      <c r="A66" s="9" t="s">
        <v>628</v>
      </c>
      <c r="B66" s="9" t="s">
        <v>629</v>
      </c>
      <c r="C66" s="9" t="s">
        <v>105</v>
      </c>
      <c r="D66" s="9">
        <v>8.09</v>
      </c>
      <c r="E66" s="9">
        <v>0.23300000000000001</v>
      </c>
      <c r="F66" s="9" t="s">
        <v>106</v>
      </c>
      <c r="G66" s="9" t="s">
        <v>106</v>
      </c>
      <c r="H66" s="9">
        <v>6.38</v>
      </c>
      <c r="I66" s="9">
        <v>4</v>
      </c>
      <c r="J66" s="9" t="s">
        <v>122</v>
      </c>
      <c r="K66" s="9" t="s">
        <v>223</v>
      </c>
      <c r="L66" t="str">
        <f>IF(OR(J66="Cattle",J66="Zebu Cattle"),IF(COUNTIF(lists!$M$2:$M$258, K66) &gt; 0,"bos.indicus",IF(COUNTIF(lists!$L$2:$L$258, K66) &gt; 0,"cross.bred","pure.bred.exotic")),"NA")</f>
        <v>cross.bred</v>
      </c>
      <c r="M66"/>
      <c r="N66"/>
      <c r="O66" s="9" t="s">
        <v>124</v>
      </c>
      <c r="P66" s="9" t="s">
        <v>202</v>
      </c>
      <c r="Q66" s="9" t="s">
        <v>3809</v>
      </c>
      <c r="R66" s="9" t="s">
        <v>3830</v>
      </c>
      <c r="S66" s="9">
        <v>338.2</v>
      </c>
      <c r="T66" s="9">
        <v>90</v>
      </c>
      <c r="U66" s="9">
        <v>107.1</v>
      </c>
      <c r="V66" s="9">
        <v>918.5</v>
      </c>
      <c r="W66" s="9" t="s">
        <v>106</v>
      </c>
      <c r="X66" s="9">
        <v>566.4</v>
      </c>
      <c r="Y66" s="9" t="s">
        <v>106</v>
      </c>
      <c r="Z66" s="9">
        <v>131</v>
      </c>
      <c r="AA66" s="9" t="s">
        <v>106</v>
      </c>
      <c r="AB66" s="9">
        <v>58.8</v>
      </c>
      <c r="AC66" s="9" t="s">
        <v>5100</v>
      </c>
      <c r="AD66" s="9" t="s">
        <v>5100</v>
      </c>
    </row>
    <row r="67" spans="1:30">
      <c r="A67" s="9" t="s">
        <v>628</v>
      </c>
      <c r="B67" s="9" t="s">
        <v>630</v>
      </c>
      <c r="C67" s="9" t="s">
        <v>105</v>
      </c>
      <c r="D67" s="9">
        <v>9.5</v>
      </c>
      <c r="E67" s="9">
        <v>0.23300000000000001</v>
      </c>
      <c r="F67" s="9" t="s">
        <v>106</v>
      </c>
      <c r="G67" s="9" t="s">
        <v>106</v>
      </c>
      <c r="H67" s="9">
        <v>8.1</v>
      </c>
      <c r="I67" s="9">
        <v>4</v>
      </c>
      <c r="J67" s="9" t="s">
        <v>122</v>
      </c>
      <c r="K67" s="9" t="s">
        <v>223</v>
      </c>
      <c r="L67" t="str">
        <f>IF(OR(J67="Cattle",J67="Zebu Cattle"),IF(COUNTIF(lists!$M$2:$M$258, K67) &gt; 0,"bos.indicus",IF(COUNTIF(lists!$L$2:$L$258, K67) &gt; 0,"cross.bred","pure.bred.exotic")),"NA")</f>
        <v>cross.bred</v>
      </c>
      <c r="M67"/>
      <c r="N67"/>
      <c r="O67" s="9" t="s">
        <v>124</v>
      </c>
      <c r="P67" s="9" t="s">
        <v>202</v>
      </c>
      <c r="Q67" s="9" t="s">
        <v>3809</v>
      </c>
      <c r="R67" s="9" t="s">
        <v>3830</v>
      </c>
      <c r="S67" s="9">
        <v>351.7</v>
      </c>
      <c r="T67" s="9">
        <v>88.7</v>
      </c>
      <c r="U67" s="9">
        <v>120</v>
      </c>
      <c r="V67" s="9">
        <v>800.9</v>
      </c>
      <c r="W67" s="9" t="s">
        <v>106</v>
      </c>
      <c r="X67" s="9">
        <v>538.79999999999995</v>
      </c>
      <c r="Y67" s="9" t="s">
        <v>106</v>
      </c>
      <c r="Z67" s="9">
        <v>127.1</v>
      </c>
      <c r="AA67" s="9" t="s">
        <v>106</v>
      </c>
      <c r="AB67" s="9">
        <v>63.2</v>
      </c>
      <c r="AC67" s="9" t="s">
        <v>5100</v>
      </c>
      <c r="AD67" s="9" t="s">
        <v>5100</v>
      </c>
    </row>
    <row r="68" spans="1:30">
      <c r="A68" s="9" t="s">
        <v>628</v>
      </c>
      <c r="B68" s="9" t="s">
        <v>631</v>
      </c>
      <c r="C68" s="9" t="s">
        <v>105</v>
      </c>
      <c r="D68" s="9">
        <v>10.15</v>
      </c>
      <c r="E68" s="9">
        <v>0.23300000000000001</v>
      </c>
      <c r="F68" s="9" t="s">
        <v>106</v>
      </c>
      <c r="G68" s="9" t="s">
        <v>106</v>
      </c>
      <c r="H68" s="9">
        <v>7.9</v>
      </c>
      <c r="I68" s="9">
        <v>4</v>
      </c>
      <c r="J68" s="9" t="s">
        <v>122</v>
      </c>
      <c r="K68" s="9" t="s">
        <v>223</v>
      </c>
      <c r="L68" t="str">
        <f>IF(OR(J68="Cattle",J68="Zebu Cattle"),IF(COUNTIF(lists!$M$2:$M$258, K68) &gt; 0,"bos.indicus",IF(COUNTIF(lists!$L$2:$L$258, K68) &gt; 0,"cross.bred","pure.bred.exotic")),"NA")</f>
        <v>cross.bred</v>
      </c>
      <c r="M68"/>
      <c r="N68"/>
      <c r="O68" s="9" t="s">
        <v>124</v>
      </c>
      <c r="P68" s="9" t="s">
        <v>202</v>
      </c>
      <c r="Q68" s="9" t="s">
        <v>3809</v>
      </c>
      <c r="R68" s="9" t="s">
        <v>3830</v>
      </c>
      <c r="S68" s="9">
        <v>323.2</v>
      </c>
      <c r="T68" s="9">
        <v>86.1</v>
      </c>
      <c r="U68" s="9">
        <v>140.9</v>
      </c>
      <c r="V68" s="9">
        <v>791.7</v>
      </c>
      <c r="W68" s="9" t="s">
        <v>106</v>
      </c>
      <c r="X68" s="9">
        <v>557.29999999999995</v>
      </c>
      <c r="Y68" s="9" t="s">
        <v>106</v>
      </c>
      <c r="Z68" s="9">
        <v>122.7</v>
      </c>
      <c r="AA68" s="9" t="s">
        <v>106</v>
      </c>
      <c r="AB68" s="9">
        <v>63.6</v>
      </c>
      <c r="AC68" s="9" t="s">
        <v>5100</v>
      </c>
      <c r="AD68" s="9" t="s">
        <v>5100</v>
      </c>
    </row>
    <row r="69" spans="1:30">
      <c r="A69" s="9" t="s">
        <v>637</v>
      </c>
      <c r="B69" s="9" t="s">
        <v>455</v>
      </c>
      <c r="C69" s="9" t="s">
        <v>105</v>
      </c>
      <c r="D69" s="9">
        <v>17.32</v>
      </c>
      <c r="E69" s="9" t="s">
        <v>106</v>
      </c>
      <c r="F69" s="9" t="s">
        <v>106</v>
      </c>
      <c r="G69" s="9" t="s">
        <v>106</v>
      </c>
      <c r="H69" s="9" t="s">
        <v>106</v>
      </c>
      <c r="J69" s="9" t="s">
        <v>122</v>
      </c>
      <c r="K69" s="9" t="s">
        <v>4801</v>
      </c>
      <c r="L69" t="str">
        <f>IF(OR(J69="Cattle",J69="Zebu Cattle"),IF(COUNTIF(lists!$M$2:$M$258, K69) &gt; 0,"bos.indicus",IF(COUNTIF(lists!$L$2:$L$258, K69) &gt; 0,"cross.bred","pure.bred.exotic")),"NA")</f>
        <v>pure.bred.exotic</v>
      </c>
      <c r="M69"/>
      <c r="N69"/>
      <c r="O69" s="9" t="s">
        <v>135</v>
      </c>
      <c r="P69" s="9" t="s">
        <v>202</v>
      </c>
      <c r="Q69" s="9" t="s">
        <v>3809</v>
      </c>
      <c r="R69" s="9" t="s">
        <v>3830</v>
      </c>
      <c r="S69" s="9">
        <v>354.099999999999</v>
      </c>
      <c r="T69" s="9">
        <v>106.3</v>
      </c>
      <c r="U69" s="9">
        <v>103.2</v>
      </c>
      <c r="V69" s="9">
        <v>674.7</v>
      </c>
      <c r="W69" s="9">
        <v>22.799999999999901</v>
      </c>
      <c r="X69" s="9">
        <v>506</v>
      </c>
      <c r="Y69" s="9">
        <v>71.23</v>
      </c>
      <c r="Z69" s="9" t="s">
        <v>106</v>
      </c>
      <c r="AA69" s="9" t="s">
        <v>106</v>
      </c>
      <c r="AB69" s="9" t="s">
        <v>106</v>
      </c>
      <c r="AC69" s="9" t="s">
        <v>5100</v>
      </c>
      <c r="AD69" s="9" t="s">
        <v>5100</v>
      </c>
    </row>
    <row r="70" spans="1:30">
      <c r="A70" s="9" t="s">
        <v>637</v>
      </c>
      <c r="B70" s="9" t="s">
        <v>638</v>
      </c>
      <c r="C70" s="9" t="s">
        <v>105</v>
      </c>
      <c r="D70" s="9">
        <v>16.39</v>
      </c>
      <c r="E70" s="9" t="s">
        <v>106</v>
      </c>
      <c r="F70" s="9" t="s">
        <v>106</v>
      </c>
      <c r="G70" s="9" t="s">
        <v>106</v>
      </c>
      <c r="H70" s="9" t="s">
        <v>106</v>
      </c>
      <c r="J70" s="9" t="s">
        <v>122</v>
      </c>
      <c r="K70" s="9" t="s">
        <v>4801</v>
      </c>
      <c r="L70" t="str">
        <f>IF(OR(J70="Cattle",J70="Zebu Cattle"),IF(COUNTIF(lists!$M$2:$M$258, K70) &gt; 0,"bos.indicus",IF(COUNTIF(lists!$L$2:$L$258, K70) &gt; 0,"cross.bred","pure.bred.exotic")),"NA")</f>
        <v>pure.bred.exotic</v>
      </c>
      <c r="M70"/>
      <c r="N70"/>
      <c r="O70" s="9" t="s">
        <v>135</v>
      </c>
      <c r="P70" s="9" t="s">
        <v>202</v>
      </c>
      <c r="Q70" s="9" t="s">
        <v>3809</v>
      </c>
      <c r="R70" s="9" t="s">
        <v>3830</v>
      </c>
      <c r="S70" s="9">
        <v>346</v>
      </c>
      <c r="T70" s="9">
        <v>104.6</v>
      </c>
      <c r="U70" s="9">
        <v>112.2</v>
      </c>
      <c r="V70" s="9">
        <v>664.599999999999</v>
      </c>
      <c r="W70" s="9">
        <v>22.3</v>
      </c>
      <c r="X70" s="9">
        <v>497.4</v>
      </c>
      <c r="Y70" s="9">
        <v>69.959999999999994</v>
      </c>
      <c r="Z70" s="9" t="s">
        <v>106</v>
      </c>
      <c r="AA70" s="9" t="s">
        <v>106</v>
      </c>
      <c r="AB70" s="9" t="s">
        <v>106</v>
      </c>
      <c r="AC70" s="9" t="s">
        <v>5100</v>
      </c>
      <c r="AD70" s="9" t="s">
        <v>5100</v>
      </c>
    </row>
    <row r="71" spans="1:30">
      <c r="A71" s="9" t="s">
        <v>637</v>
      </c>
      <c r="B71" s="9" t="s">
        <v>639</v>
      </c>
      <c r="C71" s="9" t="s">
        <v>105</v>
      </c>
      <c r="D71" s="9">
        <v>17.28</v>
      </c>
      <c r="E71" s="9" t="s">
        <v>106</v>
      </c>
      <c r="F71" s="9" t="s">
        <v>106</v>
      </c>
      <c r="G71" s="9" t="s">
        <v>106</v>
      </c>
      <c r="H71" s="9" t="s">
        <v>106</v>
      </c>
      <c r="J71" s="9" t="s">
        <v>122</v>
      </c>
      <c r="K71" s="9" t="s">
        <v>4801</v>
      </c>
      <c r="L71" t="str">
        <f>IF(OR(J71="Cattle",J71="Zebu Cattle"),IF(COUNTIF(lists!$M$2:$M$258, K71) &gt; 0,"bos.indicus",IF(COUNTIF(lists!$L$2:$L$258, K71) &gt; 0,"cross.bred","pure.bred.exotic")),"NA")</f>
        <v>pure.bred.exotic</v>
      </c>
      <c r="M71"/>
      <c r="N71"/>
      <c r="O71" s="9" t="s">
        <v>135</v>
      </c>
      <c r="P71" s="9" t="s">
        <v>202</v>
      </c>
      <c r="Q71" s="9" t="s">
        <v>3809</v>
      </c>
      <c r="R71" s="9" t="s">
        <v>3830</v>
      </c>
      <c r="S71" s="9">
        <v>346.9</v>
      </c>
      <c r="T71" s="9">
        <v>105.3</v>
      </c>
      <c r="U71" s="9">
        <v>115</v>
      </c>
      <c r="V71" s="9">
        <v>671</v>
      </c>
      <c r="W71" s="9">
        <v>20.9</v>
      </c>
      <c r="X71" s="9">
        <v>498.8</v>
      </c>
      <c r="Y71" s="9">
        <v>69.790000000000006</v>
      </c>
      <c r="Z71" s="9" t="s">
        <v>106</v>
      </c>
      <c r="AA71" s="9" t="s">
        <v>106</v>
      </c>
      <c r="AB71" s="9" t="s">
        <v>106</v>
      </c>
      <c r="AC71" s="9" t="s">
        <v>5100</v>
      </c>
      <c r="AD71" s="9" t="s">
        <v>5100</v>
      </c>
    </row>
    <row r="72" spans="1:30">
      <c r="A72" s="9" t="s">
        <v>637</v>
      </c>
      <c r="B72" s="9" t="s">
        <v>640</v>
      </c>
      <c r="C72" s="9" t="s">
        <v>105</v>
      </c>
      <c r="D72" s="9">
        <v>16.61</v>
      </c>
      <c r="E72" s="9" t="s">
        <v>106</v>
      </c>
      <c r="F72" s="9" t="s">
        <v>106</v>
      </c>
      <c r="G72" s="9" t="s">
        <v>106</v>
      </c>
      <c r="H72" s="9" t="s">
        <v>106</v>
      </c>
      <c r="J72" s="9" t="s">
        <v>122</v>
      </c>
      <c r="K72" s="9" t="s">
        <v>4801</v>
      </c>
      <c r="L72" t="str">
        <f>IF(OR(J72="Cattle",J72="Zebu Cattle"),IF(COUNTIF(lists!$M$2:$M$258, K72) &gt; 0,"bos.indicus",IF(COUNTIF(lists!$L$2:$L$258, K72) &gt; 0,"cross.bred","pure.bred.exotic")),"NA")</f>
        <v>pure.bred.exotic</v>
      </c>
      <c r="M72"/>
      <c r="N72"/>
      <c r="O72" s="9" t="s">
        <v>135</v>
      </c>
      <c r="P72" s="9" t="s">
        <v>202</v>
      </c>
      <c r="Q72" s="9" t="s">
        <v>3809</v>
      </c>
      <c r="R72" s="9" t="s">
        <v>3830</v>
      </c>
      <c r="S72" s="9">
        <v>345.6</v>
      </c>
      <c r="T72" s="9">
        <v>105.6</v>
      </c>
      <c r="U72" s="9">
        <v>118.5</v>
      </c>
      <c r="V72" s="9">
        <v>673.4</v>
      </c>
      <c r="W72" s="9">
        <v>20.2</v>
      </c>
      <c r="X72" s="9">
        <v>495.2</v>
      </c>
      <c r="Y72" s="9">
        <v>69.209999999999994</v>
      </c>
      <c r="Z72" s="9" t="s">
        <v>106</v>
      </c>
      <c r="AA72" s="9" t="s">
        <v>106</v>
      </c>
      <c r="AB72" s="9" t="s">
        <v>106</v>
      </c>
      <c r="AC72" s="9" t="s">
        <v>5100</v>
      </c>
      <c r="AD72" s="9" t="s">
        <v>5100</v>
      </c>
    </row>
    <row r="73" spans="1:30">
      <c r="A73" s="9" t="s">
        <v>649</v>
      </c>
      <c r="B73" s="9" t="s">
        <v>650</v>
      </c>
      <c r="C73" s="9" t="s">
        <v>105</v>
      </c>
      <c r="D73" s="9">
        <v>4.99</v>
      </c>
      <c r="E73" s="9">
        <v>0.08</v>
      </c>
      <c r="F73" s="9">
        <v>188.4</v>
      </c>
      <c r="G73" s="9">
        <v>0.51</v>
      </c>
      <c r="H73" s="9" t="s">
        <v>106</v>
      </c>
      <c r="I73" s="9">
        <v>5</v>
      </c>
      <c r="J73" s="9" t="s">
        <v>122</v>
      </c>
      <c r="K73" s="9" t="s">
        <v>651</v>
      </c>
      <c r="L73" t="str">
        <f>IF(OR(J73="Cattle",J73="Zebu Cattle"),IF(COUNTIF(lists!$M$2:$M$258, K73) &gt; 0,"bos.indicus",IF(COUNTIF(lists!$L$2:$L$258, K73) &gt; 0,"cross.bred","pure.bred.exotic")),"NA")</f>
        <v>cross.bred</v>
      </c>
      <c r="M73"/>
      <c r="N73"/>
      <c r="O73" s="9" t="s">
        <v>124</v>
      </c>
      <c r="P73" s="9" t="s">
        <v>652</v>
      </c>
      <c r="Q73" s="9" t="s">
        <v>3805</v>
      </c>
      <c r="R73" s="9" t="s">
        <v>3830</v>
      </c>
      <c r="S73" s="9">
        <v>469.16</v>
      </c>
      <c r="T73" s="9">
        <v>56.9</v>
      </c>
      <c r="U73" s="9">
        <v>82.37</v>
      </c>
      <c r="V73" s="9">
        <v>900.95</v>
      </c>
      <c r="W73" s="9">
        <v>106.09</v>
      </c>
      <c r="X73" s="9">
        <v>639.73</v>
      </c>
      <c r="Y73" s="9" t="s">
        <v>106</v>
      </c>
      <c r="Z73" s="9" t="s">
        <v>106</v>
      </c>
      <c r="AA73" s="9" t="s">
        <v>106</v>
      </c>
      <c r="AB73" s="9" t="s">
        <v>106</v>
      </c>
      <c r="AC73" s="9" t="s">
        <v>5100</v>
      </c>
      <c r="AD73" s="9" t="s">
        <v>5100</v>
      </c>
    </row>
    <row r="74" spans="1:30">
      <c r="A74" s="9" t="s">
        <v>649</v>
      </c>
      <c r="B74" s="9" t="s">
        <v>653</v>
      </c>
      <c r="C74" s="9" t="s">
        <v>105</v>
      </c>
      <c r="D74" s="9">
        <v>5.09</v>
      </c>
      <c r="E74" s="9">
        <v>0.08</v>
      </c>
      <c r="F74" s="9">
        <v>188.1</v>
      </c>
      <c r="G74" s="9">
        <v>0.42</v>
      </c>
      <c r="H74" s="9" t="s">
        <v>106</v>
      </c>
      <c r="I74" s="9">
        <v>5</v>
      </c>
      <c r="J74" s="9" t="s">
        <v>122</v>
      </c>
      <c r="K74" s="9" t="s">
        <v>651</v>
      </c>
      <c r="L74" t="str">
        <f>IF(OR(J74="Cattle",J74="Zebu Cattle"),IF(COUNTIF(lists!$M$2:$M$258, K74) &gt; 0,"bos.indicus",IF(COUNTIF(lists!$L$2:$L$258, K74) &gt; 0,"cross.bred","pure.bred.exotic")),"NA")</f>
        <v>cross.bred</v>
      </c>
      <c r="M74"/>
      <c r="N74"/>
      <c r="O74" s="9" t="s">
        <v>124</v>
      </c>
      <c r="P74" s="9" t="s">
        <v>652</v>
      </c>
      <c r="Q74" s="9" t="s">
        <v>3805</v>
      </c>
      <c r="R74" s="9" t="s">
        <v>3830</v>
      </c>
      <c r="S74" s="9">
        <v>449.26</v>
      </c>
      <c r="T74" s="9">
        <v>69.11</v>
      </c>
      <c r="U74" s="9">
        <v>88.44</v>
      </c>
      <c r="V74" s="9">
        <v>940.07</v>
      </c>
      <c r="W74" s="9">
        <v>98.09</v>
      </c>
      <c r="X74" s="9">
        <v>636.78</v>
      </c>
      <c r="Y74" s="9" t="s">
        <v>106</v>
      </c>
      <c r="Z74" s="9" t="s">
        <v>106</v>
      </c>
      <c r="AA74" s="9" t="s">
        <v>106</v>
      </c>
      <c r="AB74" s="9" t="s">
        <v>106</v>
      </c>
      <c r="AC74" s="9" t="s">
        <v>5100</v>
      </c>
      <c r="AD74" s="9" t="s">
        <v>5100</v>
      </c>
    </row>
    <row r="75" spans="1:30">
      <c r="A75" s="9" t="s">
        <v>649</v>
      </c>
      <c r="B75" s="9" t="s">
        <v>654</v>
      </c>
      <c r="C75" s="9" t="s">
        <v>105</v>
      </c>
      <c r="D75" s="9">
        <v>4.54</v>
      </c>
      <c r="E75" s="9">
        <v>0.08</v>
      </c>
      <c r="F75" s="9">
        <v>182.9</v>
      </c>
      <c r="G75" s="9">
        <v>0.3</v>
      </c>
      <c r="H75" s="9" t="s">
        <v>106</v>
      </c>
      <c r="I75" s="9">
        <v>5</v>
      </c>
      <c r="J75" s="9" t="s">
        <v>122</v>
      </c>
      <c r="K75" s="9" t="s">
        <v>651</v>
      </c>
      <c r="L75" t="str">
        <f>IF(OR(J75="Cattle",J75="Zebu Cattle"),IF(COUNTIF(lists!$M$2:$M$258, K75) &gt; 0,"bos.indicus",IF(COUNTIF(lists!$L$2:$L$258, K75) &gt; 0,"cross.bred","pure.bred.exotic")),"NA")</f>
        <v>cross.bred</v>
      </c>
      <c r="M75"/>
      <c r="N75"/>
      <c r="O75" s="9" t="s">
        <v>124</v>
      </c>
      <c r="P75" s="9" t="s">
        <v>652</v>
      </c>
      <c r="Q75" s="9" t="s">
        <v>3805</v>
      </c>
      <c r="R75" s="9" t="s">
        <v>3830</v>
      </c>
      <c r="S75" s="9">
        <v>473.31</v>
      </c>
      <c r="T75" s="9">
        <v>77.25</v>
      </c>
      <c r="U75" s="9">
        <v>86.22</v>
      </c>
      <c r="V75" s="9">
        <v>925.79</v>
      </c>
      <c r="W75" s="9">
        <v>80.95</v>
      </c>
      <c r="X75" s="9">
        <v>658.46</v>
      </c>
      <c r="Y75" s="9" t="s">
        <v>106</v>
      </c>
      <c r="Z75" s="9" t="s">
        <v>106</v>
      </c>
      <c r="AA75" s="9" t="s">
        <v>106</v>
      </c>
      <c r="AB75" s="9" t="s">
        <v>106</v>
      </c>
      <c r="AC75" s="9" t="s">
        <v>5100</v>
      </c>
      <c r="AD75" s="9" t="s">
        <v>5100</v>
      </c>
    </row>
    <row r="76" spans="1:30">
      <c r="A76" s="9" t="s">
        <v>649</v>
      </c>
      <c r="B76" s="9" t="s">
        <v>655</v>
      </c>
      <c r="C76" s="9" t="s">
        <v>105</v>
      </c>
      <c r="D76" s="9">
        <v>4.42</v>
      </c>
      <c r="E76" s="9">
        <v>0.08</v>
      </c>
      <c r="F76" s="9">
        <v>180.5</v>
      </c>
      <c r="G76" s="9">
        <v>0.3</v>
      </c>
      <c r="H76" s="9" t="s">
        <v>106</v>
      </c>
      <c r="I76" s="9">
        <v>5</v>
      </c>
      <c r="J76" s="9" t="s">
        <v>122</v>
      </c>
      <c r="K76" s="9" t="s">
        <v>651</v>
      </c>
      <c r="L76" t="str">
        <f>IF(OR(J76="Cattle",J76="Zebu Cattle"),IF(COUNTIF(lists!$M$2:$M$258, K76) &gt; 0,"bos.indicus",IF(COUNTIF(lists!$L$2:$L$258, K76) &gt; 0,"cross.bred","pure.bred.exotic")),"NA")</f>
        <v>cross.bred</v>
      </c>
      <c r="M76"/>
      <c r="N76"/>
      <c r="O76" s="9" t="s">
        <v>124</v>
      </c>
      <c r="P76" s="9" t="s">
        <v>652</v>
      </c>
      <c r="Q76" s="9" t="s">
        <v>3805</v>
      </c>
      <c r="R76" s="9" t="s">
        <v>3830</v>
      </c>
      <c r="S76" s="9">
        <v>457.71</v>
      </c>
      <c r="T76" s="9">
        <v>106.9</v>
      </c>
      <c r="U76" s="9">
        <v>86.62</v>
      </c>
      <c r="V76" s="9">
        <v>932.29</v>
      </c>
      <c r="W76" s="9">
        <v>106.58</v>
      </c>
      <c r="X76" s="9">
        <v>649.84</v>
      </c>
      <c r="Y76" s="9" t="s">
        <v>106</v>
      </c>
      <c r="Z76" s="9" t="s">
        <v>106</v>
      </c>
      <c r="AA76" s="9" t="s">
        <v>106</v>
      </c>
      <c r="AB76" s="9" t="s">
        <v>106</v>
      </c>
      <c r="AC76" s="9" t="s">
        <v>5100</v>
      </c>
      <c r="AD76" s="9" t="s">
        <v>5100</v>
      </c>
    </row>
    <row r="77" spans="1:30">
      <c r="A77" s="9" t="s">
        <v>659</v>
      </c>
      <c r="B77" s="9" t="s">
        <v>642</v>
      </c>
      <c r="C77" s="9" t="s">
        <v>105</v>
      </c>
      <c r="D77" s="9">
        <v>6.93</v>
      </c>
      <c r="E77" s="9">
        <v>0.02</v>
      </c>
      <c r="F77" s="9">
        <v>219.7</v>
      </c>
      <c r="G77" s="9">
        <v>0.5</v>
      </c>
      <c r="H77" s="9" t="s">
        <v>106</v>
      </c>
      <c r="I77" s="9">
        <v>5</v>
      </c>
      <c r="J77" s="9" t="s">
        <v>122</v>
      </c>
      <c r="K77" s="9" t="s">
        <v>237</v>
      </c>
      <c r="L77" t="str">
        <f>IF(OR(J77="Cattle",J77="Zebu Cattle"),IF(COUNTIF(lists!$M$2:$M$258, K77) &gt; 0,"bos.indicus",IF(COUNTIF(lists!$L$2:$L$258, K77) &gt; 0,"cross.bred","pure.bred.exotic")),"NA")</f>
        <v>bos.indicus</v>
      </c>
      <c r="M77"/>
      <c r="N77"/>
      <c r="O77" s="9" t="s">
        <v>109</v>
      </c>
      <c r="P77" s="9" t="s">
        <v>110</v>
      </c>
      <c r="Q77" s="9" t="s">
        <v>3800</v>
      </c>
      <c r="R77" s="9" t="s">
        <v>3830</v>
      </c>
      <c r="S77" s="9">
        <v>345.82</v>
      </c>
      <c r="T77" s="9">
        <v>104.35</v>
      </c>
      <c r="U77" s="9">
        <v>140.44999999999999</v>
      </c>
      <c r="V77" s="9">
        <v>935.38</v>
      </c>
      <c r="W77" s="9">
        <v>59.12</v>
      </c>
      <c r="X77" s="9">
        <v>455.15</v>
      </c>
      <c r="Y77" s="9" t="s">
        <v>106</v>
      </c>
      <c r="Z77" s="9" t="s">
        <v>106</v>
      </c>
      <c r="AA77" s="9" t="s">
        <v>106</v>
      </c>
      <c r="AB77" s="9" t="s">
        <v>106</v>
      </c>
      <c r="AC77" s="9" t="s">
        <v>5100</v>
      </c>
      <c r="AD77" s="9" t="s">
        <v>5100</v>
      </c>
    </row>
    <row r="78" spans="1:30">
      <c r="A78" s="9" t="s">
        <v>659</v>
      </c>
      <c r="B78" s="9" t="s">
        <v>643</v>
      </c>
      <c r="C78" s="9" t="s">
        <v>105</v>
      </c>
      <c r="D78" s="9">
        <v>7.16</v>
      </c>
      <c r="E78" s="9">
        <v>0.02</v>
      </c>
      <c r="F78" s="9">
        <v>224.7</v>
      </c>
      <c r="G78" s="9">
        <v>0.62</v>
      </c>
      <c r="H78" s="9" t="s">
        <v>106</v>
      </c>
      <c r="I78" s="9">
        <v>5</v>
      </c>
      <c r="J78" s="9" t="s">
        <v>122</v>
      </c>
      <c r="K78" s="9" t="s">
        <v>237</v>
      </c>
      <c r="L78" t="str">
        <f>IF(OR(J78="Cattle",J78="Zebu Cattle"),IF(COUNTIF(lists!$M$2:$M$258, K78) &gt; 0,"bos.indicus",IF(COUNTIF(lists!$L$2:$L$258, K78) &gt; 0,"cross.bred","pure.bred.exotic")),"NA")</f>
        <v>bos.indicus</v>
      </c>
      <c r="M78"/>
      <c r="N78"/>
      <c r="O78" s="9" t="s">
        <v>109</v>
      </c>
      <c r="P78" s="9" t="s">
        <v>110</v>
      </c>
      <c r="Q78" s="9" t="s">
        <v>3800</v>
      </c>
      <c r="R78" s="9" t="s">
        <v>3830</v>
      </c>
      <c r="S78" s="9">
        <v>295.79000000000002</v>
      </c>
      <c r="T78" s="9">
        <v>62.55</v>
      </c>
      <c r="U78" s="9">
        <v>140.22999999999999</v>
      </c>
      <c r="V78" s="9">
        <v>931.95</v>
      </c>
      <c r="W78" s="9">
        <v>74.67</v>
      </c>
      <c r="X78" s="9">
        <v>433.63</v>
      </c>
      <c r="Y78" s="9" t="s">
        <v>106</v>
      </c>
      <c r="Z78" s="9" t="s">
        <v>106</v>
      </c>
      <c r="AA78" s="9" t="s">
        <v>106</v>
      </c>
      <c r="AB78" s="9" t="s">
        <v>106</v>
      </c>
      <c r="AC78" s="9" t="s">
        <v>5100</v>
      </c>
      <c r="AD78" s="9" t="s">
        <v>5100</v>
      </c>
    </row>
    <row r="79" spans="1:30">
      <c r="A79" s="9" t="s">
        <v>659</v>
      </c>
      <c r="B79" s="9" t="s">
        <v>644</v>
      </c>
      <c r="C79" s="9" t="s">
        <v>105</v>
      </c>
      <c r="D79" s="9">
        <v>7.49</v>
      </c>
      <c r="E79" s="9">
        <v>0.02</v>
      </c>
      <c r="F79" s="9">
        <v>236.9</v>
      </c>
      <c r="G79" s="9">
        <v>0.88</v>
      </c>
      <c r="H79" s="9" t="s">
        <v>106</v>
      </c>
      <c r="I79" s="9">
        <v>5</v>
      </c>
      <c r="J79" s="9" t="s">
        <v>122</v>
      </c>
      <c r="K79" s="9" t="s">
        <v>237</v>
      </c>
      <c r="L79" t="str">
        <f>IF(OR(J79="Cattle",J79="Zebu Cattle"),IF(COUNTIF(lists!$M$2:$M$258, K79) &gt; 0,"bos.indicus",IF(COUNTIF(lists!$L$2:$L$258, K79) &gt; 0,"cross.bred","pure.bred.exotic")),"NA")</f>
        <v>bos.indicus</v>
      </c>
      <c r="M79"/>
      <c r="N79"/>
      <c r="O79" s="9" t="s">
        <v>109</v>
      </c>
      <c r="P79" s="9" t="s">
        <v>110</v>
      </c>
      <c r="Q79" s="9" t="s">
        <v>3800</v>
      </c>
      <c r="R79" s="9" t="s">
        <v>3830</v>
      </c>
      <c r="S79" s="9">
        <v>279.25</v>
      </c>
      <c r="T79" s="9">
        <v>61.09</v>
      </c>
      <c r="U79" s="9">
        <v>140.66999999999999</v>
      </c>
      <c r="V79" s="9">
        <v>927.71</v>
      </c>
      <c r="W79" s="9">
        <v>77.88</v>
      </c>
      <c r="X79" s="9">
        <v>398.69</v>
      </c>
      <c r="Y79" s="9" t="s">
        <v>106</v>
      </c>
      <c r="Z79" s="9" t="s">
        <v>106</v>
      </c>
      <c r="AA79" s="9" t="s">
        <v>106</v>
      </c>
      <c r="AB79" s="9" t="s">
        <v>106</v>
      </c>
      <c r="AC79" s="9" t="s">
        <v>5100</v>
      </c>
      <c r="AD79" s="9" t="s">
        <v>5100</v>
      </c>
    </row>
    <row r="80" spans="1:30">
      <c r="A80" s="9" t="s">
        <v>659</v>
      </c>
      <c r="B80" s="9" t="s">
        <v>645</v>
      </c>
      <c r="C80" s="9" t="s">
        <v>105</v>
      </c>
      <c r="D80" s="9">
        <v>7.57</v>
      </c>
      <c r="E80" s="9">
        <v>0.02</v>
      </c>
      <c r="F80" s="9">
        <v>238.2</v>
      </c>
      <c r="G80" s="9">
        <v>0.92</v>
      </c>
      <c r="H80" s="9" t="s">
        <v>106</v>
      </c>
      <c r="I80" s="9">
        <v>5</v>
      </c>
      <c r="J80" s="9" t="s">
        <v>122</v>
      </c>
      <c r="K80" s="9" t="s">
        <v>237</v>
      </c>
      <c r="L80" t="str">
        <f>IF(OR(J80="Cattle",J80="Zebu Cattle"),IF(COUNTIF(lists!$M$2:$M$258, K80) &gt; 0,"bos.indicus",IF(COUNTIF(lists!$L$2:$L$258, K80) &gt; 0,"cross.bred","pure.bred.exotic")),"NA")</f>
        <v>bos.indicus</v>
      </c>
      <c r="M80"/>
      <c r="N80"/>
      <c r="O80" s="9" t="s">
        <v>109</v>
      </c>
      <c r="P80" s="9" t="s">
        <v>110</v>
      </c>
      <c r="Q80" s="9" t="s">
        <v>3800</v>
      </c>
      <c r="R80" s="9" t="s">
        <v>3830</v>
      </c>
      <c r="S80" s="9">
        <v>255.81</v>
      </c>
      <c r="T80" s="9">
        <v>56.02</v>
      </c>
      <c r="U80" s="9">
        <v>139.33000000000001</v>
      </c>
      <c r="V80" s="9">
        <v>926.53</v>
      </c>
      <c r="W80" s="9">
        <v>83.88</v>
      </c>
      <c r="X80" s="9">
        <v>406.58</v>
      </c>
      <c r="Y80" s="9" t="s">
        <v>106</v>
      </c>
      <c r="Z80" s="9" t="s">
        <v>106</v>
      </c>
      <c r="AA80" s="9" t="s">
        <v>106</v>
      </c>
      <c r="AB80" s="9" t="s">
        <v>106</v>
      </c>
      <c r="AC80" s="9" t="s">
        <v>5100</v>
      </c>
      <c r="AD80" s="9" t="s">
        <v>5100</v>
      </c>
    </row>
    <row r="81" spans="1:31">
      <c r="A81" s="9" t="s">
        <v>697</v>
      </c>
      <c r="B81" s="9" t="s">
        <v>129</v>
      </c>
      <c r="C81" s="9" t="s">
        <v>105</v>
      </c>
      <c r="D81" s="9">
        <v>9.2899999999999991</v>
      </c>
      <c r="E81" s="9">
        <v>2.1999999999999999E-2</v>
      </c>
      <c r="F81" s="9">
        <v>321.75</v>
      </c>
      <c r="G81" s="9">
        <v>0.17499999999999999</v>
      </c>
      <c r="H81" s="9">
        <v>3.84</v>
      </c>
      <c r="I81" s="9">
        <v>4</v>
      </c>
      <c r="J81" s="9" t="s">
        <v>122</v>
      </c>
      <c r="K81" s="9" t="s">
        <v>698</v>
      </c>
      <c r="L81" t="str">
        <f>IF(OR(J81="Cattle",J81="Zebu Cattle"),IF(COUNTIF(lists!$M$2:$M$258, K81) &gt; 0,"bos.indicus",IF(COUNTIF(lists!$L$2:$L$258, K81) &gt; 0,"cross.bred","pure.bred.exotic")),"NA")</f>
        <v>bos.indicus</v>
      </c>
      <c r="M81"/>
      <c r="N81"/>
      <c r="O81" s="9" t="s">
        <v>109</v>
      </c>
      <c r="P81" s="9" t="s">
        <v>202</v>
      </c>
      <c r="Q81" s="9" t="s">
        <v>3809</v>
      </c>
      <c r="R81" s="9" t="s">
        <v>3830</v>
      </c>
      <c r="S81" s="9">
        <v>265.69</v>
      </c>
      <c r="T81" s="9">
        <v>60.7</v>
      </c>
      <c r="U81" s="9">
        <v>132.6</v>
      </c>
      <c r="V81" s="9">
        <v>899.46</v>
      </c>
      <c r="W81" s="9">
        <v>20.38</v>
      </c>
      <c r="X81" s="9">
        <v>438.14</v>
      </c>
      <c r="Y81" s="9" t="s">
        <v>106</v>
      </c>
      <c r="Z81" s="9">
        <v>109.11</v>
      </c>
      <c r="AA81" s="9" t="s">
        <v>106</v>
      </c>
      <c r="AB81" s="9" t="s">
        <v>106</v>
      </c>
      <c r="AC81" s="9" t="s">
        <v>5100</v>
      </c>
      <c r="AD81" s="9" t="s">
        <v>5100</v>
      </c>
    </row>
    <row r="82" spans="1:31">
      <c r="A82" s="9" t="s">
        <v>697</v>
      </c>
      <c r="B82" s="9" t="s">
        <v>130</v>
      </c>
      <c r="C82" s="9" t="s">
        <v>105</v>
      </c>
      <c r="D82" s="9">
        <v>9.35</v>
      </c>
      <c r="E82" s="9">
        <v>2.1999999999999999E-2</v>
      </c>
      <c r="F82" s="9">
        <v>324.62</v>
      </c>
      <c r="G82" s="9">
        <v>0.22900000000000001</v>
      </c>
      <c r="H82" s="9">
        <v>3.86</v>
      </c>
      <c r="I82" s="9">
        <v>4</v>
      </c>
      <c r="J82" s="9" t="s">
        <v>122</v>
      </c>
      <c r="K82" s="9" t="s">
        <v>698</v>
      </c>
      <c r="L82" t="str">
        <f>IF(OR(J82="Cattle",J82="Zebu Cattle"),IF(COUNTIF(lists!$M$2:$M$258, K82) &gt; 0,"bos.indicus",IF(COUNTIF(lists!$L$2:$L$258, K82) &gt; 0,"cross.bred","pure.bred.exotic")),"NA")</f>
        <v>bos.indicus</v>
      </c>
      <c r="M82"/>
      <c r="N82"/>
      <c r="O82" s="9" t="s">
        <v>109</v>
      </c>
      <c r="P82" s="9" t="s">
        <v>202</v>
      </c>
      <c r="Q82" s="9" t="s">
        <v>3809</v>
      </c>
      <c r="R82" s="9" t="s">
        <v>3830</v>
      </c>
      <c r="S82" s="9">
        <v>260.48</v>
      </c>
      <c r="T82" s="9">
        <v>65.22</v>
      </c>
      <c r="U82" s="9">
        <v>137.29</v>
      </c>
      <c r="V82" s="9">
        <v>894.43</v>
      </c>
      <c r="W82" s="9">
        <v>21.12</v>
      </c>
      <c r="X82" s="9">
        <v>458.96</v>
      </c>
      <c r="Y82" s="9" t="s">
        <v>106</v>
      </c>
      <c r="Z82" s="9">
        <v>117.79</v>
      </c>
      <c r="AA82" s="9" t="s">
        <v>106</v>
      </c>
      <c r="AB82" s="9" t="s">
        <v>106</v>
      </c>
      <c r="AC82" s="9" t="s">
        <v>5100</v>
      </c>
      <c r="AD82" s="9" t="s">
        <v>5100</v>
      </c>
    </row>
    <row r="83" spans="1:31">
      <c r="A83" s="9" t="s">
        <v>697</v>
      </c>
      <c r="B83" s="9" t="s">
        <v>131</v>
      </c>
      <c r="C83" s="9" t="s">
        <v>105</v>
      </c>
      <c r="D83" s="9">
        <v>9.0399999999999991</v>
      </c>
      <c r="E83" s="9">
        <v>2.1999999999999999E-2</v>
      </c>
      <c r="F83" s="9">
        <v>325</v>
      </c>
      <c r="G83" s="9">
        <v>0.23100000000000001</v>
      </c>
      <c r="H83" s="9">
        <v>4</v>
      </c>
      <c r="I83" s="9">
        <v>4</v>
      </c>
      <c r="J83" s="9" t="s">
        <v>122</v>
      </c>
      <c r="K83" s="9" t="s">
        <v>698</v>
      </c>
      <c r="L83" t="str">
        <f>IF(OR(J83="Cattle",J83="Zebu Cattle"),IF(COUNTIF(lists!$M$2:$M$258, K83) &gt; 0,"bos.indicus",IF(COUNTIF(lists!$L$2:$L$258, K83) &gt; 0,"cross.bred","pure.bred.exotic")),"NA")</f>
        <v>bos.indicus</v>
      </c>
      <c r="M83"/>
      <c r="N83"/>
      <c r="O83" s="9" t="s">
        <v>109</v>
      </c>
      <c r="P83" s="9" t="s">
        <v>202</v>
      </c>
      <c r="Q83" s="9" t="s">
        <v>3809</v>
      </c>
      <c r="R83" s="9" t="s">
        <v>3830</v>
      </c>
      <c r="S83" s="9">
        <v>256.51</v>
      </c>
      <c r="T83" s="9">
        <v>63.72</v>
      </c>
      <c r="U83" s="9">
        <v>137.13999999999999</v>
      </c>
      <c r="V83" s="9">
        <v>894.91</v>
      </c>
      <c r="W83" s="9">
        <v>20.46</v>
      </c>
      <c r="X83" s="9">
        <v>420.19</v>
      </c>
      <c r="Y83" s="9" t="s">
        <v>106</v>
      </c>
      <c r="Z83" s="9">
        <v>120.75</v>
      </c>
      <c r="AA83" s="9" t="s">
        <v>106</v>
      </c>
      <c r="AB83" s="9" t="s">
        <v>106</v>
      </c>
      <c r="AC83" s="9" t="s">
        <v>5100</v>
      </c>
      <c r="AD83" s="9" t="s">
        <v>5100</v>
      </c>
    </row>
    <row r="84" spans="1:31">
      <c r="A84" s="9" t="s">
        <v>697</v>
      </c>
      <c r="B84" s="9" t="s">
        <v>132</v>
      </c>
      <c r="C84" s="9" t="s">
        <v>105</v>
      </c>
      <c r="D84" s="9">
        <v>9.32</v>
      </c>
      <c r="E84" s="9">
        <v>2.1999999999999999E-2</v>
      </c>
      <c r="F84" s="9">
        <v>325.5</v>
      </c>
      <c r="G84" s="9">
        <v>0.215</v>
      </c>
      <c r="H84" s="9">
        <v>3.7</v>
      </c>
      <c r="I84" s="9">
        <v>4</v>
      </c>
      <c r="J84" s="9" t="s">
        <v>122</v>
      </c>
      <c r="K84" s="9" t="s">
        <v>698</v>
      </c>
      <c r="L84" t="str">
        <f>IF(OR(J84="Cattle",J84="Zebu Cattle"),IF(COUNTIF(lists!$M$2:$M$258, K84) &gt; 0,"bos.indicus",IF(COUNTIF(lists!$L$2:$L$258, K84) &gt; 0,"cross.bred","pure.bred.exotic")),"NA")</f>
        <v>bos.indicus</v>
      </c>
      <c r="M84"/>
      <c r="N84"/>
      <c r="O84" s="9" t="s">
        <v>109</v>
      </c>
      <c r="P84" s="9" t="s">
        <v>202</v>
      </c>
      <c r="Q84" s="9" t="s">
        <v>3809</v>
      </c>
      <c r="R84" s="9" t="s">
        <v>3830</v>
      </c>
      <c r="S84" s="9">
        <v>270.42</v>
      </c>
      <c r="T84" s="9">
        <v>57.6</v>
      </c>
      <c r="U84" s="9">
        <v>134.96</v>
      </c>
      <c r="V84" s="9">
        <v>901.74</v>
      </c>
      <c r="W84" s="9">
        <v>20.260000000000002</v>
      </c>
      <c r="X84" s="9">
        <v>440.46</v>
      </c>
      <c r="Y84" s="9" t="s">
        <v>106</v>
      </c>
      <c r="Z84" s="9">
        <v>114.04</v>
      </c>
      <c r="AA84" s="9" t="s">
        <v>106</v>
      </c>
      <c r="AB84" s="9" t="s">
        <v>106</v>
      </c>
      <c r="AC84" s="9" t="s">
        <v>5100</v>
      </c>
      <c r="AD84" s="9" t="s">
        <v>5100</v>
      </c>
    </row>
    <row r="85" spans="1:31">
      <c r="A85" s="9" t="s">
        <v>697</v>
      </c>
      <c r="B85" s="9" t="s">
        <v>133</v>
      </c>
      <c r="C85" s="9" t="s">
        <v>105</v>
      </c>
      <c r="D85" s="9">
        <v>9.32</v>
      </c>
      <c r="E85" s="9">
        <v>2.1999999999999999E-2</v>
      </c>
      <c r="F85" s="9">
        <v>326</v>
      </c>
      <c r="G85" s="9">
        <v>0.20599999999999999</v>
      </c>
      <c r="H85" s="9">
        <v>3.68</v>
      </c>
      <c r="I85" s="9">
        <v>4</v>
      </c>
      <c r="J85" s="9" t="s">
        <v>122</v>
      </c>
      <c r="K85" s="9" t="s">
        <v>698</v>
      </c>
      <c r="L85" t="str">
        <f>IF(OR(J85="Cattle",J85="Zebu Cattle"),IF(COUNTIF(lists!$M$2:$M$258, K85) &gt; 0,"bos.indicus",IF(COUNTIF(lists!$L$2:$L$258, K85) &gt; 0,"cross.bred","pure.bred.exotic")),"NA")</f>
        <v>bos.indicus</v>
      </c>
      <c r="M85"/>
      <c r="N85"/>
      <c r="O85" s="9" t="s">
        <v>109</v>
      </c>
      <c r="P85" s="9" t="s">
        <v>202</v>
      </c>
      <c r="Q85" s="9" t="s">
        <v>3809</v>
      </c>
      <c r="R85" s="9" t="s">
        <v>3830</v>
      </c>
      <c r="S85" s="9">
        <v>261.93</v>
      </c>
      <c r="T85" s="9">
        <v>59.24</v>
      </c>
      <c r="U85" s="9">
        <v>132.29</v>
      </c>
      <c r="V85" s="9">
        <v>907.14</v>
      </c>
      <c r="W85" s="9">
        <v>18.45</v>
      </c>
      <c r="X85" s="9">
        <v>429.03</v>
      </c>
      <c r="Y85" s="9" t="s">
        <v>106</v>
      </c>
      <c r="Z85" s="9">
        <v>112.66</v>
      </c>
      <c r="AA85" s="9" t="s">
        <v>106</v>
      </c>
      <c r="AB85" s="9" t="s">
        <v>106</v>
      </c>
      <c r="AC85" s="9" t="s">
        <v>5100</v>
      </c>
      <c r="AD85" s="9" t="s">
        <v>5100</v>
      </c>
    </row>
    <row r="86" spans="1:31" s="56" customFormat="1">
      <c r="A86" s="37" t="s">
        <v>701</v>
      </c>
      <c r="B86" s="37" t="s">
        <v>642</v>
      </c>
      <c r="C86" s="37" t="s">
        <v>105</v>
      </c>
      <c r="D86" s="37">
        <v>1.73</v>
      </c>
      <c r="E86" s="37">
        <v>0.95</v>
      </c>
      <c r="F86" s="37" t="s">
        <v>106</v>
      </c>
      <c r="G86" s="37" t="s">
        <v>106</v>
      </c>
      <c r="H86" s="37">
        <v>3.27</v>
      </c>
      <c r="I86" s="37">
        <v>4</v>
      </c>
      <c r="J86" s="9" t="s">
        <v>122</v>
      </c>
      <c r="K86" s="37" t="s">
        <v>223</v>
      </c>
      <c r="L86" s="56" t="str">
        <f>IF(OR(J86="Cattle",J86="Zebu Cattle"),IF(COUNTIF(lists!$M$2:$M$258, K86) &gt; 0,"bos.indicus",IF(COUNTIF(lists!$L$2:$L$258, K86) &gt; 0,"cross.bred","pure.bred.exotic")),"NA")</f>
        <v>cross.bred</v>
      </c>
      <c r="O86" s="37" t="s">
        <v>124</v>
      </c>
      <c r="P86" s="37" t="s">
        <v>202</v>
      </c>
      <c r="Q86" s="37" t="s">
        <v>3809</v>
      </c>
      <c r="R86" s="37" t="s">
        <v>3828</v>
      </c>
      <c r="S86" s="37" t="s">
        <v>106</v>
      </c>
      <c r="T86" s="37" t="s">
        <v>106</v>
      </c>
      <c r="U86" s="37" t="s">
        <v>106</v>
      </c>
      <c r="V86" s="37" t="s">
        <v>106</v>
      </c>
      <c r="W86" s="37" t="s">
        <v>106</v>
      </c>
      <c r="X86" s="37" t="s">
        <v>106</v>
      </c>
      <c r="Y86" s="37" t="s">
        <v>106</v>
      </c>
      <c r="Z86" s="37" t="s">
        <v>106</v>
      </c>
      <c r="AA86" s="37" t="s">
        <v>106</v>
      </c>
      <c r="AB86" s="37" t="s">
        <v>106</v>
      </c>
      <c r="AC86" s="9" t="s">
        <v>5099</v>
      </c>
      <c r="AD86" s="9" t="s">
        <v>5100</v>
      </c>
      <c r="AE86" s="66"/>
    </row>
    <row r="87" spans="1:31" s="56" customFormat="1">
      <c r="A87" s="37" t="s">
        <v>701</v>
      </c>
      <c r="B87" s="37" t="s">
        <v>643</v>
      </c>
      <c r="C87" s="37" t="s">
        <v>105</v>
      </c>
      <c r="D87" s="37">
        <v>11.47</v>
      </c>
      <c r="E87" s="37">
        <v>0.95</v>
      </c>
      <c r="F87" s="37" t="s">
        <v>106</v>
      </c>
      <c r="G87" s="37" t="s">
        <v>106</v>
      </c>
      <c r="H87" s="37">
        <v>6.26</v>
      </c>
      <c r="I87" s="37">
        <v>4</v>
      </c>
      <c r="J87" s="37" t="s">
        <v>122</v>
      </c>
      <c r="K87" s="37" t="s">
        <v>223</v>
      </c>
      <c r="L87" s="56" t="str">
        <f>IF(OR(J87="Cattle",J87="Zebu Cattle"),IF(COUNTIF(lists!$M$2:$M$258, K87) &gt; 0,"bos.indicus",IF(COUNTIF(lists!$L$2:$L$258, K87) &gt; 0,"cross.bred","pure.bred.exotic")),"NA")</f>
        <v>cross.bred</v>
      </c>
      <c r="O87" s="37" t="s">
        <v>124</v>
      </c>
      <c r="P87" s="37" t="s">
        <v>202</v>
      </c>
      <c r="Q87" s="37" t="s">
        <v>3809</v>
      </c>
      <c r="R87" s="37" t="s">
        <v>3828</v>
      </c>
      <c r="S87" s="37" t="s">
        <v>106</v>
      </c>
      <c r="T87" s="37" t="s">
        <v>106</v>
      </c>
      <c r="U87" s="37" t="s">
        <v>106</v>
      </c>
      <c r="V87" s="37" t="s">
        <v>106</v>
      </c>
      <c r="W87" s="37" t="s">
        <v>106</v>
      </c>
      <c r="X87" s="37" t="s">
        <v>106</v>
      </c>
      <c r="Y87" s="37" t="s">
        <v>106</v>
      </c>
      <c r="Z87" s="37" t="s">
        <v>106</v>
      </c>
      <c r="AA87" s="37" t="s">
        <v>106</v>
      </c>
      <c r="AB87" s="37" t="s">
        <v>106</v>
      </c>
      <c r="AC87" s="9" t="s">
        <v>5099</v>
      </c>
      <c r="AD87" s="9" t="s">
        <v>5100</v>
      </c>
      <c r="AE87" s="66"/>
    </row>
    <row r="88" spans="1:31" s="56" customFormat="1">
      <c r="A88" s="37" t="s">
        <v>701</v>
      </c>
      <c r="B88" s="37" t="s">
        <v>644</v>
      </c>
      <c r="C88" s="37" t="s">
        <v>105</v>
      </c>
      <c r="D88" s="37">
        <v>9.5299999999999994</v>
      </c>
      <c r="E88" s="37">
        <v>0.95</v>
      </c>
      <c r="F88" s="37" t="s">
        <v>106</v>
      </c>
      <c r="G88" s="37" t="s">
        <v>106</v>
      </c>
      <c r="H88" s="37">
        <v>4.4400000000000004</v>
      </c>
      <c r="I88" s="37">
        <v>4</v>
      </c>
      <c r="J88" s="37" t="s">
        <v>122</v>
      </c>
      <c r="K88" s="37" t="s">
        <v>223</v>
      </c>
      <c r="L88" s="56" t="str">
        <f>IF(OR(J88="Cattle",J88="Zebu Cattle"),IF(COUNTIF(lists!$M$2:$M$258, K88) &gt; 0,"bos.indicus",IF(COUNTIF(lists!$L$2:$L$258, K88) &gt; 0,"cross.bred","pure.bred.exotic")),"NA")</f>
        <v>cross.bred</v>
      </c>
      <c r="O88" s="37" t="s">
        <v>124</v>
      </c>
      <c r="P88" s="37" t="s">
        <v>202</v>
      </c>
      <c r="Q88" s="37" t="s">
        <v>3809</v>
      </c>
      <c r="R88" s="37" t="s">
        <v>3828</v>
      </c>
      <c r="S88" s="37" t="s">
        <v>106</v>
      </c>
      <c r="T88" s="37" t="s">
        <v>106</v>
      </c>
      <c r="U88" s="37" t="s">
        <v>106</v>
      </c>
      <c r="V88" s="37" t="s">
        <v>106</v>
      </c>
      <c r="W88" s="37" t="s">
        <v>106</v>
      </c>
      <c r="X88" s="37" t="s">
        <v>106</v>
      </c>
      <c r="Y88" s="37" t="s">
        <v>106</v>
      </c>
      <c r="Z88" s="37" t="s">
        <v>106</v>
      </c>
      <c r="AA88" s="37" t="s">
        <v>106</v>
      </c>
      <c r="AB88" s="37" t="s">
        <v>106</v>
      </c>
      <c r="AC88" s="9" t="s">
        <v>5099</v>
      </c>
      <c r="AD88" s="9" t="s">
        <v>5100</v>
      </c>
      <c r="AE88" s="66"/>
    </row>
    <row r="89" spans="1:31">
      <c r="A89" s="9" t="s">
        <v>702</v>
      </c>
      <c r="B89" s="9" t="s">
        <v>633</v>
      </c>
      <c r="C89" s="9" t="s">
        <v>105</v>
      </c>
      <c r="D89" s="9">
        <v>11.4</v>
      </c>
      <c r="E89" s="9" t="s">
        <v>106</v>
      </c>
      <c r="F89" s="9" t="s">
        <v>106</v>
      </c>
      <c r="G89" s="9" t="s">
        <v>106</v>
      </c>
      <c r="H89" s="9">
        <v>8.26</v>
      </c>
      <c r="J89" s="9" t="s">
        <v>122</v>
      </c>
      <c r="K89" s="9" t="s">
        <v>4801</v>
      </c>
      <c r="L89" t="str">
        <f>IF(OR(J89="Cattle",J89="Zebu Cattle"),IF(COUNTIF(lists!$M$2:$M$258, K89) &gt; 0,"bos.indicus",IF(COUNTIF(lists!$L$2:$L$258, K89) &gt; 0,"cross.bred","pure.bred.exotic")),"NA")</f>
        <v>pure.bred.exotic</v>
      </c>
      <c r="M89"/>
      <c r="N89"/>
      <c r="O89" s="9" t="s">
        <v>135</v>
      </c>
      <c r="P89" s="9" t="s">
        <v>202</v>
      </c>
      <c r="Q89" s="9" t="s">
        <v>3809</v>
      </c>
      <c r="R89" s="9" t="s">
        <v>3828</v>
      </c>
      <c r="S89" s="9" t="s">
        <v>106</v>
      </c>
      <c r="T89" s="9">
        <v>94.8</v>
      </c>
      <c r="U89" s="9">
        <v>128</v>
      </c>
      <c r="V89" s="9">
        <v>908.8</v>
      </c>
      <c r="W89" s="9">
        <v>37.599999999999902</v>
      </c>
      <c r="X89" s="9" t="s">
        <v>106</v>
      </c>
      <c r="Y89" s="9" t="s">
        <v>106</v>
      </c>
      <c r="Z89" s="9" t="s">
        <v>106</v>
      </c>
      <c r="AA89" s="9" t="s">
        <v>106</v>
      </c>
      <c r="AB89" s="9" t="s">
        <v>106</v>
      </c>
      <c r="AC89" s="9" t="s">
        <v>5100</v>
      </c>
      <c r="AD89" s="9" t="s">
        <v>5100</v>
      </c>
    </row>
    <row r="90" spans="1:31">
      <c r="A90" s="9" t="s">
        <v>702</v>
      </c>
      <c r="B90" s="9" t="s">
        <v>635</v>
      </c>
      <c r="C90" s="9" t="s">
        <v>105</v>
      </c>
      <c r="D90" s="9">
        <v>11.54</v>
      </c>
      <c r="E90" s="9" t="s">
        <v>106</v>
      </c>
      <c r="F90" s="9" t="s">
        <v>106</v>
      </c>
      <c r="G90" s="9" t="s">
        <v>106</v>
      </c>
      <c r="H90" s="9">
        <v>8.5039999999999996</v>
      </c>
      <c r="J90" s="9" t="s">
        <v>122</v>
      </c>
      <c r="K90" s="9" t="s">
        <v>4801</v>
      </c>
      <c r="L90" t="str">
        <f>IF(OR(J90="Cattle",J90="Zebu Cattle"),IF(COUNTIF(lists!$M$2:$M$258, K90) &gt; 0,"bos.indicus",IF(COUNTIF(lists!$L$2:$L$258, K90) &gt; 0,"cross.bred","pure.bred.exotic")),"NA")</f>
        <v>pure.bred.exotic</v>
      </c>
      <c r="M90"/>
      <c r="N90"/>
      <c r="O90" s="9" t="s">
        <v>135</v>
      </c>
      <c r="P90" s="9" t="s">
        <v>202</v>
      </c>
      <c r="Q90" s="9" t="s">
        <v>3809</v>
      </c>
      <c r="R90" s="9" t="s">
        <v>3828</v>
      </c>
      <c r="S90" s="9" t="s">
        <v>106</v>
      </c>
      <c r="T90" s="9">
        <v>90.5</v>
      </c>
      <c r="U90" s="9">
        <v>128.5</v>
      </c>
      <c r="V90" s="9">
        <v>914.5</v>
      </c>
      <c r="W90" s="9">
        <v>41.9</v>
      </c>
      <c r="X90" s="9" t="s">
        <v>106</v>
      </c>
      <c r="Y90" s="9" t="s">
        <v>106</v>
      </c>
      <c r="Z90" s="9" t="s">
        <v>106</v>
      </c>
      <c r="AA90" s="9" t="s">
        <v>106</v>
      </c>
      <c r="AB90" s="9" t="s">
        <v>106</v>
      </c>
      <c r="AC90" s="9" t="s">
        <v>5100</v>
      </c>
      <c r="AD90" s="9" t="s">
        <v>5100</v>
      </c>
    </row>
    <row r="91" spans="1:31">
      <c r="A91" s="9" t="s">
        <v>702</v>
      </c>
      <c r="B91" s="9" t="s">
        <v>636</v>
      </c>
      <c r="C91" s="9" t="s">
        <v>105</v>
      </c>
      <c r="D91" s="9">
        <v>11.52</v>
      </c>
      <c r="E91" s="9" t="s">
        <v>106</v>
      </c>
      <c r="F91" s="9" t="s">
        <v>106</v>
      </c>
      <c r="G91" s="9" t="s">
        <v>106</v>
      </c>
      <c r="H91" s="9">
        <v>8.8450000000000006</v>
      </c>
      <c r="J91" s="9" t="s">
        <v>122</v>
      </c>
      <c r="K91" s="9" t="s">
        <v>4801</v>
      </c>
      <c r="L91" t="str">
        <f>IF(OR(J91="Cattle",J91="Zebu Cattle"),IF(COUNTIF(lists!$M$2:$M$258, K91) &gt; 0,"bos.indicus",IF(COUNTIF(lists!$L$2:$L$258, K91) &gt; 0,"cross.bred","pure.bred.exotic")),"NA")</f>
        <v>pure.bred.exotic</v>
      </c>
      <c r="M91"/>
      <c r="N91"/>
      <c r="O91" s="9" t="s">
        <v>135</v>
      </c>
      <c r="P91" s="9" t="s">
        <v>202</v>
      </c>
      <c r="Q91" s="9" t="s">
        <v>3809</v>
      </c>
      <c r="R91" s="9" t="s">
        <v>3828</v>
      </c>
      <c r="S91" s="9" t="s">
        <v>106</v>
      </c>
      <c r="T91" s="16">
        <v>1.4</v>
      </c>
      <c r="U91" s="9">
        <v>130.1</v>
      </c>
      <c r="V91" s="9">
        <v>910.6</v>
      </c>
      <c r="W91" s="9">
        <v>47.7</v>
      </c>
      <c r="X91" s="9" t="s">
        <v>106</v>
      </c>
      <c r="Y91" s="9" t="s">
        <v>106</v>
      </c>
      <c r="Z91" s="9" t="s">
        <v>106</v>
      </c>
      <c r="AA91" s="9" t="s">
        <v>106</v>
      </c>
      <c r="AB91" s="9" t="s">
        <v>106</v>
      </c>
      <c r="AC91" s="9" t="s">
        <v>5100</v>
      </c>
      <c r="AD91" s="9" t="s">
        <v>5100</v>
      </c>
    </row>
    <row r="92" spans="1:31">
      <c r="A92" s="9" t="s">
        <v>702</v>
      </c>
      <c r="B92" s="9" t="s">
        <v>667</v>
      </c>
      <c r="C92" s="9" t="s">
        <v>105</v>
      </c>
      <c r="D92" s="9">
        <v>11.471</v>
      </c>
      <c r="E92" s="9" t="s">
        <v>106</v>
      </c>
      <c r="F92" s="9" t="s">
        <v>106</v>
      </c>
      <c r="G92" s="9" t="s">
        <v>106</v>
      </c>
      <c r="H92" s="9">
        <v>9.0280000000000005</v>
      </c>
      <c r="J92" s="9" t="s">
        <v>122</v>
      </c>
      <c r="K92" s="9" t="s">
        <v>4801</v>
      </c>
      <c r="L92" t="str">
        <f>IF(OR(J92="Cattle",J92="Zebu Cattle"),IF(COUNTIF(lists!$M$2:$M$258, K92) &gt; 0,"bos.indicus",IF(COUNTIF(lists!$L$2:$L$258, K92) &gt; 0,"cross.bred","pure.bred.exotic")),"NA")</f>
        <v>pure.bred.exotic</v>
      </c>
      <c r="M92"/>
      <c r="N92"/>
      <c r="O92" s="9" t="s">
        <v>135</v>
      </c>
      <c r="P92" s="9" t="s">
        <v>202</v>
      </c>
      <c r="Q92" s="9" t="s">
        <v>3809</v>
      </c>
      <c r="R92" s="9" t="s">
        <v>3828</v>
      </c>
      <c r="S92" s="9" t="s">
        <v>106</v>
      </c>
      <c r="T92" s="9">
        <v>98.4</v>
      </c>
      <c r="U92" s="9">
        <v>128.6</v>
      </c>
      <c r="V92" s="9">
        <v>914</v>
      </c>
      <c r="W92" s="9">
        <v>45.4</v>
      </c>
      <c r="X92" s="9" t="s">
        <v>106</v>
      </c>
      <c r="Y92" s="9" t="s">
        <v>106</v>
      </c>
      <c r="Z92" s="9" t="s">
        <v>106</v>
      </c>
      <c r="AA92" s="9" t="s">
        <v>106</v>
      </c>
      <c r="AB92" s="9" t="s">
        <v>106</v>
      </c>
      <c r="AC92" s="9" t="s">
        <v>5100</v>
      </c>
      <c r="AD92" s="9" t="s">
        <v>5100</v>
      </c>
    </row>
    <row r="93" spans="1:31">
      <c r="A93" s="9" t="s">
        <v>728</v>
      </c>
      <c r="B93" s="9" t="s">
        <v>642</v>
      </c>
      <c r="C93" s="9" t="s">
        <v>105</v>
      </c>
      <c r="D93" s="59">
        <v>2.8716666666666701</v>
      </c>
      <c r="E93" s="9" t="s">
        <v>106</v>
      </c>
      <c r="F93" s="9">
        <v>119.25</v>
      </c>
      <c r="G93" s="9">
        <v>0.67</v>
      </c>
      <c r="H93" s="9" t="s">
        <v>106</v>
      </c>
      <c r="J93" s="9" t="s">
        <v>122</v>
      </c>
      <c r="K93" s="9" t="s">
        <v>729</v>
      </c>
      <c r="L93" t="str">
        <f>IF(OR(J93="Cattle",J93="Zebu Cattle"),IF(COUNTIF(lists!$M$2:$M$258, K93) &gt; 0,"bos.indicus",IF(COUNTIF(lists!$L$2:$L$258, K93) &gt; 0,"cross.bred","pure.bred.exotic")),"NA")</f>
        <v>cross.bred</v>
      </c>
      <c r="M93"/>
      <c r="N93"/>
      <c r="O93" s="9" t="s">
        <v>124</v>
      </c>
      <c r="P93" s="9" t="s">
        <v>670</v>
      </c>
      <c r="Q93" s="9" t="s">
        <v>3804</v>
      </c>
      <c r="R93" s="9" t="s">
        <v>3830</v>
      </c>
      <c r="S93" s="9" t="s">
        <v>106</v>
      </c>
      <c r="T93" s="9" t="s">
        <v>106</v>
      </c>
      <c r="U93" s="9" t="s">
        <v>106</v>
      </c>
      <c r="V93" s="9" t="s">
        <v>106</v>
      </c>
      <c r="W93" s="9" t="s">
        <v>106</v>
      </c>
      <c r="X93" s="9" t="s">
        <v>106</v>
      </c>
      <c r="Y93" s="9" t="s">
        <v>106</v>
      </c>
      <c r="Z93" s="9" t="s">
        <v>106</v>
      </c>
      <c r="AA93" s="9" t="s">
        <v>106</v>
      </c>
      <c r="AB93" s="9" t="s">
        <v>106</v>
      </c>
      <c r="AC93" s="9" t="s">
        <v>5100</v>
      </c>
      <c r="AD93" s="9" t="s">
        <v>5100</v>
      </c>
    </row>
    <row r="94" spans="1:31">
      <c r="A94" s="9" t="s">
        <v>728</v>
      </c>
      <c r="B94" s="9" t="s">
        <v>643</v>
      </c>
      <c r="C94" s="9" t="s">
        <v>105</v>
      </c>
      <c r="D94" s="59">
        <v>2.6466666666666701</v>
      </c>
      <c r="E94" s="9" t="s">
        <v>106</v>
      </c>
      <c r="F94" s="9">
        <v>108.83499999999999</v>
      </c>
      <c r="G94" s="9">
        <v>0.56000000000000005</v>
      </c>
      <c r="H94" s="9" t="s">
        <v>106</v>
      </c>
      <c r="J94" s="9" t="s">
        <v>122</v>
      </c>
      <c r="K94" s="9" t="s">
        <v>729</v>
      </c>
      <c r="L94" t="str">
        <f>IF(OR(J94="Cattle",J94="Zebu Cattle"),IF(COUNTIF(lists!$M$2:$M$258, K94) &gt; 0,"bos.indicus",IF(COUNTIF(lists!$L$2:$L$258, K94) &gt; 0,"cross.bred","pure.bred.exotic")),"NA")</f>
        <v>cross.bred</v>
      </c>
      <c r="M94"/>
      <c r="N94"/>
      <c r="O94" s="9" t="s">
        <v>124</v>
      </c>
      <c r="P94" s="9" t="s">
        <v>670</v>
      </c>
      <c r="Q94" s="9" t="s">
        <v>3804</v>
      </c>
      <c r="R94" s="9" t="s">
        <v>3830</v>
      </c>
      <c r="S94" s="9" t="s">
        <v>106</v>
      </c>
      <c r="T94" s="9" t="s">
        <v>106</v>
      </c>
      <c r="U94" s="9" t="s">
        <v>106</v>
      </c>
      <c r="V94" s="9" t="s">
        <v>106</v>
      </c>
      <c r="W94" s="9" t="s">
        <v>106</v>
      </c>
      <c r="X94" s="9" t="s">
        <v>106</v>
      </c>
      <c r="Y94" s="9" t="s">
        <v>106</v>
      </c>
      <c r="Z94" s="9" t="s">
        <v>106</v>
      </c>
      <c r="AA94" s="9" t="s">
        <v>106</v>
      </c>
      <c r="AB94" s="9" t="s">
        <v>106</v>
      </c>
      <c r="AC94" s="9" t="s">
        <v>5100</v>
      </c>
      <c r="AD94" s="9" t="s">
        <v>5100</v>
      </c>
    </row>
    <row r="95" spans="1:31">
      <c r="A95" s="9" t="s">
        <v>728</v>
      </c>
      <c r="B95" s="9" t="s">
        <v>644</v>
      </c>
      <c r="C95" s="9" t="s">
        <v>105</v>
      </c>
      <c r="D95" s="59">
        <v>2.7133333333333298</v>
      </c>
      <c r="E95" s="9" t="s">
        <v>106</v>
      </c>
      <c r="F95" s="9">
        <v>110.33</v>
      </c>
      <c r="G95" s="9">
        <v>0.52</v>
      </c>
      <c r="H95" s="9" t="s">
        <v>106</v>
      </c>
      <c r="J95" s="9" t="s">
        <v>122</v>
      </c>
      <c r="K95" s="9" t="s">
        <v>729</v>
      </c>
      <c r="L95" t="str">
        <f>IF(OR(J95="Cattle",J95="Zebu Cattle"),IF(COUNTIF(lists!$M$2:$M$258, K95) &gt; 0,"bos.indicus",IF(COUNTIF(lists!$L$2:$L$258, K95) &gt; 0,"cross.bred","pure.bred.exotic")),"NA")</f>
        <v>cross.bred</v>
      </c>
      <c r="M95"/>
      <c r="N95"/>
      <c r="O95" s="9" t="s">
        <v>124</v>
      </c>
      <c r="P95" s="9" t="s">
        <v>670</v>
      </c>
      <c r="Q95" s="9" t="s">
        <v>3804</v>
      </c>
      <c r="R95" s="9" t="s">
        <v>3830</v>
      </c>
      <c r="S95" s="9" t="s">
        <v>106</v>
      </c>
      <c r="T95" s="9" t="s">
        <v>106</v>
      </c>
      <c r="U95" s="9" t="s">
        <v>106</v>
      </c>
      <c r="V95" s="9" t="s">
        <v>106</v>
      </c>
      <c r="W95" s="9" t="s">
        <v>106</v>
      </c>
      <c r="X95" s="9" t="s">
        <v>106</v>
      </c>
      <c r="Y95" s="9" t="s">
        <v>106</v>
      </c>
      <c r="Z95" s="9" t="s">
        <v>106</v>
      </c>
      <c r="AA95" s="9" t="s">
        <v>106</v>
      </c>
      <c r="AB95" s="9" t="s">
        <v>106</v>
      </c>
      <c r="AC95" s="9" t="s">
        <v>5100</v>
      </c>
      <c r="AD95" s="9" t="s">
        <v>5100</v>
      </c>
    </row>
    <row r="96" spans="1:31">
      <c r="A96" s="9" t="s">
        <v>736</v>
      </c>
      <c r="B96" s="9" t="s">
        <v>737</v>
      </c>
      <c r="C96" s="9" t="s">
        <v>105</v>
      </c>
      <c r="D96" s="9">
        <v>20.43</v>
      </c>
      <c r="E96" s="9">
        <v>0.12</v>
      </c>
      <c r="F96" s="9" t="s">
        <v>106</v>
      </c>
      <c r="G96" s="9" t="s">
        <v>106</v>
      </c>
      <c r="H96" s="9">
        <v>32.21</v>
      </c>
      <c r="J96" s="9" t="s">
        <v>122</v>
      </c>
      <c r="K96" s="9" t="s">
        <v>4801</v>
      </c>
      <c r="L96" t="str">
        <f>IF(OR(J96="Cattle",J96="Zebu Cattle"),IF(COUNTIF(lists!$M$2:$M$258, K96) &gt; 0,"bos.indicus",IF(COUNTIF(lists!$L$2:$L$258, K96) &gt; 0,"cross.bred","pure.bred.exotic")),"NA")</f>
        <v>pure.bred.exotic</v>
      </c>
      <c r="M96"/>
      <c r="N96"/>
      <c r="O96" s="9" t="s">
        <v>135</v>
      </c>
      <c r="P96" s="9" t="s">
        <v>202</v>
      </c>
      <c r="Q96" s="9" t="s">
        <v>3809</v>
      </c>
      <c r="R96" s="9" t="s">
        <v>3830</v>
      </c>
      <c r="S96" s="9">
        <v>182</v>
      </c>
      <c r="T96" s="9">
        <v>91.2</v>
      </c>
      <c r="U96" s="9">
        <v>169.3</v>
      </c>
      <c r="V96" s="9">
        <v>609.1</v>
      </c>
      <c r="W96" s="9">
        <v>36.799999999999997</v>
      </c>
      <c r="X96" s="9">
        <v>303.89999999999998</v>
      </c>
      <c r="Y96" s="9" t="s">
        <v>106</v>
      </c>
      <c r="Z96" s="9" t="s">
        <v>106</v>
      </c>
      <c r="AA96" s="9">
        <v>68.900000000000006</v>
      </c>
      <c r="AB96" s="9">
        <v>72.599999999999994</v>
      </c>
      <c r="AC96" s="9" t="s">
        <v>5100</v>
      </c>
      <c r="AD96" s="9" t="s">
        <v>5100</v>
      </c>
    </row>
    <row r="97" spans="1:30">
      <c r="A97" s="9" t="s">
        <v>736</v>
      </c>
      <c r="B97" s="9" t="s">
        <v>738</v>
      </c>
      <c r="C97" s="9" t="s">
        <v>105</v>
      </c>
      <c r="D97" s="9">
        <v>20.39</v>
      </c>
      <c r="E97" s="9">
        <v>0.12</v>
      </c>
      <c r="F97" s="9" t="s">
        <v>106</v>
      </c>
      <c r="G97" s="9" t="s">
        <v>106</v>
      </c>
      <c r="H97" s="9">
        <v>33.71</v>
      </c>
      <c r="J97" s="9" t="s">
        <v>122</v>
      </c>
      <c r="K97" s="9" t="s">
        <v>4801</v>
      </c>
      <c r="L97" t="str">
        <f>IF(OR(J97="Cattle",J97="Zebu Cattle"),IF(COUNTIF(lists!$M$2:$M$258, K97) &gt; 0,"bos.indicus",IF(COUNTIF(lists!$L$2:$L$258, K97) &gt; 0,"cross.bred","pure.bred.exotic")),"NA")</f>
        <v>pure.bred.exotic</v>
      </c>
      <c r="M97"/>
      <c r="N97"/>
      <c r="O97" s="9" t="s">
        <v>135</v>
      </c>
      <c r="P97" s="9" t="s">
        <v>202</v>
      </c>
      <c r="Q97" s="9" t="s">
        <v>3809</v>
      </c>
      <c r="R97" s="9" t="s">
        <v>3830</v>
      </c>
      <c r="S97" s="9">
        <v>189.9</v>
      </c>
      <c r="T97" s="9">
        <v>93.4</v>
      </c>
      <c r="U97" s="9">
        <v>170.1</v>
      </c>
      <c r="V97" s="9">
        <v>607.9</v>
      </c>
      <c r="W97" s="9">
        <v>34.4</v>
      </c>
      <c r="X97" s="9">
        <v>328.8</v>
      </c>
      <c r="Y97" s="9" t="s">
        <v>106</v>
      </c>
      <c r="Z97" s="9" t="s">
        <v>106</v>
      </c>
      <c r="AA97" s="9">
        <v>69.5</v>
      </c>
      <c r="AB97" s="9">
        <v>72.8</v>
      </c>
      <c r="AC97" s="9" t="s">
        <v>5100</v>
      </c>
      <c r="AD97" s="9" t="s">
        <v>5100</v>
      </c>
    </row>
    <row r="98" spans="1:30">
      <c r="A98" s="9" t="s">
        <v>736</v>
      </c>
      <c r="B98" s="9" t="s">
        <v>739</v>
      </c>
      <c r="C98" s="9" t="s">
        <v>105</v>
      </c>
      <c r="D98" s="9">
        <v>20.47</v>
      </c>
      <c r="E98" s="9">
        <v>0.12</v>
      </c>
      <c r="F98" s="9" t="s">
        <v>106</v>
      </c>
      <c r="G98" s="9" t="s">
        <v>106</v>
      </c>
      <c r="H98" s="9">
        <v>30.66</v>
      </c>
      <c r="J98" s="9" t="s">
        <v>122</v>
      </c>
      <c r="K98" s="9" t="s">
        <v>4801</v>
      </c>
      <c r="L98" t="str">
        <f>IF(OR(J98="Cattle",J98="Zebu Cattle"),IF(COUNTIF(lists!$M$2:$M$258, K98) &gt; 0,"bos.indicus",IF(COUNTIF(lists!$L$2:$L$258, K98) &gt; 0,"cross.bred","pure.bred.exotic")),"NA")</f>
        <v>pure.bred.exotic</v>
      </c>
      <c r="M98"/>
      <c r="N98"/>
      <c r="O98" s="9" t="s">
        <v>135</v>
      </c>
      <c r="P98" s="9" t="s">
        <v>202</v>
      </c>
      <c r="Q98" s="9" t="s">
        <v>3809</v>
      </c>
      <c r="R98" s="9" t="s">
        <v>3830</v>
      </c>
      <c r="S98" s="9">
        <v>174.2</v>
      </c>
      <c r="T98" s="9">
        <v>89.1</v>
      </c>
      <c r="U98" s="9">
        <v>168.6</v>
      </c>
      <c r="V98" s="9">
        <v>610.29999999999995</v>
      </c>
      <c r="W98" s="9">
        <v>39.1</v>
      </c>
      <c r="X98" s="9">
        <v>279.10000000000002</v>
      </c>
      <c r="Y98" s="9" t="s">
        <v>106</v>
      </c>
      <c r="Z98" s="9" t="s">
        <v>106</v>
      </c>
      <c r="AA98" s="9">
        <v>68.7</v>
      </c>
      <c r="AB98" s="9">
        <v>72.02</v>
      </c>
      <c r="AC98" s="9" t="s">
        <v>5100</v>
      </c>
      <c r="AD98" s="9" t="s">
        <v>5100</v>
      </c>
    </row>
    <row r="99" spans="1:30">
      <c r="A99" s="9" t="s">
        <v>754</v>
      </c>
      <c r="B99" s="9" t="s">
        <v>755</v>
      </c>
      <c r="C99" s="9" t="s">
        <v>105</v>
      </c>
      <c r="D99" s="9">
        <v>9.9499999999999993</v>
      </c>
      <c r="E99" s="9">
        <v>3.5000000000000003E-2</v>
      </c>
      <c r="F99" s="9">
        <v>439</v>
      </c>
      <c r="G99" s="59">
        <v>0.29665000000000002</v>
      </c>
      <c r="H99" s="9">
        <v>11.3</v>
      </c>
      <c r="J99" s="9" t="s">
        <v>122</v>
      </c>
      <c r="K99" s="9" t="s">
        <v>756</v>
      </c>
      <c r="L99" t="str">
        <f>IF(OR(J99="Cattle",J99="Zebu Cattle"),IF(COUNTIF(lists!$M$2:$M$258, K99) &gt; 0,"bos.indicus",IF(COUNTIF(lists!$L$2:$L$258, K99) &gt; 0,"cross.bred","pure.bred.exotic")),"NA")</f>
        <v>cross.bred</v>
      </c>
      <c r="M99"/>
      <c r="N99"/>
      <c r="O99" s="9" t="s">
        <v>124</v>
      </c>
      <c r="P99" s="9" t="s">
        <v>106</v>
      </c>
      <c r="Q99" s="9" t="s">
        <v>3809</v>
      </c>
      <c r="R99" s="9" t="s">
        <v>3830</v>
      </c>
      <c r="S99" s="9" t="s">
        <v>106</v>
      </c>
      <c r="T99" s="9" t="s">
        <v>106</v>
      </c>
      <c r="U99" s="9" t="s">
        <v>106</v>
      </c>
      <c r="V99" s="9" t="s">
        <v>106</v>
      </c>
      <c r="W99" s="9" t="s">
        <v>106</v>
      </c>
      <c r="X99" s="9" t="s">
        <v>106</v>
      </c>
      <c r="Y99" s="9" t="s">
        <v>106</v>
      </c>
      <c r="Z99" s="9" t="s">
        <v>106</v>
      </c>
      <c r="AA99" s="9" t="s">
        <v>106</v>
      </c>
      <c r="AB99" s="9" t="s">
        <v>106</v>
      </c>
      <c r="AC99" s="9" t="s">
        <v>5100</v>
      </c>
      <c r="AD99" s="9" t="s">
        <v>5100</v>
      </c>
    </row>
    <row r="100" spans="1:30">
      <c r="A100" s="9" t="s">
        <v>754</v>
      </c>
      <c r="B100" s="9" t="s">
        <v>757</v>
      </c>
      <c r="C100" s="9" t="s">
        <v>105</v>
      </c>
      <c r="D100" s="9">
        <v>9.2799999999999994</v>
      </c>
      <c r="E100" s="9">
        <v>3.5000000000000003E-2</v>
      </c>
      <c r="F100" s="9">
        <v>434</v>
      </c>
      <c r="G100" s="59">
        <v>0.10947</v>
      </c>
      <c r="H100" s="9">
        <v>10.8</v>
      </c>
      <c r="J100" s="9" t="s">
        <v>122</v>
      </c>
      <c r="K100" s="9" t="s">
        <v>756</v>
      </c>
      <c r="L100" t="str">
        <f>IF(OR(J100="Cattle",J100="Zebu Cattle"),IF(COUNTIF(lists!$M$2:$M$258, K100) &gt; 0,"bos.indicus",IF(COUNTIF(lists!$L$2:$L$258, K100) &gt; 0,"cross.bred","pure.bred.exotic")),"NA")</f>
        <v>cross.bred</v>
      </c>
      <c r="M100"/>
      <c r="N100"/>
      <c r="O100" s="9" t="s">
        <v>124</v>
      </c>
      <c r="P100" s="9" t="s">
        <v>106</v>
      </c>
      <c r="Q100" s="9" t="s">
        <v>3809</v>
      </c>
      <c r="R100" s="9" t="s">
        <v>3830</v>
      </c>
      <c r="S100" s="9" t="s">
        <v>106</v>
      </c>
      <c r="T100" s="9" t="s">
        <v>106</v>
      </c>
      <c r="U100" s="9" t="s">
        <v>106</v>
      </c>
      <c r="V100" s="9" t="s">
        <v>106</v>
      </c>
      <c r="W100" s="9" t="s">
        <v>106</v>
      </c>
      <c r="X100" s="9" t="s">
        <v>106</v>
      </c>
      <c r="Y100" s="9" t="s">
        <v>106</v>
      </c>
      <c r="Z100" s="9" t="s">
        <v>106</v>
      </c>
      <c r="AA100" s="9" t="s">
        <v>106</v>
      </c>
      <c r="AB100" s="9" t="s">
        <v>106</v>
      </c>
      <c r="AC100" s="9" t="s">
        <v>5100</v>
      </c>
      <c r="AD100" s="9" t="s">
        <v>5100</v>
      </c>
    </row>
    <row r="101" spans="1:30">
      <c r="A101" s="9" t="s">
        <v>754</v>
      </c>
      <c r="B101" s="9" t="s">
        <v>758</v>
      </c>
      <c r="C101" s="9" t="s">
        <v>105</v>
      </c>
      <c r="D101" s="9">
        <v>8.69</v>
      </c>
      <c r="E101" s="9">
        <v>3.5000000000000003E-2</v>
      </c>
      <c r="F101" s="9">
        <v>436</v>
      </c>
      <c r="G101" s="59">
        <v>4.1500000000000002E-2</v>
      </c>
      <c r="H101" s="9">
        <v>11</v>
      </c>
      <c r="J101" s="9" t="s">
        <v>122</v>
      </c>
      <c r="K101" s="9" t="s">
        <v>756</v>
      </c>
      <c r="L101" t="str">
        <f>IF(OR(J101="Cattle",J101="Zebu Cattle"),IF(COUNTIF(lists!$M$2:$M$258, K101) &gt; 0,"bos.indicus",IF(COUNTIF(lists!$L$2:$L$258, K101) &gt; 0,"cross.bred","pure.bred.exotic")),"NA")</f>
        <v>cross.bred</v>
      </c>
      <c r="M101"/>
      <c r="N101"/>
      <c r="O101" s="9" t="s">
        <v>124</v>
      </c>
      <c r="P101" s="9" t="s">
        <v>106</v>
      </c>
      <c r="Q101" s="9" t="s">
        <v>3809</v>
      </c>
      <c r="R101" s="9" t="s">
        <v>3830</v>
      </c>
      <c r="S101" s="9" t="s">
        <v>106</v>
      </c>
      <c r="T101" s="9" t="s">
        <v>106</v>
      </c>
      <c r="U101" s="9" t="s">
        <v>106</v>
      </c>
      <c r="V101" s="9" t="s">
        <v>106</v>
      </c>
      <c r="W101" s="9" t="s">
        <v>106</v>
      </c>
      <c r="X101" s="9" t="s">
        <v>106</v>
      </c>
      <c r="Y101" s="9" t="s">
        <v>106</v>
      </c>
      <c r="Z101" s="9" t="s">
        <v>106</v>
      </c>
      <c r="AA101" s="9" t="s">
        <v>106</v>
      </c>
      <c r="AB101" s="9" t="s">
        <v>106</v>
      </c>
      <c r="AC101" s="9" t="s">
        <v>5100</v>
      </c>
      <c r="AD101" s="9" t="s">
        <v>5100</v>
      </c>
    </row>
    <row r="102" spans="1:30">
      <c r="A102" s="9" t="s">
        <v>754</v>
      </c>
      <c r="B102" s="9" t="s">
        <v>759</v>
      </c>
      <c r="C102" s="9" t="s">
        <v>105</v>
      </c>
      <c r="D102" s="9">
        <v>9.7200000000000006</v>
      </c>
      <c r="E102" s="9">
        <v>3.5000000000000003E-2</v>
      </c>
      <c r="F102" s="9">
        <v>433</v>
      </c>
      <c r="G102" s="59">
        <v>0.1424</v>
      </c>
      <c r="H102" s="9">
        <v>11.8</v>
      </c>
      <c r="J102" s="9" t="s">
        <v>122</v>
      </c>
      <c r="K102" s="9" t="s">
        <v>756</v>
      </c>
      <c r="L102" t="str">
        <f>IF(OR(J102="Cattle",J102="Zebu Cattle"),IF(COUNTIF(lists!$M$2:$M$258, K102) &gt; 0,"bos.indicus",IF(COUNTIF(lists!$L$2:$L$258, K102) &gt; 0,"cross.bred","pure.bred.exotic")),"NA")</f>
        <v>cross.bred</v>
      </c>
      <c r="M102"/>
      <c r="N102"/>
      <c r="O102" s="9" t="s">
        <v>124</v>
      </c>
      <c r="P102" s="9" t="s">
        <v>106</v>
      </c>
      <c r="Q102" s="9" t="s">
        <v>3809</v>
      </c>
      <c r="R102" s="9" t="s">
        <v>3830</v>
      </c>
      <c r="S102" s="9" t="s">
        <v>106</v>
      </c>
      <c r="T102" s="9" t="s">
        <v>106</v>
      </c>
      <c r="U102" s="9" t="s">
        <v>106</v>
      </c>
      <c r="V102" s="9" t="s">
        <v>106</v>
      </c>
      <c r="W102" s="9" t="s">
        <v>106</v>
      </c>
      <c r="X102" s="9" t="s">
        <v>106</v>
      </c>
      <c r="Y102" s="9" t="s">
        <v>106</v>
      </c>
      <c r="Z102" s="9" t="s">
        <v>106</v>
      </c>
      <c r="AA102" s="9" t="s">
        <v>106</v>
      </c>
      <c r="AB102" s="9" t="s">
        <v>106</v>
      </c>
      <c r="AC102" s="9" t="s">
        <v>5100</v>
      </c>
      <c r="AD102" s="9" t="s">
        <v>5100</v>
      </c>
    </row>
    <row r="103" spans="1:30">
      <c r="A103" s="9" t="s">
        <v>874</v>
      </c>
      <c r="B103" s="9" t="s">
        <v>875</v>
      </c>
      <c r="C103" s="9" t="s">
        <v>105</v>
      </c>
      <c r="D103" s="9">
        <v>20.2</v>
      </c>
      <c r="E103" s="9">
        <v>0.4</v>
      </c>
      <c r="F103" s="9">
        <v>508</v>
      </c>
      <c r="G103" s="9">
        <v>0.17100000000000001</v>
      </c>
      <c r="H103" s="9">
        <v>23.6</v>
      </c>
      <c r="I103" s="9">
        <v>10</v>
      </c>
      <c r="J103" s="9" t="s">
        <v>122</v>
      </c>
      <c r="K103" s="9" t="s">
        <v>4801</v>
      </c>
      <c r="L103" t="str">
        <f>IF(OR(J103="Cattle",J103="Zebu Cattle"),IF(COUNTIF(lists!$M$2:$M$258, K103) &gt; 0,"bos.indicus",IF(COUNTIF(lists!$L$2:$L$258, K103) &gt; 0,"cross.bred","pure.bred.exotic")),"NA")</f>
        <v>pure.bred.exotic</v>
      </c>
      <c r="M103"/>
      <c r="N103"/>
      <c r="O103" s="9" t="s">
        <v>135</v>
      </c>
      <c r="P103" s="9" t="s">
        <v>106</v>
      </c>
      <c r="Q103" s="9" t="s">
        <v>3809</v>
      </c>
      <c r="R103" s="9" t="s">
        <v>3830</v>
      </c>
      <c r="S103" s="9">
        <v>227</v>
      </c>
      <c r="T103" s="9" t="s">
        <v>106</v>
      </c>
      <c r="U103" s="9">
        <v>160</v>
      </c>
      <c r="V103" s="9" t="s">
        <v>106</v>
      </c>
      <c r="W103" s="9" t="s">
        <v>106</v>
      </c>
      <c r="X103" s="9">
        <v>318</v>
      </c>
      <c r="Y103" s="9" t="s">
        <v>106</v>
      </c>
      <c r="Z103" s="9" t="s">
        <v>106</v>
      </c>
      <c r="AA103" s="9" t="s">
        <v>106</v>
      </c>
      <c r="AB103" s="9" t="s">
        <v>106</v>
      </c>
      <c r="AC103" s="9" t="s">
        <v>5100</v>
      </c>
      <c r="AD103" s="9" t="s">
        <v>5100</v>
      </c>
    </row>
    <row r="104" spans="1:30">
      <c r="A104" s="9" t="s">
        <v>874</v>
      </c>
      <c r="B104" s="9" t="s">
        <v>876</v>
      </c>
      <c r="C104" s="9" t="s">
        <v>105</v>
      </c>
      <c r="D104" s="9">
        <v>19.600000000000001</v>
      </c>
      <c r="E104" s="9">
        <v>0.4</v>
      </c>
      <c r="F104" s="9">
        <v>514</v>
      </c>
      <c r="G104" s="9">
        <v>0.114</v>
      </c>
      <c r="H104" s="9">
        <v>22.2</v>
      </c>
      <c r="I104" s="9">
        <v>10</v>
      </c>
      <c r="J104" s="9" t="s">
        <v>122</v>
      </c>
      <c r="K104" s="9" t="s">
        <v>4801</v>
      </c>
      <c r="L104" t="str">
        <f>IF(OR(J104="Cattle",J104="Zebu Cattle"),IF(COUNTIF(lists!$M$2:$M$258, K104) &gt; 0,"bos.indicus",IF(COUNTIF(lists!$L$2:$L$258, K104) &gt; 0,"cross.bred","pure.bred.exotic")),"NA")</f>
        <v>pure.bred.exotic</v>
      </c>
      <c r="M104"/>
      <c r="N104"/>
      <c r="O104" s="9" t="s">
        <v>135</v>
      </c>
      <c r="P104" s="9" t="s">
        <v>106</v>
      </c>
      <c r="Q104" s="9" t="s">
        <v>3809</v>
      </c>
      <c r="R104" s="9" t="s">
        <v>3830</v>
      </c>
      <c r="S104" s="9">
        <v>231</v>
      </c>
      <c r="T104" s="9" t="s">
        <v>106</v>
      </c>
      <c r="U104" s="9">
        <v>172</v>
      </c>
      <c r="V104" s="9" t="s">
        <v>106</v>
      </c>
      <c r="W104" s="9" t="s">
        <v>106</v>
      </c>
      <c r="X104" s="9">
        <v>317</v>
      </c>
      <c r="Y104" s="9" t="s">
        <v>106</v>
      </c>
      <c r="Z104" s="9" t="s">
        <v>106</v>
      </c>
      <c r="AA104" s="9" t="s">
        <v>106</v>
      </c>
      <c r="AB104" s="9" t="s">
        <v>106</v>
      </c>
      <c r="AC104" s="9" t="s">
        <v>5100</v>
      </c>
      <c r="AD104" s="9" t="s">
        <v>5100</v>
      </c>
    </row>
    <row r="105" spans="1:30">
      <c r="A105" s="9" t="s">
        <v>874</v>
      </c>
      <c r="B105" s="9" t="s">
        <v>877</v>
      </c>
      <c r="C105" s="9" t="s">
        <v>105</v>
      </c>
      <c r="D105" s="9">
        <v>18.8</v>
      </c>
      <c r="E105" s="9">
        <v>0.4</v>
      </c>
      <c r="F105" s="9">
        <v>511.5</v>
      </c>
      <c r="G105" s="9">
        <v>0.2</v>
      </c>
      <c r="H105" s="9">
        <v>21.9</v>
      </c>
      <c r="I105" s="9">
        <v>10</v>
      </c>
      <c r="J105" s="9" t="s">
        <v>122</v>
      </c>
      <c r="K105" s="9" t="s">
        <v>4801</v>
      </c>
      <c r="L105" t="str">
        <f>IF(OR(J105="Cattle",J105="Zebu Cattle"),IF(COUNTIF(lists!$M$2:$M$258, K105) &gt; 0,"bos.indicus",IF(COUNTIF(lists!$L$2:$L$258, K105) &gt; 0,"cross.bred","pure.bred.exotic")),"NA")</f>
        <v>pure.bred.exotic</v>
      </c>
      <c r="M105"/>
      <c r="N105"/>
      <c r="O105" s="9" t="s">
        <v>135</v>
      </c>
      <c r="P105" s="9" t="s">
        <v>106</v>
      </c>
      <c r="Q105" s="9" t="s">
        <v>3809</v>
      </c>
      <c r="R105" s="9" t="s">
        <v>3830</v>
      </c>
      <c r="S105" s="9">
        <v>211</v>
      </c>
      <c r="T105" s="9" t="s">
        <v>106</v>
      </c>
      <c r="U105" s="9">
        <v>172</v>
      </c>
      <c r="V105" s="9" t="s">
        <v>106</v>
      </c>
      <c r="W105" s="9" t="s">
        <v>106</v>
      </c>
      <c r="X105" s="9">
        <v>304</v>
      </c>
      <c r="Y105" s="9" t="s">
        <v>106</v>
      </c>
      <c r="Z105" s="9" t="s">
        <v>106</v>
      </c>
      <c r="AA105" s="9" t="s">
        <v>106</v>
      </c>
      <c r="AB105" s="9" t="s">
        <v>106</v>
      </c>
      <c r="AC105" s="9" t="s">
        <v>5100</v>
      </c>
      <c r="AD105" s="9" t="s">
        <v>5100</v>
      </c>
    </row>
    <row r="106" spans="1:30">
      <c r="A106" s="9" t="s">
        <v>874</v>
      </c>
      <c r="B106" s="9" t="s">
        <v>878</v>
      </c>
      <c r="C106" s="9" t="s">
        <v>105</v>
      </c>
      <c r="D106" s="9">
        <v>18.7</v>
      </c>
      <c r="E106" s="9">
        <v>0.4</v>
      </c>
      <c r="F106" s="9">
        <v>518</v>
      </c>
      <c r="G106" s="9">
        <v>0.114</v>
      </c>
      <c r="H106" s="9">
        <v>21.9</v>
      </c>
      <c r="I106" s="9">
        <v>10</v>
      </c>
      <c r="J106" s="9" t="s">
        <v>122</v>
      </c>
      <c r="K106" s="9" t="s">
        <v>4801</v>
      </c>
      <c r="L106" t="str">
        <f>IF(OR(J106="Cattle",J106="Zebu Cattle"),IF(COUNTIF(lists!$M$2:$M$258, K106) &gt; 0,"bos.indicus",IF(COUNTIF(lists!$L$2:$L$258, K106) &gt; 0,"cross.bred","pure.bred.exotic")),"NA")</f>
        <v>pure.bred.exotic</v>
      </c>
      <c r="M106"/>
      <c r="N106"/>
      <c r="O106" s="9" t="s">
        <v>135</v>
      </c>
      <c r="P106" s="9" t="s">
        <v>106</v>
      </c>
      <c r="Q106" s="9" t="s">
        <v>3809</v>
      </c>
      <c r="R106" s="9" t="s">
        <v>3830</v>
      </c>
      <c r="S106" s="9">
        <v>216</v>
      </c>
      <c r="T106" s="9" t="s">
        <v>106</v>
      </c>
      <c r="U106" s="9">
        <v>175</v>
      </c>
      <c r="V106" s="9" t="s">
        <v>106</v>
      </c>
      <c r="W106" s="9" t="s">
        <v>106</v>
      </c>
      <c r="X106" s="9">
        <v>315</v>
      </c>
      <c r="Y106" s="9" t="s">
        <v>106</v>
      </c>
      <c r="Z106" s="9" t="s">
        <v>106</v>
      </c>
      <c r="AA106" s="9" t="s">
        <v>106</v>
      </c>
      <c r="AB106" s="9" t="s">
        <v>106</v>
      </c>
      <c r="AC106" s="9" t="s">
        <v>5100</v>
      </c>
      <c r="AD106" s="9" t="s">
        <v>5100</v>
      </c>
    </row>
    <row r="107" spans="1:30">
      <c r="A107" s="9" t="s">
        <v>874</v>
      </c>
      <c r="B107" s="9" t="s">
        <v>879</v>
      </c>
      <c r="C107" s="9" t="s">
        <v>105</v>
      </c>
      <c r="D107" s="9">
        <v>17.899999999999999</v>
      </c>
      <c r="E107" s="9">
        <v>0.4</v>
      </c>
      <c r="F107" s="9">
        <v>518</v>
      </c>
      <c r="G107" s="9">
        <v>5.7000000000000002E-2</v>
      </c>
      <c r="H107" s="9">
        <v>22.5</v>
      </c>
      <c r="I107" s="9">
        <v>10</v>
      </c>
      <c r="J107" s="9" t="s">
        <v>122</v>
      </c>
      <c r="K107" s="9" t="s">
        <v>4801</v>
      </c>
      <c r="L107" t="str">
        <f>IF(OR(J107="Cattle",J107="Zebu Cattle"),IF(COUNTIF(lists!$M$2:$M$258, K107) &gt; 0,"bos.indicus",IF(COUNTIF(lists!$L$2:$L$258, K107) &gt; 0,"cross.bred","pure.bred.exotic")),"NA")</f>
        <v>pure.bred.exotic</v>
      </c>
      <c r="M107"/>
      <c r="N107"/>
      <c r="O107" s="9" t="s">
        <v>135</v>
      </c>
      <c r="P107" s="9" t="s">
        <v>106</v>
      </c>
      <c r="Q107" s="9" t="s">
        <v>3809</v>
      </c>
      <c r="R107" s="9" t="s">
        <v>3830</v>
      </c>
      <c r="S107" s="9">
        <v>229</v>
      </c>
      <c r="T107" s="9" t="s">
        <v>106</v>
      </c>
      <c r="U107" s="9">
        <v>179</v>
      </c>
      <c r="V107" s="9" t="s">
        <v>106</v>
      </c>
      <c r="W107" s="9" t="s">
        <v>106</v>
      </c>
      <c r="X107" s="9">
        <v>329</v>
      </c>
      <c r="Y107" s="9" t="s">
        <v>106</v>
      </c>
      <c r="Z107" s="9" t="s">
        <v>106</v>
      </c>
      <c r="AA107" s="9" t="s">
        <v>106</v>
      </c>
      <c r="AB107" s="9" t="s">
        <v>106</v>
      </c>
      <c r="AC107" s="9" t="s">
        <v>5100</v>
      </c>
      <c r="AD107" s="9" t="s">
        <v>5100</v>
      </c>
    </row>
    <row r="108" spans="1:30">
      <c r="A108" s="9" t="s">
        <v>880</v>
      </c>
      <c r="B108" s="9" t="s">
        <v>881</v>
      </c>
      <c r="C108" s="9" t="s">
        <v>105</v>
      </c>
      <c r="D108" s="9">
        <v>22.6</v>
      </c>
      <c r="E108" s="9">
        <v>0.7</v>
      </c>
      <c r="F108" s="9">
        <v>598</v>
      </c>
      <c r="G108" s="9">
        <v>0.22900000000000001</v>
      </c>
      <c r="H108" s="9">
        <v>28.6</v>
      </c>
      <c r="I108" s="9">
        <v>10</v>
      </c>
      <c r="J108" s="9" t="s">
        <v>122</v>
      </c>
      <c r="K108" s="9" t="s">
        <v>4801</v>
      </c>
      <c r="L108" t="str">
        <f>IF(OR(J108="Cattle",J108="Zebu Cattle"),IF(COUNTIF(lists!$M$2:$M$258, K108) &gt; 0,"bos.indicus",IF(COUNTIF(lists!$L$2:$L$258, K108) &gt; 0,"cross.bred","pure.bred.exotic")),"NA")</f>
        <v>pure.bred.exotic</v>
      </c>
      <c r="M108"/>
      <c r="N108"/>
      <c r="O108" s="9" t="s">
        <v>135</v>
      </c>
      <c r="P108" s="9" t="s">
        <v>106</v>
      </c>
      <c r="Q108" s="9" t="s">
        <v>3809</v>
      </c>
      <c r="R108" s="9" t="s">
        <v>3830</v>
      </c>
      <c r="S108" s="9">
        <v>210</v>
      </c>
      <c r="T108" s="9" t="s">
        <v>106</v>
      </c>
      <c r="U108" s="9">
        <v>198</v>
      </c>
      <c r="V108" s="9" t="s">
        <v>106</v>
      </c>
      <c r="W108" s="9" t="s">
        <v>106</v>
      </c>
      <c r="X108" s="9">
        <v>354</v>
      </c>
      <c r="Y108" s="9" t="s">
        <v>106</v>
      </c>
      <c r="Z108" s="9" t="s">
        <v>106</v>
      </c>
      <c r="AA108" s="9" t="s">
        <v>106</v>
      </c>
      <c r="AB108" s="9" t="s">
        <v>106</v>
      </c>
      <c r="AC108" s="9" t="s">
        <v>5100</v>
      </c>
      <c r="AD108" s="9" t="s">
        <v>5100</v>
      </c>
    </row>
    <row r="109" spans="1:30">
      <c r="A109" s="9" t="s">
        <v>880</v>
      </c>
      <c r="B109" s="9" t="s">
        <v>882</v>
      </c>
      <c r="C109" s="9" t="s">
        <v>105</v>
      </c>
      <c r="D109" s="9">
        <v>21.9</v>
      </c>
      <c r="E109" s="9">
        <v>0.7</v>
      </c>
      <c r="F109" s="9">
        <v>592</v>
      </c>
      <c r="G109" s="9">
        <v>0.17100000000000001</v>
      </c>
      <c r="H109" s="9">
        <v>26.9</v>
      </c>
      <c r="I109" s="9">
        <v>10</v>
      </c>
      <c r="J109" s="9" t="s">
        <v>122</v>
      </c>
      <c r="K109" s="9" t="s">
        <v>4801</v>
      </c>
      <c r="L109" t="str">
        <f>IF(OR(J109="Cattle",J109="Zebu Cattle"),IF(COUNTIF(lists!$M$2:$M$258, K109) &gt; 0,"bos.indicus",IF(COUNTIF(lists!$L$2:$L$258, K109) &gt; 0,"cross.bred","pure.bred.exotic")),"NA")</f>
        <v>pure.bred.exotic</v>
      </c>
      <c r="M109"/>
      <c r="N109"/>
      <c r="O109" s="9" t="s">
        <v>135</v>
      </c>
      <c r="P109" s="9" t="s">
        <v>106</v>
      </c>
      <c r="Q109" s="9" t="s">
        <v>3809</v>
      </c>
      <c r="R109" s="9" t="s">
        <v>3830</v>
      </c>
      <c r="S109" s="9">
        <v>179</v>
      </c>
      <c r="T109" s="9" t="s">
        <v>106</v>
      </c>
      <c r="U109" s="9">
        <v>206</v>
      </c>
      <c r="V109" s="9" t="s">
        <v>106</v>
      </c>
      <c r="W109" s="9" t="s">
        <v>106</v>
      </c>
      <c r="X109" s="9">
        <v>350</v>
      </c>
      <c r="Y109" s="9" t="s">
        <v>106</v>
      </c>
      <c r="Z109" s="9" t="s">
        <v>106</v>
      </c>
      <c r="AA109" s="9" t="s">
        <v>106</v>
      </c>
      <c r="AB109" s="9" t="s">
        <v>106</v>
      </c>
      <c r="AC109" s="9" t="s">
        <v>5100</v>
      </c>
      <c r="AD109" s="9" t="s">
        <v>5100</v>
      </c>
    </row>
    <row r="110" spans="1:30">
      <c r="A110" s="9" t="s">
        <v>880</v>
      </c>
      <c r="B110" s="9" t="s">
        <v>883</v>
      </c>
      <c r="C110" s="9" t="s">
        <v>105</v>
      </c>
      <c r="D110" s="9">
        <v>21.9</v>
      </c>
      <c r="E110" s="9">
        <v>0.7</v>
      </c>
      <c r="F110" s="9">
        <v>597.5</v>
      </c>
      <c r="G110" s="9">
        <v>0.25700000000000001</v>
      </c>
      <c r="H110" s="9">
        <v>28</v>
      </c>
      <c r="I110" s="9">
        <v>10</v>
      </c>
      <c r="J110" s="9" t="s">
        <v>122</v>
      </c>
      <c r="K110" s="9" t="s">
        <v>4801</v>
      </c>
      <c r="L110" t="str">
        <f>IF(OR(J110="Cattle",J110="Zebu Cattle"),IF(COUNTIF(lists!$M$2:$M$258, K110) &gt; 0,"bos.indicus",IF(COUNTIF(lists!$L$2:$L$258, K110) &gt; 0,"cross.bred","pure.bred.exotic")),"NA")</f>
        <v>pure.bred.exotic</v>
      </c>
      <c r="M110"/>
      <c r="N110"/>
      <c r="O110" s="9" t="s">
        <v>135</v>
      </c>
      <c r="P110" s="9" t="s">
        <v>106</v>
      </c>
      <c r="Q110" s="9" t="s">
        <v>3809</v>
      </c>
      <c r="R110" s="9" t="s">
        <v>3830</v>
      </c>
      <c r="S110" s="9">
        <v>237</v>
      </c>
      <c r="T110" s="9" t="s">
        <v>106</v>
      </c>
      <c r="U110" s="9">
        <v>201</v>
      </c>
      <c r="V110" s="9" t="s">
        <v>106</v>
      </c>
      <c r="W110" s="9" t="s">
        <v>106</v>
      </c>
      <c r="X110" s="9">
        <v>368</v>
      </c>
      <c r="Y110" s="9" t="s">
        <v>106</v>
      </c>
      <c r="Z110" s="9" t="s">
        <v>106</v>
      </c>
      <c r="AA110" s="9" t="s">
        <v>106</v>
      </c>
      <c r="AB110" s="9" t="s">
        <v>106</v>
      </c>
      <c r="AC110" s="9" t="s">
        <v>5100</v>
      </c>
      <c r="AD110" s="9" t="s">
        <v>5100</v>
      </c>
    </row>
    <row r="111" spans="1:30">
      <c r="A111" s="9" t="s">
        <v>880</v>
      </c>
      <c r="B111" s="9" t="s">
        <v>884</v>
      </c>
      <c r="C111" s="9" t="s">
        <v>105</v>
      </c>
      <c r="D111" s="9">
        <v>22.3</v>
      </c>
      <c r="E111" s="9">
        <v>0.7</v>
      </c>
      <c r="F111" s="9">
        <v>597</v>
      </c>
      <c r="G111" s="9">
        <v>0.34300000000000003</v>
      </c>
      <c r="H111" s="9">
        <v>28.1</v>
      </c>
      <c r="I111" s="9">
        <v>10</v>
      </c>
      <c r="J111" s="9" t="s">
        <v>122</v>
      </c>
      <c r="K111" s="9" t="s">
        <v>4801</v>
      </c>
      <c r="L111" t="str">
        <f>IF(OR(J111="Cattle",J111="Zebu Cattle"),IF(COUNTIF(lists!$M$2:$M$258, K111) &gt; 0,"bos.indicus",IF(COUNTIF(lists!$L$2:$L$258, K111) &gt; 0,"cross.bred","pure.bred.exotic")),"NA")</f>
        <v>pure.bred.exotic</v>
      </c>
      <c r="M111"/>
      <c r="N111"/>
      <c r="O111" s="9" t="s">
        <v>135</v>
      </c>
      <c r="P111" s="9" t="s">
        <v>106</v>
      </c>
      <c r="Q111" s="9" t="s">
        <v>3809</v>
      </c>
      <c r="R111" s="9" t="s">
        <v>3830</v>
      </c>
      <c r="S111" s="9">
        <v>197</v>
      </c>
      <c r="T111" s="9" t="s">
        <v>106</v>
      </c>
      <c r="U111" s="9">
        <v>216</v>
      </c>
      <c r="V111" s="9" t="s">
        <v>106</v>
      </c>
      <c r="W111" s="9" t="s">
        <v>106</v>
      </c>
      <c r="X111" s="9">
        <v>344</v>
      </c>
      <c r="Y111" s="9" t="s">
        <v>106</v>
      </c>
      <c r="Z111" s="9" t="s">
        <v>106</v>
      </c>
      <c r="AA111" s="9" t="s">
        <v>106</v>
      </c>
      <c r="AB111" s="9" t="s">
        <v>106</v>
      </c>
      <c r="AC111" s="9" t="s">
        <v>5100</v>
      </c>
      <c r="AD111" s="9" t="s">
        <v>5100</v>
      </c>
    </row>
    <row r="112" spans="1:30">
      <c r="A112" s="9" t="s">
        <v>880</v>
      </c>
      <c r="B112" s="9" t="s">
        <v>885</v>
      </c>
      <c r="C112" s="9" t="s">
        <v>105</v>
      </c>
      <c r="D112" s="9">
        <v>21.1</v>
      </c>
      <c r="E112" s="9">
        <v>0.6</v>
      </c>
      <c r="F112" s="9">
        <v>588.5</v>
      </c>
      <c r="G112" s="9">
        <v>-0.2</v>
      </c>
      <c r="H112" s="9">
        <v>26.7</v>
      </c>
      <c r="I112" s="9">
        <v>10</v>
      </c>
      <c r="J112" s="9" t="s">
        <v>122</v>
      </c>
      <c r="K112" s="9" t="s">
        <v>4801</v>
      </c>
      <c r="L112" t="str">
        <f>IF(OR(J112="Cattle",J112="Zebu Cattle"),IF(COUNTIF(lists!$M$2:$M$258, K112) &gt; 0,"bos.indicus",IF(COUNTIF(lists!$L$2:$L$258, K112) &gt; 0,"cross.bred","pure.bred.exotic")),"NA")</f>
        <v>pure.bred.exotic</v>
      </c>
      <c r="M112"/>
      <c r="N112"/>
      <c r="O112" s="9" t="s">
        <v>135</v>
      </c>
      <c r="P112" s="9" t="s">
        <v>106</v>
      </c>
      <c r="Q112" s="9" t="s">
        <v>3809</v>
      </c>
      <c r="R112" s="9" t="s">
        <v>3830</v>
      </c>
      <c r="S112" s="9">
        <v>200</v>
      </c>
      <c r="T112" s="9" t="s">
        <v>106</v>
      </c>
      <c r="U112" s="9">
        <v>210</v>
      </c>
      <c r="V112" s="9" t="s">
        <v>106</v>
      </c>
      <c r="W112" s="9" t="s">
        <v>106</v>
      </c>
      <c r="X112" s="9">
        <v>333</v>
      </c>
      <c r="Y112" s="9" t="s">
        <v>106</v>
      </c>
      <c r="Z112" s="9" t="s">
        <v>106</v>
      </c>
      <c r="AA112" s="9" t="s">
        <v>106</v>
      </c>
      <c r="AB112" s="9" t="s">
        <v>106</v>
      </c>
      <c r="AC112" s="9" t="s">
        <v>5100</v>
      </c>
      <c r="AD112" s="9" t="s">
        <v>5100</v>
      </c>
    </row>
    <row r="113" spans="1:30">
      <c r="A113" s="9" t="s">
        <v>886</v>
      </c>
      <c r="B113" s="9" t="s">
        <v>887</v>
      </c>
      <c r="C113" s="9" t="s">
        <v>105</v>
      </c>
      <c r="D113" s="9">
        <v>20.7</v>
      </c>
      <c r="E113" s="9">
        <v>0.6</v>
      </c>
      <c r="F113" s="9">
        <v>554</v>
      </c>
      <c r="G113" s="9">
        <v>-0.91400000000000003</v>
      </c>
      <c r="H113" s="9">
        <v>23.1</v>
      </c>
      <c r="I113" s="9">
        <v>10</v>
      </c>
      <c r="J113" s="9" t="s">
        <v>122</v>
      </c>
      <c r="K113" s="9" t="s">
        <v>4801</v>
      </c>
      <c r="L113" t="str">
        <f>IF(OR(J113="Cattle",J113="Zebu Cattle"),IF(COUNTIF(lists!$M$2:$M$258, K113) &gt; 0,"bos.indicus",IF(COUNTIF(lists!$L$2:$L$258, K113) &gt; 0,"cross.bred","pure.bred.exotic")),"NA")</f>
        <v>pure.bred.exotic</v>
      </c>
      <c r="M113"/>
      <c r="N113"/>
      <c r="O113" s="9" t="s">
        <v>135</v>
      </c>
      <c r="P113" s="9" t="s">
        <v>106</v>
      </c>
      <c r="Q113" s="9" t="s">
        <v>3809</v>
      </c>
      <c r="R113" s="9" t="s">
        <v>3830</v>
      </c>
      <c r="S113" s="9">
        <v>266</v>
      </c>
      <c r="T113" s="9" t="s">
        <v>106</v>
      </c>
      <c r="U113" s="9">
        <v>178</v>
      </c>
      <c r="V113" s="9" t="s">
        <v>106</v>
      </c>
      <c r="W113" s="9" t="s">
        <v>106</v>
      </c>
      <c r="X113" s="9">
        <v>380</v>
      </c>
      <c r="Y113" s="9" t="s">
        <v>106</v>
      </c>
      <c r="Z113" s="9" t="s">
        <v>106</v>
      </c>
      <c r="AA113" s="9" t="s">
        <v>106</v>
      </c>
      <c r="AB113" s="9" t="s">
        <v>106</v>
      </c>
      <c r="AC113" s="9" t="s">
        <v>5100</v>
      </c>
      <c r="AD113" s="9" t="s">
        <v>5100</v>
      </c>
    </row>
    <row r="114" spans="1:30">
      <c r="A114" s="9" t="s">
        <v>886</v>
      </c>
      <c r="B114" s="9" t="s">
        <v>888</v>
      </c>
      <c r="C114" s="9" t="s">
        <v>105</v>
      </c>
      <c r="D114" s="9">
        <v>20.399999999999999</v>
      </c>
      <c r="E114" s="9">
        <v>0.6</v>
      </c>
      <c r="F114" s="9">
        <v>562</v>
      </c>
      <c r="G114" s="9">
        <v>0</v>
      </c>
      <c r="H114" s="9">
        <v>25.6</v>
      </c>
      <c r="I114" s="9">
        <v>10</v>
      </c>
      <c r="J114" s="9" t="s">
        <v>122</v>
      </c>
      <c r="K114" s="9" t="s">
        <v>4801</v>
      </c>
      <c r="L114" t="str">
        <f>IF(OR(J114="Cattle",J114="Zebu Cattle"),IF(COUNTIF(lists!$M$2:$M$258, K114) &gt; 0,"bos.indicus",IF(COUNTIF(lists!$L$2:$L$258, K114) &gt; 0,"cross.bred","pure.bred.exotic")),"NA")</f>
        <v>pure.bred.exotic</v>
      </c>
      <c r="M114"/>
      <c r="N114"/>
      <c r="O114" s="9" t="s">
        <v>135</v>
      </c>
      <c r="P114" s="9" t="s">
        <v>106</v>
      </c>
      <c r="Q114" s="9" t="s">
        <v>3809</v>
      </c>
      <c r="R114" s="9" t="s">
        <v>3830</v>
      </c>
      <c r="S114" s="9">
        <v>257</v>
      </c>
      <c r="T114" s="9" t="s">
        <v>106</v>
      </c>
      <c r="U114" s="9">
        <v>178</v>
      </c>
      <c r="V114" s="9" t="s">
        <v>106</v>
      </c>
      <c r="W114" s="9" t="s">
        <v>106</v>
      </c>
      <c r="X114" s="9">
        <v>377</v>
      </c>
      <c r="Y114" s="9" t="s">
        <v>106</v>
      </c>
      <c r="Z114" s="9" t="s">
        <v>106</v>
      </c>
      <c r="AA114" s="9" t="s">
        <v>106</v>
      </c>
      <c r="AB114" s="9" t="s">
        <v>106</v>
      </c>
      <c r="AC114" s="9" t="s">
        <v>5100</v>
      </c>
      <c r="AD114" s="9" t="s">
        <v>5100</v>
      </c>
    </row>
    <row r="115" spans="1:30">
      <c r="A115" s="9" t="s">
        <v>886</v>
      </c>
      <c r="B115" s="9" t="s">
        <v>889</v>
      </c>
      <c r="C115" s="9" t="s">
        <v>105</v>
      </c>
      <c r="D115" s="9">
        <v>21.1</v>
      </c>
      <c r="E115" s="9">
        <v>0.5</v>
      </c>
      <c r="F115" s="9">
        <v>548.5</v>
      </c>
      <c r="G115" s="9">
        <v>-0.42899999999999999</v>
      </c>
      <c r="H115" s="9">
        <v>24.4</v>
      </c>
      <c r="I115" s="9">
        <v>10</v>
      </c>
      <c r="J115" s="9" t="s">
        <v>122</v>
      </c>
      <c r="K115" s="9" t="s">
        <v>4801</v>
      </c>
      <c r="L115" t="str">
        <f>IF(OR(J115="Cattle",J115="Zebu Cattle"),IF(COUNTIF(lists!$M$2:$M$258, K115) &gt; 0,"bos.indicus",IF(COUNTIF(lists!$L$2:$L$258, K115) &gt; 0,"cross.bred","pure.bred.exotic")),"NA")</f>
        <v>pure.bred.exotic</v>
      </c>
      <c r="M115"/>
      <c r="N115"/>
      <c r="O115" s="9" t="s">
        <v>135</v>
      </c>
      <c r="P115" s="9" t="s">
        <v>106</v>
      </c>
      <c r="Q115" s="9" t="s">
        <v>3809</v>
      </c>
      <c r="R115" s="9" t="s">
        <v>3830</v>
      </c>
      <c r="S115" s="9">
        <v>260</v>
      </c>
      <c r="T115" s="9" t="s">
        <v>106</v>
      </c>
      <c r="U115" s="9">
        <v>173</v>
      </c>
      <c r="V115" s="9" t="s">
        <v>106</v>
      </c>
      <c r="W115" s="9" t="s">
        <v>106</v>
      </c>
      <c r="X115" s="9">
        <v>387</v>
      </c>
      <c r="Y115" s="9" t="s">
        <v>106</v>
      </c>
      <c r="Z115" s="9" t="s">
        <v>106</v>
      </c>
      <c r="AA115" s="9" t="s">
        <v>106</v>
      </c>
      <c r="AB115" s="9" t="s">
        <v>106</v>
      </c>
      <c r="AC115" s="9" t="s">
        <v>5100</v>
      </c>
      <c r="AD115" s="9" t="s">
        <v>5100</v>
      </c>
    </row>
    <row r="116" spans="1:30">
      <c r="A116" s="9" t="s">
        <v>886</v>
      </c>
      <c r="B116" s="9" t="s">
        <v>890</v>
      </c>
      <c r="C116" s="9" t="s">
        <v>105</v>
      </c>
      <c r="D116" s="9">
        <v>20.9</v>
      </c>
      <c r="E116" s="9">
        <v>0.5</v>
      </c>
      <c r="F116" s="9">
        <v>569</v>
      </c>
      <c r="G116" s="9">
        <v>1.2</v>
      </c>
      <c r="H116" s="9">
        <v>24.6</v>
      </c>
      <c r="I116" s="9">
        <v>10</v>
      </c>
      <c r="J116" s="9" t="s">
        <v>122</v>
      </c>
      <c r="K116" s="9" t="s">
        <v>4801</v>
      </c>
      <c r="L116" t="str">
        <f>IF(OR(J116="Cattle",J116="Zebu Cattle"),IF(COUNTIF(lists!$M$2:$M$258, K116) &gt; 0,"bos.indicus",IF(COUNTIF(lists!$L$2:$L$258, K116) &gt; 0,"cross.bred","pure.bred.exotic")),"NA")</f>
        <v>pure.bred.exotic</v>
      </c>
      <c r="M116"/>
      <c r="N116"/>
      <c r="O116" s="9" t="s">
        <v>135</v>
      </c>
      <c r="P116" s="9" t="s">
        <v>106</v>
      </c>
      <c r="Q116" s="9" t="s">
        <v>3809</v>
      </c>
      <c r="R116" s="9" t="s">
        <v>3830</v>
      </c>
      <c r="S116" s="9">
        <v>281</v>
      </c>
      <c r="T116" s="9" t="s">
        <v>106</v>
      </c>
      <c r="U116" s="9">
        <v>169</v>
      </c>
      <c r="V116" s="9" t="s">
        <v>106</v>
      </c>
      <c r="W116" s="9" t="s">
        <v>106</v>
      </c>
      <c r="X116" s="9">
        <v>414</v>
      </c>
      <c r="Y116" s="9" t="s">
        <v>106</v>
      </c>
      <c r="Z116" s="9" t="s">
        <v>106</v>
      </c>
      <c r="AA116" s="9" t="s">
        <v>106</v>
      </c>
      <c r="AB116" s="9" t="s">
        <v>106</v>
      </c>
      <c r="AC116" s="9" t="s">
        <v>5100</v>
      </c>
      <c r="AD116" s="9" t="s">
        <v>5100</v>
      </c>
    </row>
    <row r="117" spans="1:30">
      <c r="A117" s="9" t="s">
        <v>886</v>
      </c>
      <c r="B117" s="9" t="s">
        <v>891</v>
      </c>
      <c r="C117" s="9" t="s">
        <v>105</v>
      </c>
      <c r="D117" s="9">
        <v>19.8</v>
      </c>
      <c r="E117" s="9">
        <v>0.6</v>
      </c>
      <c r="F117" s="9">
        <v>553.5</v>
      </c>
      <c r="G117" s="9">
        <v>0.88600000000000001</v>
      </c>
      <c r="H117" s="9">
        <v>24.6</v>
      </c>
      <c r="I117" s="9">
        <v>10</v>
      </c>
      <c r="J117" s="9" t="s">
        <v>122</v>
      </c>
      <c r="K117" s="9" t="s">
        <v>4801</v>
      </c>
      <c r="L117" t="str">
        <f>IF(OR(J117="Cattle",J117="Zebu Cattle"),IF(COUNTIF(lists!$M$2:$M$258, K117) &gt; 0,"bos.indicus",IF(COUNTIF(lists!$L$2:$L$258, K117) &gt; 0,"cross.bred","pure.bred.exotic")),"NA")</f>
        <v>pure.bred.exotic</v>
      </c>
      <c r="M117"/>
      <c r="N117"/>
      <c r="O117" s="9" t="s">
        <v>135</v>
      </c>
      <c r="P117" s="9" t="s">
        <v>106</v>
      </c>
      <c r="Q117" s="9" t="s">
        <v>3809</v>
      </c>
      <c r="R117" s="9" t="s">
        <v>3830</v>
      </c>
      <c r="S117" s="9">
        <v>277</v>
      </c>
      <c r="T117" s="9" t="s">
        <v>106</v>
      </c>
      <c r="U117" s="9">
        <v>168</v>
      </c>
      <c r="V117" s="9" t="s">
        <v>106</v>
      </c>
      <c r="W117" s="9" t="s">
        <v>106</v>
      </c>
      <c r="X117" s="9">
        <v>405</v>
      </c>
      <c r="Y117" s="9" t="s">
        <v>106</v>
      </c>
      <c r="Z117" s="9" t="s">
        <v>106</v>
      </c>
      <c r="AA117" s="9" t="s">
        <v>106</v>
      </c>
      <c r="AB117" s="9" t="s">
        <v>106</v>
      </c>
      <c r="AC117" s="9" t="s">
        <v>5100</v>
      </c>
      <c r="AD117" s="9" t="s">
        <v>5100</v>
      </c>
    </row>
    <row r="118" spans="1:30">
      <c r="A118" s="9" t="s">
        <v>912</v>
      </c>
      <c r="B118" s="9" t="s">
        <v>913</v>
      </c>
      <c r="C118" s="9" t="s">
        <v>105</v>
      </c>
      <c r="D118" s="9">
        <v>6.82</v>
      </c>
      <c r="E118" s="9">
        <v>0.06</v>
      </c>
      <c r="F118" s="9">
        <v>284.13</v>
      </c>
      <c r="G118" s="9">
        <v>1.1599999999999999</v>
      </c>
      <c r="H118" s="9" t="s">
        <v>106</v>
      </c>
      <c r="I118" s="9">
        <v>8</v>
      </c>
      <c r="J118" s="9" t="s">
        <v>122</v>
      </c>
      <c r="K118" s="9" t="s">
        <v>914</v>
      </c>
      <c r="L118" t="str">
        <f>IF(OR(J118="Cattle",J118="Zebu Cattle"),IF(COUNTIF(lists!$M$2:$M$258, K118) &gt; 0,"bos.indicus",IF(COUNTIF(lists!$L$2:$L$258, K118) &gt; 0,"cross.bred","pure.bred.exotic")),"NA")</f>
        <v>cross.bred</v>
      </c>
      <c r="M118"/>
      <c r="N118"/>
      <c r="O118" s="9" t="s">
        <v>124</v>
      </c>
      <c r="P118" s="9" t="s">
        <v>4763</v>
      </c>
      <c r="Q118" s="9" t="s">
        <v>3806</v>
      </c>
      <c r="R118" s="9" t="s">
        <v>3830</v>
      </c>
      <c r="S118" s="9">
        <v>135.6</v>
      </c>
      <c r="T118" s="9">
        <v>129.5</v>
      </c>
      <c r="U118" s="9">
        <v>155.4</v>
      </c>
      <c r="V118" s="9">
        <v>326.8</v>
      </c>
      <c r="W118" s="9">
        <v>39.5</v>
      </c>
      <c r="X118" s="9">
        <v>256.39999999999998</v>
      </c>
      <c r="Y118" s="9">
        <v>61.47</v>
      </c>
      <c r="Z118" s="9" t="s">
        <v>106</v>
      </c>
      <c r="AA118" s="9" t="s">
        <v>106</v>
      </c>
      <c r="AB118" s="9">
        <v>69.97</v>
      </c>
      <c r="AC118" s="9" t="s">
        <v>5100</v>
      </c>
      <c r="AD118" s="9" t="s">
        <v>5100</v>
      </c>
    </row>
    <row r="119" spans="1:30">
      <c r="A119" s="9" t="s">
        <v>912</v>
      </c>
      <c r="B119" s="9" t="s">
        <v>916</v>
      </c>
      <c r="C119" s="9" t="s">
        <v>105</v>
      </c>
      <c r="D119" s="9">
        <v>6.9</v>
      </c>
      <c r="E119" s="9">
        <v>0.06</v>
      </c>
      <c r="F119" s="9">
        <v>285.63</v>
      </c>
      <c r="G119" s="9">
        <v>1.1499999999999999</v>
      </c>
      <c r="H119" s="9" t="s">
        <v>106</v>
      </c>
      <c r="I119" s="9">
        <v>8</v>
      </c>
      <c r="J119" s="9" t="s">
        <v>122</v>
      </c>
      <c r="K119" s="9" t="s">
        <v>914</v>
      </c>
      <c r="L119" t="str">
        <f>IF(OR(J119="Cattle",J119="Zebu Cattle"),IF(COUNTIF(lists!$M$2:$M$258, K119) &gt; 0,"bos.indicus",IF(COUNTIF(lists!$L$2:$L$258, K119) &gt; 0,"cross.bred","pure.bred.exotic")),"NA")</f>
        <v>cross.bred</v>
      </c>
      <c r="M119"/>
      <c r="N119"/>
      <c r="O119" s="9" t="s">
        <v>124</v>
      </c>
      <c r="P119" s="9" t="s">
        <v>4763</v>
      </c>
      <c r="Q119" s="9" t="s">
        <v>3806</v>
      </c>
      <c r="R119" s="9" t="s">
        <v>3830</v>
      </c>
      <c r="S119" s="9">
        <v>135.4</v>
      </c>
      <c r="T119" s="9">
        <v>124.7</v>
      </c>
      <c r="U119" s="9">
        <v>153.80000000000001</v>
      </c>
      <c r="V119" s="9">
        <v>326.8</v>
      </c>
      <c r="W119" s="9">
        <v>46</v>
      </c>
      <c r="X119" s="9">
        <v>258.39999999999998</v>
      </c>
      <c r="Y119" s="9">
        <v>62</v>
      </c>
      <c r="Z119" s="9" t="s">
        <v>106</v>
      </c>
      <c r="AA119" s="9" t="s">
        <v>106</v>
      </c>
      <c r="AB119" s="9">
        <v>70.23</v>
      </c>
      <c r="AC119" s="9" t="s">
        <v>5100</v>
      </c>
      <c r="AD119" s="9" t="s">
        <v>5100</v>
      </c>
    </row>
    <row r="120" spans="1:30">
      <c r="A120" s="9" t="s">
        <v>912</v>
      </c>
      <c r="B120" s="9" t="s">
        <v>917</v>
      </c>
      <c r="C120" s="9" t="s">
        <v>105</v>
      </c>
      <c r="D120" s="9">
        <v>7.02</v>
      </c>
      <c r="E120" s="9">
        <v>0.06</v>
      </c>
      <c r="F120" s="9">
        <v>298.13</v>
      </c>
      <c r="G120" s="9">
        <v>1.32</v>
      </c>
      <c r="H120" s="9" t="s">
        <v>106</v>
      </c>
      <c r="I120" s="9">
        <v>8</v>
      </c>
      <c r="J120" s="9" t="s">
        <v>122</v>
      </c>
      <c r="K120" s="9" t="s">
        <v>914</v>
      </c>
      <c r="L120" t="str">
        <f>IF(OR(J120="Cattle",J120="Zebu Cattle"),IF(COUNTIF(lists!$M$2:$M$258, K120) &gt; 0,"bos.indicus",IF(COUNTIF(lists!$L$2:$L$258, K120) &gt; 0,"cross.bred","pure.bred.exotic")),"NA")</f>
        <v>cross.bred</v>
      </c>
      <c r="M120"/>
      <c r="N120"/>
      <c r="O120" s="9" t="s">
        <v>124</v>
      </c>
      <c r="P120" s="9" t="s">
        <v>4763</v>
      </c>
      <c r="Q120" s="9" t="s">
        <v>3806</v>
      </c>
      <c r="R120" s="9" t="s">
        <v>3830</v>
      </c>
      <c r="S120" s="9">
        <v>135.5</v>
      </c>
      <c r="T120" s="9">
        <v>127.1</v>
      </c>
      <c r="U120" s="9">
        <v>154.69999999999999</v>
      </c>
      <c r="V120" s="9">
        <v>326.8</v>
      </c>
      <c r="W120" s="9">
        <v>42.8</v>
      </c>
      <c r="X120" s="9">
        <v>257.3</v>
      </c>
      <c r="Y120" s="9">
        <v>68.930000000000007</v>
      </c>
      <c r="Z120" s="9" t="s">
        <v>106</v>
      </c>
      <c r="AA120" s="9" t="s">
        <v>106</v>
      </c>
      <c r="AB120" s="9">
        <v>76.92</v>
      </c>
      <c r="AC120" s="9" t="s">
        <v>5100</v>
      </c>
      <c r="AD120" s="9" t="s">
        <v>5100</v>
      </c>
    </row>
    <row r="121" spans="1:30">
      <c r="A121" s="9" t="s">
        <v>912</v>
      </c>
      <c r="B121" s="9" t="s">
        <v>915</v>
      </c>
      <c r="C121" s="9" t="s">
        <v>105</v>
      </c>
      <c r="D121" s="9">
        <v>6.7</v>
      </c>
      <c r="E121" s="9">
        <v>0.06</v>
      </c>
      <c r="F121" s="9">
        <v>283.13</v>
      </c>
      <c r="G121" s="9">
        <v>1.07</v>
      </c>
      <c r="H121" s="9" t="s">
        <v>106</v>
      </c>
      <c r="I121" s="9">
        <v>8</v>
      </c>
      <c r="J121" s="9" t="s">
        <v>122</v>
      </c>
      <c r="K121" s="9" t="s">
        <v>914</v>
      </c>
      <c r="L121" t="str">
        <f>IF(OR(J121="Cattle",J121="Zebu Cattle"),IF(COUNTIF(lists!$M$2:$M$258, K121) &gt; 0,"bos.indicus",IF(COUNTIF(lists!$L$2:$L$258, K121) &gt; 0,"cross.bred","pure.bred.exotic")),"NA")</f>
        <v>cross.bred</v>
      </c>
      <c r="M121"/>
      <c r="N121"/>
      <c r="O121" s="9" t="s">
        <v>124</v>
      </c>
      <c r="P121" s="9" t="s">
        <v>4763</v>
      </c>
      <c r="Q121" s="9" t="s">
        <v>3806</v>
      </c>
      <c r="R121" s="9" t="s">
        <v>3830</v>
      </c>
      <c r="S121" s="9">
        <v>135.30000000000001</v>
      </c>
      <c r="T121" s="9">
        <v>120</v>
      </c>
      <c r="U121" s="9">
        <v>152.1</v>
      </c>
      <c r="V121" s="9">
        <v>326.8</v>
      </c>
      <c r="W121" s="9">
        <v>52.5</v>
      </c>
      <c r="X121" s="9">
        <v>260.39999999999998</v>
      </c>
      <c r="Y121" s="9">
        <v>60.37</v>
      </c>
      <c r="Z121" s="9" t="s">
        <v>106</v>
      </c>
      <c r="AA121" s="9" t="s">
        <v>106</v>
      </c>
      <c r="AB121" s="9">
        <v>69.069999999999993</v>
      </c>
      <c r="AC121" s="9" t="s">
        <v>5100</v>
      </c>
      <c r="AD121" s="9" t="s">
        <v>5100</v>
      </c>
    </row>
    <row r="122" spans="1:30">
      <c r="A122" s="9" t="s">
        <v>923</v>
      </c>
      <c r="B122" s="9" t="s">
        <v>669</v>
      </c>
      <c r="C122" s="9" t="s">
        <v>105</v>
      </c>
      <c r="D122" s="9">
        <v>12.2</v>
      </c>
      <c r="E122" s="9">
        <v>0.71</v>
      </c>
      <c r="F122" s="9" t="s">
        <v>106</v>
      </c>
      <c r="G122" s="9" t="s">
        <v>106</v>
      </c>
      <c r="H122" s="9">
        <v>15.1</v>
      </c>
      <c r="I122" s="9">
        <v>11</v>
      </c>
      <c r="J122" s="9" t="s">
        <v>122</v>
      </c>
      <c r="K122" s="9" t="s">
        <v>924</v>
      </c>
      <c r="L122" t="str">
        <f>IF(OR(J122="Cattle",J122="Zebu Cattle"),IF(COUNTIF(lists!$M$2:$M$258, K122) &gt; 0,"bos.indicus",IF(COUNTIF(lists!$L$2:$L$258, K122) &gt; 0,"cross.bred","pure.bred.exotic")),"NA")</f>
        <v>pure.bred.exotic</v>
      </c>
      <c r="M122"/>
      <c r="N122"/>
      <c r="O122" s="9" t="s">
        <v>135</v>
      </c>
      <c r="P122" s="9" t="s">
        <v>202</v>
      </c>
      <c r="Q122" s="9" t="s">
        <v>3809</v>
      </c>
      <c r="R122" s="9" t="s">
        <v>3830</v>
      </c>
      <c r="S122" s="9">
        <v>203</v>
      </c>
      <c r="T122" s="9" t="s">
        <v>106</v>
      </c>
      <c r="U122" s="9">
        <v>156</v>
      </c>
      <c r="V122" s="9">
        <v>929</v>
      </c>
      <c r="W122" s="9">
        <v>232</v>
      </c>
      <c r="X122" s="9">
        <v>408</v>
      </c>
      <c r="Y122" s="9" t="s">
        <v>106</v>
      </c>
      <c r="Z122" s="9" t="s">
        <v>106</v>
      </c>
      <c r="AA122" s="9" t="s">
        <v>106</v>
      </c>
      <c r="AB122" s="9" t="s">
        <v>106</v>
      </c>
      <c r="AC122" s="9" t="s">
        <v>5100</v>
      </c>
      <c r="AD122" s="9" t="s">
        <v>5100</v>
      </c>
    </row>
    <row r="123" spans="1:30">
      <c r="A123" s="9" t="s">
        <v>923</v>
      </c>
      <c r="B123" s="9" t="s">
        <v>925</v>
      </c>
      <c r="C123" s="9" t="s">
        <v>105</v>
      </c>
      <c r="D123" s="9">
        <v>12.9</v>
      </c>
      <c r="E123" s="9">
        <v>0.71</v>
      </c>
      <c r="F123" s="9" t="s">
        <v>106</v>
      </c>
      <c r="G123" s="9" t="s">
        <v>106</v>
      </c>
      <c r="H123" s="9">
        <v>15.5</v>
      </c>
      <c r="I123" s="9">
        <v>11</v>
      </c>
      <c r="J123" s="9" t="s">
        <v>122</v>
      </c>
      <c r="K123" s="9" t="s">
        <v>924</v>
      </c>
      <c r="L123" t="str">
        <f>IF(OR(J123="Cattle",J123="Zebu Cattle"),IF(COUNTIF(lists!$M$2:$M$258, K123) &gt; 0,"bos.indicus",IF(COUNTIF(lists!$L$2:$L$258, K123) &gt; 0,"cross.bred","pure.bred.exotic")),"NA")</f>
        <v>pure.bred.exotic</v>
      </c>
      <c r="M123"/>
      <c r="N123"/>
      <c r="O123" s="9" t="s">
        <v>135</v>
      </c>
      <c r="P123" s="9" t="s">
        <v>202</v>
      </c>
      <c r="Q123" s="9" t="s">
        <v>3809</v>
      </c>
      <c r="R123" s="9" t="s">
        <v>3830</v>
      </c>
      <c r="S123" s="9">
        <v>203</v>
      </c>
      <c r="T123" s="9" t="s">
        <v>106</v>
      </c>
      <c r="U123" s="9">
        <v>156</v>
      </c>
      <c r="V123" s="9">
        <v>929</v>
      </c>
      <c r="W123" s="9">
        <v>232</v>
      </c>
      <c r="X123" s="9">
        <v>408</v>
      </c>
      <c r="Y123" s="9" t="s">
        <v>106</v>
      </c>
      <c r="Z123" s="9" t="s">
        <v>106</v>
      </c>
      <c r="AA123" s="9" t="s">
        <v>106</v>
      </c>
      <c r="AB123" s="9" t="s">
        <v>106</v>
      </c>
      <c r="AC123" s="9" t="s">
        <v>5100</v>
      </c>
      <c r="AD123" s="9" t="s">
        <v>5100</v>
      </c>
    </row>
    <row r="124" spans="1:30">
      <c r="A124" s="9" t="s">
        <v>923</v>
      </c>
      <c r="B124" s="9" t="s">
        <v>926</v>
      </c>
      <c r="C124" s="9" t="s">
        <v>105</v>
      </c>
      <c r="D124" s="9">
        <v>12.6</v>
      </c>
      <c r="E124" s="9">
        <v>0.71</v>
      </c>
      <c r="F124" s="9" t="s">
        <v>106</v>
      </c>
      <c r="G124" s="9" t="s">
        <v>106</v>
      </c>
      <c r="H124" s="9">
        <v>16.8</v>
      </c>
      <c r="I124" s="9">
        <v>11</v>
      </c>
      <c r="J124" s="9" t="s">
        <v>122</v>
      </c>
      <c r="K124" s="9" t="s">
        <v>924</v>
      </c>
      <c r="L124" t="str">
        <f>IF(OR(J124="Cattle",J124="Zebu Cattle"),IF(COUNTIF(lists!$M$2:$M$258, K124) &gt; 0,"bos.indicus",IF(COUNTIF(lists!$L$2:$L$258, K124) &gt; 0,"cross.bred","pure.bred.exotic")),"NA")</f>
        <v>pure.bred.exotic</v>
      </c>
      <c r="M124"/>
      <c r="N124"/>
      <c r="O124" s="9" t="s">
        <v>135</v>
      </c>
      <c r="P124" s="9" t="s">
        <v>202</v>
      </c>
      <c r="Q124" s="9" t="s">
        <v>3809</v>
      </c>
      <c r="R124" s="9" t="s">
        <v>3830</v>
      </c>
      <c r="S124" s="9">
        <v>203</v>
      </c>
      <c r="T124" s="9" t="s">
        <v>106</v>
      </c>
      <c r="U124" s="9">
        <v>156</v>
      </c>
      <c r="V124" s="9">
        <v>929</v>
      </c>
      <c r="W124" s="9">
        <v>232</v>
      </c>
      <c r="X124" s="9">
        <v>408</v>
      </c>
      <c r="Y124" s="9" t="s">
        <v>106</v>
      </c>
      <c r="Z124" s="9" t="s">
        <v>106</v>
      </c>
      <c r="AA124" s="9" t="s">
        <v>106</v>
      </c>
      <c r="AB124" s="9" t="s">
        <v>106</v>
      </c>
      <c r="AC124" s="9" t="s">
        <v>5100</v>
      </c>
      <c r="AD124" s="9" t="s">
        <v>5100</v>
      </c>
    </row>
    <row r="125" spans="1:30">
      <c r="A125" s="9" t="s">
        <v>934</v>
      </c>
      <c r="B125" s="9" t="s">
        <v>935</v>
      </c>
      <c r="C125" s="9" t="s">
        <v>105</v>
      </c>
      <c r="D125" s="9">
        <v>6.5</v>
      </c>
      <c r="E125" s="9" t="s">
        <v>106</v>
      </c>
      <c r="F125" s="9">
        <v>211.49</v>
      </c>
      <c r="G125" s="9">
        <v>0.8</v>
      </c>
      <c r="H125" s="9" t="s">
        <v>106</v>
      </c>
      <c r="I125" s="9">
        <v>8</v>
      </c>
      <c r="J125" s="9" t="s">
        <v>122</v>
      </c>
      <c r="K125" s="9" t="s">
        <v>936</v>
      </c>
      <c r="L125" t="str">
        <f>IF(OR(J125="Cattle",J125="Zebu Cattle"),IF(COUNTIF(lists!$M$2:$M$258, K125) &gt; 0,"bos.indicus",IF(COUNTIF(lists!$L$2:$L$258, K125) &gt; 0,"cross.bred","pure.bred.exotic")),"NA")</f>
        <v>bos.indicus</v>
      </c>
      <c r="M125"/>
      <c r="N125"/>
      <c r="O125" s="9" t="s">
        <v>109</v>
      </c>
      <c r="P125" s="9" t="s">
        <v>652</v>
      </c>
      <c r="Q125" s="9" t="s">
        <v>3805</v>
      </c>
      <c r="R125" s="9" t="s">
        <v>3830</v>
      </c>
      <c r="S125" s="9">
        <v>146.71</v>
      </c>
      <c r="T125" s="9">
        <v>40.5</v>
      </c>
      <c r="U125" s="9">
        <v>106.28</v>
      </c>
      <c r="V125" s="9">
        <v>899.46</v>
      </c>
      <c r="W125" s="9">
        <v>36.96</v>
      </c>
      <c r="X125" s="9">
        <v>229.61</v>
      </c>
      <c r="Y125" s="9" t="s">
        <v>106</v>
      </c>
      <c r="Z125" s="9" t="s">
        <v>106</v>
      </c>
      <c r="AA125" s="9" t="s">
        <v>106</v>
      </c>
      <c r="AB125" s="9" t="s">
        <v>106</v>
      </c>
      <c r="AC125" s="9" t="s">
        <v>5100</v>
      </c>
      <c r="AD125" s="9" t="s">
        <v>5100</v>
      </c>
    </row>
    <row r="126" spans="1:30">
      <c r="A126" s="9" t="s">
        <v>934</v>
      </c>
      <c r="B126" s="9" t="s">
        <v>937</v>
      </c>
      <c r="C126" s="9" t="s">
        <v>105</v>
      </c>
      <c r="D126" s="9">
        <v>6</v>
      </c>
      <c r="E126" s="9" t="s">
        <v>106</v>
      </c>
      <c r="F126" s="9">
        <v>211.3</v>
      </c>
      <c r="G126" s="9">
        <v>0.73</v>
      </c>
      <c r="H126" s="9" t="s">
        <v>106</v>
      </c>
      <c r="I126" s="9">
        <v>8</v>
      </c>
      <c r="J126" s="9" t="s">
        <v>122</v>
      </c>
      <c r="K126" s="9" t="s">
        <v>936</v>
      </c>
      <c r="L126" t="str">
        <f>IF(OR(J126="Cattle",J126="Zebu Cattle"),IF(COUNTIF(lists!$M$2:$M$258, K126) &gt; 0,"bos.indicus",IF(COUNTIF(lists!$L$2:$L$258, K126) &gt; 0,"cross.bred","pure.bred.exotic")),"NA")</f>
        <v>bos.indicus</v>
      </c>
      <c r="M126"/>
      <c r="N126"/>
      <c r="O126" s="9" t="s">
        <v>109</v>
      </c>
      <c r="P126" s="9" t="s">
        <v>652</v>
      </c>
      <c r="Q126" s="9" t="s">
        <v>3805</v>
      </c>
      <c r="R126" s="9" t="s">
        <v>3830</v>
      </c>
      <c r="S126" s="9">
        <v>164.22</v>
      </c>
      <c r="T126" s="9">
        <v>52.29</v>
      </c>
      <c r="U126" s="9">
        <v>112.54</v>
      </c>
      <c r="V126" s="9">
        <v>895.4</v>
      </c>
      <c r="W126" s="9">
        <v>33.619999999999997</v>
      </c>
      <c r="X126" s="9">
        <v>239</v>
      </c>
      <c r="Y126" s="9" t="s">
        <v>106</v>
      </c>
      <c r="Z126" s="9" t="s">
        <v>106</v>
      </c>
      <c r="AA126" s="9" t="s">
        <v>106</v>
      </c>
      <c r="AB126" s="9" t="s">
        <v>106</v>
      </c>
      <c r="AC126" s="9" t="s">
        <v>5100</v>
      </c>
      <c r="AD126" s="9" t="s">
        <v>5100</v>
      </c>
    </row>
    <row r="127" spans="1:30">
      <c r="A127" s="9" t="s">
        <v>934</v>
      </c>
      <c r="B127" s="9" t="s">
        <v>149</v>
      </c>
      <c r="C127" s="9" t="s">
        <v>105</v>
      </c>
      <c r="D127" s="9">
        <v>7.3</v>
      </c>
      <c r="E127" s="9" t="s">
        <v>106</v>
      </c>
      <c r="F127" s="9">
        <v>221.4</v>
      </c>
      <c r="G127" s="9">
        <v>1.1000000000000001</v>
      </c>
      <c r="H127" s="9" t="s">
        <v>106</v>
      </c>
      <c r="I127" s="9">
        <v>8</v>
      </c>
      <c r="J127" s="9" t="s">
        <v>122</v>
      </c>
      <c r="K127" s="9" t="s">
        <v>936</v>
      </c>
      <c r="L127" t="str">
        <f>IF(OR(J127="Cattle",J127="Zebu Cattle"),IF(COUNTIF(lists!$M$2:$M$258, K127) &gt; 0,"bos.indicus",IF(COUNTIF(lists!$L$2:$L$258, K127) &gt; 0,"cross.bred","pure.bred.exotic")),"NA")</f>
        <v>bos.indicus</v>
      </c>
      <c r="M127"/>
      <c r="N127"/>
      <c r="O127" s="9" t="s">
        <v>109</v>
      </c>
      <c r="P127" s="9" t="s">
        <v>652</v>
      </c>
      <c r="Q127" s="9" t="s">
        <v>3805</v>
      </c>
      <c r="R127" s="9" t="s">
        <v>3830</v>
      </c>
      <c r="S127" s="9">
        <v>143.97</v>
      </c>
      <c r="T127" s="9">
        <v>32.770000000000003</v>
      </c>
      <c r="U127" s="9">
        <v>99.97</v>
      </c>
      <c r="V127" s="9">
        <v>903.51</v>
      </c>
      <c r="W127" s="9">
        <v>40.159999999999997</v>
      </c>
      <c r="X127" s="9">
        <v>245.38</v>
      </c>
      <c r="Y127" s="9" t="s">
        <v>106</v>
      </c>
      <c r="Z127" s="9" t="s">
        <v>106</v>
      </c>
      <c r="AA127" s="9" t="s">
        <v>106</v>
      </c>
      <c r="AB127" s="9" t="s">
        <v>106</v>
      </c>
      <c r="AC127" s="9" t="s">
        <v>5100</v>
      </c>
      <c r="AD127" s="9" t="s">
        <v>5100</v>
      </c>
    </row>
    <row r="128" spans="1:30">
      <c r="A128" s="9" t="s">
        <v>934</v>
      </c>
      <c r="B128" s="9" t="s">
        <v>938</v>
      </c>
      <c r="C128" s="9" t="s">
        <v>105</v>
      </c>
      <c r="D128" s="9">
        <v>7.5</v>
      </c>
      <c r="E128" s="9" t="s">
        <v>106</v>
      </c>
      <c r="F128" s="9">
        <v>221.3</v>
      </c>
      <c r="G128" s="9">
        <v>1.1000000000000001</v>
      </c>
      <c r="H128" s="9" t="s">
        <v>106</v>
      </c>
      <c r="I128" s="9">
        <v>8</v>
      </c>
      <c r="J128" s="9" t="s">
        <v>122</v>
      </c>
      <c r="K128" s="9" t="s">
        <v>936</v>
      </c>
      <c r="L128" t="str">
        <f>IF(OR(J128="Cattle",J128="Zebu Cattle"),IF(COUNTIF(lists!$M$2:$M$258, K128) &gt; 0,"bos.indicus",IF(COUNTIF(lists!$L$2:$L$258, K128) &gt; 0,"cross.bred","pure.bred.exotic")),"NA")</f>
        <v>bos.indicus</v>
      </c>
      <c r="M128"/>
      <c r="N128"/>
      <c r="O128" s="9" t="s">
        <v>109</v>
      </c>
      <c r="P128" s="9" t="s">
        <v>652</v>
      </c>
      <c r="Q128" s="9" t="s">
        <v>3805</v>
      </c>
      <c r="R128" s="9" t="s">
        <v>3830</v>
      </c>
      <c r="S128" s="9">
        <v>142.54</v>
      </c>
      <c r="T128" s="9">
        <v>27.11</v>
      </c>
      <c r="U128" s="9">
        <v>102.26</v>
      </c>
      <c r="V128" s="9">
        <v>903.53</v>
      </c>
      <c r="W128" s="9">
        <v>41.52</v>
      </c>
      <c r="X128" s="9">
        <v>261.91000000000003</v>
      </c>
      <c r="Y128" s="9" t="s">
        <v>106</v>
      </c>
      <c r="Z128" s="9" t="s">
        <v>106</v>
      </c>
      <c r="AA128" s="9" t="s">
        <v>106</v>
      </c>
      <c r="AB128" s="9" t="s">
        <v>106</v>
      </c>
      <c r="AC128" s="9" t="s">
        <v>5100</v>
      </c>
      <c r="AD128" s="9" t="s">
        <v>5100</v>
      </c>
    </row>
    <row r="129" spans="1:31">
      <c r="A129" s="9" t="s">
        <v>971</v>
      </c>
      <c r="B129" s="9" t="s">
        <v>972</v>
      </c>
      <c r="C129" s="9" t="s">
        <v>105</v>
      </c>
      <c r="D129" s="9">
        <v>6.8</v>
      </c>
      <c r="E129" s="9">
        <v>0.24</v>
      </c>
      <c r="F129" s="9">
        <v>414.8</v>
      </c>
      <c r="G129" s="9" t="s">
        <v>106</v>
      </c>
      <c r="H129" s="9">
        <v>8.3000000000000007</v>
      </c>
      <c r="I129" s="9">
        <v>4</v>
      </c>
      <c r="J129" s="9" t="s">
        <v>122</v>
      </c>
      <c r="K129" s="9" t="s">
        <v>973</v>
      </c>
      <c r="L129" t="str">
        <f>IF(OR(J129="Cattle",J129="Zebu Cattle"),IF(COUNTIF(lists!$M$2:$M$258, K129) &gt; 0,"bos.indicus",IF(COUNTIF(lists!$L$2:$L$258, K129) &gt; 0,"cross.bred","pure.bred.exotic")),"NA")</f>
        <v>cross.bred</v>
      </c>
      <c r="M129"/>
      <c r="N129"/>
      <c r="O129" s="9" t="s">
        <v>124</v>
      </c>
      <c r="P129" s="9" t="s">
        <v>202</v>
      </c>
      <c r="Q129" s="9" t="s">
        <v>3809</v>
      </c>
      <c r="R129" s="9" t="s">
        <v>3830</v>
      </c>
      <c r="S129" s="9">
        <v>289.32</v>
      </c>
      <c r="T129" s="9">
        <v>92.09</v>
      </c>
      <c r="U129" s="9">
        <v>103.99</v>
      </c>
      <c r="V129" s="9">
        <v>763.16</v>
      </c>
      <c r="W129" s="9" t="s">
        <v>106</v>
      </c>
      <c r="X129" s="9">
        <v>532.63</v>
      </c>
      <c r="Y129" s="9" t="s">
        <v>106</v>
      </c>
      <c r="Z129" s="9">
        <v>98.49</v>
      </c>
      <c r="AA129" s="9" t="s">
        <v>106</v>
      </c>
      <c r="AB129" s="9">
        <v>44.21</v>
      </c>
      <c r="AC129" s="9" t="s">
        <v>5100</v>
      </c>
      <c r="AD129" s="9" t="s">
        <v>5100</v>
      </c>
    </row>
    <row r="130" spans="1:31">
      <c r="A130" s="9" t="s">
        <v>971</v>
      </c>
      <c r="B130" s="9" t="s">
        <v>974</v>
      </c>
      <c r="C130" s="9" t="s">
        <v>105</v>
      </c>
      <c r="D130" s="9">
        <v>8.5</v>
      </c>
      <c r="E130" s="9">
        <v>0.24</v>
      </c>
      <c r="F130" s="9">
        <v>415.4</v>
      </c>
      <c r="G130" s="9" t="s">
        <v>106</v>
      </c>
      <c r="H130" s="9">
        <v>10</v>
      </c>
      <c r="I130" s="9">
        <v>4</v>
      </c>
      <c r="J130" s="9" t="s">
        <v>122</v>
      </c>
      <c r="K130" s="9" t="s">
        <v>973</v>
      </c>
      <c r="L130" t="str">
        <f>IF(OR(J130="Cattle",J130="Zebu Cattle"),IF(COUNTIF(lists!$M$2:$M$258, K130) &gt; 0,"bos.indicus",IF(COUNTIF(lists!$L$2:$L$258, K130) &gt; 0,"cross.bred","pure.bred.exotic")),"NA")</f>
        <v>cross.bred</v>
      </c>
      <c r="M130"/>
      <c r="N130"/>
      <c r="O130" s="9" t="s">
        <v>124</v>
      </c>
      <c r="P130" s="9" t="s">
        <v>202</v>
      </c>
      <c r="Q130" s="9" t="s">
        <v>3809</v>
      </c>
      <c r="R130" s="9" t="s">
        <v>3830</v>
      </c>
      <c r="S130" s="9">
        <v>271.66000000000003</v>
      </c>
      <c r="T130" s="9">
        <v>90.89</v>
      </c>
      <c r="U130" s="9">
        <v>120.59</v>
      </c>
      <c r="V130" s="9">
        <v>564.94000000000005</v>
      </c>
      <c r="W130" s="9" t="s">
        <v>106</v>
      </c>
      <c r="X130" s="9">
        <v>497.96</v>
      </c>
      <c r="Y130" s="9" t="s">
        <v>106</v>
      </c>
      <c r="Z130" s="9">
        <v>91.51</v>
      </c>
      <c r="AA130" s="9" t="s">
        <v>106</v>
      </c>
      <c r="AB130" s="9">
        <v>51.04</v>
      </c>
      <c r="AC130" s="9" t="s">
        <v>5100</v>
      </c>
      <c r="AD130" s="9" t="s">
        <v>5100</v>
      </c>
    </row>
    <row r="131" spans="1:31">
      <c r="A131" s="9" t="s">
        <v>971</v>
      </c>
      <c r="B131" s="9" t="s">
        <v>975</v>
      </c>
      <c r="C131" s="9" t="s">
        <v>105</v>
      </c>
      <c r="D131" s="9">
        <v>10.199999999999999</v>
      </c>
      <c r="E131" s="9">
        <v>0.24</v>
      </c>
      <c r="F131" s="9">
        <v>418.9</v>
      </c>
      <c r="G131" s="9" t="s">
        <v>106</v>
      </c>
      <c r="H131" s="9">
        <v>9.8000000000000007</v>
      </c>
      <c r="I131" s="9">
        <v>4</v>
      </c>
      <c r="J131" s="9" t="s">
        <v>122</v>
      </c>
      <c r="K131" s="9" t="s">
        <v>973</v>
      </c>
      <c r="L131" t="str">
        <f>IF(OR(J131="Cattle",J131="Zebu Cattle"),IF(COUNTIF(lists!$M$2:$M$258, K131) &gt; 0,"bos.indicus",IF(COUNTIF(lists!$L$2:$L$258, K131) &gt; 0,"cross.bred","pure.bred.exotic")),"NA")</f>
        <v>cross.bred</v>
      </c>
      <c r="M131"/>
      <c r="N131"/>
      <c r="O131" s="9" t="s">
        <v>124</v>
      </c>
      <c r="P131" s="9" t="s">
        <v>202</v>
      </c>
      <c r="Q131" s="9" t="s">
        <v>3809</v>
      </c>
      <c r="R131" s="9" t="s">
        <v>3830</v>
      </c>
      <c r="S131" s="9">
        <v>259.88</v>
      </c>
      <c r="T131" s="9">
        <v>90.1</v>
      </c>
      <c r="U131" s="9">
        <v>131.66</v>
      </c>
      <c r="V131" s="9">
        <v>481.55</v>
      </c>
      <c r="W131" s="9" t="s">
        <v>106</v>
      </c>
      <c r="X131" s="9">
        <v>474.85</v>
      </c>
      <c r="Y131" s="9" t="s">
        <v>106</v>
      </c>
      <c r="Z131" s="9">
        <v>86.85</v>
      </c>
      <c r="AA131" s="9" t="s">
        <v>106</v>
      </c>
      <c r="AB131" s="9">
        <v>54.96</v>
      </c>
      <c r="AC131" s="9" t="s">
        <v>5100</v>
      </c>
      <c r="AD131" s="9" t="s">
        <v>5100</v>
      </c>
    </row>
    <row r="132" spans="1:31">
      <c r="A132" s="9" t="s">
        <v>971</v>
      </c>
      <c r="B132" s="9" t="s">
        <v>976</v>
      </c>
      <c r="C132" s="9" t="s">
        <v>105</v>
      </c>
      <c r="D132" s="9">
        <v>11.9</v>
      </c>
      <c r="E132" s="9">
        <v>0.24</v>
      </c>
      <c r="F132" s="9">
        <v>432</v>
      </c>
      <c r="G132" s="9" t="s">
        <v>106</v>
      </c>
      <c r="H132" s="9">
        <v>9.9</v>
      </c>
      <c r="I132" s="9">
        <v>4</v>
      </c>
      <c r="J132" s="9" t="s">
        <v>122</v>
      </c>
      <c r="K132" s="9" t="s">
        <v>973</v>
      </c>
      <c r="L132" t="str">
        <f>IF(OR(J132="Cattle",J132="Zebu Cattle"),IF(COUNTIF(lists!$M$2:$M$258, K132) &gt; 0,"bos.indicus",IF(COUNTIF(lists!$L$2:$L$258, K132) &gt; 0,"cross.bred","pure.bred.exotic")),"NA")</f>
        <v>cross.bred</v>
      </c>
      <c r="M132"/>
      <c r="N132"/>
      <c r="O132" s="9" t="s">
        <v>124</v>
      </c>
      <c r="P132" s="9" t="s">
        <v>202</v>
      </c>
      <c r="Q132" s="9" t="s">
        <v>3809</v>
      </c>
      <c r="R132" s="9" t="s">
        <v>3830</v>
      </c>
      <c r="S132" s="9">
        <v>251.47</v>
      </c>
      <c r="T132" s="9">
        <v>89.53</v>
      </c>
      <c r="U132" s="9">
        <v>139.56</v>
      </c>
      <c r="V132" s="9">
        <v>435.63</v>
      </c>
      <c r="W132" s="9" t="s">
        <v>106</v>
      </c>
      <c r="X132" s="9">
        <v>458.34</v>
      </c>
      <c r="Y132" s="9" t="s">
        <v>106</v>
      </c>
      <c r="Z132" s="9">
        <v>83.53</v>
      </c>
      <c r="AA132" s="9" t="s">
        <v>106</v>
      </c>
      <c r="AB132" s="9">
        <v>56.6</v>
      </c>
      <c r="AC132" s="9" t="s">
        <v>5100</v>
      </c>
      <c r="AD132" s="9" t="s">
        <v>5100</v>
      </c>
    </row>
    <row r="133" spans="1:31">
      <c r="A133" s="9" t="s">
        <v>1002</v>
      </c>
      <c r="B133" s="9" t="s">
        <v>1003</v>
      </c>
      <c r="C133" s="9" t="s">
        <v>105</v>
      </c>
      <c r="D133" s="9">
        <v>7.38</v>
      </c>
      <c r="E133" s="9">
        <v>0.14000000000000001</v>
      </c>
      <c r="F133" s="9">
        <v>196.7</v>
      </c>
      <c r="G133" s="9">
        <v>0.62</v>
      </c>
      <c r="H133" s="9" t="s">
        <v>106</v>
      </c>
      <c r="I133" s="9">
        <v>4</v>
      </c>
      <c r="J133" s="9" t="s">
        <v>122</v>
      </c>
      <c r="K133" s="9" t="s">
        <v>4802</v>
      </c>
      <c r="L133" t="str">
        <f>IF(OR(J133="Cattle",J133="Zebu Cattle"),IF(COUNTIF(lists!$M$2:$M$258, K133) &gt; 0,"bos.indicus",IF(COUNTIF(lists!$L$2:$L$258, K133) &gt; 0,"cross.bred","pure.bred.exotic")),"NA")</f>
        <v>cross.bred</v>
      </c>
      <c r="M133"/>
      <c r="N133"/>
      <c r="O133" s="9" t="s">
        <v>124</v>
      </c>
      <c r="P133" s="9" t="s">
        <v>1004</v>
      </c>
      <c r="Q133" s="9" t="s">
        <v>3805</v>
      </c>
      <c r="R133" s="9" t="s">
        <v>3830</v>
      </c>
      <c r="S133" s="9">
        <v>432.1</v>
      </c>
      <c r="T133" s="9">
        <v>89.399999999999906</v>
      </c>
      <c r="U133" s="9">
        <v>120.8</v>
      </c>
      <c r="V133" s="9">
        <v>587.79999999999995</v>
      </c>
      <c r="W133" s="9" t="s">
        <v>106</v>
      </c>
      <c r="X133" s="9">
        <v>559.5</v>
      </c>
      <c r="Y133" s="9">
        <v>70.72</v>
      </c>
      <c r="Z133" s="9" t="s">
        <v>106</v>
      </c>
      <c r="AA133" s="9">
        <v>69.97</v>
      </c>
      <c r="AB133" s="9">
        <v>66.5</v>
      </c>
      <c r="AC133" s="9" t="s">
        <v>5100</v>
      </c>
      <c r="AD133" s="9" t="s">
        <v>5100</v>
      </c>
    </row>
    <row r="134" spans="1:31">
      <c r="A134" s="9" t="s">
        <v>1002</v>
      </c>
      <c r="B134" s="9" t="s">
        <v>1005</v>
      </c>
      <c r="C134" s="9" t="s">
        <v>105</v>
      </c>
      <c r="D134" s="9">
        <v>7.03</v>
      </c>
      <c r="E134" s="9">
        <v>0.14000000000000001</v>
      </c>
      <c r="F134" s="9">
        <v>170.7</v>
      </c>
      <c r="G134" s="9">
        <v>0.52</v>
      </c>
      <c r="H134" s="9" t="s">
        <v>106</v>
      </c>
      <c r="I134" s="9">
        <v>4</v>
      </c>
      <c r="J134" s="9" t="s">
        <v>122</v>
      </c>
      <c r="K134" s="9" t="s">
        <v>4802</v>
      </c>
      <c r="L134" t="str">
        <f>IF(OR(J134="Cattle",J134="Zebu Cattle"),IF(COUNTIF(lists!$M$2:$M$258, K134) &gt; 0,"bos.indicus",IF(COUNTIF(lists!$L$2:$L$258, K134) &gt; 0,"cross.bred","pure.bred.exotic")),"NA")</f>
        <v>cross.bred</v>
      </c>
      <c r="M134"/>
      <c r="N134"/>
      <c r="O134" s="9" t="s">
        <v>124</v>
      </c>
      <c r="P134" s="9" t="s">
        <v>1004</v>
      </c>
      <c r="Q134" s="9" t="s">
        <v>3805</v>
      </c>
      <c r="R134" s="9" t="s">
        <v>3830</v>
      </c>
      <c r="S134" s="9">
        <v>474.79999999999899</v>
      </c>
      <c r="T134" s="9">
        <v>79.2</v>
      </c>
      <c r="U134" s="9">
        <v>113.9</v>
      </c>
      <c r="V134" s="9">
        <v>646.70000000000005</v>
      </c>
      <c r="W134" s="9" t="s">
        <v>106</v>
      </c>
      <c r="X134" s="9">
        <v>667.9</v>
      </c>
      <c r="Y134" s="9">
        <v>62.15</v>
      </c>
      <c r="Z134" s="9" t="s">
        <v>106</v>
      </c>
      <c r="AA134" s="9">
        <v>64.3</v>
      </c>
      <c r="AB134" s="9">
        <v>59.9</v>
      </c>
      <c r="AC134" s="9" t="s">
        <v>5100</v>
      </c>
      <c r="AD134" s="9" t="s">
        <v>5100</v>
      </c>
    </row>
    <row r="135" spans="1:31">
      <c r="A135" s="9" t="s">
        <v>1002</v>
      </c>
      <c r="B135" s="9" t="s">
        <v>1006</v>
      </c>
      <c r="C135" s="9" t="s">
        <v>105</v>
      </c>
      <c r="D135" s="9">
        <v>6.91</v>
      </c>
      <c r="E135" s="9">
        <v>0.14000000000000001</v>
      </c>
      <c r="F135" s="9">
        <v>169.7</v>
      </c>
      <c r="G135" s="9">
        <v>0.45</v>
      </c>
      <c r="H135" s="9" t="s">
        <v>106</v>
      </c>
      <c r="I135" s="9">
        <v>4</v>
      </c>
      <c r="J135" s="9" t="s">
        <v>122</v>
      </c>
      <c r="K135" s="9" t="s">
        <v>4802</v>
      </c>
      <c r="L135" t="str">
        <f>IF(OR(J135="Cattle",J135="Zebu Cattle"),IF(COUNTIF(lists!$M$2:$M$258, K135) &gt; 0,"bos.indicus",IF(COUNTIF(lists!$L$2:$L$258, K135) &gt; 0,"cross.bred","pure.bred.exotic")),"NA")</f>
        <v>cross.bred</v>
      </c>
      <c r="M135"/>
      <c r="N135"/>
      <c r="O135" s="9" t="s">
        <v>124</v>
      </c>
      <c r="P135" s="9" t="s">
        <v>1004</v>
      </c>
      <c r="Q135" s="9" t="s">
        <v>3805</v>
      </c>
      <c r="R135" s="9" t="s">
        <v>3830</v>
      </c>
      <c r="S135" s="9">
        <v>422.5</v>
      </c>
      <c r="T135" s="9">
        <v>78.2</v>
      </c>
      <c r="U135" s="9">
        <v>92.9</v>
      </c>
      <c r="V135" s="9">
        <v>767.8</v>
      </c>
      <c r="W135" s="9" t="s">
        <v>106</v>
      </c>
      <c r="X135" s="9">
        <v>642.4</v>
      </c>
      <c r="Y135" s="9">
        <v>55.05</v>
      </c>
      <c r="Z135" s="9" t="s">
        <v>106</v>
      </c>
      <c r="AA135" s="9">
        <v>55.1</v>
      </c>
      <c r="AB135" s="9">
        <v>50.6</v>
      </c>
      <c r="AC135" s="9" t="s">
        <v>5100</v>
      </c>
      <c r="AD135" s="9" t="s">
        <v>5100</v>
      </c>
    </row>
    <row r="136" spans="1:31">
      <c r="A136" s="9" t="s">
        <v>1038</v>
      </c>
      <c r="B136" s="9" t="s">
        <v>1039</v>
      </c>
      <c r="C136" s="9" t="s">
        <v>105</v>
      </c>
      <c r="D136" s="9">
        <v>6.4</v>
      </c>
      <c r="E136" s="9">
        <v>0.2</v>
      </c>
      <c r="F136" s="9">
        <v>149.5</v>
      </c>
      <c r="G136" s="9">
        <v>0.61699999999999999</v>
      </c>
      <c r="H136" s="9" t="s">
        <v>106</v>
      </c>
      <c r="I136" s="9">
        <v>10</v>
      </c>
      <c r="J136" s="9" t="s">
        <v>122</v>
      </c>
      <c r="K136" s="9" t="s">
        <v>1040</v>
      </c>
      <c r="L136" t="str">
        <f>IF(OR(J136="Cattle",J136="Zebu Cattle"),IF(COUNTIF(lists!$M$2:$M$258, K136) &gt; 0,"bos.indicus",IF(COUNTIF(lists!$L$2:$L$258, K136) &gt; 0,"cross.bred","pure.bred.exotic")),"NA")</f>
        <v>bos.indicus</v>
      </c>
      <c r="M136"/>
      <c r="N136"/>
      <c r="O136" s="9" t="s">
        <v>109</v>
      </c>
      <c r="P136" s="9" t="s">
        <v>4962</v>
      </c>
      <c r="Q136" s="9" t="s">
        <v>3804</v>
      </c>
      <c r="R136" s="9" t="s">
        <v>3830</v>
      </c>
      <c r="S136" s="9">
        <v>188.44</v>
      </c>
      <c r="T136" s="9">
        <v>86.45</v>
      </c>
      <c r="U136" s="9">
        <v>101.13</v>
      </c>
      <c r="V136" s="9">
        <v>822.9</v>
      </c>
      <c r="W136" s="9" t="s">
        <v>106</v>
      </c>
      <c r="X136" s="9">
        <v>401.32</v>
      </c>
      <c r="Y136" s="9" t="s">
        <v>106</v>
      </c>
      <c r="Z136" s="9" t="s">
        <v>106</v>
      </c>
      <c r="AA136" s="9" t="s">
        <v>106</v>
      </c>
      <c r="AB136" s="9" t="s">
        <v>106</v>
      </c>
      <c r="AC136" s="9" t="s">
        <v>5100</v>
      </c>
      <c r="AD136" s="9" t="s">
        <v>5100</v>
      </c>
    </row>
    <row r="137" spans="1:31">
      <c r="A137" s="9" t="s">
        <v>1038</v>
      </c>
      <c r="B137" s="9" t="s">
        <v>1041</v>
      </c>
      <c r="C137" s="9" t="s">
        <v>105</v>
      </c>
      <c r="D137" s="9">
        <v>6.8</v>
      </c>
      <c r="E137" s="9">
        <v>0.2</v>
      </c>
      <c r="F137" s="9">
        <v>152.44999999999999</v>
      </c>
      <c r="G137" s="9">
        <v>0.77</v>
      </c>
      <c r="H137" s="9" t="s">
        <v>106</v>
      </c>
      <c r="I137" s="9">
        <v>10</v>
      </c>
      <c r="J137" s="9" t="s">
        <v>122</v>
      </c>
      <c r="K137" s="9" t="s">
        <v>1040</v>
      </c>
      <c r="L137" t="str">
        <f>IF(OR(J137="Cattle",J137="Zebu Cattle"),IF(COUNTIF(lists!$M$2:$M$258, K137) &gt; 0,"bos.indicus",IF(COUNTIF(lists!$L$2:$L$258, K137) &gt; 0,"cross.bred","pure.bred.exotic")),"NA")</f>
        <v>bos.indicus</v>
      </c>
      <c r="M137"/>
      <c r="N137"/>
      <c r="O137" s="9" t="s">
        <v>109</v>
      </c>
      <c r="P137" s="9" t="s">
        <v>4962</v>
      </c>
      <c r="Q137" s="9" t="s">
        <v>3804</v>
      </c>
      <c r="R137" s="9" t="s">
        <v>3830</v>
      </c>
      <c r="S137" s="9">
        <v>181.69</v>
      </c>
      <c r="T137" s="9">
        <v>104.69</v>
      </c>
      <c r="U137" s="9">
        <v>104.25</v>
      </c>
      <c r="V137" s="9">
        <v>811.47</v>
      </c>
      <c r="W137" s="9" t="s">
        <v>106</v>
      </c>
      <c r="X137" s="9">
        <v>386.51</v>
      </c>
      <c r="Y137" s="9" t="s">
        <v>106</v>
      </c>
      <c r="Z137" s="9" t="s">
        <v>106</v>
      </c>
      <c r="AA137" s="9" t="s">
        <v>106</v>
      </c>
      <c r="AB137" s="9" t="s">
        <v>106</v>
      </c>
      <c r="AC137" s="9" t="s">
        <v>5100</v>
      </c>
      <c r="AD137" s="9" t="s">
        <v>5100</v>
      </c>
    </row>
    <row r="138" spans="1:31">
      <c r="A138" s="9" t="s">
        <v>1038</v>
      </c>
      <c r="B138" s="9" t="s">
        <v>1042</v>
      </c>
      <c r="C138" s="9" t="s">
        <v>105</v>
      </c>
      <c r="D138" s="9">
        <v>7.1</v>
      </c>
      <c r="E138" s="9">
        <v>0.2</v>
      </c>
      <c r="F138" s="9">
        <v>163.05000000000001</v>
      </c>
      <c r="G138" s="9">
        <v>0.72499999999999998</v>
      </c>
      <c r="H138" s="9" t="s">
        <v>106</v>
      </c>
      <c r="I138" s="9">
        <v>10</v>
      </c>
      <c r="J138" s="9" t="s">
        <v>122</v>
      </c>
      <c r="K138" s="9" t="s">
        <v>1040</v>
      </c>
      <c r="L138" t="str">
        <f>IF(OR(J138="Cattle",J138="Zebu Cattle"),IF(COUNTIF(lists!$M$2:$M$258, K138) &gt; 0,"bos.indicus",IF(COUNTIF(lists!$L$2:$L$258, K138) &gt; 0,"cross.bred","pure.bred.exotic")),"NA")</f>
        <v>bos.indicus</v>
      </c>
      <c r="M138"/>
      <c r="N138"/>
      <c r="O138" s="9" t="s">
        <v>109</v>
      </c>
      <c r="P138" s="9" t="s">
        <v>4962</v>
      </c>
      <c r="Q138" s="9" t="s">
        <v>3804</v>
      </c>
      <c r="R138" s="9" t="s">
        <v>3830</v>
      </c>
      <c r="S138" s="9">
        <v>175.92</v>
      </c>
      <c r="T138" s="9">
        <v>125.14</v>
      </c>
      <c r="U138" s="9">
        <v>105.01</v>
      </c>
      <c r="V138" s="9">
        <v>813.31</v>
      </c>
      <c r="W138" s="9" t="s">
        <v>106</v>
      </c>
      <c r="X138" s="9">
        <v>370.31</v>
      </c>
      <c r="Y138" s="9" t="s">
        <v>106</v>
      </c>
      <c r="Z138" s="9" t="s">
        <v>106</v>
      </c>
      <c r="AA138" s="9" t="s">
        <v>106</v>
      </c>
      <c r="AB138" s="9" t="s">
        <v>106</v>
      </c>
      <c r="AC138" s="9" t="s">
        <v>5100</v>
      </c>
      <c r="AD138" s="9" t="s">
        <v>5100</v>
      </c>
    </row>
    <row r="139" spans="1:31">
      <c r="A139" s="9" t="s">
        <v>1038</v>
      </c>
      <c r="B139" s="9" t="s">
        <v>1043</v>
      </c>
      <c r="C139" s="9" t="s">
        <v>105</v>
      </c>
      <c r="D139" s="9">
        <v>7.4</v>
      </c>
      <c r="E139" s="9">
        <v>0.2</v>
      </c>
      <c r="F139" s="9">
        <v>173.85</v>
      </c>
      <c r="G139" s="9">
        <v>0.71599999999999997</v>
      </c>
      <c r="H139" s="9" t="s">
        <v>106</v>
      </c>
      <c r="I139" s="9">
        <v>10</v>
      </c>
      <c r="J139" s="9" t="s">
        <v>122</v>
      </c>
      <c r="K139" s="9" t="s">
        <v>1040</v>
      </c>
      <c r="L139" t="str">
        <f>IF(OR(J139="Cattle",J139="Zebu Cattle"),IF(COUNTIF(lists!$M$2:$M$258, K139) &gt; 0,"bos.indicus",IF(COUNTIF(lists!$L$2:$L$258, K139) &gt; 0,"cross.bred","pure.bred.exotic")),"NA")</f>
        <v>bos.indicus</v>
      </c>
      <c r="M139"/>
      <c r="N139"/>
      <c r="O139" s="9" t="s">
        <v>109</v>
      </c>
      <c r="P139" s="9" t="s">
        <v>4962</v>
      </c>
      <c r="Q139" s="9" t="s">
        <v>3804</v>
      </c>
      <c r="R139" s="9" t="s">
        <v>3830</v>
      </c>
      <c r="S139" s="9">
        <v>187.46</v>
      </c>
      <c r="T139" s="9">
        <v>97.92</v>
      </c>
      <c r="U139" s="9">
        <v>100.87</v>
      </c>
      <c r="V139" s="9">
        <v>824.54</v>
      </c>
      <c r="W139" s="9" t="s">
        <v>106</v>
      </c>
      <c r="X139" s="9">
        <v>391.67</v>
      </c>
      <c r="Y139" s="9" t="s">
        <v>106</v>
      </c>
      <c r="Z139" s="9" t="s">
        <v>106</v>
      </c>
      <c r="AA139" s="9" t="s">
        <v>106</v>
      </c>
      <c r="AB139" s="9" t="s">
        <v>106</v>
      </c>
      <c r="AC139" s="9" t="s">
        <v>5100</v>
      </c>
      <c r="AD139" s="9" t="s">
        <v>5100</v>
      </c>
    </row>
    <row r="140" spans="1:31">
      <c r="A140" s="9" t="s">
        <v>1038</v>
      </c>
      <c r="B140" s="9" t="s">
        <v>1044</v>
      </c>
      <c r="C140" s="9" t="s">
        <v>105</v>
      </c>
      <c r="D140" s="9">
        <v>7.1</v>
      </c>
      <c r="E140" s="9">
        <v>0.2</v>
      </c>
      <c r="F140" s="9">
        <v>172.05</v>
      </c>
      <c r="G140" s="9">
        <v>0.59899999999999998</v>
      </c>
      <c r="H140" s="9" t="s">
        <v>106</v>
      </c>
      <c r="I140" s="9">
        <v>10</v>
      </c>
      <c r="J140" s="9" t="s">
        <v>122</v>
      </c>
      <c r="K140" s="9" t="s">
        <v>1040</v>
      </c>
      <c r="L140" t="str">
        <f>IF(OR(J140="Cattle",J140="Zebu Cattle"),IF(COUNTIF(lists!$M$2:$M$258, K140) &gt; 0,"bos.indicus",IF(COUNTIF(lists!$L$2:$L$258, K140) &gt; 0,"cross.bred","pure.bred.exotic")),"NA")</f>
        <v>bos.indicus</v>
      </c>
      <c r="M140"/>
      <c r="N140"/>
      <c r="O140" s="9" t="s">
        <v>109</v>
      </c>
      <c r="P140" s="9" t="s">
        <v>4962</v>
      </c>
      <c r="Q140" s="9" t="s">
        <v>3804</v>
      </c>
      <c r="R140" s="9" t="s">
        <v>3830</v>
      </c>
      <c r="S140" s="9">
        <v>188.97</v>
      </c>
      <c r="T140" s="9">
        <v>110.31</v>
      </c>
      <c r="U140" s="9">
        <v>100.1</v>
      </c>
      <c r="V140" s="9">
        <v>826.65</v>
      </c>
      <c r="W140" s="9" t="s">
        <v>106</v>
      </c>
      <c r="X140" s="9">
        <v>385.28</v>
      </c>
      <c r="Y140" s="9" t="s">
        <v>106</v>
      </c>
      <c r="Z140" s="9" t="s">
        <v>106</v>
      </c>
      <c r="AA140" s="9" t="s">
        <v>106</v>
      </c>
      <c r="AB140" s="9" t="s">
        <v>106</v>
      </c>
      <c r="AC140" s="9" t="s">
        <v>5100</v>
      </c>
      <c r="AD140" s="9" t="s">
        <v>5100</v>
      </c>
    </row>
    <row r="141" spans="1:31" s="56" customFormat="1">
      <c r="A141" s="37" t="s">
        <v>1045</v>
      </c>
      <c r="B141" s="37" t="s">
        <v>1046</v>
      </c>
      <c r="C141" s="37" t="s">
        <v>105</v>
      </c>
      <c r="D141" s="37">
        <v>9.93</v>
      </c>
      <c r="E141" s="37">
        <v>7.1999999999999995E-2</v>
      </c>
      <c r="F141" s="37" t="s">
        <v>106</v>
      </c>
      <c r="G141" s="37" t="s">
        <v>106</v>
      </c>
      <c r="H141" s="37">
        <v>4.9800000000000004</v>
      </c>
      <c r="I141" s="37"/>
      <c r="J141" s="37" t="s">
        <v>122</v>
      </c>
      <c r="K141" s="37" t="s">
        <v>223</v>
      </c>
      <c r="L141" s="56" t="str">
        <f>IF(OR(J141="Cattle",J141="Zebu Cattle"),IF(COUNTIF(lists!$M$2:$M$258, K141) &gt; 0,"bos.indicus",IF(COUNTIF(lists!$L$2:$L$258, K141) &gt; 0,"cross.bred","pure.bred.exotic")),"NA")</f>
        <v>cross.bred</v>
      </c>
      <c r="O141" s="37" t="s">
        <v>124</v>
      </c>
      <c r="P141" s="37" t="s">
        <v>202</v>
      </c>
      <c r="Q141" s="37" t="s">
        <v>3809</v>
      </c>
      <c r="R141" s="37" t="s">
        <v>3828</v>
      </c>
      <c r="S141" s="37">
        <v>406.6</v>
      </c>
      <c r="T141" s="37" t="s">
        <v>106</v>
      </c>
      <c r="U141" s="37">
        <v>49.5</v>
      </c>
      <c r="V141" s="37">
        <v>900.9</v>
      </c>
      <c r="W141" s="37" t="s">
        <v>106</v>
      </c>
      <c r="X141" s="37">
        <v>579.70000000000005</v>
      </c>
      <c r="Y141" s="37" t="s">
        <v>106</v>
      </c>
      <c r="Z141" s="37" t="s">
        <v>106</v>
      </c>
      <c r="AA141" s="37" t="s">
        <v>106</v>
      </c>
      <c r="AB141" s="37" t="s">
        <v>106</v>
      </c>
      <c r="AC141" s="16" t="s">
        <v>5099</v>
      </c>
      <c r="AD141" s="9" t="s">
        <v>5100</v>
      </c>
      <c r="AE141" s="66"/>
    </row>
    <row r="142" spans="1:31" s="56" customFormat="1">
      <c r="A142" s="37" t="s">
        <v>1045</v>
      </c>
      <c r="B142" s="37" t="s">
        <v>1047</v>
      </c>
      <c r="C142" s="37" t="s">
        <v>105</v>
      </c>
      <c r="D142" s="37">
        <v>6.2</v>
      </c>
      <c r="E142" s="37">
        <v>7.1999999999999995E-2</v>
      </c>
      <c r="F142" s="37" t="s">
        <v>106</v>
      </c>
      <c r="G142" s="37" t="s">
        <v>106</v>
      </c>
      <c r="H142" s="37">
        <v>2.65</v>
      </c>
      <c r="I142" s="37"/>
      <c r="J142" s="37" t="s">
        <v>122</v>
      </c>
      <c r="K142" s="37" t="s">
        <v>223</v>
      </c>
      <c r="L142" s="56" t="str">
        <f>IF(OR(J142="Cattle",J142="Zebu Cattle"),IF(COUNTIF(lists!$M$2:$M$258, K142) &gt; 0,"bos.indicus",IF(COUNTIF(lists!$L$2:$L$258, K142) &gt; 0,"cross.bred","pure.bred.exotic")),"NA")</f>
        <v>cross.bred</v>
      </c>
      <c r="O142" s="37" t="s">
        <v>124</v>
      </c>
      <c r="P142" s="37" t="s">
        <v>202</v>
      </c>
      <c r="Q142" s="37" t="s">
        <v>3809</v>
      </c>
      <c r="R142" s="37" t="s">
        <v>3828</v>
      </c>
      <c r="S142" s="37">
        <v>595.6</v>
      </c>
      <c r="T142" s="37" t="s">
        <v>106</v>
      </c>
      <c r="U142" s="37">
        <v>23</v>
      </c>
      <c r="V142" s="37">
        <v>934</v>
      </c>
      <c r="W142" s="37" t="s">
        <v>106</v>
      </c>
      <c r="X142" s="37">
        <v>800.5</v>
      </c>
      <c r="Y142" s="37" t="s">
        <v>106</v>
      </c>
      <c r="Z142" s="37" t="s">
        <v>106</v>
      </c>
      <c r="AA142" s="37" t="s">
        <v>106</v>
      </c>
      <c r="AB142" s="37" t="s">
        <v>106</v>
      </c>
      <c r="AC142" s="16" t="s">
        <v>5099</v>
      </c>
      <c r="AD142" s="9" t="s">
        <v>5100</v>
      </c>
      <c r="AE142" s="66"/>
    </row>
    <row r="143" spans="1:31">
      <c r="A143" s="9" t="s">
        <v>1048</v>
      </c>
      <c r="B143" s="9" t="s">
        <v>1049</v>
      </c>
      <c r="C143" s="9" t="s">
        <v>105</v>
      </c>
      <c r="D143" s="9">
        <v>3.52</v>
      </c>
      <c r="E143" s="9">
        <v>0.82</v>
      </c>
      <c r="F143" s="67">
        <v>106.9</v>
      </c>
      <c r="G143" s="9">
        <v>0.20399999999999999</v>
      </c>
      <c r="H143" s="9" t="s">
        <v>106</v>
      </c>
      <c r="I143" s="9">
        <v>6</v>
      </c>
      <c r="J143" s="9" t="s">
        <v>122</v>
      </c>
      <c r="K143" s="9" t="s">
        <v>1050</v>
      </c>
      <c r="L143" t="str">
        <f>IF(OR(J143="Cattle",J143="Zebu Cattle"),IF(COUNTIF(lists!$M$2:$M$258, K143) &gt; 0,"bos.indicus",IF(COUNTIF(lists!$L$2:$L$258, K143) &gt; 0,"cross.bred","pure.bred.exotic")),"NA")</f>
        <v>cross.bred</v>
      </c>
      <c r="M143"/>
      <c r="N143"/>
      <c r="O143" s="9" t="s">
        <v>124</v>
      </c>
      <c r="P143" s="9" t="s">
        <v>1051</v>
      </c>
      <c r="Q143" s="9" t="s">
        <v>3805</v>
      </c>
      <c r="R143" s="9" t="s">
        <v>3830</v>
      </c>
      <c r="S143" s="9">
        <v>399.1</v>
      </c>
      <c r="T143" s="9">
        <v>108.1</v>
      </c>
      <c r="U143" s="9">
        <v>89.4</v>
      </c>
      <c r="V143" s="9">
        <v>793.2</v>
      </c>
      <c r="W143" s="9" t="s">
        <v>106</v>
      </c>
      <c r="X143" s="9">
        <v>485.6</v>
      </c>
      <c r="Y143" s="9">
        <v>59.7</v>
      </c>
      <c r="Z143" s="9">
        <v>54.9</v>
      </c>
      <c r="AA143" s="9">
        <v>64.599999999999994</v>
      </c>
      <c r="AB143" s="9">
        <v>66.5</v>
      </c>
      <c r="AC143" s="9" t="s">
        <v>5100</v>
      </c>
      <c r="AD143" s="9" t="s">
        <v>5100</v>
      </c>
    </row>
    <row r="144" spans="1:31">
      <c r="A144" s="9" t="s">
        <v>1048</v>
      </c>
      <c r="B144" s="9" t="s">
        <v>1052</v>
      </c>
      <c r="C144" s="9" t="s">
        <v>105</v>
      </c>
      <c r="D144" s="9">
        <v>3.7</v>
      </c>
      <c r="E144" s="9">
        <v>0.7</v>
      </c>
      <c r="F144" s="67">
        <v>113.35</v>
      </c>
      <c r="G144" s="9">
        <v>0.28199999999999997</v>
      </c>
      <c r="H144" s="9" t="s">
        <v>106</v>
      </c>
      <c r="I144" s="9">
        <v>6</v>
      </c>
      <c r="J144" s="9" t="s">
        <v>122</v>
      </c>
      <c r="K144" s="9" t="s">
        <v>1050</v>
      </c>
      <c r="L144" t="str">
        <f>IF(OR(J144="Cattle",J144="Zebu Cattle"),IF(COUNTIF(lists!$M$2:$M$258, K144) &gt; 0,"bos.indicus",IF(COUNTIF(lists!$L$2:$L$258, K144) &gt; 0,"cross.bred","pure.bred.exotic")),"NA")</f>
        <v>cross.bred</v>
      </c>
      <c r="M144"/>
      <c r="N144"/>
      <c r="O144" s="9" t="s">
        <v>124</v>
      </c>
      <c r="P144" s="9" t="s">
        <v>1051</v>
      </c>
      <c r="Q144" s="9" t="s">
        <v>3805</v>
      </c>
      <c r="R144" s="9" t="s">
        <v>3830</v>
      </c>
      <c r="S144" s="9">
        <v>404.1</v>
      </c>
      <c r="T144" s="9">
        <v>109.7</v>
      </c>
      <c r="U144" s="9">
        <v>101.1</v>
      </c>
      <c r="V144" s="9">
        <v>814.1</v>
      </c>
      <c r="W144" s="9" t="s">
        <v>106</v>
      </c>
      <c r="X144" s="9">
        <v>588.5</v>
      </c>
      <c r="Y144" s="9">
        <v>74</v>
      </c>
      <c r="Z144" s="9">
        <v>55.5</v>
      </c>
      <c r="AA144" s="9">
        <v>65.099999999999994</v>
      </c>
      <c r="AB144" s="9">
        <v>67.3</v>
      </c>
      <c r="AC144" s="9" t="s">
        <v>5100</v>
      </c>
      <c r="AD144" s="9" t="s">
        <v>5100</v>
      </c>
    </row>
    <row r="145" spans="1:31">
      <c r="A145" s="9" t="s">
        <v>1048</v>
      </c>
      <c r="B145" s="9" t="s">
        <v>1053</v>
      </c>
      <c r="C145" s="9" t="s">
        <v>105</v>
      </c>
      <c r="D145" s="9">
        <v>3.12</v>
      </c>
      <c r="E145" s="9">
        <v>0.56000000000000005</v>
      </c>
      <c r="F145" s="67">
        <v>115.55</v>
      </c>
      <c r="G145" s="9">
        <v>0.42299999999999999</v>
      </c>
      <c r="H145" s="9" t="s">
        <v>106</v>
      </c>
      <c r="I145" s="9">
        <v>6</v>
      </c>
      <c r="J145" s="9" t="s">
        <v>122</v>
      </c>
      <c r="K145" s="9" t="s">
        <v>1050</v>
      </c>
      <c r="L145" t="str">
        <f>IF(OR(J145="Cattle",J145="Zebu Cattle"),IF(COUNTIF(lists!$M$2:$M$258, K145) &gt; 0,"bos.indicus",IF(COUNTIF(lists!$L$2:$L$258, K145) &gt; 0,"cross.bred","pure.bred.exotic")),"NA")</f>
        <v>cross.bred</v>
      </c>
      <c r="M145"/>
      <c r="N145"/>
      <c r="O145" s="9" t="s">
        <v>124</v>
      </c>
      <c r="P145" s="9" t="s">
        <v>1051</v>
      </c>
      <c r="Q145" s="9" t="s">
        <v>3805</v>
      </c>
      <c r="R145" s="9" t="s">
        <v>3830</v>
      </c>
      <c r="S145" s="9">
        <v>400.5</v>
      </c>
      <c r="T145" s="9">
        <v>111.3</v>
      </c>
      <c r="U145" s="9">
        <v>109</v>
      </c>
      <c r="V145" s="9">
        <v>784.4</v>
      </c>
      <c r="W145" s="9" t="s">
        <v>106</v>
      </c>
      <c r="X145" s="9">
        <v>604.1</v>
      </c>
      <c r="Y145" s="9">
        <v>71</v>
      </c>
      <c r="Z145" s="9">
        <v>56.7</v>
      </c>
      <c r="AA145" s="9">
        <v>61.1</v>
      </c>
      <c r="AB145" s="9">
        <v>63.5</v>
      </c>
      <c r="AC145" s="9" t="s">
        <v>5100</v>
      </c>
      <c r="AD145" s="9" t="s">
        <v>5100</v>
      </c>
    </row>
    <row r="146" spans="1:31">
      <c r="A146" s="9" t="s">
        <v>1048</v>
      </c>
      <c r="B146" s="9" t="s">
        <v>1054</v>
      </c>
      <c r="C146" s="9" t="s">
        <v>105</v>
      </c>
      <c r="D146" s="9">
        <v>3.02</v>
      </c>
      <c r="E146" s="9">
        <v>0.57999999999999996</v>
      </c>
      <c r="F146" s="67">
        <v>116.1</v>
      </c>
      <c r="G146" s="9">
        <v>0.39100000000000001</v>
      </c>
      <c r="H146" s="9" t="s">
        <v>106</v>
      </c>
      <c r="I146" s="9">
        <v>6</v>
      </c>
      <c r="J146" s="9" t="s">
        <v>122</v>
      </c>
      <c r="K146" s="9" t="s">
        <v>1050</v>
      </c>
      <c r="L146" t="str">
        <f>IF(OR(J146="Cattle",J146="Zebu Cattle"),IF(COUNTIF(lists!$M$2:$M$258, K146) &gt; 0,"bos.indicus",IF(COUNTIF(lists!$L$2:$L$258, K146) &gt; 0,"cross.bred","pure.bred.exotic")),"NA")</f>
        <v>cross.bred</v>
      </c>
      <c r="M146"/>
      <c r="N146"/>
      <c r="O146" s="9" t="s">
        <v>124</v>
      </c>
      <c r="P146" s="9" t="s">
        <v>1051</v>
      </c>
      <c r="Q146" s="9" t="s">
        <v>3805</v>
      </c>
      <c r="R146" s="9" t="s">
        <v>3830</v>
      </c>
      <c r="S146" s="9">
        <v>411.5</v>
      </c>
      <c r="T146" s="9">
        <v>103.7</v>
      </c>
      <c r="U146" s="9">
        <v>90.4</v>
      </c>
      <c r="V146" s="9">
        <v>912.6</v>
      </c>
      <c r="W146" s="9" t="s">
        <v>106</v>
      </c>
      <c r="X146" s="9">
        <v>612.29999999999995</v>
      </c>
      <c r="Y146" s="9">
        <v>60.2</v>
      </c>
      <c r="Z146" s="9">
        <v>58.6</v>
      </c>
      <c r="AA146" s="9">
        <v>47.4</v>
      </c>
      <c r="AB146" s="9">
        <v>51</v>
      </c>
      <c r="AC146" s="9" t="s">
        <v>5100</v>
      </c>
      <c r="AD146" s="9" t="s">
        <v>5100</v>
      </c>
    </row>
    <row r="147" spans="1:31">
      <c r="A147" s="9" t="s">
        <v>1061</v>
      </c>
      <c r="B147" s="9" t="s">
        <v>1062</v>
      </c>
      <c r="C147" s="9" t="s">
        <v>105</v>
      </c>
      <c r="D147" s="9">
        <v>9.7200000000000006</v>
      </c>
      <c r="E147" s="9">
        <v>0.36</v>
      </c>
      <c r="F147" s="9">
        <v>388.75</v>
      </c>
      <c r="G147" s="9" t="s">
        <v>106</v>
      </c>
      <c r="H147" s="9">
        <v>13.25</v>
      </c>
      <c r="I147" s="9">
        <v>6</v>
      </c>
      <c r="J147" s="9" t="s">
        <v>122</v>
      </c>
      <c r="K147" s="9" t="s">
        <v>4802</v>
      </c>
      <c r="L147" t="str">
        <f>IF(OR(J147="Cattle",J147="Zebu Cattle"),IF(COUNTIF(lists!$M$2:$M$258, K147) &gt; 0,"bos.indicus",IF(COUNTIF(lists!$L$2:$L$258, K147) &gt; 0,"cross.bred","pure.bred.exotic")),"NA")</f>
        <v>cross.bred</v>
      </c>
      <c r="M147"/>
      <c r="N147"/>
      <c r="O147" s="9" t="s">
        <v>124</v>
      </c>
      <c r="P147" s="9" t="s">
        <v>456</v>
      </c>
      <c r="Q147" s="9" t="s">
        <v>3809</v>
      </c>
      <c r="R147" s="9" t="s">
        <v>3830</v>
      </c>
      <c r="S147" s="9">
        <v>262.5</v>
      </c>
      <c r="T147" s="9" t="s">
        <v>106</v>
      </c>
      <c r="U147" s="9">
        <v>190.6</v>
      </c>
      <c r="V147" s="9">
        <v>978.4</v>
      </c>
      <c r="W147" s="9" t="s">
        <v>106</v>
      </c>
      <c r="X147" s="9">
        <v>389</v>
      </c>
      <c r="Y147" s="9" t="s">
        <v>106</v>
      </c>
      <c r="Z147" s="9" t="s">
        <v>106</v>
      </c>
      <c r="AA147" s="9" t="s">
        <v>106</v>
      </c>
      <c r="AB147" s="9" t="s">
        <v>106</v>
      </c>
      <c r="AC147" s="9" t="s">
        <v>5100</v>
      </c>
      <c r="AD147" s="9" t="s">
        <v>5100</v>
      </c>
    </row>
    <row r="148" spans="1:31">
      <c r="A148" s="9" t="s">
        <v>1061</v>
      </c>
      <c r="B148" s="9" t="s">
        <v>1063</v>
      </c>
      <c r="C148" s="9" t="s">
        <v>105</v>
      </c>
      <c r="D148" s="9">
        <v>9.6300000000000008</v>
      </c>
      <c r="E148" s="9">
        <v>0.36</v>
      </c>
      <c r="F148" s="9">
        <v>388.75</v>
      </c>
      <c r="G148" s="9" t="s">
        <v>106</v>
      </c>
      <c r="H148" s="9">
        <v>13.92</v>
      </c>
      <c r="I148" s="9">
        <v>6</v>
      </c>
      <c r="J148" s="9" t="s">
        <v>122</v>
      </c>
      <c r="K148" s="9" t="s">
        <v>4802</v>
      </c>
      <c r="L148" t="str">
        <f>IF(OR(J148="Cattle",J148="Zebu Cattle"),IF(COUNTIF(lists!$M$2:$M$258, K148) &gt; 0,"bos.indicus",IF(COUNTIF(lists!$L$2:$L$258, K148) &gt; 0,"cross.bred","pure.bred.exotic")),"NA")</f>
        <v>cross.bred</v>
      </c>
      <c r="M148"/>
      <c r="N148"/>
      <c r="O148" s="9" t="s">
        <v>124</v>
      </c>
      <c r="P148" s="9" t="s">
        <v>456</v>
      </c>
      <c r="Q148" s="9" t="s">
        <v>3809</v>
      </c>
      <c r="R148" s="9" t="s">
        <v>3830</v>
      </c>
      <c r="S148" s="9">
        <v>324.2</v>
      </c>
      <c r="T148" s="9" t="s">
        <v>106</v>
      </c>
      <c r="U148" s="9">
        <v>196.2</v>
      </c>
      <c r="V148" s="9">
        <v>936.2</v>
      </c>
      <c r="W148" s="9" t="s">
        <v>106</v>
      </c>
      <c r="X148" s="9">
        <v>392.7</v>
      </c>
      <c r="Y148" s="9" t="s">
        <v>106</v>
      </c>
      <c r="Z148" s="9" t="s">
        <v>106</v>
      </c>
      <c r="AA148" s="9" t="s">
        <v>106</v>
      </c>
      <c r="AB148" s="9" t="s">
        <v>106</v>
      </c>
      <c r="AC148" s="9" t="s">
        <v>5100</v>
      </c>
      <c r="AD148" s="9" t="s">
        <v>5100</v>
      </c>
    </row>
    <row r="149" spans="1:31">
      <c r="A149" s="9" t="s">
        <v>1061</v>
      </c>
      <c r="B149" s="9" t="s">
        <v>1064</v>
      </c>
      <c r="C149" s="9" t="s">
        <v>105</v>
      </c>
      <c r="D149" s="9">
        <v>8.8699999999999992</v>
      </c>
      <c r="E149" s="9">
        <v>0.36</v>
      </c>
      <c r="F149" s="9">
        <v>388.75</v>
      </c>
      <c r="G149" s="9" t="s">
        <v>106</v>
      </c>
      <c r="H149" s="9">
        <v>9.92</v>
      </c>
      <c r="I149" s="9">
        <v>6</v>
      </c>
      <c r="J149" s="9" t="s">
        <v>122</v>
      </c>
      <c r="K149" s="9" t="s">
        <v>4802</v>
      </c>
      <c r="L149" t="str">
        <f>IF(OR(J149="Cattle",J149="Zebu Cattle"),IF(COUNTIF(lists!$M$2:$M$258, K149) &gt; 0,"bos.indicus",IF(COUNTIF(lists!$L$2:$L$258, K149) &gt; 0,"cross.bred","pure.bred.exotic")),"NA")</f>
        <v>cross.bred</v>
      </c>
      <c r="M149"/>
      <c r="N149"/>
      <c r="O149" s="9" t="s">
        <v>124</v>
      </c>
      <c r="P149" s="9" t="s">
        <v>456</v>
      </c>
      <c r="Q149" s="9" t="s">
        <v>3809</v>
      </c>
      <c r="R149" s="9" t="s">
        <v>3830</v>
      </c>
      <c r="S149" s="9">
        <v>151</v>
      </c>
      <c r="T149" s="9" t="s">
        <v>106</v>
      </c>
      <c r="U149" s="9">
        <v>173.1</v>
      </c>
      <c r="V149" s="9">
        <v>891.4</v>
      </c>
      <c r="W149" s="9" t="s">
        <v>106</v>
      </c>
      <c r="X149" s="9">
        <v>486.4</v>
      </c>
      <c r="Y149" s="9" t="s">
        <v>106</v>
      </c>
      <c r="Z149" s="9" t="s">
        <v>106</v>
      </c>
      <c r="AA149" s="9" t="s">
        <v>106</v>
      </c>
      <c r="AB149" s="9" t="s">
        <v>106</v>
      </c>
      <c r="AC149" s="9" t="s">
        <v>5100</v>
      </c>
      <c r="AD149" s="9" t="s">
        <v>5100</v>
      </c>
    </row>
    <row r="150" spans="1:31">
      <c r="A150" s="9" t="s">
        <v>1061</v>
      </c>
      <c r="B150" s="9" t="s">
        <v>1065</v>
      </c>
      <c r="C150" s="9" t="s">
        <v>105</v>
      </c>
      <c r="D150" s="9">
        <v>9.36</v>
      </c>
      <c r="E150" s="9">
        <v>0.36</v>
      </c>
      <c r="F150" s="9">
        <v>388.75</v>
      </c>
      <c r="G150" s="9" t="s">
        <v>106</v>
      </c>
      <c r="H150" s="9">
        <v>13.13</v>
      </c>
      <c r="I150" s="9">
        <v>6</v>
      </c>
      <c r="J150" s="9" t="s">
        <v>122</v>
      </c>
      <c r="K150" s="9" t="s">
        <v>4802</v>
      </c>
      <c r="L150" t="str">
        <f>IF(OR(J150="Cattle",J150="Zebu Cattle"),IF(COUNTIF(lists!$M$2:$M$258, K150) &gt; 0,"bos.indicus",IF(COUNTIF(lists!$L$2:$L$258, K150) &gt; 0,"cross.bred","pure.bred.exotic")),"NA")</f>
        <v>cross.bred</v>
      </c>
      <c r="M150"/>
      <c r="N150"/>
      <c r="O150" s="9" t="s">
        <v>124</v>
      </c>
      <c r="P150" s="9" t="s">
        <v>456</v>
      </c>
      <c r="Q150" s="9" t="s">
        <v>3809</v>
      </c>
      <c r="R150" s="9" t="s">
        <v>3830</v>
      </c>
      <c r="S150" s="9">
        <v>25.7</v>
      </c>
      <c r="T150" s="9" t="s">
        <v>106</v>
      </c>
      <c r="U150" s="9">
        <v>274.60000000000002</v>
      </c>
      <c r="V150" s="9">
        <v>974.8</v>
      </c>
      <c r="W150" s="9" t="s">
        <v>106</v>
      </c>
      <c r="X150" s="9">
        <v>194.3</v>
      </c>
      <c r="Y150" s="9" t="s">
        <v>106</v>
      </c>
      <c r="Z150" s="9" t="s">
        <v>106</v>
      </c>
      <c r="AA150" s="9" t="s">
        <v>106</v>
      </c>
      <c r="AB150" s="9" t="s">
        <v>106</v>
      </c>
      <c r="AC150" s="9" t="s">
        <v>5100</v>
      </c>
      <c r="AD150" s="9" t="s">
        <v>5100</v>
      </c>
    </row>
    <row r="151" spans="1:31">
      <c r="A151" s="9" t="s">
        <v>1076</v>
      </c>
      <c r="B151" s="9" t="s">
        <v>1077</v>
      </c>
      <c r="C151" s="9" t="s">
        <v>105</v>
      </c>
      <c r="D151" s="9">
        <v>8.0210000000000008</v>
      </c>
      <c r="E151" s="9">
        <v>0.08</v>
      </c>
      <c r="F151" s="9">
        <v>333.8</v>
      </c>
      <c r="G151" s="9">
        <v>0.66200000000000003</v>
      </c>
      <c r="H151" s="9" t="s">
        <v>106</v>
      </c>
      <c r="I151" s="9">
        <v>5</v>
      </c>
      <c r="J151" s="9" t="s">
        <v>122</v>
      </c>
      <c r="K151" s="9" t="s">
        <v>1078</v>
      </c>
      <c r="L151" t="str">
        <f>IF(OR(J151="Cattle",J151="Zebu Cattle"),IF(COUNTIF(lists!$M$2:$M$258, K151) &gt; 0,"bos.indicus",IF(COUNTIF(lists!$L$2:$L$258, K151) &gt; 0,"cross.bred","pure.bred.exotic")),"NA")</f>
        <v>bos.indicus</v>
      </c>
      <c r="M151"/>
      <c r="N151"/>
      <c r="O151" s="9" t="s">
        <v>109</v>
      </c>
      <c r="P151" s="9" t="s">
        <v>4963</v>
      </c>
      <c r="Q151" s="9" t="s">
        <v>3810</v>
      </c>
      <c r="R151" s="9" t="s">
        <v>3830</v>
      </c>
      <c r="S151" s="9">
        <v>304.24</v>
      </c>
      <c r="T151" s="9" t="s">
        <v>106</v>
      </c>
      <c r="U151" s="9">
        <v>123.44</v>
      </c>
      <c r="V151" s="9">
        <v>884.4</v>
      </c>
      <c r="W151" s="9" t="s">
        <v>106</v>
      </c>
      <c r="X151" s="9">
        <v>482.54</v>
      </c>
      <c r="Y151" s="9" t="s">
        <v>106</v>
      </c>
      <c r="Z151" s="9">
        <v>97.26</v>
      </c>
      <c r="AA151" s="9" t="s">
        <v>106</v>
      </c>
      <c r="AB151" s="9" t="s">
        <v>106</v>
      </c>
      <c r="AC151" s="9" t="s">
        <v>5100</v>
      </c>
      <c r="AD151" s="9" t="s">
        <v>5100</v>
      </c>
    </row>
    <row r="152" spans="1:31">
      <c r="A152" s="9" t="s">
        <v>1076</v>
      </c>
      <c r="B152" s="9" t="s">
        <v>1079</v>
      </c>
      <c r="C152" s="9" t="s">
        <v>105</v>
      </c>
      <c r="D152" s="9">
        <v>8.0909999999999993</v>
      </c>
      <c r="E152" s="9">
        <v>0.08</v>
      </c>
      <c r="F152" s="9">
        <v>334</v>
      </c>
      <c r="G152" s="9">
        <v>0.67600000000000005</v>
      </c>
      <c r="H152" s="9" t="s">
        <v>106</v>
      </c>
      <c r="I152" s="9">
        <v>5</v>
      </c>
      <c r="J152" s="9" t="s">
        <v>122</v>
      </c>
      <c r="K152" s="9" t="s">
        <v>1078</v>
      </c>
      <c r="L152" t="str">
        <f>IF(OR(J152="Cattle",J152="Zebu Cattle"),IF(COUNTIF(lists!$M$2:$M$258, K152) &gt; 0,"bos.indicus",IF(COUNTIF(lists!$L$2:$L$258, K152) &gt; 0,"cross.bred","pure.bred.exotic")),"NA")</f>
        <v>bos.indicus</v>
      </c>
      <c r="M152"/>
      <c r="N152"/>
      <c r="O152" s="9" t="s">
        <v>109</v>
      </c>
      <c r="P152" s="9" t="s">
        <v>4963</v>
      </c>
      <c r="Q152" s="9" t="s">
        <v>3810</v>
      </c>
      <c r="R152" s="9" t="s">
        <v>3830</v>
      </c>
      <c r="S152" s="9">
        <v>357.23</v>
      </c>
      <c r="T152" s="9" t="s">
        <v>106</v>
      </c>
      <c r="U152" s="9">
        <v>121.14</v>
      </c>
      <c r="V152" s="9">
        <v>884.26</v>
      </c>
      <c r="W152" s="9" t="s">
        <v>106</v>
      </c>
      <c r="X152" s="9">
        <v>537.70000000000005</v>
      </c>
      <c r="Y152" s="9" t="s">
        <v>106</v>
      </c>
      <c r="Z152" s="9">
        <v>85.29</v>
      </c>
      <c r="AA152" s="9" t="s">
        <v>106</v>
      </c>
      <c r="AB152" s="9" t="s">
        <v>106</v>
      </c>
      <c r="AC152" s="9" t="s">
        <v>5100</v>
      </c>
      <c r="AD152" s="9" t="s">
        <v>5100</v>
      </c>
    </row>
    <row r="153" spans="1:31">
      <c r="A153" s="9" t="s">
        <v>1076</v>
      </c>
      <c r="B153" s="9" t="s">
        <v>1080</v>
      </c>
      <c r="C153" s="9" t="s">
        <v>105</v>
      </c>
      <c r="D153" s="9">
        <v>7.29</v>
      </c>
      <c r="E153" s="9">
        <v>0.08</v>
      </c>
      <c r="F153" s="9">
        <v>312.5</v>
      </c>
      <c r="G153" s="9">
        <v>0.57599999999999996</v>
      </c>
      <c r="H153" s="9" t="s">
        <v>106</v>
      </c>
      <c r="I153" s="9">
        <v>5</v>
      </c>
      <c r="J153" s="9" t="s">
        <v>122</v>
      </c>
      <c r="K153" s="9" t="s">
        <v>1078</v>
      </c>
      <c r="L153" t="str">
        <f>IF(OR(J153="Cattle",J153="Zebu Cattle"),IF(COUNTIF(lists!$M$2:$M$258, K153) &gt; 0,"bos.indicus",IF(COUNTIF(lists!$L$2:$L$258, K153) &gt; 0,"cross.bred","pure.bred.exotic")),"NA")</f>
        <v>bos.indicus</v>
      </c>
      <c r="M153"/>
      <c r="N153"/>
      <c r="O153" s="9" t="s">
        <v>109</v>
      </c>
      <c r="P153" s="9" t="s">
        <v>4963</v>
      </c>
      <c r="Q153" s="9" t="s">
        <v>3810</v>
      </c>
      <c r="R153" s="9" t="s">
        <v>3830</v>
      </c>
      <c r="S153" s="9">
        <v>415.64</v>
      </c>
      <c r="T153" s="9" t="s">
        <v>106</v>
      </c>
      <c r="U153" s="9">
        <v>139.91999999999999</v>
      </c>
      <c r="V153" s="9">
        <v>884.49</v>
      </c>
      <c r="W153" s="9" t="s">
        <v>106</v>
      </c>
      <c r="X153" s="9">
        <v>617.28</v>
      </c>
      <c r="Y153" s="9" t="s">
        <v>106</v>
      </c>
      <c r="Z153" s="9">
        <v>116.6</v>
      </c>
      <c r="AA153" s="9" t="s">
        <v>106</v>
      </c>
      <c r="AB153" s="9" t="s">
        <v>106</v>
      </c>
      <c r="AC153" s="9" t="s">
        <v>5100</v>
      </c>
      <c r="AD153" s="9" t="s">
        <v>5100</v>
      </c>
    </row>
    <row r="154" spans="1:31">
      <c r="A154" s="9" t="s">
        <v>1076</v>
      </c>
      <c r="B154" s="9" t="s">
        <v>1081</v>
      </c>
      <c r="C154" s="9" t="s">
        <v>105</v>
      </c>
      <c r="D154" s="9">
        <v>8.0809999999999995</v>
      </c>
      <c r="E154" s="9">
        <v>0.08</v>
      </c>
      <c r="F154" s="9">
        <v>335.7</v>
      </c>
      <c r="G154" s="9">
        <v>0.65600000000000003</v>
      </c>
      <c r="H154" s="9" t="s">
        <v>106</v>
      </c>
      <c r="I154" s="9">
        <v>5</v>
      </c>
      <c r="J154" s="9" t="s">
        <v>122</v>
      </c>
      <c r="K154" s="9" t="s">
        <v>1078</v>
      </c>
      <c r="L154" t="str">
        <f>IF(OR(J154="Cattle",J154="Zebu Cattle"),IF(COUNTIF(lists!$M$2:$M$258, K154) &gt; 0,"bos.indicus",IF(COUNTIF(lists!$L$2:$L$258, K154) &gt; 0,"cross.bred","pure.bred.exotic")),"NA")</f>
        <v>bos.indicus</v>
      </c>
      <c r="M154"/>
      <c r="N154"/>
      <c r="O154" s="9" t="s">
        <v>109</v>
      </c>
      <c r="P154" s="9" t="s">
        <v>4963</v>
      </c>
      <c r="Q154" s="9" t="s">
        <v>3810</v>
      </c>
      <c r="R154" s="9" t="s">
        <v>3830</v>
      </c>
      <c r="S154" s="9">
        <v>433.17</v>
      </c>
      <c r="T154" s="9" t="s">
        <v>106</v>
      </c>
      <c r="U154" s="9">
        <v>121.29</v>
      </c>
      <c r="V154" s="9">
        <v>884.22</v>
      </c>
      <c r="W154" s="9" t="s">
        <v>106</v>
      </c>
      <c r="X154" s="9">
        <v>612.62</v>
      </c>
      <c r="Y154" s="9" t="s">
        <v>106</v>
      </c>
      <c r="Z154" s="9">
        <v>113.86</v>
      </c>
      <c r="AA154" s="9" t="s">
        <v>106</v>
      </c>
      <c r="AB154" s="9" t="s">
        <v>106</v>
      </c>
      <c r="AC154" s="9" t="s">
        <v>5100</v>
      </c>
      <c r="AD154" s="9" t="s">
        <v>5100</v>
      </c>
    </row>
    <row r="155" spans="1:31">
      <c r="A155" s="9" t="s">
        <v>1076</v>
      </c>
      <c r="B155" s="9" t="s">
        <v>1082</v>
      </c>
      <c r="C155" s="9" t="s">
        <v>105</v>
      </c>
      <c r="D155" s="9">
        <v>7.8</v>
      </c>
      <c r="E155" s="9">
        <v>0.08</v>
      </c>
      <c r="F155" s="9">
        <v>327.3</v>
      </c>
      <c r="G155" s="9">
        <v>0.58899999999999997</v>
      </c>
      <c r="H155" s="9" t="s">
        <v>106</v>
      </c>
      <c r="I155" s="9">
        <v>5</v>
      </c>
      <c r="J155" s="9" t="s">
        <v>122</v>
      </c>
      <c r="K155" s="9" t="s">
        <v>1078</v>
      </c>
      <c r="L155" t="str">
        <f>IF(OR(J155="Cattle",J155="Zebu Cattle"),IF(COUNTIF(lists!$M$2:$M$258, K155) &gt; 0,"bos.indicus",IF(COUNTIF(lists!$L$2:$L$258, K155) &gt; 0,"cross.bred","pure.bred.exotic")),"NA")</f>
        <v>bos.indicus</v>
      </c>
      <c r="M155"/>
      <c r="N155"/>
      <c r="O155" s="9" t="s">
        <v>109</v>
      </c>
      <c r="P155" s="9" t="s">
        <v>4963</v>
      </c>
      <c r="Q155" s="9" t="s">
        <v>3810</v>
      </c>
      <c r="R155" s="9" t="s">
        <v>3830</v>
      </c>
      <c r="S155" s="9">
        <v>362.82</v>
      </c>
      <c r="T155" s="9" t="s">
        <v>106</v>
      </c>
      <c r="U155" s="9">
        <v>101.28</v>
      </c>
      <c r="V155" s="9">
        <v>884.15</v>
      </c>
      <c r="W155" s="9" t="s">
        <v>106</v>
      </c>
      <c r="X155" s="9">
        <v>528.21</v>
      </c>
      <c r="Y155" s="9" t="s">
        <v>106</v>
      </c>
      <c r="Z155" s="9">
        <v>97.44</v>
      </c>
      <c r="AA155" s="9" t="s">
        <v>106</v>
      </c>
      <c r="AB155" s="9" t="s">
        <v>106</v>
      </c>
      <c r="AC155" s="9" t="s">
        <v>5100</v>
      </c>
      <c r="AD155" s="9" t="s">
        <v>5100</v>
      </c>
    </row>
    <row r="156" spans="1:31">
      <c r="A156" s="9" t="s">
        <v>1094</v>
      </c>
      <c r="B156" s="9" t="s">
        <v>1095</v>
      </c>
      <c r="C156" s="9" t="s">
        <v>105</v>
      </c>
      <c r="D156" s="9">
        <v>12.71</v>
      </c>
      <c r="E156" s="9" t="s">
        <v>106</v>
      </c>
      <c r="F156" s="9" t="s">
        <v>106</v>
      </c>
      <c r="G156" s="9" t="s">
        <v>106</v>
      </c>
      <c r="H156" s="9">
        <v>11.67</v>
      </c>
      <c r="I156" s="9">
        <v>12</v>
      </c>
      <c r="J156" s="9" t="s">
        <v>122</v>
      </c>
      <c r="K156" s="9" t="s">
        <v>223</v>
      </c>
      <c r="L156" t="str">
        <f>IF(OR(J156="Cattle",J156="Zebu Cattle"),IF(COUNTIF(lists!$M$2:$M$258, K156) &gt; 0,"bos.indicus",IF(COUNTIF(lists!$L$2:$L$258, K156) &gt; 0,"cross.bred","pure.bred.exotic")),"NA")</f>
        <v>cross.bred</v>
      </c>
      <c r="M156"/>
      <c r="N156"/>
      <c r="O156" s="9" t="s">
        <v>124</v>
      </c>
      <c r="P156" s="9" t="s">
        <v>202</v>
      </c>
      <c r="Q156" s="9" t="s">
        <v>3809</v>
      </c>
      <c r="R156" s="9" t="s">
        <v>3830</v>
      </c>
      <c r="S156" s="9">
        <v>319.3</v>
      </c>
      <c r="T156" s="9" t="s">
        <v>106</v>
      </c>
      <c r="U156" s="9">
        <v>132</v>
      </c>
      <c r="V156" s="9" t="s">
        <v>106</v>
      </c>
      <c r="W156" s="9" t="s">
        <v>106</v>
      </c>
      <c r="X156" s="9">
        <v>545.5</v>
      </c>
      <c r="Y156" s="9" t="s">
        <v>106</v>
      </c>
      <c r="Z156" s="9" t="s">
        <v>106</v>
      </c>
      <c r="AA156" s="9" t="s">
        <v>106</v>
      </c>
      <c r="AB156" s="9" t="s">
        <v>106</v>
      </c>
      <c r="AC156" s="9" t="s">
        <v>5100</v>
      </c>
      <c r="AD156" s="9" t="s">
        <v>5100</v>
      </c>
    </row>
    <row r="157" spans="1:31">
      <c r="A157" s="9" t="s">
        <v>1094</v>
      </c>
      <c r="B157" s="9" t="s">
        <v>1096</v>
      </c>
      <c r="C157" s="9" t="s">
        <v>105</v>
      </c>
      <c r="D157" s="9">
        <v>12.11</v>
      </c>
      <c r="E157" s="9" t="s">
        <v>106</v>
      </c>
      <c r="F157" s="9" t="s">
        <v>106</v>
      </c>
      <c r="G157" s="9" t="s">
        <v>106</v>
      </c>
      <c r="H157" s="9">
        <v>7.5</v>
      </c>
      <c r="I157" s="9">
        <v>12</v>
      </c>
      <c r="J157" s="9" t="s">
        <v>122</v>
      </c>
      <c r="K157" s="9" t="s">
        <v>223</v>
      </c>
      <c r="L157" t="str">
        <f>IF(OR(J157="Cattle",J157="Zebu Cattle"),IF(COUNTIF(lists!$M$2:$M$258, K157) &gt; 0,"bos.indicus",IF(COUNTIF(lists!$L$2:$L$258, K157) &gt; 0,"cross.bred","pure.bred.exotic")),"NA")</f>
        <v>cross.bred</v>
      </c>
      <c r="M157"/>
      <c r="N157"/>
      <c r="O157" s="9" t="s">
        <v>124</v>
      </c>
      <c r="P157" s="9" t="s">
        <v>202</v>
      </c>
      <c r="Q157" s="9" t="s">
        <v>3809</v>
      </c>
      <c r="R157" s="9" t="s">
        <v>3830</v>
      </c>
      <c r="S157" s="9">
        <v>370.6</v>
      </c>
      <c r="T157" s="9" t="s">
        <v>106</v>
      </c>
      <c r="U157" s="9">
        <v>91.8</v>
      </c>
      <c r="V157" s="9" t="s">
        <v>106</v>
      </c>
      <c r="W157" s="9" t="s">
        <v>106</v>
      </c>
      <c r="X157" s="9">
        <v>624.099999999999</v>
      </c>
      <c r="Y157" s="9" t="s">
        <v>106</v>
      </c>
      <c r="Z157" s="9" t="s">
        <v>106</v>
      </c>
      <c r="AA157" s="9" t="s">
        <v>106</v>
      </c>
      <c r="AB157" s="9" t="s">
        <v>106</v>
      </c>
      <c r="AC157" s="9" t="s">
        <v>5100</v>
      </c>
      <c r="AD157" s="9" t="s">
        <v>5100</v>
      </c>
    </row>
    <row r="158" spans="1:31" s="56" customFormat="1">
      <c r="A158" s="37" t="s">
        <v>1103</v>
      </c>
      <c r="B158" s="37" t="s">
        <v>1104</v>
      </c>
      <c r="C158" s="37" t="s">
        <v>105</v>
      </c>
      <c r="D158" s="37">
        <v>8.24</v>
      </c>
      <c r="E158" s="37">
        <v>7.1999999999999995E-2</v>
      </c>
      <c r="F158" s="37" t="s">
        <v>106</v>
      </c>
      <c r="G158" s="37" t="s">
        <v>106</v>
      </c>
      <c r="H158" s="37">
        <v>4.9800000000000004</v>
      </c>
      <c r="I158" s="37">
        <v>13</v>
      </c>
      <c r="J158" s="37" t="s">
        <v>122</v>
      </c>
      <c r="K158" s="37" t="s">
        <v>223</v>
      </c>
      <c r="L158" s="56" t="str">
        <f>IF(OR(J158="Cattle",J158="Zebu Cattle"),IF(COUNTIF(lists!$M$2:$M$258, K158) &gt; 0,"bos.indicus",IF(COUNTIF(lists!$L$2:$L$258, K158) &gt; 0,"cross.bred","pure.bred.exotic")),"NA")</f>
        <v>cross.bred</v>
      </c>
      <c r="O158" s="37" t="s">
        <v>124</v>
      </c>
      <c r="P158" s="37" t="s">
        <v>202</v>
      </c>
      <c r="Q158" s="37" t="s">
        <v>3809</v>
      </c>
      <c r="R158" s="37" t="s">
        <v>3828</v>
      </c>
      <c r="S158" s="37" t="s">
        <v>106</v>
      </c>
      <c r="T158" s="37" t="s">
        <v>106</v>
      </c>
      <c r="U158" s="37" t="s">
        <v>106</v>
      </c>
      <c r="V158" s="37" t="s">
        <v>106</v>
      </c>
      <c r="W158" s="37" t="s">
        <v>106</v>
      </c>
      <c r="X158" s="37" t="s">
        <v>106</v>
      </c>
      <c r="Y158" s="37" t="s">
        <v>106</v>
      </c>
      <c r="Z158" s="37" t="s">
        <v>106</v>
      </c>
      <c r="AA158" s="37" t="s">
        <v>106</v>
      </c>
      <c r="AB158" s="37" t="s">
        <v>106</v>
      </c>
      <c r="AC158" s="9" t="s">
        <v>5100</v>
      </c>
      <c r="AD158" s="9" t="s">
        <v>5100</v>
      </c>
      <c r="AE158" s="66"/>
    </row>
    <row r="159" spans="1:31" s="56" customFormat="1">
      <c r="A159" s="37" t="s">
        <v>1103</v>
      </c>
      <c r="B159" s="37" t="s">
        <v>1105</v>
      </c>
      <c r="C159" s="37" t="s">
        <v>105</v>
      </c>
      <c r="D159" s="37">
        <v>6.16</v>
      </c>
      <c r="E159" s="37">
        <v>7.1999999999999995E-2</v>
      </c>
      <c r="F159" s="37" t="s">
        <v>106</v>
      </c>
      <c r="G159" s="37" t="s">
        <v>106</v>
      </c>
      <c r="H159" s="37">
        <v>2.65</v>
      </c>
      <c r="I159" s="37">
        <v>13</v>
      </c>
      <c r="J159" s="37" t="s">
        <v>122</v>
      </c>
      <c r="K159" s="37" t="s">
        <v>223</v>
      </c>
      <c r="L159" s="56" t="str">
        <f>IF(OR(J159="Cattle",J159="Zebu Cattle"),IF(COUNTIF(lists!$M$2:$M$258, K159) &gt; 0,"bos.indicus",IF(COUNTIF(lists!$L$2:$L$258, K159) &gt; 0,"cross.bred","pure.bred.exotic")),"NA")</f>
        <v>cross.bred</v>
      </c>
      <c r="O159" s="37" t="s">
        <v>124</v>
      </c>
      <c r="P159" s="37" t="s">
        <v>202</v>
      </c>
      <c r="Q159" s="37" t="s">
        <v>3809</v>
      </c>
      <c r="R159" s="37" t="s">
        <v>3828</v>
      </c>
      <c r="S159" s="37" t="s">
        <v>106</v>
      </c>
      <c r="T159" s="37" t="s">
        <v>106</v>
      </c>
      <c r="U159" s="37" t="s">
        <v>106</v>
      </c>
      <c r="V159" s="37" t="s">
        <v>106</v>
      </c>
      <c r="W159" s="37" t="s">
        <v>106</v>
      </c>
      <c r="X159" s="37" t="s">
        <v>106</v>
      </c>
      <c r="Y159" s="37" t="s">
        <v>106</v>
      </c>
      <c r="Z159" s="37" t="s">
        <v>106</v>
      </c>
      <c r="AA159" s="37" t="s">
        <v>106</v>
      </c>
      <c r="AB159" s="37" t="s">
        <v>106</v>
      </c>
      <c r="AC159" s="9" t="s">
        <v>5100</v>
      </c>
      <c r="AD159" s="9" t="s">
        <v>5100</v>
      </c>
      <c r="AE159" s="66"/>
    </row>
    <row r="160" spans="1:31">
      <c r="A160" s="9" t="s">
        <v>1151</v>
      </c>
      <c r="B160" s="9" t="s">
        <v>151</v>
      </c>
      <c r="C160" s="9" t="s">
        <v>105</v>
      </c>
      <c r="D160" s="9">
        <v>13.69</v>
      </c>
      <c r="E160" s="9">
        <v>0.21099999999999999</v>
      </c>
      <c r="F160" s="9" t="s">
        <v>106</v>
      </c>
      <c r="G160" s="9" t="s">
        <v>106</v>
      </c>
      <c r="H160" s="9">
        <v>10.06</v>
      </c>
      <c r="J160" s="9" t="s">
        <v>122</v>
      </c>
      <c r="K160" s="9" t="s">
        <v>4801</v>
      </c>
      <c r="L160" t="str">
        <f>IF(OR(J160="Cattle",J160="Zebu Cattle"),IF(COUNTIF(lists!$M$2:$M$258, K160) &gt; 0,"bos.indicus",IF(COUNTIF(lists!$L$2:$L$258, K160) &gt; 0,"cross.bred","pure.bred.exotic")),"NA")</f>
        <v>pure.bred.exotic</v>
      </c>
      <c r="M160"/>
      <c r="N160"/>
      <c r="O160" s="9" t="s">
        <v>135</v>
      </c>
      <c r="P160" s="9" t="s">
        <v>202</v>
      </c>
      <c r="Q160" s="9" t="s">
        <v>3809</v>
      </c>
      <c r="R160" s="9" t="s">
        <v>3830</v>
      </c>
      <c r="S160" s="9" t="s">
        <v>106</v>
      </c>
      <c r="T160" s="9">
        <v>116.1</v>
      </c>
      <c r="U160" s="9">
        <v>115.5</v>
      </c>
      <c r="V160" s="9">
        <v>686.1</v>
      </c>
      <c r="W160" s="9">
        <v>20.2</v>
      </c>
      <c r="X160" s="9">
        <v>467.2</v>
      </c>
      <c r="Y160" s="9">
        <v>58.86</v>
      </c>
      <c r="Z160" s="9" t="s">
        <v>106</v>
      </c>
      <c r="AA160" s="9" t="s">
        <v>106</v>
      </c>
      <c r="AB160" s="9" t="s">
        <v>106</v>
      </c>
      <c r="AC160" s="9" t="s">
        <v>5100</v>
      </c>
      <c r="AD160" s="9" t="s">
        <v>5100</v>
      </c>
    </row>
    <row r="161" spans="1:31">
      <c r="A161" s="9" t="s">
        <v>1151</v>
      </c>
      <c r="B161" s="9" t="s">
        <v>154</v>
      </c>
      <c r="C161" s="9" t="s">
        <v>105</v>
      </c>
      <c r="D161" s="9">
        <v>13.73</v>
      </c>
      <c r="E161" s="9">
        <v>0.21099999999999999</v>
      </c>
      <c r="F161" s="9" t="s">
        <v>106</v>
      </c>
      <c r="G161" s="9" t="s">
        <v>106</v>
      </c>
      <c r="H161" s="9">
        <v>10.41</v>
      </c>
      <c r="J161" s="9" t="s">
        <v>122</v>
      </c>
      <c r="K161" s="9" t="s">
        <v>4801</v>
      </c>
      <c r="L161" t="str">
        <f>IF(OR(J161="Cattle",J161="Zebu Cattle"),IF(COUNTIF(lists!$M$2:$M$258, K161) &gt; 0,"bos.indicus",IF(COUNTIF(lists!$L$2:$L$258, K161) &gt; 0,"cross.bred","pure.bred.exotic")),"NA")</f>
        <v>pure.bred.exotic</v>
      </c>
      <c r="M161"/>
      <c r="N161"/>
      <c r="O161" s="9" t="s">
        <v>135</v>
      </c>
      <c r="P161" s="9" t="s">
        <v>202</v>
      </c>
      <c r="Q161" s="9" t="s">
        <v>3809</v>
      </c>
      <c r="R161" s="9" t="s">
        <v>3830</v>
      </c>
      <c r="S161" s="9" t="s">
        <v>106</v>
      </c>
      <c r="T161" s="9">
        <v>116.1</v>
      </c>
      <c r="U161" s="9">
        <v>115.2</v>
      </c>
      <c r="V161" s="9">
        <v>686.2</v>
      </c>
      <c r="W161" s="9">
        <v>19.899999999999999</v>
      </c>
      <c r="X161" s="9">
        <v>467.2</v>
      </c>
      <c r="Y161" s="9">
        <v>58.91</v>
      </c>
      <c r="Z161" s="9" t="s">
        <v>106</v>
      </c>
      <c r="AA161" s="9" t="s">
        <v>106</v>
      </c>
      <c r="AB161" s="9" t="s">
        <v>106</v>
      </c>
      <c r="AC161" s="9" t="s">
        <v>5100</v>
      </c>
      <c r="AD161" s="9" t="s">
        <v>5100</v>
      </c>
    </row>
    <row r="162" spans="1:31">
      <c r="A162" s="9" t="s">
        <v>1151</v>
      </c>
      <c r="B162" s="9" t="s">
        <v>155</v>
      </c>
      <c r="C162" s="9" t="s">
        <v>105</v>
      </c>
      <c r="D162" s="9">
        <v>13.72</v>
      </c>
      <c r="E162" s="9">
        <v>0.21099999999999999</v>
      </c>
      <c r="F162" s="9" t="s">
        <v>106</v>
      </c>
      <c r="G162" s="9" t="s">
        <v>106</v>
      </c>
      <c r="H162" s="9">
        <v>10.74</v>
      </c>
      <c r="J162" s="9" t="s">
        <v>122</v>
      </c>
      <c r="K162" s="9" t="s">
        <v>4801</v>
      </c>
      <c r="L162" t="str">
        <f>IF(OR(J162="Cattle",J162="Zebu Cattle"),IF(COUNTIF(lists!$M$2:$M$258, K162) &gt; 0,"bos.indicus",IF(COUNTIF(lists!$L$2:$L$258, K162) &gt; 0,"cross.bred","pure.bred.exotic")),"NA")</f>
        <v>pure.bred.exotic</v>
      </c>
      <c r="M162"/>
      <c r="N162"/>
      <c r="O162" s="9" t="s">
        <v>135</v>
      </c>
      <c r="P162" s="9" t="s">
        <v>202</v>
      </c>
      <c r="Q162" s="9" t="s">
        <v>3809</v>
      </c>
      <c r="R162" s="9" t="s">
        <v>3830</v>
      </c>
      <c r="S162" s="9" t="s">
        <v>106</v>
      </c>
      <c r="T162" s="9">
        <v>116.2</v>
      </c>
      <c r="U162" s="9">
        <v>114.9</v>
      </c>
      <c r="V162" s="9">
        <v>686.3</v>
      </c>
      <c r="W162" s="9">
        <v>19.8</v>
      </c>
      <c r="X162" s="9">
        <v>467.2</v>
      </c>
      <c r="Y162" s="9">
        <v>58.97</v>
      </c>
      <c r="Z162" s="9" t="s">
        <v>106</v>
      </c>
      <c r="AA162" s="9" t="s">
        <v>106</v>
      </c>
      <c r="AB162" s="9" t="s">
        <v>106</v>
      </c>
      <c r="AC162" s="9" t="s">
        <v>5100</v>
      </c>
      <c r="AD162" s="9" t="s">
        <v>5100</v>
      </c>
    </row>
    <row r="163" spans="1:31">
      <c r="A163" s="9" t="s">
        <v>1151</v>
      </c>
      <c r="B163" s="9" t="s">
        <v>156</v>
      </c>
      <c r="C163" s="9" t="s">
        <v>105</v>
      </c>
      <c r="D163" s="9">
        <v>14.23</v>
      </c>
      <c r="E163" s="9">
        <v>0.21099999999999999</v>
      </c>
      <c r="F163" s="9" t="s">
        <v>106</v>
      </c>
      <c r="G163" s="9" t="s">
        <v>106</v>
      </c>
      <c r="H163" s="9">
        <v>10.87</v>
      </c>
      <c r="J163" s="9" t="s">
        <v>122</v>
      </c>
      <c r="K163" s="9" t="s">
        <v>4801</v>
      </c>
      <c r="L163" t="str">
        <f>IF(OR(J163="Cattle",J163="Zebu Cattle"),IF(COUNTIF(lists!$M$2:$M$258, K163) &gt; 0,"bos.indicus",IF(COUNTIF(lists!$L$2:$L$258, K163) &gt; 0,"cross.bred","pure.bred.exotic")),"NA")</f>
        <v>pure.bred.exotic</v>
      </c>
      <c r="M163"/>
      <c r="N163"/>
      <c r="O163" s="9" t="s">
        <v>135</v>
      </c>
      <c r="P163" s="9" t="s">
        <v>202</v>
      </c>
      <c r="Q163" s="9" t="s">
        <v>3809</v>
      </c>
      <c r="R163" s="9" t="s">
        <v>3830</v>
      </c>
      <c r="S163" s="9" t="s">
        <v>106</v>
      </c>
      <c r="T163" s="9">
        <v>116.4</v>
      </c>
      <c r="U163" s="9">
        <v>114.6</v>
      </c>
      <c r="V163" s="9">
        <v>686.4</v>
      </c>
      <c r="W163" s="9">
        <v>19.600000000000001</v>
      </c>
      <c r="X163" s="9">
        <v>467.2</v>
      </c>
      <c r="Y163" s="9">
        <v>59.58</v>
      </c>
      <c r="Z163" s="9" t="s">
        <v>106</v>
      </c>
      <c r="AA163" s="9" t="s">
        <v>106</v>
      </c>
      <c r="AB163" s="9" t="s">
        <v>106</v>
      </c>
      <c r="AC163" s="9" t="s">
        <v>5100</v>
      </c>
      <c r="AD163" s="9" t="s">
        <v>5100</v>
      </c>
    </row>
    <row r="164" spans="1:31">
      <c r="A164" s="9" t="s">
        <v>1165</v>
      </c>
      <c r="B164" s="9" t="s">
        <v>106</v>
      </c>
      <c r="C164" s="9" t="s">
        <v>105</v>
      </c>
      <c r="D164" s="9">
        <v>6.35</v>
      </c>
      <c r="E164" s="9">
        <v>0.12</v>
      </c>
      <c r="F164" s="9">
        <v>193.6</v>
      </c>
      <c r="G164" s="9">
        <v>0.61</v>
      </c>
      <c r="H164" s="9" t="s">
        <v>106</v>
      </c>
      <c r="J164" s="9" t="s">
        <v>122</v>
      </c>
      <c r="K164" s="9" t="s">
        <v>1166</v>
      </c>
      <c r="L164" t="str">
        <f>IF(OR(J164="Cattle",J164="Zebu Cattle"),IF(COUNTIF(lists!$M$2:$M$258, K164) &gt; 0,"bos.indicus",IF(COUNTIF(lists!$L$2:$L$258, K164) &gt; 0,"cross.bred","pure.bred.exotic")),"NA")</f>
        <v>bos.indicus</v>
      </c>
      <c r="M164"/>
      <c r="N164"/>
      <c r="O164" s="9" t="s">
        <v>109</v>
      </c>
      <c r="P164" s="9" t="s">
        <v>106</v>
      </c>
      <c r="R164" s="9" t="s">
        <v>3830</v>
      </c>
      <c r="S164" s="9" t="s">
        <v>106</v>
      </c>
      <c r="T164" s="9" t="s">
        <v>106</v>
      </c>
      <c r="U164" s="9" t="s">
        <v>106</v>
      </c>
      <c r="V164" s="9" t="s">
        <v>106</v>
      </c>
      <c r="W164" s="9" t="s">
        <v>106</v>
      </c>
      <c r="X164" s="9" t="s">
        <v>106</v>
      </c>
      <c r="Y164" s="9" t="s">
        <v>106</v>
      </c>
      <c r="Z164" s="9" t="s">
        <v>106</v>
      </c>
      <c r="AA164" s="9" t="s">
        <v>106</v>
      </c>
      <c r="AB164" s="9" t="s">
        <v>106</v>
      </c>
      <c r="AC164" s="9" t="s">
        <v>5100</v>
      </c>
      <c r="AD164" s="9" t="s">
        <v>5100</v>
      </c>
    </row>
    <row r="165" spans="1:31">
      <c r="A165" s="9" t="s">
        <v>1194</v>
      </c>
      <c r="B165" s="9" t="s">
        <v>1195</v>
      </c>
      <c r="C165" s="9" t="s">
        <v>105</v>
      </c>
      <c r="D165" s="9">
        <v>8.36</v>
      </c>
      <c r="E165" s="9">
        <v>0.29799999999999999</v>
      </c>
      <c r="F165" s="9">
        <v>168.33</v>
      </c>
      <c r="G165" s="9">
        <v>1.1499999999999999</v>
      </c>
      <c r="H165" s="9" t="s">
        <v>106</v>
      </c>
      <c r="J165" s="9" t="s">
        <v>122</v>
      </c>
      <c r="K165" s="9" t="s">
        <v>1196</v>
      </c>
      <c r="L165" t="str">
        <f>IF(OR(J165="Cattle",J165="Zebu Cattle"),IF(COUNTIF(lists!$M$2:$M$258, K165) &gt; 0,"bos.indicus",IF(COUNTIF(lists!$L$2:$L$258, K165) &gt; 0,"cross.bred","pure.bred.exotic")),"NA")</f>
        <v>bos.indicus</v>
      </c>
      <c r="M165"/>
      <c r="N165"/>
      <c r="O165" s="9" t="s">
        <v>109</v>
      </c>
      <c r="P165" s="9" t="s">
        <v>106</v>
      </c>
      <c r="R165" s="9" t="s">
        <v>3830</v>
      </c>
      <c r="S165" s="9" t="s">
        <v>106</v>
      </c>
      <c r="T165" s="9" t="s">
        <v>106</v>
      </c>
      <c r="U165" s="9" t="s">
        <v>106</v>
      </c>
      <c r="V165" s="9" t="s">
        <v>106</v>
      </c>
      <c r="W165" s="9" t="s">
        <v>106</v>
      </c>
      <c r="X165" s="9" t="s">
        <v>106</v>
      </c>
      <c r="Y165" s="9" t="s">
        <v>106</v>
      </c>
      <c r="Z165" s="9" t="s">
        <v>106</v>
      </c>
      <c r="AA165" s="9" t="s">
        <v>106</v>
      </c>
      <c r="AB165" s="9" t="s">
        <v>106</v>
      </c>
      <c r="AC165" s="9" t="s">
        <v>5100</v>
      </c>
      <c r="AD165" s="9" t="s">
        <v>5100</v>
      </c>
    </row>
    <row r="166" spans="1:31">
      <c r="A166" s="9" t="s">
        <v>1194</v>
      </c>
      <c r="B166" s="9" t="s">
        <v>1197</v>
      </c>
      <c r="C166" s="9" t="s">
        <v>105</v>
      </c>
      <c r="D166" s="9">
        <v>8.5399999999999991</v>
      </c>
      <c r="E166" s="9">
        <v>0.29799999999999999</v>
      </c>
      <c r="F166" s="9">
        <v>167.78</v>
      </c>
      <c r="G166" s="9">
        <v>1.17</v>
      </c>
      <c r="H166" s="9" t="s">
        <v>106</v>
      </c>
      <c r="J166" s="9" t="s">
        <v>122</v>
      </c>
      <c r="K166" s="9" t="s">
        <v>1196</v>
      </c>
      <c r="L166" t="str">
        <f>IF(OR(J166="Cattle",J166="Zebu Cattle"),IF(COUNTIF(lists!$M$2:$M$258, K166) &gt; 0,"bos.indicus",IF(COUNTIF(lists!$L$2:$L$258, K166) &gt; 0,"cross.bred","pure.bred.exotic")),"NA")</f>
        <v>bos.indicus</v>
      </c>
      <c r="M166"/>
      <c r="N166"/>
      <c r="O166" s="9" t="s">
        <v>109</v>
      </c>
      <c r="P166" s="9" t="s">
        <v>106</v>
      </c>
      <c r="R166" s="9" t="s">
        <v>3830</v>
      </c>
      <c r="S166" s="9" t="s">
        <v>106</v>
      </c>
      <c r="T166" s="9" t="s">
        <v>106</v>
      </c>
      <c r="U166" s="9" t="s">
        <v>106</v>
      </c>
      <c r="V166" s="9" t="s">
        <v>106</v>
      </c>
      <c r="W166" s="9" t="s">
        <v>106</v>
      </c>
      <c r="X166" s="9" t="s">
        <v>106</v>
      </c>
      <c r="Y166" s="9" t="s">
        <v>106</v>
      </c>
      <c r="Z166" s="9" t="s">
        <v>106</v>
      </c>
      <c r="AA166" s="9" t="s">
        <v>106</v>
      </c>
      <c r="AB166" s="9" t="s">
        <v>106</v>
      </c>
      <c r="AC166" s="9" t="s">
        <v>5100</v>
      </c>
      <c r="AD166" s="9" t="s">
        <v>5100</v>
      </c>
    </row>
    <row r="167" spans="1:31">
      <c r="A167" s="9" t="s">
        <v>1194</v>
      </c>
      <c r="B167" s="9" t="s">
        <v>1198</v>
      </c>
      <c r="C167" s="9" t="s">
        <v>105</v>
      </c>
      <c r="D167" s="9">
        <v>8.49</v>
      </c>
      <c r="E167" s="9">
        <v>0.29799999999999999</v>
      </c>
      <c r="F167" s="9">
        <v>160.56</v>
      </c>
      <c r="G167" s="9">
        <v>0.97</v>
      </c>
      <c r="H167" s="9" t="s">
        <v>106</v>
      </c>
      <c r="J167" s="9" t="s">
        <v>122</v>
      </c>
      <c r="K167" s="9" t="s">
        <v>1196</v>
      </c>
      <c r="L167" t="str">
        <f>IF(OR(J167="Cattle",J167="Zebu Cattle"),IF(COUNTIF(lists!$M$2:$M$258, K167) &gt; 0,"bos.indicus",IF(COUNTIF(lists!$L$2:$L$258, K167) &gt; 0,"cross.bred","pure.bred.exotic")),"NA")</f>
        <v>bos.indicus</v>
      </c>
      <c r="M167"/>
      <c r="N167"/>
      <c r="O167" s="9" t="s">
        <v>109</v>
      </c>
      <c r="P167" s="9" t="s">
        <v>106</v>
      </c>
      <c r="R167" s="9" t="s">
        <v>3830</v>
      </c>
      <c r="S167" s="9" t="s">
        <v>106</v>
      </c>
      <c r="T167" s="9" t="s">
        <v>106</v>
      </c>
      <c r="U167" s="9" t="s">
        <v>106</v>
      </c>
      <c r="V167" s="9" t="s">
        <v>106</v>
      </c>
      <c r="W167" s="9" t="s">
        <v>106</v>
      </c>
      <c r="X167" s="9" t="s">
        <v>106</v>
      </c>
      <c r="Y167" s="9" t="s">
        <v>106</v>
      </c>
      <c r="Z167" s="9" t="s">
        <v>106</v>
      </c>
      <c r="AA167" s="9" t="s">
        <v>106</v>
      </c>
      <c r="AB167" s="9" t="s">
        <v>106</v>
      </c>
      <c r="AC167" s="9" t="s">
        <v>5100</v>
      </c>
      <c r="AD167" s="9" t="s">
        <v>5100</v>
      </c>
    </row>
    <row r="168" spans="1:31">
      <c r="A168" s="9" t="s">
        <v>1194</v>
      </c>
      <c r="B168" s="9" t="s">
        <v>119</v>
      </c>
      <c r="C168" s="9" t="s">
        <v>105</v>
      </c>
      <c r="D168" s="9">
        <v>8.26</v>
      </c>
      <c r="E168" s="9">
        <v>0.29799999999999999</v>
      </c>
      <c r="F168" s="9">
        <v>170</v>
      </c>
      <c r="G168" s="9">
        <v>1.19</v>
      </c>
      <c r="H168" s="9" t="s">
        <v>106</v>
      </c>
      <c r="J168" s="9" t="s">
        <v>122</v>
      </c>
      <c r="K168" s="9" t="s">
        <v>1196</v>
      </c>
      <c r="L168" t="str">
        <f>IF(OR(J168="Cattle",J168="Zebu Cattle"),IF(COUNTIF(lists!$M$2:$M$258, K168) &gt; 0,"bos.indicus",IF(COUNTIF(lists!$L$2:$L$258, K168) &gt; 0,"cross.bred","pure.bred.exotic")),"NA")</f>
        <v>bos.indicus</v>
      </c>
      <c r="M168"/>
      <c r="N168"/>
      <c r="O168" s="9" t="s">
        <v>109</v>
      </c>
      <c r="P168" s="9" t="s">
        <v>106</v>
      </c>
      <c r="R168" s="9" t="s">
        <v>3830</v>
      </c>
      <c r="S168" s="9" t="s">
        <v>106</v>
      </c>
      <c r="T168" s="9" t="s">
        <v>106</v>
      </c>
      <c r="U168" s="9" t="s">
        <v>106</v>
      </c>
      <c r="V168" s="9" t="s">
        <v>106</v>
      </c>
      <c r="W168" s="9" t="s">
        <v>106</v>
      </c>
      <c r="X168" s="9" t="s">
        <v>106</v>
      </c>
      <c r="Y168" s="9" t="s">
        <v>106</v>
      </c>
      <c r="Z168" s="9" t="s">
        <v>106</v>
      </c>
      <c r="AA168" s="9" t="s">
        <v>106</v>
      </c>
      <c r="AB168" s="9" t="s">
        <v>106</v>
      </c>
      <c r="AC168" s="9" t="s">
        <v>5100</v>
      </c>
      <c r="AD168" s="9" t="s">
        <v>5100</v>
      </c>
    </row>
    <row r="169" spans="1:31">
      <c r="A169" s="9" t="s">
        <v>1223</v>
      </c>
      <c r="B169" s="9" t="s">
        <v>1224</v>
      </c>
      <c r="C169" s="9" t="s">
        <v>105</v>
      </c>
      <c r="D169" s="9">
        <v>3.1</v>
      </c>
      <c r="E169" s="9">
        <v>0.03</v>
      </c>
      <c r="F169" s="9">
        <v>162</v>
      </c>
      <c r="G169" s="9">
        <v>-0.3</v>
      </c>
      <c r="H169" s="9" t="s">
        <v>106</v>
      </c>
      <c r="J169" s="9" t="s">
        <v>122</v>
      </c>
      <c r="K169" s="9" t="s">
        <v>1040</v>
      </c>
      <c r="L169" t="str">
        <f>IF(OR(J169="Cattle",J169="Zebu Cattle"),IF(COUNTIF(lists!$M$2:$M$258, K169) &gt; 0,"bos.indicus",IF(COUNTIF(lists!$L$2:$L$258, K169) &gt; 0,"cross.bred","pure.bred.exotic")),"NA")</f>
        <v>bos.indicus</v>
      </c>
      <c r="M169"/>
      <c r="N169"/>
      <c r="O169" s="9" t="s">
        <v>109</v>
      </c>
      <c r="P169" s="9" t="s">
        <v>106</v>
      </c>
      <c r="R169" s="9" t="s">
        <v>3830</v>
      </c>
      <c r="S169" s="9" t="s">
        <v>106</v>
      </c>
      <c r="T169" s="9" t="s">
        <v>106</v>
      </c>
      <c r="U169" s="9" t="s">
        <v>106</v>
      </c>
      <c r="V169" s="9" t="s">
        <v>106</v>
      </c>
      <c r="W169" s="9" t="s">
        <v>106</v>
      </c>
      <c r="X169" s="9" t="s">
        <v>106</v>
      </c>
      <c r="Y169" s="9" t="s">
        <v>106</v>
      </c>
      <c r="Z169" s="9" t="s">
        <v>106</v>
      </c>
      <c r="AA169" s="9" t="s">
        <v>106</v>
      </c>
      <c r="AB169" s="9" t="s">
        <v>106</v>
      </c>
      <c r="AC169" s="9" t="s">
        <v>5100</v>
      </c>
      <c r="AD169" s="9" t="s">
        <v>5100</v>
      </c>
    </row>
    <row r="170" spans="1:31">
      <c r="A170" s="9" t="s">
        <v>1263</v>
      </c>
      <c r="B170" s="9" t="s">
        <v>1264</v>
      </c>
      <c r="C170" s="9" t="s">
        <v>105</v>
      </c>
      <c r="D170" s="9">
        <v>8.3000000000000007</v>
      </c>
      <c r="E170" s="9">
        <v>0.13800000000000001</v>
      </c>
      <c r="F170" s="9" t="s">
        <v>106</v>
      </c>
      <c r="G170" s="9" t="s">
        <v>106</v>
      </c>
      <c r="H170" s="9">
        <v>4.59</v>
      </c>
      <c r="J170" s="9" t="s">
        <v>122</v>
      </c>
      <c r="K170" s="9" t="s">
        <v>1265</v>
      </c>
      <c r="L170" t="str">
        <f>IF(OR(J170="Cattle",J170="Zebu Cattle"),IF(COUNTIF(lists!$M$2:$M$258, K170) &gt; 0,"bos.indicus",IF(COUNTIF(lists!$L$2:$L$258, K170) &gt; 0,"cross.bred","pure.bred.exotic")),"NA")</f>
        <v>bos.indicus</v>
      </c>
      <c r="M170"/>
      <c r="N170"/>
      <c r="O170" s="9" t="s">
        <v>124</v>
      </c>
      <c r="P170" s="9" t="s">
        <v>106</v>
      </c>
      <c r="Q170" s="9" t="s">
        <v>3809</v>
      </c>
      <c r="R170" s="9" t="s">
        <v>3830</v>
      </c>
      <c r="S170" s="9" t="s">
        <v>106</v>
      </c>
      <c r="T170" s="9" t="s">
        <v>106</v>
      </c>
      <c r="U170" s="9" t="s">
        <v>106</v>
      </c>
      <c r="V170" s="9" t="s">
        <v>106</v>
      </c>
      <c r="W170" s="9" t="s">
        <v>106</v>
      </c>
      <c r="X170" s="9" t="s">
        <v>106</v>
      </c>
      <c r="Y170" s="9" t="s">
        <v>106</v>
      </c>
      <c r="Z170" s="9" t="s">
        <v>106</v>
      </c>
      <c r="AA170" s="9" t="s">
        <v>106</v>
      </c>
      <c r="AB170" s="9" t="s">
        <v>106</v>
      </c>
      <c r="AC170" s="9" t="s">
        <v>5100</v>
      </c>
      <c r="AD170" s="9" t="s">
        <v>5100</v>
      </c>
    </row>
    <row r="171" spans="1:31">
      <c r="A171" s="9" t="s">
        <v>1263</v>
      </c>
      <c r="B171" s="9" t="s">
        <v>1266</v>
      </c>
      <c r="C171" s="9" t="s">
        <v>105</v>
      </c>
      <c r="D171" s="9">
        <v>9.4499999999999993</v>
      </c>
      <c r="E171" s="9">
        <v>0.13800000000000001</v>
      </c>
      <c r="F171" s="9" t="s">
        <v>106</v>
      </c>
      <c r="G171" s="9" t="s">
        <v>106</v>
      </c>
      <c r="H171" s="9">
        <v>5.34</v>
      </c>
      <c r="J171" s="9" t="s">
        <v>122</v>
      </c>
      <c r="K171" s="9" t="s">
        <v>1265</v>
      </c>
      <c r="L171" t="str">
        <f>IF(OR(J171="Cattle",J171="Zebu Cattle"),IF(COUNTIF(lists!$M$2:$M$258, K171) &gt; 0,"bos.indicus",IF(COUNTIF(lists!$L$2:$L$258, K171) &gt; 0,"cross.bred","pure.bred.exotic")),"NA")</f>
        <v>bos.indicus</v>
      </c>
      <c r="M171"/>
      <c r="N171"/>
      <c r="O171" s="9" t="s">
        <v>124</v>
      </c>
      <c r="P171" s="9" t="s">
        <v>106</v>
      </c>
      <c r="Q171" s="9" t="s">
        <v>3809</v>
      </c>
      <c r="R171" s="9" t="s">
        <v>3830</v>
      </c>
      <c r="S171" s="9" t="s">
        <v>106</v>
      </c>
      <c r="T171" s="9" t="s">
        <v>106</v>
      </c>
      <c r="U171" s="9" t="s">
        <v>106</v>
      </c>
      <c r="V171" s="9" t="s">
        <v>106</v>
      </c>
      <c r="W171" s="9" t="s">
        <v>106</v>
      </c>
      <c r="X171" s="9" t="s">
        <v>106</v>
      </c>
      <c r="Y171" s="9" t="s">
        <v>106</v>
      </c>
      <c r="Z171" s="9" t="s">
        <v>106</v>
      </c>
      <c r="AA171" s="9" t="s">
        <v>106</v>
      </c>
      <c r="AB171" s="9" t="s">
        <v>106</v>
      </c>
      <c r="AC171" s="9" t="s">
        <v>5100</v>
      </c>
      <c r="AD171" s="9" t="s">
        <v>5100</v>
      </c>
    </row>
    <row r="172" spans="1:31">
      <c r="A172" s="9" t="s">
        <v>1263</v>
      </c>
      <c r="B172" s="9" t="s">
        <v>1267</v>
      </c>
      <c r="C172" s="9" t="s">
        <v>105</v>
      </c>
      <c r="D172" s="9">
        <v>9.8800000000000008</v>
      </c>
      <c r="E172" s="9">
        <v>0.13800000000000001</v>
      </c>
      <c r="F172" s="9" t="s">
        <v>106</v>
      </c>
      <c r="G172" s="9" t="s">
        <v>106</v>
      </c>
      <c r="H172" s="9">
        <v>5.24</v>
      </c>
      <c r="J172" s="9" t="s">
        <v>122</v>
      </c>
      <c r="K172" s="9" t="s">
        <v>1265</v>
      </c>
      <c r="L172" t="str">
        <f>IF(OR(J172="Cattle",J172="Zebu Cattle"),IF(COUNTIF(lists!$M$2:$M$258, K172) &gt; 0,"bos.indicus",IF(COUNTIF(lists!$L$2:$L$258, K172) &gt; 0,"cross.bred","pure.bred.exotic")),"NA")</f>
        <v>bos.indicus</v>
      </c>
      <c r="M172"/>
      <c r="N172"/>
      <c r="O172" s="9" t="s">
        <v>124</v>
      </c>
      <c r="P172" s="9" t="s">
        <v>106</v>
      </c>
      <c r="Q172" s="9" t="s">
        <v>3809</v>
      </c>
      <c r="R172" s="9" t="s">
        <v>3830</v>
      </c>
      <c r="S172" s="9" t="s">
        <v>106</v>
      </c>
      <c r="T172" s="9" t="s">
        <v>106</v>
      </c>
      <c r="U172" s="9" t="s">
        <v>106</v>
      </c>
      <c r="V172" s="9" t="s">
        <v>106</v>
      </c>
      <c r="W172" s="9" t="s">
        <v>106</v>
      </c>
      <c r="X172" s="9" t="s">
        <v>106</v>
      </c>
      <c r="Y172" s="9" t="s">
        <v>106</v>
      </c>
      <c r="Z172" s="9" t="s">
        <v>106</v>
      </c>
      <c r="AA172" s="9" t="s">
        <v>106</v>
      </c>
      <c r="AB172" s="9" t="s">
        <v>106</v>
      </c>
      <c r="AC172" s="9" t="s">
        <v>5100</v>
      </c>
      <c r="AD172" s="9" t="s">
        <v>5100</v>
      </c>
    </row>
    <row r="173" spans="1:31">
      <c r="A173" s="9" t="s">
        <v>1263</v>
      </c>
      <c r="B173" s="9" t="s">
        <v>1268</v>
      </c>
      <c r="C173" s="9" t="s">
        <v>105</v>
      </c>
      <c r="D173" s="9">
        <v>9.81</v>
      </c>
      <c r="E173" s="9">
        <v>0.13800000000000001</v>
      </c>
      <c r="F173" s="9" t="s">
        <v>106</v>
      </c>
      <c r="G173" s="9" t="s">
        <v>106</v>
      </c>
      <c r="H173" s="9">
        <v>5.45</v>
      </c>
      <c r="J173" s="9" t="s">
        <v>122</v>
      </c>
      <c r="K173" s="9" t="s">
        <v>1265</v>
      </c>
      <c r="L173" t="str">
        <f>IF(OR(J173="Cattle",J173="Zebu Cattle"),IF(COUNTIF(lists!$M$2:$M$258, K173) &gt; 0,"bos.indicus",IF(COUNTIF(lists!$L$2:$L$258, K173) &gt; 0,"cross.bred","pure.bred.exotic")),"NA")</f>
        <v>bos.indicus</v>
      </c>
      <c r="M173"/>
      <c r="N173"/>
      <c r="O173" s="9" t="s">
        <v>124</v>
      </c>
      <c r="P173" s="9" t="s">
        <v>106</v>
      </c>
      <c r="Q173" s="9" t="s">
        <v>3809</v>
      </c>
      <c r="R173" s="9" t="s">
        <v>3830</v>
      </c>
      <c r="S173" s="9" t="s">
        <v>106</v>
      </c>
      <c r="T173" s="9" t="s">
        <v>106</v>
      </c>
      <c r="U173" s="9" t="s">
        <v>106</v>
      </c>
      <c r="V173" s="9" t="s">
        <v>106</v>
      </c>
      <c r="W173" s="9" t="s">
        <v>106</v>
      </c>
      <c r="X173" s="9" t="s">
        <v>106</v>
      </c>
      <c r="Y173" s="9" t="s">
        <v>106</v>
      </c>
      <c r="Z173" s="9" t="s">
        <v>106</v>
      </c>
      <c r="AA173" s="9" t="s">
        <v>106</v>
      </c>
      <c r="AB173" s="9" t="s">
        <v>106</v>
      </c>
      <c r="AC173" s="9" t="s">
        <v>5100</v>
      </c>
      <c r="AD173" s="9" t="s">
        <v>5100</v>
      </c>
    </row>
    <row r="174" spans="1:31" s="58" customFormat="1">
      <c r="A174" s="57" t="s">
        <v>1269</v>
      </c>
      <c r="B174" s="57" t="s">
        <v>1270</v>
      </c>
      <c r="C174" s="57" t="s">
        <v>105</v>
      </c>
      <c r="D174" s="57">
        <v>4.2</v>
      </c>
      <c r="E174" s="57" t="s">
        <v>106</v>
      </c>
      <c r="F174" s="57" t="s">
        <v>106</v>
      </c>
      <c r="G174" s="57" t="s">
        <v>106</v>
      </c>
      <c r="H174" s="57" t="s">
        <v>106</v>
      </c>
      <c r="I174" s="57">
        <v>4</v>
      </c>
      <c r="J174" s="57" t="s">
        <v>122</v>
      </c>
      <c r="K174" s="57" t="s">
        <v>1271</v>
      </c>
      <c r="L174" s="58" t="str">
        <f>IF(OR(J174="Cattle",J174="Zebu Cattle"),IF(COUNTIF(lists!$M$2:$M$258, K174) &gt; 0,"bos.indicus",IF(COUNTIF(lists!$L$2:$L$258, K174) &gt; 0,"cross.bred","pure.bred.exotic")),"NA")</f>
        <v>cross.bred</v>
      </c>
      <c r="O174" s="57" t="s">
        <v>124</v>
      </c>
      <c r="P174" s="57" t="s">
        <v>4964</v>
      </c>
      <c r="Q174" s="57" t="s">
        <v>3810</v>
      </c>
      <c r="R174" s="57" t="s">
        <v>3830</v>
      </c>
      <c r="S174" s="57" t="s">
        <v>106</v>
      </c>
      <c r="T174" s="57">
        <v>171.28</v>
      </c>
      <c r="U174" s="57">
        <v>130.91</v>
      </c>
      <c r="V174" s="57">
        <v>440.5</v>
      </c>
      <c r="W174" s="57">
        <v>65.08</v>
      </c>
      <c r="X174" s="57" t="s">
        <v>106</v>
      </c>
      <c r="Y174" s="57" t="s">
        <v>106</v>
      </c>
      <c r="Z174" s="57" t="s">
        <v>106</v>
      </c>
      <c r="AA174" s="57">
        <v>49</v>
      </c>
      <c r="AB174" s="57" t="s">
        <v>106</v>
      </c>
      <c r="AC174" s="9" t="s">
        <v>5100</v>
      </c>
      <c r="AD174" s="9" t="s">
        <v>5100</v>
      </c>
      <c r="AE174" s="51"/>
    </row>
    <row r="175" spans="1:31">
      <c r="A175" s="9" t="s">
        <v>1269</v>
      </c>
      <c r="B175" s="9" t="s">
        <v>1272</v>
      </c>
      <c r="C175" s="9" t="s">
        <v>105</v>
      </c>
      <c r="D175" s="9">
        <v>3.4</v>
      </c>
      <c r="E175" s="9" t="s">
        <v>106</v>
      </c>
      <c r="F175" s="9" t="s">
        <v>106</v>
      </c>
      <c r="G175" s="9" t="s">
        <v>106</v>
      </c>
      <c r="H175" s="9" t="s">
        <v>106</v>
      </c>
      <c r="I175" s="9">
        <v>4</v>
      </c>
      <c r="J175" s="9" t="s">
        <v>122</v>
      </c>
      <c r="K175" s="9" t="s">
        <v>1271</v>
      </c>
      <c r="L175" t="str">
        <f>IF(OR(J175="Cattle",J175="Zebu Cattle"),IF(COUNTIF(lists!$M$2:$M$258, K175) &gt; 0,"bos.indicus",IF(COUNTIF(lists!$L$2:$L$258, K175) &gt; 0,"cross.bred","pure.bred.exotic")),"NA")</f>
        <v>cross.bred</v>
      </c>
      <c r="M175"/>
      <c r="N175"/>
      <c r="O175" s="9" t="s">
        <v>124</v>
      </c>
      <c r="P175" s="9" t="s">
        <v>4964</v>
      </c>
      <c r="Q175" s="9" t="s">
        <v>3810</v>
      </c>
      <c r="R175" s="9" t="s">
        <v>3830</v>
      </c>
      <c r="S175" s="9">
        <v>226.34</v>
      </c>
      <c r="T175" s="9">
        <v>165.67</v>
      </c>
      <c r="U175" s="9">
        <v>82.29</v>
      </c>
      <c r="V175" s="9">
        <v>403.37</v>
      </c>
      <c r="W175" s="9">
        <v>52.63</v>
      </c>
      <c r="X175" s="9">
        <v>590.61</v>
      </c>
      <c r="Y175" s="9" t="s">
        <v>106</v>
      </c>
      <c r="Z175" s="9" t="s">
        <v>106</v>
      </c>
      <c r="AA175" s="9">
        <v>48</v>
      </c>
      <c r="AB175" s="9" t="s">
        <v>106</v>
      </c>
      <c r="AC175" s="9" t="s">
        <v>5100</v>
      </c>
      <c r="AD175" s="9" t="s">
        <v>5100</v>
      </c>
    </row>
    <row r="176" spans="1:31">
      <c r="A176" s="9" t="s">
        <v>1269</v>
      </c>
      <c r="B176" s="9" t="s">
        <v>1273</v>
      </c>
      <c r="C176" s="9" t="s">
        <v>105</v>
      </c>
      <c r="D176" s="9">
        <v>4.7</v>
      </c>
      <c r="E176" s="9" t="s">
        <v>106</v>
      </c>
      <c r="F176" s="9" t="s">
        <v>106</v>
      </c>
      <c r="G176" s="9" t="s">
        <v>106</v>
      </c>
      <c r="H176" s="9" t="s">
        <v>106</v>
      </c>
      <c r="I176" s="9">
        <v>4</v>
      </c>
      <c r="J176" s="9" t="s">
        <v>122</v>
      </c>
      <c r="K176" s="9" t="s">
        <v>1271</v>
      </c>
      <c r="L176" t="str">
        <f>IF(OR(J176="Cattle",J176="Zebu Cattle"),IF(COUNTIF(lists!$M$2:$M$258, K176) &gt; 0,"bos.indicus",IF(COUNTIF(lists!$L$2:$L$258, K176) &gt; 0,"cross.bred","pure.bred.exotic")),"NA")</f>
        <v>cross.bred</v>
      </c>
      <c r="M176"/>
      <c r="N176"/>
      <c r="O176" s="9" t="s">
        <v>124</v>
      </c>
      <c r="P176" s="9" t="s">
        <v>4964</v>
      </c>
      <c r="Q176" s="9" t="s">
        <v>3810</v>
      </c>
      <c r="R176" s="9" t="s">
        <v>3830</v>
      </c>
      <c r="S176" s="9" t="s">
        <v>106</v>
      </c>
      <c r="T176" s="9">
        <v>182.68</v>
      </c>
      <c r="U176" s="9">
        <v>126.56</v>
      </c>
      <c r="V176" s="9">
        <v>424.71</v>
      </c>
      <c r="W176" s="9">
        <v>57.79</v>
      </c>
      <c r="X176" s="9" t="s">
        <v>106</v>
      </c>
      <c r="Y176" s="9" t="s">
        <v>106</v>
      </c>
      <c r="Z176" s="9" t="s">
        <v>106</v>
      </c>
      <c r="AA176" s="9">
        <v>53</v>
      </c>
      <c r="AB176" s="9" t="s">
        <v>106</v>
      </c>
      <c r="AC176" s="9" t="s">
        <v>5100</v>
      </c>
      <c r="AD176" s="9" t="s">
        <v>5100</v>
      </c>
    </row>
    <row r="177" spans="1:30">
      <c r="A177" s="9" t="s">
        <v>1269</v>
      </c>
      <c r="B177" s="9" t="s">
        <v>1274</v>
      </c>
      <c r="C177" s="9" t="s">
        <v>105</v>
      </c>
      <c r="D177" s="9">
        <v>2.4</v>
      </c>
      <c r="E177" s="9" t="s">
        <v>106</v>
      </c>
      <c r="F177" s="9" t="s">
        <v>106</v>
      </c>
      <c r="G177" s="9" t="s">
        <v>106</v>
      </c>
      <c r="H177" s="9" t="s">
        <v>106</v>
      </c>
      <c r="I177" s="9">
        <v>4</v>
      </c>
      <c r="J177" s="9" t="s">
        <v>122</v>
      </c>
      <c r="K177" s="9" t="s">
        <v>1271</v>
      </c>
      <c r="L177" t="str">
        <f>IF(OR(J177="Cattle",J177="Zebu Cattle"),IF(COUNTIF(lists!$M$2:$M$258, K177) &gt; 0,"bos.indicus",IF(COUNTIF(lists!$L$2:$L$258, K177) &gt; 0,"cross.bred","pure.bred.exotic")),"NA")</f>
        <v>cross.bred</v>
      </c>
      <c r="M177"/>
      <c r="N177"/>
      <c r="O177" s="9" t="s">
        <v>124</v>
      </c>
      <c r="P177" s="9" t="s">
        <v>4964</v>
      </c>
      <c r="Q177" s="9" t="s">
        <v>3810</v>
      </c>
      <c r="R177" s="9" t="s">
        <v>3830</v>
      </c>
      <c r="S177" s="9">
        <v>256</v>
      </c>
      <c r="T177" s="9">
        <v>152</v>
      </c>
      <c r="U177" s="9">
        <v>78</v>
      </c>
      <c r="V177" s="9">
        <v>380</v>
      </c>
      <c r="W177" s="9">
        <v>59</v>
      </c>
      <c r="X177" s="9">
        <v>668</v>
      </c>
      <c r="Y177" s="9" t="s">
        <v>106</v>
      </c>
      <c r="Z177" s="9" t="s">
        <v>106</v>
      </c>
      <c r="AA177" s="9">
        <v>44</v>
      </c>
      <c r="AB177" s="9" t="s">
        <v>106</v>
      </c>
      <c r="AC177" s="9" t="s">
        <v>5100</v>
      </c>
      <c r="AD177" s="9" t="s">
        <v>5100</v>
      </c>
    </row>
    <row r="178" spans="1:30">
      <c r="A178" s="9" t="s">
        <v>1275</v>
      </c>
      <c r="B178" s="9" t="s">
        <v>1276</v>
      </c>
      <c r="C178" s="9" t="s">
        <v>105</v>
      </c>
      <c r="D178" s="9">
        <v>7.4</v>
      </c>
      <c r="E178" s="9" t="s">
        <v>106</v>
      </c>
      <c r="F178" s="9">
        <v>321</v>
      </c>
      <c r="G178" s="9">
        <v>-6.5000000000000002E-2</v>
      </c>
      <c r="H178" s="9">
        <v>12.3</v>
      </c>
      <c r="I178" s="9">
        <v>4</v>
      </c>
      <c r="J178" s="9" t="s">
        <v>122</v>
      </c>
      <c r="K178" s="9" t="s">
        <v>1271</v>
      </c>
      <c r="L178" t="str">
        <f>IF(OR(J178="Cattle",J178="Zebu Cattle"),IF(COUNTIF(lists!$M$2:$M$258, K178) &gt; 0,"bos.indicus",IF(COUNTIF(lists!$L$2:$L$258, K178) &gt; 0,"cross.bred","pure.bred.exotic")),"NA")</f>
        <v>cross.bred</v>
      </c>
      <c r="M178"/>
      <c r="N178"/>
      <c r="O178" s="9" t="s">
        <v>124</v>
      </c>
      <c r="P178" s="9" t="s">
        <v>202</v>
      </c>
      <c r="Q178" s="9" t="s">
        <v>3809</v>
      </c>
      <c r="R178" s="9" t="s">
        <v>3830</v>
      </c>
      <c r="S178" s="9" t="s">
        <v>106</v>
      </c>
      <c r="T178" s="9">
        <v>171.28</v>
      </c>
      <c r="U178" s="9">
        <v>130.91</v>
      </c>
      <c r="V178" s="9">
        <v>440.5</v>
      </c>
      <c r="W178" s="9">
        <v>65.08</v>
      </c>
      <c r="X178" s="9" t="s">
        <v>106</v>
      </c>
      <c r="Y178" s="9" t="s">
        <v>106</v>
      </c>
      <c r="Z178" s="9" t="s">
        <v>106</v>
      </c>
      <c r="AA178" s="9" t="s">
        <v>106</v>
      </c>
      <c r="AB178" s="9" t="s">
        <v>106</v>
      </c>
      <c r="AC178" s="9" t="s">
        <v>5100</v>
      </c>
      <c r="AD178" s="9" t="s">
        <v>5100</v>
      </c>
    </row>
    <row r="179" spans="1:30">
      <c r="A179" s="9" t="s">
        <v>1275</v>
      </c>
      <c r="B179" s="9" t="s">
        <v>1277</v>
      </c>
      <c r="C179" s="9" t="s">
        <v>105</v>
      </c>
      <c r="D179" s="9">
        <v>6.3</v>
      </c>
      <c r="E179" s="9" t="s">
        <v>106</v>
      </c>
      <c r="F179" s="9">
        <v>323</v>
      </c>
      <c r="G179" s="9">
        <v>-8.6999999999999994E-2</v>
      </c>
      <c r="H179" s="9">
        <v>7.8</v>
      </c>
      <c r="I179" s="9">
        <v>4</v>
      </c>
      <c r="J179" s="9" t="s">
        <v>122</v>
      </c>
      <c r="K179" s="9" t="s">
        <v>1271</v>
      </c>
      <c r="L179" t="str">
        <f>IF(OR(J179="Cattle",J179="Zebu Cattle"),IF(COUNTIF(lists!$M$2:$M$258, K179) &gt; 0,"bos.indicus",IF(COUNTIF(lists!$L$2:$L$258, K179) &gt; 0,"cross.bred","pure.bred.exotic")),"NA")</f>
        <v>cross.bred</v>
      </c>
      <c r="M179"/>
      <c r="N179"/>
      <c r="O179" s="9" t="s">
        <v>124</v>
      </c>
      <c r="P179" s="9" t="s">
        <v>106</v>
      </c>
      <c r="Q179" s="9" t="s">
        <v>3809</v>
      </c>
      <c r="R179" s="9" t="s">
        <v>3830</v>
      </c>
      <c r="S179" s="9" t="s">
        <v>106</v>
      </c>
      <c r="T179" s="9" t="s">
        <v>106</v>
      </c>
      <c r="U179" s="9" t="s">
        <v>106</v>
      </c>
      <c r="V179" s="9" t="s">
        <v>106</v>
      </c>
      <c r="W179" s="9" t="s">
        <v>106</v>
      </c>
      <c r="X179" s="9" t="s">
        <v>106</v>
      </c>
      <c r="Y179" s="9" t="s">
        <v>106</v>
      </c>
      <c r="Z179" s="9" t="s">
        <v>106</v>
      </c>
      <c r="AA179" s="9" t="s">
        <v>106</v>
      </c>
      <c r="AB179" s="9" t="s">
        <v>106</v>
      </c>
      <c r="AC179" s="9" t="s">
        <v>5100</v>
      </c>
      <c r="AD179" s="9" t="s">
        <v>5100</v>
      </c>
    </row>
    <row r="180" spans="1:30">
      <c r="A180" s="9" t="s">
        <v>1275</v>
      </c>
      <c r="B180" s="9" t="s">
        <v>1278</v>
      </c>
      <c r="C180" s="9" t="s">
        <v>105</v>
      </c>
      <c r="D180" s="9">
        <v>7.2</v>
      </c>
      <c r="E180" s="9" t="s">
        <v>106</v>
      </c>
      <c r="F180" s="9">
        <v>337</v>
      </c>
      <c r="G180" s="9">
        <v>-0.107</v>
      </c>
      <c r="H180" s="9">
        <v>11.7</v>
      </c>
      <c r="I180" s="9">
        <v>4</v>
      </c>
      <c r="J180" s="9" t="s">
        <v>122</v>
      </c>
      <c r="K180" s="9" t="s">
        <v>1271</v>
      </c>
      <c r="L180" t="str">
        <f>IF(OR(J180="Cattle",J180="Zebu Cattle"),IF(COUNTIF(lists!$M$2:$M$258, K180) &gt; 0,"bos.indicus",IF(COUNTIF(lists!$L$2:$L$258, K180) &gt; 0,"cross.bred","pure.bred.exotic")),"NA")</f>
        <v>cross.bred</v>
      </c>
      <c r="M180"/>
      <c r="N180"/>
      <c r="O180" s="9" t="s">
        <v>124</v>
      </c>
      <c r="P180" s="9" t="s">
        <v>106</v>
      </c>
      <c r="Q180" s="9" t="s">
        <v>3809</v>
      </c>
      <c r="R180" s="9" t="s">
        <v>3830</v>
      </c>
      <c r="S180" s="9">
        <v>226.34</v>
      </c>
      <c r="T180" s="9">
        <v>165.67</v>
      </c>
      <c r="U180" s="9">
        <v>82.29</v>
      </c>
      <c r="V180" s="9">
        <v>403.37</v>
      </c>
      <c r="W180" s="9">
        <v>52.63</v>
      </c>
      <c r="X180" s="9">
        <v>590.61</v>
      </c>
      <c r="Y180" s="9" t="s">
        <v>106</v>
      </c>
      <c r="Z180" s="9" t="s">
        <v>106</v>
      </c>
      <c r="AA180" s="9" t="s">
        <v>106</v>
      </c>
      <c r="AB180" s="9" t="s">
        <v>106</v>
      </c>
      <c r="AC180" s="9" t="s">
        <v>5100</v>
      </c>
      <c r="AD180" s="9" t="s">
        <v>5100</v>
      </c>
    </row>
    <row r="181" spans="1:30">
      <c r="A181" s="9" t="s">
        <v>1275</v>
      </c>
      <c r="B181" s="9" t="s">
        <v>1279</v>
      </c>
      <c r="C181" s="9" t="s">
        <v>105</v>
      </c>
      <c r="D181" s="9">
        <v>8.6999999999999993</v>
      </c>
      <c r="E181" s="9" t="s">
        <v>106</v>
      </c>
      <c r="F181" s="9">
        <v>308</v>
      </c>
      <c r="G181" s="9">
        <v>-0.04</v>
      </c>
      <c r="H181" s="9">
        <v>15.5</v>
      </c>
      <c r="I181" s="9">
        <v>4</v>
      </c>
      <c r="J181" s="9" t="s">
        <v>122</v>
      </c>
      <c r="K181" s="9" t="s">
        <v>1271</v>
      </c>
      <c r="L181" t="str">
        <f>IF(OR(J181="Cattle",J181="Zebu Cattle"),IF(COUNTIF(lists!$M$2:$M$258, K181) &gt; 0,"bos.indicus",IF(COUNTIF(lists!$L$2:$L$258, K181) &gt; 0,"cross.bred","pure.bred.exotic")),"NA")</f>
        <v>cross.bred</v>
      </c>
      <c r="M181"/>
      <c r="N181"/>
      <c r="O181" s="9" t="s">
        <v>124</v>
      </c>
      <c r="P181" s="9" t="s">
        <v>106</v>
      </c>
      <c r="Q181" s="9" t="s">
        <v>3809</v>
      </c>
      <c r="R181" s="9" t="s">
        <v>3830</v>
      </c>
      <c r="S181" s="9" t="s">
        <v>106</v>
      </c>
      <c r="T181" s="9" t="s">
        <v>106</v>
      </c>
      <c r="U181" s="9" t="s">
        <v>106</v>
      </c>
      <c r="V181" s="9" t="s">
        <v>106</v>
      </c>
      <c r="W181" s="9" t="s">
        <v>106</v>
      </c>
      <c r="X181" s="9" t="s">
        <v>106</v>
      </c>
      <c r="Y181" s="9" t="s">
        <v>106</v>
      </c>
      <c r="Z181" s="9" t="s">
        <v>106</v>
      </c>
      <c r="AA181" s="9" t="s">
        <v>106</v>
      </c>
      <c r="AB181" s="9" t="s">
        <v>106</v>
      </c>
      <c r="AC181" s="9" t="s">
        <v>5100</v>
      </c>
      <c r="AD181" s="9" t="s">
        <v>5100</v>
      </c>
    </row>
    <row r="182" spans="1:30">
      <c r="A182" s="9" t="s">
        <v>1275</v>
      </c>
      <c r="B182" s="9" t="s">
        <v>1280</v>
      </c>
      <c r="C182" s="9" t="s">
        <v>105</v>
      </c>
      <c r="D182" s="9">
        <v>7.4</v>
      </c>
      <c r="E182" s="9" t="s">
        <v>106</v>
      </c>
      <c r="F182" s="9">
        <v>321</v>
      </c>
      <c r="G182" s="9">
        <v>-6.5000000000000002E-2</v>
      </c>
      <c r="H182" s="9">
        <v>12.3</v>
      </c>
      <c r="I182" s="9">
        <v>4</v>
      </c>
      <c r="J182" s="9" t="s">
        <v>122</v>
      </c>
      <c r="K182" s="9" t="s">
        <v>1271</v>
      </c>
      <c r="L182" t="str">
        <f>IF(OR(J182="Cattle",J182="Zebu Cattle"),IF(COUNTIF(lists!$M$2:$M$258, K182) &gt; 0,"bos.indicus",IF(COUNTIF(lists!$L$2:$L$258, K182) &gt; 0,"cross.bred","pure.bred.exotic")),"NA")</f>
        <v>cross.bred</v>
      </c>
      <c r="M182"/>
      <c r="N182"/>
      <c r="O182" s="9" t="s">
        <v>124</v>
      </c>
      <c r="P182" s="9" t="s">
        <v>106</v>
      </c>
      <c r="Q182" s="9" t="s">
        <v>3809</v>
      </c>
      <c r="R182" s="9" t="s">
        <v>3830</v>
      </c>
      <c r="S182" s="9" t="s">
        <v>106</v>
      </c>
      <c r="T182" s="9" t="s">
        <v>106</v>
      </c>
      <c r="U182" s="9" t="s">
        <v>106</v>
      </c>
      <c r="V182" s="9" t="s">
        <v>106</v>
      </c>
      <c r="W182" s="9" t="s">
        <v>106</v>
      </c>
      <c r="X182" s="9" t="s">
        <v>106</v>
      </c>
      <c r="Y182" s="9" t="s">
        <v>106</v>
      </c>
      <c r="Z182" s="9" t="s">
        <v>106</v>
      </c>
      <c r="AA182" s="9" t="s">
        <v>106</v>
      </c>
      <c r="AB182" s="9" t="s">
        <v>106</v>
      </c>
      <c r="AC182" s="9" t="s">
        <v>5100</v>
      </c>
      <c r="AD182" s="9" t="s">
        <v>5100</v>
      </c>
    </row>
    <row r="183" spans="1:30">
      <c r="A183" s="9" t="s">
        <v>1275</v>
      </c>
      <c r="B183" s="9" t="s">
        <v>1281</v>
      </c>
      <c r="C183" s="9" t="s">
        <v>105</v>
      </c>
      <c r="D183" s="9">
        <v>8.6999999999999993</v>
      </c>
      <c r="E183" s="9" t="s">
        <v>106</v>
      </c>
      <c r="F183" s="9">
        <v>308</v>
      </c>
      <c r="G183" s="9">
        <v>-4.3999999999999997E-2</v>
      </c>
      <c r="H183" s="9">
        <v>15.5</v>
      </c>
      <c r="I183" s="9">
        <v>4</v>
      </c>
      <c r="J183" s="9" t="s">
        <v>122</v>
      </c>
      <c r="K183" s="9" t="s">
        <v>1271</v>
      </c>
      <c r="L183" t="str">
        <f>IF(OR(J183="Cattle",J183="Zebu Cattle"),IF(COUNTIF(lists!$M$2:$M$258, K183) &gt; 0,"bos.indicus",IF(COUNTIF(lists!$L$2:$L$258, K183) &gt; 0,"cross.bred","pure.bred.exotic")),"NA")</f>
        <v>cross.bred</v>
      </c>
      <c r="M183"/>
      <c r="N183"/>
      <c r="O183" s="9" t="s">
        <v>124</v>
      </c>
      <c r="P183" s="9" t="s">
        <v>106</v>
      </c>
      <c r="Q183" s="9" t="s">
        <v>3809</v>
      </c>
      <c r="R183" s="9" t="s">
        <v>3830</v>
      </c>
      <c r="S183" s="9" t="s">
        <v>106</v>
      </c>
      <c r="T183" s="9">
        <v>182.68</v>
      </c>
      <c r="U183" s="9">
        <v>126.56</v>
      </c>
      <c r="V183" s="9">
        <v>424.71</v>
      </c>
      <c r="W183" s="9">
        <v>57.79</v>
      </c>
      <c r="X183" s="9" t="s">
        <v>106</v>
      </c>
      <c r="Y183" s="9" t="s">
        <v>106</v>
      </c>
      <c r="Z183" s="9" t="s">
        <v>106</v>
      </c>
      <c r="AA183" s="9" t="s">
        <v>106</v>
      </c>
      <c r="AB183" s="9" t="s">
        <v>106</v>
      </c>
      <c r="AC183" s="9" t="s">
        <v>5100</v>
      </c>
      <c r="AD183" s="9" t="s">
        <v>5100</v>
      </c>
    </row>
    <row r="184" spans="1:30">
      <c r="A184" s="9" t="s">
        <v>1275</v>
      </c>
      <c r="B184" s="9" t="s">
        <v>1282</v>
      </c>
      <c r="C184" s="9" t="s">
        <v>105</v>
      </c>
      <c r="D184" s="9">
        <v>6.3</v>
      </c>
      <c r="E184" s="9" t="s">
        <v>106</v>
      </c>
      <c r="F184" s="9">
        <v>323</v>
      </c>
      <c r="G184" s="9">
        <v>-8.6999999999999994E-2</v>
      </c>
      <c r="H184" s="9">
        <v>7.8</v>
      </c>
      <c r="I184" s="9">
        <v>4</v>
      </c>
      <c r="J184" s="9" t="s">
        <v>122</v>
      </c>
      <c r="K184" s="9" t="s">
        <v>1271</v>
      </c>
      <c r="L184" t="str">
        <f>IF(OR(J184="Cattle",J184="Zebu Cattle"),IF(COUNTIF(lists!$M$2:$M$258, K184) &gt; 0,"bos.indicus",IF(COUNTIF(lists!$L$2:$L$258, K184) &gt; 0,"cross.bred","pure.bred.exotic")),"NA")</f>
        <v>cross.bred</v>
      </c>
      <c r="M184"/>
      <c r="N184"/>
      <c r="O184" s="9" t="s">
        <v>124</v>
      </c>
      <c r="P184" s="9" t="s">
        <v>106</v>
      </c>
      <c r="Q184" s="9" t="s">
        <v>3809</v>
      </c>
      <c r="R184" s="9" t="s">
        <v>3830</v>
      </c>
      <c r="S184" s="9" t="s">
        <v>106</v>
      </c>
      <c r="T184" s="9" t="s">
        <v>106</v>
      </c>
      <c r="U184" s="9" t="s">
        <v>106</v>
      </c>
      <c r="V184" s="9" t="s">
        <v>106</v>
      </c>
      <c r="W184" s="9" t="s">
        <v>106</v>
      </c>
      <c r="X184" s="9" t="s">
        <v>106</v>
      </c>
      <c r="Y184" s="9" t="s">
        <v>106</v>
      </c>
      <c r="Z184" s="9" t="s">
        <v>106</v>
      </c>
      <c r="AA184" s="9" t="s">
        <v>106</v>
      </c>
      <c r="AB184" s="9" t="s">
        <v>106</v>
      </c>
      <c r="AC184" s="9" t="s">
        <v>5100</v>
      </c>
      <c r="AD184" s="9" t="s">
        <v>5100</v>
      </c>
    </row>
    <row r="185" spans="1:30">
      <c r="A185" s="9" t="s">
        <v>1275</v>
      </c>
      <c r="B185" s="9" t="s">
        <v>1283</v>
      </c>
      <c r="C185" s="9" t="s">
        <v>105</v>
      </c>
      <c r="D185" s="9">
        <v>7.2</v>
      </c>
      <c r="E185" s="9" t="s">
        <v>106</v>
      </c>
      <c r="F185" s="9">
        <v>337</v>
      </c>
      <c r="G185" s="9">
        <v>-0.107</v>
      </c>
      <c r="H185" s="9">
        <v>11.7</v>
      </c>
      <c r="I185" s="9">
        <v>4</v>
      </c>
      <c r="J185" s="9" t="s">
        <v>122</v>
      </c>
      <c r="K185" s="9" t="s">
        <v>1271</v>
      </c>
      <c r="L185" t="str">
        <f>IF(OR(J185="Cattle",J185="Zebu Cattle"),IF(COUNTIF(lists!$M$2:$M$258, K185) &gt; 0,"bos.indicus",IF(COUNTIF(lists!$L$2:$L$258, K185) &gt; 0,"cross.bred","pure.bred.exotic")),"NA")</f>
        <v>cross.bred</v>
      </c>
      <c r="M185"/>
      <c r="N185"/>
      <c r="O185" s="9" t="s">
        <v>124</v>
      </c>
      <c r="P185" s="9" t="s">
        <v>106</v>
      </c>
      <c r="Q185" s="9" t="s">
        <v>3809</v>
      </c>
      <c r="R185" s="9" t="s">
        <v>3830</v>
      </c>
      <c r="S185" s="9" t="s">
        <v>106</v>
      </c>
      <c r="T185" s="9" t="s">
        <v>106</v>
      </c>
      <c r="U185" s="9" t="s">
        <v>106</v>
      </c>
      <c r="V185" s="9" t="s">
        <v>106</v>
      </c>
      <c r="W185" s="9" t="s">
        <v>106</v>
      </c>
      <c r="X185" s="9" t="s">
        <v>106</v>
      </c>
      <c r="Y185" s="9" t="s">
        <v>106</v>
      </c>
      <c r="Z185" s="9" t="s">
        <v>106</v>
      </c>
      <c r="AA185" s="9" t="s">
        <v>106</v>
      </c>
      <c r="AB185" s="9" t="s">
        <v>106</v>
      </c>
      <c r="AC185" s="9" t="s">
        <v>5100</v>
      </c>
      <c r="AD185" s="9" t="s">
        <v>5100</v>
      </c>
    </row>
    <row r="186" spans="1:30">
      <c r="A186" s="9" t="s">
        <v>1482</v>
      </c>
      <c r="B186" s="9" t="s">
        <v>154</v>
      </c>
      <c r="C186" s="9" t="s">
        <v>105</v>
      </c>
      <c r="D186" s="9">
        <v>9.91</v>
      </c>
      <c r="E186" s="9">
        <v>0.22</v>
      </c>
      <c r="F186" s="9">
        <v>192.3</v>
      </c>
      <c r="G186" s="9">
        <v>1.5</v>
      </c>
      <c r="H186" s="9" t="s">
        <v>106</v>
      </c>
      <c r="I186" s="9">
        <v>10</v>
      </c>
      <c r="J186" s="9" t="s">
        <v>122</v>
      </c>
      <c r="K186" s="9" t="s">
        <v>936</v>
      </c>
      <c r="L186" t="str">
        <f>IF(OR(J186="Cattle",J186="Zebu Cattle"),IF(COUNTIF(lists!$M$2:$M$258, K186) &gt; 0,"bos.indicus",IF(COUNTIF(lists!$L$2:$L$258, K186) &gt; 0,"cross.bred","pure.bred.exotic")),"NA")</f>
        <v>bos.indicus</v>
      </c>
      <c r="M186"/>
      <c r="N186"/>
      <c r="O186" s="9" t="s">
        <v>109</v>
      </c>
      <c r="P186" s="9" t="s">
        <v>4965</v>
      </c>
      <c r="Q186" s="9" t="s">
        <v>3806</v>
      </c>
      <c r="R186" s="9" t="s">
        <v>3830</v>
      </c>
      <c r="S186" s="9" t="s">
        <v>106</v>
      </c>
      <c r="T186" s="9" t="s">
        <v>106</v>
      </c>
      <c r="U186" s="9">
        <v>137</v>
      </c>
      <c r="V186" s="9">
        <v>888</v>
      </c>
      <c r="W186" s="9" t="s">
        <v>106</v>
      </c>
      <c r="X186" s="9">
        <v>271</v>
      </c>
      <c r="Y186" s="9" t="s">
        <v>106</v>
      </c>
      <c r="Z186" s="9" t="s">
        <v>106</v>
      </c>
      <c r="AA186" s="9" t="s">
        <v>106</v>
      </c>
      <c r="AB186" s="9" t="s">
        <v>106</v>
      </c>
      <c r="AC186" s="9" t="s">
        <v>5100</v>
      </c>
      <c r="AD186" s="9" t="s">
        <v>5100</v>
      </c>
    </row>
    <row r="187" spans="1:30">
      <c r="A187" s="9" t="s">
        <v>1482</v>
      </c>
      <c r="B187" s="9" t="s">
        <v>155</v>
      </c>
      <c r="C187" s="9" t="s">
        <v>105</v>
      </c>
      <c r="D187" s="9">
        <v>10.02</v>
      </c>
      <c r="E187" s="9">
        <v>0.22</v>
      </c>
      <c r="F187" s="9">
        <v>198.7</v>
      </c>
      <c r="G187" s="9">
        <v>1.5</v>
      </c>
      <c r="H187" s="9" t="s">
        <v>106</v>
      </c>
      <c r="I187" s="9">
        <v>10</v>
      </c>
      <c r="J187" s="9" t="s">
        <v>122</v>
      </c>
      <c r="K187" s="9" t="s">
        <v>936</v>
      </c>
      <c r="L187" t="str">
        <f>IF(OR(J187="Cattle",J187="Zebu Cattle"),IF(COUNTIF(lists!$M$2:$M$258, K187) &gt; 0,"bos.indicus",IF(COUNTIF(lists!$L$2:$L$258, K187) &gt; 0,"cross.bred","pure.bred.exotic")),"NA")</f>
        <v>bos.indicus</v>
      </c>
      <c r="M187"/>
      <c r="N187"/>
      <c r="O187" s="9" t="s">
        <v>109</v>
      </c>
      <c r="P187" s="9" t="s">
        <v>4965</v>
      </c>
      <c r="Q187" s="9" t="s">
        <v>3806</v>
      </c>
      <c r="R187" s="9" t="s">
        <v>3830</v>
      </c>
      <c r="S187" s="9" t="s">
        <v>106</v>
      </c>
      <c r="T187" s="9" t="s">
        <v>106</v>
      </c>
      <c r="U187" s="9">
        <v>133</v>
      </c>
      <c r="V187" s="9">
        <v>876</v>
      </c>
      <c r="W187" s="9" t="s">
        <v>106</v>
      </c>
      <c r="X187" s="9">
        <v>296</v>
      </c>
      <c r="Y187" s="9" t="s">
        <v>106</v>
      </c>
      <c r="Z187" s="9" t="s">
        <v>106</v>
      </c>
      <c r="AA187" s="9" t="s">
        <v>106</v>
      </c>
      <c r="AB187" s="9" t="s">
        <v>106</v>
      </c>
      <c r="AC187" s="9" t="s">
        <v>5100</v>
      </c>
      <c r="AD187" s="9" t="s">
        <v>5100</v>
      </c>
    </row>
    <row r="188" spans="1:30">
      <c r="A188" s="9" t="s">
        <v>1482</v>
      </c>
      <c r="B188" s="9" t="s">
        <v>156</v>
      </c>
      <c r="C188" s="9" t="s">
        <v>105</v>
      </c>
      <c r="D188" s="9">
        <v>9.48</v>
      </c>
      <c r="E188" s="9">
        <v>0.22</v>
      </c>
      <c r="F188" s="9">
        <v>191.1</v>
      </c>
      <c r="G188" s="9">
        <v>1.4</v>
      </c>
      <c r="H188" s="9" t="s">
        <v>106</v>
      </c>
      <c r="I188" s="9">
        <v>10</v>
      </c>
      <c r="J188" s="9" t="s">
        <v>122</v>
      </c>
      <c r="K188" s="9" t="s">
        <v>936</v>
      </c>
      <c r="L188" t="str">
        <f>IF(OR(J188="Cattle",J188="Zebu Cattle"),IF(COUNTIF(lists!$M$2:$M$258, K188) &gt; 0,"bos.indicus",IF(COUNTIF(lists!$L$2:$L$258, K188) &gt; 0,"cross.bred","pure.bred.exotic")),"NA")</f>
        <v>bos.indicus</v>
      </c>
      <c r="M188"/>
      <c r="N188"/>
      <c r="O188" s="9" t="s">
        <v>109</v>
      </c>
      <c r="P188" s="9" t="s">
        <v>4965</v>
      </c>
      <c r="Q188" s="9" t="s">
        <v>3806</v>
      </c>
      <c r="R188" s="9" t="s">
        <v>3830</v>
      </c>
      <c r="S188" s="9" t="s">
        <v>106</v>
      </c>
      <c r="T188" s="9" t="s">
        <v>106</v>
      </c>
      <c r="U188" s="9">
        <v>138</v>
      </c>
      <c r="V188" s="9">
        <v>873</v>
      </c>
      <c r="W188" s="9" t="s">
        <v>106</v>
      </c>
      <c r="X188" s="9">
        <v>285</v>
      </c>
      <c r="Y188" s="9" t="s">
        <v>106</v>
      </c>
      <c r="Z188" s="9" t="s">
        <v>106</v>
      </c>
      <c r="AA188" s="9" t="s">
        <v>106</v>
      </c>
      <c r="AB188" s="9" t="s">
        <v>106</v>
      </c>
      <c r="AC188" s="9" t="s">
        <v>5100</v>
      </c>
      <c r="AD188" s="9" t="s">
        <v>5100</v>
      </c>
    </row>
    <row r="189" spans="1:30">
      <c r="A189" s="9" t="s">
        <v>1482</v>
      </c>
      <c r="B189" s="9" t="s">
        <v>819</v>
      </c>
      <c r="C189" s="9" t="s">
        <v>105</v>
      </c>
      <c r="D189" s="9">
        <v>9.9700000000000006</v>
      </c>
      <c r="E189" s="9">
        <v>0.22</v>
      </c>
      <c r="F189" s="9">
        <v>189.3</v>
      </c>
      <c r="G189" s="9">
        <v>1.3</v>
      </c>
      <c r="H189" s="9" t="s">
        <v>106</v>
      </c>
      <c r="I189" s="9">
        <v>10</v>
      </c>
      <c r="J189" s="9" t="s">
        <v>122</v>
      </c>
      <c r="K189" s="9" t="s">
        <v>936</v>
      </c>
      <c r="L189" t="str">
        <f>IF(OR(J189="Cattle",J189="Zebu Cattle"),IF(COUNTIF(lists!$M$2:$M$258, K189) &gt; 0,"bos.indicus",IF(COUNTIF(lists!$L$2:$L$258, K189) &gt; 0,"cross.bred","pure.bred.exotic")),"NA")</f>
        <v>bos.indicus</v>
      </c>
      <c r="M189"/>
      <c r="N189"/>
      <c r="O189" s="9" t="s">
        <v>109</v>
      </c>
      <c r="P189" s="9" t="s">
        <v>4965</v>
      </c>
      <c r="Q189" s="9" t="s">
        <v>3806</v>
      </c>
      <c r="R189" s="9" t="s">
        <v>3830</v>
      </c>
      <c r="S189" s="9" t="s">
        <v>106</v>
      </c>
      <c r="T189" s="9" t="s">
        <v>106</v>
      </c>
      <c r="U189" s="9">
        <v>135</v>
      </c>
      <c r="V189" s="9">
        <v>860</v>
      </c>
      <c r="W189" s="9" t="s">
        <v>106</v>
      </c>
      <c r="X189" s="9">
        <v>267</v>
      </c>
      <c r="Y189" s="9" t="s">
        <v>106</v>
      </c>
      <c r="Z189" s="9" t="s">
        <v>106</v>
      </c>
      <c r="AA189" s="9" t="s">
        <v>106</v>
      </c>
      <c r="AB189" s="9" t="s">
        <v>106</v>
      </c>
      <c r="AC189" s="9" t="s">
        <v>5100</v>
      </c>
      <c r="AD189" s="9" t="s">
        <v>5100</v>
      </c>
    </row>
    <row r="190" spans="1:30">
      <c r="A190" s="9" t="s">
        <v>1483</v>
      </c>
      <c r="B190" s="9" t="s">
        <v>1484</v>
      </c>
      <c r="C190" s="9" t="s">
        <v>105</v>
      </c>
      <c r="D190" s="9">
        <v>4.21</v>
      </c>
      <c r="E190" s="9" t="s">
        <v>106</v>
      </c>
      <c r="F190" s="9">
        <v>220</v>
      </c>
      <c r="G190" s="9">
        <v>-0.32100000000000001</v>
      </c>
      <c r="H190" s="9" t="s">
        <v>106</v>
      </c>
      <c r="J190" s="9" t="s">
        <v>122</v>
      </c>
      <c r="K190" s="9" t="s">
        <v>1485</v>
      </c>
      <c r="L190" t="str">
        <f>IF(OR(J190="Cattle",J190="Zebu Cattle"),IF(COUNTIF(lists!$M$2:$M$258, K190) &gt; 0,"bos.indicus",IF(COUNTIF(lists!$L$2:$L$258, K190) &gt; 0,"cross.bred","pure.bred.exotic")),"NA")</f>
        <v>cross.bred</v>
      </c>
      <c r="M190"/>
      <c r="N190"/>
      <c r="O190" s="9" t="s">
        <v>124</v>
      </c>
      <c r="P190" s="9" t="s">
        <v>4966</v>
      </c>
      <c r="Q190" s="9" t="s">
        <v>3804</v>
      </c>
      <c r="R190" s="9" t="s">
        <v>3830</v>
      </c>
      <c r="S190" s="9" t="s">
        <v>106</v>
      </c>
      <c r="T190" s="9" t="s">
        <v>106</v>
      </c>
      <c r="U190" s="9" t="s">
        <v>106</v>
      </c>
      <c r="V190" s="9" t="s">
        <v>106</v>
      </c>
      <c r="W190" s="9" t="s">
        <v>106</v>
      </c>
      <c r="X190" s="9" t="s">
        <v>106</v>
      </c>
      <c r="Y190" s="9" t="s">
        <v>106</v>
      </c>
      <c r="Z190" s="9" t="s">
        <v>106</v>
      </c>
      <c r="AA190" s="9" t="s">
        <v>106</v>
      </c>
      <c r="AB190" s="9" t="s">
        <v>106</v>
      </c>
      <c r="AC190" s="9" t="s">
        <v>5100</v>
      </c>
      <c r="AD190" s="9" t="s">
        <v>5100</v>
      </c>
    </row>
    <row r="191" spans="1:30">
      <c r="A191" s="9" t="s">
        <v>1483</v>
      </c>
      <c r="B191" s="9" t="s">
        <v>1486</v>
      </c>
      <c r="C191" s="9" t="s">
        <v>105</v>
      </c>
      <c r="D191" s="9">
        <v>5.18</v>
      </c>
      <c r="E191" s="9" t="s">
        <v>106</v>
      </c>
      <c r="F191" s="9">
        <v>222</v>
      </c>
      <c r="G191" s="9">
        <v>7.2999999999999995E-2</v>
      </c>
      <c r="H191" s="9" t="s">
        <v>106</v>
      </c>
      <c r="J191" s="9" t="s">
        <v>122</v>
      </c>
      <c r="K191" s="9" t="s">
        <v>1485</v>
      </c>
      <c r="L191" t="str">
        <f>IF(OR(J191="Cattle",J191="Zebu Cattle"),IF(COUNTIF(lists!$M$2:$M$258, K191) &gt; 0,"bos.indicus",IF(COUNTIF(lists!$L$2:$L$258, K191) &gt; 0,"cross.bred","pure.bred.exotic")),"NA")</f>
        <v>cross.bred</v>
      </c>
      <c r="M191"/>
      <c r="N191"/>
      <c r="O191" s="9" t="s">
        <v>124</v>
      </c>
      <c r="P191" s="9" t="s">
        <v>4966</v>
      </c>
      <c r="Q191" s="9" t="s">
        <v>3804</v>
      </c>
      <c r="R191" s="9" t="s">
        <v>3830</v>
      </c>
      <c r="S191" s="9" t="s">
        <v>106</v>
      </c>
      <c r="T191" s="9" t="s">
        <v>106</v>
      </c>
      <c r="U191" s="9" t="s">
        <v>106</v>
      </c>
      <c r="V191" s="9" t="s">
        <v>106</v>
      </c>
      <c r="W191" s="9" t="s">
        <v>106</v>
      </c>
      <c r="X191" s="9" t="s">
        <v>106</v>
      </c>
      <c r="Y191" s="9" t="s">
        <v>106</v>
      </c>
      <c r="Z191" s="9" t="s">
        <v>106</v>
      </c>
      <c r="AA191" s="9" t="s">
        <v>106</v>
      </c>
      <c r="AB191" s="9" t="s">
        <v>106</v>
      </c>
      <c r="AC191" s="9" t="s">
        <v>5100</v>
      </c>
      <c r="AD191" s="9" t="s">
        <v>5100</v>
      </c>
    </row>
    <row r="192" spans="1:30">
      <c r="A192" s="9" t="s">
        <v>1483</v>
      </c>
      <c r="B192" s="9" t="s">
        <v>1487</v>
      </c>
      <c r="C192" s="9" t="s">
        <v>105</v>
      </c>
      <c r="D192" s="9">
        <v>5.18</v>
      </c>
      <c r="E192" s="9" t="s">
        <v>106</v>
      </c>
      <c r="F192" s="9">
        <v>222</v>
      </c>
      <c r="G192" s="9">
        <v>7.2999999999999995E-2</v>
      </c>
      <c r="H192" s="9" t="s">
        <v>106</v>
      </c>
      <c r="J192" s="9" t="s">
        <v>122</v>
      </c>
      <c r="K192" s="9" t="s">
        <v>1485</v>
      </c>
      <c r="L192" t="str">
        <f>IF(OR(J192="Cattle",J192="Zebu Cattle"),IF(COUNTIF(lists!$M$2:$M$258, K192) &gt; 0,"bos.indicus",IF(COUNTIF(lists!$L$2:$L$258, K192) &gt; 0,"cross.bred","pure.bred.exotic")),"NA")</f>
        <v>cross.bred</v>
      </c>
      <c r="M192"/>
      <c r="N192"/>
      <c r="O192" s="9" t="s">
        <v>124</v>
      </c>
      <c r="P192" s="9" t="s">
        <v>4966</v>
      </c>
      <c r="Q192" s="9" t="s">
        <v>3804</v>
      </c>
      <c r="R192" s="9" t="s">
        <v>3830</v>
      </c>
      <c r="S192" s="9" t="s">
        <v>106</v>
      </c>
      <c r="T192" s="9" t="s">
        <v>106</v>
      </c>
      <c r="U192" s="9" t="s">
        <v>106</v>
      </c>
      <c r="V192" s="9" t="s">
        <v>106</v>
      </c>
      <c r="W192" s="9" t="s">
        <v>106</v>
      </c>
      <c r="X192" s="9" t="s">
        <v>106</v>
      </c>
      <c r="Y192" s="9" t="s">
        <v>106</v>
      </c>
      <c r="Z192" s="9" t="s">
        <v>106</v>
      </c>
      <c r="AA192" s="9" t="s">
        <v>106</v>
      </c>
      <c r="AB192" s="9" t="s">
        <v>106</v>
      </c>
      <c r="AC192" s="9" t="s">
        <v>5100</v>
      </c>
      <c r="AD192" s="9" t="s">
        <v>5100</v>
      </c>
    </row>
    <row r="193" spans="1:30">
      <c r="A193" s="9" t="s">
        <v>1483</v>
      </c>
      <c r="B193" s="9" t="s">
        <v>1488</v>
      </c>
      <c r="C193" s="9" t="s">
        <v>105</v>
      </c>
      <c r="D193" s="9">
        <v>6.51</v>
      </c>
      <c r="E193" s="9" t="s">
        <v>106</v>
      </c>
      <c r="F193" s="9">
        <v>222</v>
      </c>
      <c r="G193" s="9">
        <v>0.3</v>
      </c>
      <c r="H193" s="9" t="s">
        <v>106</v>
      </c>
      <c r="J193" s="9" t="s">
        <v>122</v>
      </c>
      <c r="K193" s="9" t="s">
        <v>1485</v>
      </c>
      <c r="L193" t="str">
        <f>IF(OR(J193="Cattle",J193="Zebu Cattle"),IF(COUNTIF(lists!$M$2:$M$258, K193) &gt; 0,"bos.indicus",IF(COUNTIF(lists!$L$2:$L$258, K193) &gt; 0,"cross.bred","pure.bred.exotic")),"NA")</f>
        <v>cross.bred</v>
      </c>
      <c r="M193"/>
      <c r="N193"/>
      <c r="O193" s="9" t="s">
        <v>124</v>
      </c>
      <c r="P193" s="9" t="s">
        <v>4966</v>
      </c>
      <c r="Q193" s="9" t="s">
        <v>3804</v>
      </c>
      <c r="R193" s="9" t="s">
        <v>3830</v>
      </c>
      <c r="S193" s="9" t="s">
        <v>106</v>
      </c>
      <c r="T193" s="9" t="s">
        <v>106</v>
      </c>
      <c r="U193" s="9" t="s">
        <v>106</v>
      </c>
      <c r="V193" s="9" t="s">
        <v>106</v>
      </c>
      <c r="W193" s="9" t="s">
        <v>106</v>
      </c>
      <c r="X193" s="9" t="s">
        <v>106</v>
      </c>
      <c r="Y193" s="9" t="s">
        <v>106</v>
      </c>
      <c r="Z193" s="9" t="s">
        <v>106</v>
      </c>
      <c r="AA193" s="9" t="s">
        <v>106</v>
      </c>
      <c r="AB193" s="9" t="s">
        <v>106</v>
      </c>
      <c r="AC193" s="9" t="s">
        <v>5100</v>
      </c>
      <c r="AD193" s="9" t="s">
        <v>5100</v>
      </c>
    </row>
    <row r="194" spans="1:30">
      <c r="A194" s="9" t="s">
        <v>1483</v>
      </c>
      <c r="B194" s="9" t="s">
        <v>1489</v>
      </c>
      <c r="C194" s="9" t="s">
        <v>105</v>
      </c>
      <c r="D194" s="9">
        <v>5.57</v>
      </c>
      <c r="E194" s="9" t="s">
        <v>106</v>
      </c>
      <c r="F194" s="9">
        <v>234</v>
      </c>
      <c r="G194" s="9">
        <v>0.63500000000000001</v>
      </c>
      <c r="H194" s="9" t="s">
        <v>106</v>
      </c>
      <c r="J194" s="9" t="s">
        <v>122</v>
      </c>
      <c r="K194" s="9" t="s">
        <v>1485</v>
      </c>
      <c r="L194" t="str">
        <f>IF(OR(J194="Cattle",J194="Zebu Cattle"),IF(COUNTIF(lists!$M$2:$M$258, K194) &gt; 0,"bos.indicus",IF(COUNTIF(lists!$L$2:$L$258, K194) &gt; 0,"cross.bred","pure.bred.exotic")),"NA")</f>
        <v>cross.bred</v>
      </c>
      <c r="M194"/>
      <c r="N194"/>
      <c r="O194" s="9" t="s">
        <v>124</v>
      </c>
      <c r="P194" s="9" t="s">
        <v>4966</v>
      </c>
      <c r="Q194" s="9" t="s">
        <v>3804</v>
      </c>
      <c r="R194" s="9" t="s">
        <v>3830</v>
      </c>
      <c r="S194" s="9" t="s">
        <v>106</v>
      </c>
      <c r="T194" s="9" t="s">
        <v>106</v>
      </c>
      <c r="U194" s="9" t="s">
        <v>106</v>
      </c>
      <c r="V194" s="9" t="s">
        <v>106</v>
      </c>
      <c r="W194" s="9" t="s">
        <v>106</v>
      </c>
      <c r="X194" s="9" t="s">
        <v>106</v>
      </c>
      <c r="Y194" s="9" t="s">
        <v>106</v>
      </c>
      <c r="Z194" s="9" t="s">
        <v>106</v>
      </c>
      <c r="AA194" s="9" t="s">
        <v>106</v>
      </c>
      <c r="AB194" s="9" t="s">
        <v>106</v>
      </c>
      <c r="AC194" s="9" t="s">
        <v>5100</v>
      </c>
      <c r="AD194" s="9" t="s">
        <v>5100</v>
      </c>
    </row>
    <row r="195" spans="1:30">
      <c r="A195" s="9" t="s">
        <v>1483</v>
      </c>
      <c r="B195" s="9" t="s">
        <v>1490</v>
      </c>
      <c r="C195" s="9" t="s">
        <v>105</v>
      </c>
      <c r="D195" s="9">
        <v>5.57</v>
      </c>
      <c r="E195" s="9" t="s">
        <v>106</v>
      </c>
      <c r="F195" s="9">
        <v>234</v>
      </c>
      <c r="G195" s="9">
        <v>0.63500000000000001</v>
      </c>
      <c r="H195" s="9" t="s">
        <v>106</v>
      </c>
      <c r="J195" s="9" t="s">
        <v>122</v>
      </c>
      <c r="K195" s="9" t="s">
        <v>1485</v>
      </c>
      <c r="L195" t="str">
        <f>IF(OR(J195="Cattle",J195="Zebu Cattle"),IF(COUNTIF(lists!$M$2:$M$258, K195) &gt; 0,"bos.indicus",IF(COUNTIF(lists!$L$2:$L$258, K195) &gt; 0,"cross.bred","pure.bred.exotic")),"NA")</f>
        <v>cross.bred</v>
      </c>
      <c r="M195"/>
      <c r="N195"/>
      <c r="O195" s="9" t="s">
        <v>124</v>
      </c>
      <c r="P195" s="9" t="s">
        <v>4966</v>
      </c>
      <c r="Q195" s="9" t="s">
        <v>3804</v>
      </c>
      <c r="R195" s="9" t="s">
        <v>3830</v>
      </c>
      <c r="S195" s="9" t="s">
        <v>106</v>
      </c>
      <c r="T195" s="9" t="s">
        <v>106</v>
      </c>
      <c r="U195" s="9" t="s">
        <v>106</v>
      </c>
      <c r="V195" s="9" t="s">
        <v>106</v>
      </c>
      <c r="W195" s="9" t="s">
        <v>106</v>
      </c>
      <c r="X195" s="9" t="s">
        <v>106</v>
      </c>
      <c r="Y195" s="9" t="s">
        <v>106</v>
      </c>
      <c r="Z195" s="9" t="s">
        <v>106</v>
      </c>
      <c r="AA195" s="9" t="s">
        <v>106</v>
      </c>
      <c r="AB195" s="9" t="s">
        <v>106</v>
      </c>
      <c r="AC195" s="9" t="s">
        <v>5100</v>
      </c>
      <c r="AD195" s="9" t="s">
        <v>5100</v>
      </c>
    </row>
    <row r="196" spans="1:30">
      <c r="A196" s="9" t="s">
        <v>1491</v>
      </c>
      <c r="B196" s="9" t="s">
        <v>1492</v>
      </c>
      <c r="C196" s="9" t="s">
        <v>105</v>
      </c>
      <c r="D196" s="9">
        <v>3.71</v>
      </c>
      <c r="E196" s="9" t="s">
        <v>106</v>
      </c>
      <c r="F196" s="9">
        <v>157.5</v>
      </c>
      <c r="G196" s="9">
        <v>0.23300000000000001</v>
      </c>
      <c r="H196" s="9" t="s">
        <v>106</v>
      </c>
      <c r="J196" s="9" t="s">
        <v>122</v>
      </c>
      <c r="K196" s="9" t="s">
        <v>1485</v>
      </c>
      <c r="L196" t="str">
        <f>IF(OR(J196="Cattle",J196="Zebu Cattle"),IF(COUNTIF(lists!$M$2:$M$258, K196) &gt; 0,"bos.indicus",IF(COUNTIF(lists!$L$2:$L$258, K196) &gt; 0,"cross.bred","pure.bred.exotic")),"NA")</f>
        <v>cross.bred</v>
      </c>
      <c r="M196"/>
      <c r="N196"/>
      <c r="O196" s="9" t="s">
        <v>124</v>
      </c>
      <c r="P196" s="9" t="s">
        <v>4966</v>
      </c>
      <c r="Q196" s="9" t="s">
        <v>3804</v>
      </c>
      <c r="R196" s="9" t="s">
        <v>3830</v>
      </c>
      <c r="S196" s="9" t="s">
        <v>106</v>
      </c>
      <c r="T196" s="9" t="s">
        <v>106</v>
      </c>
      <c r="U196" s="9" t="s">
        <v>106</v>
      </c>
      <c r="V196" s="9" t="s">
        <v>106</v>
      </c>
      <c r="W196" s="9" t="s">
        <v>106</v>
      </c>
      <c r="X196" s="9" t="s">
        <v>106</v>
      </c>
      <c r="Y196" s="9" t="s">
        <v>106</v>
      </c>
      <c r="Z196" s="9" t="s">
        <v>106</v>
      </c>
      <c r="AA196" s="9" t="s">
        <v>106</v>
      </c>
      <c r="AB196" s="9" t="s">
        <v>106</v>
      </c>
      <c r="AC196" s="9" t="s">
        <v>5100</v>
      </c>
      <c r="AD196" s="9" t="s">
        <v>5100</v>
      </c>
    </row>
    <row r="197" spans="1:30">
      <c r="A197" s="9" t="s">
        <v>1491</v>
      </c>
      <c r="B197" s="9" t="s">
        <v>1493</v>
      </c>
      <c r="C197" s="9" t="s">
        <v>105</v>
      </c>
      <c r="D197" s="9">
        <v>4.43</v>
      </c>
      <c r="E197" s="9" t="s">
        <v>106</v>
      </c>
      <c r="F197" s="9">
        <v>157.5</v>
      </c>
      <c r="G197" s="9">
        <v>0.47399999999999998</v>
      </c>
      <c r="H197" s="9" t="s">
        <v>106</v>
      </c>
      <c r="J197" s="9" t="s">
        <v>122</v>
      </c>
      <c r="K197" s="9" t="s">
        <v>1485</v>
      </c>
      <c r="L197" t="str">
        <f>IF(OR(J197="Cattle",J197="Zebu Cattle"),IF(COUNTIF(lists!$M$2:$M$258, K197) &gt; 0,"bos.indicus",IF(COUNTIF(lists!$L$2:$L$258, K197) &gt; 0,"cross.bred","pure.bred.exotic")),"NA")</f>
        <v>cross.bred</v>
      </c>
      <c r="M197"/>
      <c r="N197"/>
      <c r="O197" s="9" t="s">
        <v>124</v>
      </c>
      <c r="P197" s="9" t="s">
        <v>4966</v>
      </c>
      <c r="Q197" s="9" t="s">
        <v>3804</v>
      </c>
      <c r="R197" s="9" t="s">
        <v>3830</v>
      </c>
      <c r="S197" s="9" t="s">
        <v>106</v>
      </c>
      <c r="T197" s="9" t="s">
        <v>106</v>
      </c>
      <c r="U197" s="9" t="s">
        <v>106</v>
      </c>
      <c r="V197" s="9" t="s">
        <v>106</v>
      </c>
      <c r="W197" s="9" t="s">
        <v>106</v>
      </c>
      <c r="X197" s="9" t="s">
        <v>106</v>
      </c>
      <c r="Y197" s="9" t="s">
        <v>106</v>
      </c>
      <c r="Z197" s="9" t="s">
        <v>106</v>
      </c>
      <c r="AA197" s="9" t="s">
        <v>106</v>
      </c>
      <c r="AB197" s="9" t="s">
        <v>106</v>
      </c>
      <c r="AC197" s="9" t="s">
        <v>5100</v>
      </c>
      <c r="AD197" s="9" t="s">
        <v>5100</v>
      </c>
    </row>
    <row r="198" spans="1:30">
      <c r="A198" s="9" t="s">
        <v>1491</v>
      </c>
      <c r="B198" s="9" t="s">
        <v>1494</v>
      </c>
      <c r="C198" s="9" t="s">
        <v>105</v>
      </c>
      <c r="D198" s="9">
        <v>4.43</v>
      </c>
      <c r="E198" s="9" t="s">
        <v>106</v>
      </c>
      <c r="F198" s="9">
        <v>162.1</v>
      </c>
      <c r="G198" s="9">
        <v>0.65100000000000002</v>
      </c>
      <c r="H198" s="9" t="s">
        <v>106</v>
      </c>
      <c r="J198" s="9" t="s">
        <v>122</v>
      </c>
      <c r="K198" s="9" t="s">
        <v>1485</v>
      </c>
      <c r="L198" t="str">
        <f>IF(OR(J198="Cattle",J198="Zebu Cattle"),IF(COUNTIF(lists!$M$2:$M$258, K198) &gt; 0,"bos.indicus",IF(COUNTIF(lists!$L$2:$L$258, K198) &gt; 0,"cross.bred","pure.bred.exotic")),"NA")</f>
        <v>cross.bred</v>
      </c>
      <c r="M198"/>
      <c r="N198"/>
      <c r="O198" s="9" t="s">
        <v>124</v>
      </c>
      <c r="P198" s="9" t="s">
        <v>4966</v>
      </c>
      <c r="Q198" s="9" t="s">
        <v>3804</v>
      </c>
      <c r="R198" s="9" t="s">
        <v>3830</v>
      </c>
      <c r="S198" s="9" t="s">
        <v>106</v>
      </c>
      <c r="T198" s="9" t="s">
        <v>106</v>
      </c>
      <c r="U198" s="9" t="s">
        <v>106</v>
      </c>
      <c r="V198" s="9" t="s">
        <v>106</v>
      </c>
      <c r="W198" s="9" t="s">
        <v>106</v>
      </c>
      <c r="X198" s="9" t="s">
        <v>106</v>
      </c>
      <c r="Y198" s="9" t="s">
        <v>106</v>
      </c>
      <c r="Z198" s="9" t="s">
        <v>106</v>
      </c>
      <c r="AA198" s="9" t="s">
        <v>106</v>
      </c>
      <c r="AB198" s="9" t="s">
        <v>106</v>
      </c>
      <c r="AC198" s="9" t="s">
        <v>5100</v>
      </c>
      <c r="AD198" s="9" t="s">
        <v>5100</v>
      </c>
    </row>
    <row r="199" spans="1:30">
      <c r="A199" s="9" t="s">
        <v>1491</v>
      </c>
      <c r="B199" s="9" t="s">
        <v>1495</v>
      </c>
      <c r="C199" s="9" t="s">
        <v>105</v>
      </c>
      <c r="D199" s="9">
        <v>4.47</v>
      </c>
      <c r="E199" s="9" t="s">
        <v>106</v>
      </c>
      <c r="F199" s="9">
        <v>160.80000000000001</v>
      </c>
      <c r="G199" s="9">
        <v>0.60599999999999998</v>
      </c>
      <c r="H199" s="9" t="s">
        <v>106</v>
      </c>
      <c r="J199" s="9" t="s">
        <v>122</v>
      </c>
      <c r="K199" s="9" t="s">
        <v>1485</v>
      </c>
      <c r="L199" t="str">
        <f>IF(OR(J199="Cattle",J199="Zebu Cattle"),IF(COUNTIF(lists!$M$2:$M$258, K199) &gt; 0,"bos.indicus",IF(COUNTIF(lists!$L$2:$L$258, K199) &gt; 0,"cross.bred","pure.bred.exotic")),"NA")</f>
        <v>cross.bred</v>
      </c>
      <c r="M199"/>
      <c r="N199"/>
      <c r="O199" s="9" t="s">
        <v>124</v>
      </c>
      <c r="P199" s="9" t="s">
        <v>4966</v>
      </c>
      <c r="Q199" s="9" t="s">
        <v>3804</v>
      </c>
      <c r="R199" s="9" t="s">
        <v>3830</v>
      </c>
      <c r="S199" s="9" t="s">
        <v>106</v>
      </c>
      <c r="T199" s="9" t="s">
        <v>106</v>
      </c>
      <c r="U199" s="9" t="s">
        <v>106</v>
      </c>
      <c r="V199" s="9" t="s">
        <v>106</v>
      </c>
      <c r="W199" s="9" t="s">
        <v>106</v>
      </c>
      <c r="X199" s="9" t="s">
        <v>106</v>
      </c>
      <c r="Y199" s="9" t="s">
        <v>106</v>
      </c>
      <c r="Z199" s="9" t="s">
        <v>106</v>
      </c>
      <c r="AA199" s="9" t="s">
        <v>106</v>
      </c>
      <c r="AB199" s="9" t="s">
        <v>106</v>
      </c>
      <c r="AC199" s="9" t="s">
        <v>5100</v>
      </c>
      <c r="AD199" s="9" t="s">
        <v>5100</v>
      </c>
    </row>
    <row r="200" spans="1:30">
      <c r="A200" s="9" t="s">
        <v>1496</v>
      </c>
      <c r="B200" s="9" t="s">
        <v>1492</v>
      </c>
      <c r="C200" s="9" t="s">
        <v>105</v>
      </c>
      <c r="D200" s="9">
        <v>7.22</v>
      </c>
      <c r="E200" s="9" t="s">
        <v>106</v>
      </c>
      <c r="F200" s="9">
        <v>199</v>
      </c>
      <c r="G200" s="9">
        <v>0.73199999999999998</v>
      </c>
      <c r="H200" s="9" t="s">
        <v>106</v>
      </c>
      <c r="J200" s="9" t="s">
        <v>122</v>
      </c>
      <c r="K200" s="9" t="s">
        <v>1485</v>
      </c>
      <c r="L200" t="str">
        <f>IF(OR(J200="Cattle",J200="Zebu Cattle"),IF(COUNTIF(lists!$M$2:$M$258, K200) &gt; 0,"bos.indicus",IF(COUNTIF(lists!$L$2:$L$258, K200) &gt; 0,"cross.bred","pure.bred.exotic")),"NA")</f>
        <v>cross.bred</v>
      </c>
      <c r="M200"/>
      <c r="N200"/>
      <c r="O200" s="9" t="s">
        <v>124</v>
      </c>
      <c r="P200" s="9" t="s">
        <v>4966</v>
      </c>
      <c r="Q200" s="9" t="s">
        <v>3804</v>
      </c>
      <c r="R200" s="9" t="s">
        <v>3830</v>
      </c>
      <c r="S200" s="9" t="s">
        <v>106</v>
      </c>
      <c r="T200" s="9" t="s">
        <v>106</v>
      </c>
      <c r="U200" s="9">
        <v>354</v>
      </c>
      <c r="V200" s="9" t="s">
        <v>106</v>
      </c>
      <c r="W200" s="9" t="s">
        <v>106</v>
      </c>
      <c r="X200" s="9" t="s">
        <v>106</v>
      </c>
      <c r="Y200" s="9" t="s">
        <v>106</v>
      </c>
      <c r="Z200" s="9" t="s">
        <v>106</v>
      </c>
      <c r="AA200" s="9" t="s">
        <v>106</v>
      </c>
      <c r="AB200" s="9" t="s">
        <v>106</v>
      </c>
      <c r="AC200" s="9" t="s">
        <v>5100</v>
      </c>
      <c r="AD200" s="9" t="s">
        <v>5100</v>
      </c>
    </row>
    <row r="201" spans="1:30">
      <c r="A201" s="9" t="s">
        <v>1496</v>
      </c>
      <c r="B201" s="9" t="s">
        <v>1493</v>
      </c>
      <c r="C201" s="9" t="s">
        <v>105</v>
      </c>
      <c r="D201" s="9">
        <v>6.92</v>
      </c>
      <c r="E201" s="9" t="s">
        <v>106</v>
      </c>
      <c r="F201" s="9">
        <v>185</v>
      </c>
      <c r="G201" s="9">
        <v>0.60199999999999998</v>
      </c>
      <c r="H201" s="9" t="s">
        <v>106</v>
      </c>
      <c r="J201" s="9" t="s">
        <v>122</v>
      </c>
      <c r="K201" s="9" t="s">
        <v>1485</v>
      </c>
      <c r="L201" t="str">
        <f>IF(OR(J201="Cattle",J201="Zebu Cattle"),IF(COUNTIF(lists!$M$2:$M$258, K201) &gt; 0,"bos.indicus",IF(COUNTIF(lists!$L$2:$L$258, K201) &gt; 0,"cross.bred","pure.bred.exotic")),"NA")</f>
        <v>cross.bred</v>
      </c>
      <c r="M201"/>
      <c r="N201"/>
      <c r="O201" s="9" t="s">
        <v>124</v>
      </c>
      <c r="P201" s="9" t="s">
        <v>4966</v>
      </c>
      <c r="Q201" s="9" t="s">
        <v>3804</v>
      </c>
      <c r="R201" s="9" t="s">
        <v>3830</v>
      </c>
      <c r="S201" s="9" t="s">
        <v>106</v>
      </c>
      <c r="T201" s="9" t="s">
        <v>106</v>
      </c>
      <c r="U201" s="9">
        <v>295</v>
      </c>
      <c r="V201" s="9" t="s">
        <v>106</v>
      </c>
      <c r="W201" s="9" t="s">
        <v>106</v>
      </c>
      <c r="X201" s="9" t="s">
        <v>106</v>
      </c>
      <c r="Y201" s="9" t="s">
        <v>106</v>
      </c>
      <c r="Z201" s="9" t="s">
        <v>106</v>
      </c>
      <c r="AA201" s="9" t="s">
        <v>106</v>
      </c>
      <c r="AB201" s="9" t="s">
        <v>106</v>
      </c>
      <c r="AC201" s="9" t="s">
        <v>5100</v>
      </c>
      <c r="AD201" s="9" t="s">
        <v>5100</v>
      </c>
    </row>
    <row r="202" spans="1:30">
      <c r="A202" s="9" t="s">
        <v>1496</v>
      </c>
      <c r="B202" s="9" t="s">
        <v>1494</v>
      </c>
      <c r="C202" s="9" t="s">
        <v>105</v>
      </c>
      <c r="D202" s="9">
        <v>6.89</v>
      </c>
      <c r="E202" s="9" t="s">
        <v>106</v>
      </c>
      <c r="F202" s="9">
        <v>195</v>
      </c>
      <c r="G202" s="9">
        <v>0.65100000000000002</v>
      </c>
      <c r="H202" s="9" t="s">
        <v>106</v>
      </c>
      <c r="J202" s="9" t="s">
        <v>122</v>
      </c>
      <c r="K202" s="9" t="s">
        <v>1485</v>
      </c>
      <c r="L202" t="str">
        <f>IF(OR(J202="Cattle",J202="Zebu Cattle"),IF(COUNTIF(lists!$M$2:$M$258, K202) &gt; 0,"bos.indicus",IF(COUNTIF(lists!$L$2:$L$258, K202) &gt; 0,"cross.bred","pure.bred.exotic")),"NA")</f>
        <v>cross.bred</v>
      </c>
      <c r="M202"/>
      <c r="N202"/>
      <c r="O202" s="9" t="s">
        <v>124</v>
      </c>
      <c r="P202" s="9" t="s">
        <v>4966</v>
      </c>
      <c r="Q202" s="9" t="s">
        <v>3804</v>
      </c>
      <c r="R202" s="9" t="s">
        <v>3830</v>
      </c>
      <c r="S202" s="9" t="s">
        <v>106</v>
      </c>
      <c r="T202" s="9" t="s">
        <v>106</v>
      </c>
      <c r="U202" s="9">
        <v>286</v>
      </c>
      <c r="V202" s="9" t="s">
        <v>106</v>
      </c>
      <c r="W202" s="9" t="s">
        <v>106</v>
      </c>
      <c r="X202" s="9" t="s">
        <v>106</v>
      </c>
      <c r="Y202" s="9" t="s">
        <v>106</v>
      </c>
      <c r="Z202" s="9" t="s">
        <v>106</v>
      </c>
      <c r="AA202" s="9" t="s">
        <v>106</v>
      </c>
      <c r="AB202" s="9" t="s">
        <v>106</v>
      </c>
      <c r="AC202" s="9" t="s">
        <v>5100</v>
      </c>
      <c r="AD202" s="9" t="s">
        <v>5100</v>
      </c>
    </row>
    <row r="203" spans="1:30">
      <c r="A203" s="9" t="s">
        <v>1496</v>
      </c>
      <c r="B203" s="9" t="s">
        <v>1495</v>
      </c>
      <c r="C203" s="9" t="s">
        <v>105</v>
      </c>
      <c r="D203" s="9">
        <v>5.3</v>
      </c>
      <c r="E203" s="9" t="s">
        <v>106</v>
      </c>
      <c r="F203" s="9">
        <v>172</v>
      </c>
      <c r="G203" s="9">
        <v>0.36499999999999999</v>
      </c>
      <c r="H203" s="9" t="s">
        <v>106</v>
      </c>
      <c r="J203" s="9" t="s">
        <v>122</v>
      </c>
      <c r="K203" s="9" t="s">
        <v>1485</v>
      </c>
      <c r="L203" t="str">
        <f>IF(OR(J203="Cattle",J203="Zebu Cattle"),IF(COUNTIF(lists!$M$2:$M$258, K203) &gt; 0,"bos.indicus",IF(COUNTIF(lists!$L$2:$L$258, K203) &gt; 0,"cross.bred","pure.bred.exotic")),"NA")</f>
        <v>cross.bred</v>
      </c>
      <c r="M203"/>
      <c r="N203"/>
      <c r="O203" s="9" t="s">
        <v>124</v>
      </c>
      <c r="P203" s="9" t="s">
        <v>4966</v>
      </c>
      <c r="Q203" s="9" t="s">
        <v>3804</v>
      </c>
      <c r="R203" s="9" t="s">
        <v>3830</v>
      </c>
      <c r="S203" s="9" t="s">
        <v>106</v>
      </c>
      <c r="T203" s="9" t="s">
        <v>106</v>
      </c>
      <c r="U203" s="9">
        <v>378</v>
      </c>
      <c r="V203" s="9" t="s">
        <v>106</v>
      </c>
      <c r="W203" s="9" t="s">
        <v>106</v>
      </c>
      <c r="X203" s="9" t="s">
        <v>106</v>
      </c>
      <c r="Y203" s="9" t="s">
        <v>106</v>
      </c>
      <c r="Z203" s="9" t="s">
        <v>106</v>
      </c>
      <c r="AA203" s="9" t="s">
        <v>106</v>
      </c>
      <c r="AB203" s="9" t="s">
        <v>106</v>
      </c>
      <c r="AC203" s="9" t="s">
        <v>5100</v>
      </c>
      <c r="AD203" s="9" t="s">
        <v>5100</v>
      </c>
    </row>
    <row r="204" spans="1:30">
      <c r="A204" s="9" t="s">
        <v>1506</v>
      </c>
      <c r="B204" s="9" t="s">
        <v>1507</v>
      </c>
      <c r="C204" s="9" t="s">
        <v>105</v>
      </c>
      <c r="D204" s="9">
        <v>5.2</v>
      </c>
      <c r="E204" s="9">
        <v>0.21</v>
      </c>
      <c r="F204" s="9">
        <v>173</v>
      </c>
      <c r="G204" s="9">
        <v>0.42899999999999999</v>
      </c>
      <c r="H204" s="9" t="s">
        <v>106</v>
      </c>
      <c r="I204" s="9">
        <v>4</v>
      </c>
      <c r="J204" s="9" t="s">
        <v>122</v>
      </c>
      <c r="K204" s="9" t="s">
        <v>1508</v>
      </c>
      <c r="L204" t="str">
        <f>IF(OR(J204="Cattle",J204="Zebu Cattle"),IF(COUNTIF(lists!$M$2:$M$258, K204) &gt; 0,"bos.indicus",IF(COUNTIF(lists!$L$2:$L$258, K204) &gt; 0,"cross.bred","pure.bred.exotic")),"NA")</f>
        <v>cross.bred</v>
      </c>
      <c r="M204"/>
      <c r="N204"/>
      <c r="O204" s="9" t="s">
        <v>109</v>
      </c>
      <c r="P204" s="9" t="s">
        <v>4069</v>
      </c>
      <c r="Q204" s="9" t="s">
        <v>3813</v>
      </c>
      <c r="R204" s="9" t="s">
        <v>3830</v>
      </c>
      <c r="S204" s="9" t="s">
        <v>106</v>
      </c>
      <c r="T204" s="9">
        <v>136.29</v>
      </c>
      <c r="U204" s="9">
        <v>94.58</v>
      </c>
      <c r="V204" s="9">
        <v>184</v>
      </c>
      <c r="W204" s="9" t="s">
        <v>106</v>
      </c>
      <c r="X204" s="9">
        <v>718</v>
      </c>
      <c r="Y204" s="9" t="s">
        <v>106</v>
      </c>
      <c r="Z204" s="9" t="s">
        <v>106</v>
      </c>
      <c r="AA204" s="9">
        <v>59.2</v>
      </c>
      <c r="AB204" s="9">
        <v>63.1</v>
      </c>
      <c r="AC204" s="9" t="s">
        <v>5100</v>
      </c>
      <c r="AD204" s="9" t="s">
        <v>5100</v>
      </c>
    </row>
    <row r="205" spans="1:30">
      <c r="A205" s="9" t="s">
        <v>1506</v>
      </c>
      <c r="B205" s="9" t="s">
        <v>1509</v>
      </c>
      <c r="C205" s="9" t="s">
        <v>105</v>
      </c>
      <c r="D205" s="9">
        <v>6.2</v>
      </c>
      <c r="E205" s="9">
        <v>0.31</v>
      </c>
      <c r="F205" s="9">
        <v>208</v>
      </c>
      <c r="G205" s="9">
        <v>0.71899999999999997</v>
      </c>
      <c r="H205" s="9" t="s">
        <v>106</v>
      </c>
      <c r="I205" s="9">
        <v>4</v>
      </c>
      <c r="J205" s="9" t="s">
        <v>122</v>
      </c>
      <c r="K205" s="9" t="s">
        <v>1508</v>
      </c>
      <c r="L205" t="str">
        <f>IF(OR(J205="Cattle",J205="Zebu Cattle"),IF(COUNTIF(lists!$M$2:$M$258, K205) &gt; 0,"bos.indicus",IF(COUNTIF(lists!$L$2:$L$258, K205) &gt; 0,"cross.bred","pure.bred.exotic")),"NA")</f>
        <v>cross.bred</v>
      </c>
      <c r="M205"/>
      <c r="N205"/>
      <c r="O205" s="9" t="s">
        <v>109</v>
      </c>
      <c r="P205" s="9" t="s">
        <v>4069</v>
      </c>
      <c r="Q205" s="9" t="s">
        <v>3813</v>
      </c>
      <c r="R205" s="9" t="s">
        <v>3830</v>
      </c>
      <c r="S205" s="9" t="s">
        <v>106</v>
      </c>
      <c r="T205" s="9">
        <v>124.19</v>
      </c>
      <c r="U205" s="9">
        <v>99.18</v>
      </c>
      <c r="V205" s="9">
        <v>175.55</v>
      </c>
      <c r="W205" s="9" t="s">
        <v>106</v>
      </c>
      <c r="X205" s="9">
        <v>647.66</v>
      </c>
      <c r="Y205" s="9" t="s">
        <v>106</v>
      </c>
      <c r="Z205" s="9" t="s">
        <v>106</v>
      </c>
      <c r="AA205" s="9">
        <v>61.6</v>
      </c>
      <c r="AB205" s="9">
        <v>65</v>
      </c>
      <c r="AC205" s="9" t="s">
        <v>5100</v>
      </c>
      <c r="AD205" s="9" t="s">
        <v>5100</v>
      </c>
    </row>
    <row r="206" spans="1:30">
      <c r="A206" s="9" t="s">
        <v>1506</v>
      </c>
      <c r="B206" s="9" t="s">
        <v>1510</v>
      </c>
      <c r="C206" s="9" t="s">
        <v>105</v>
      </c>
      <c r="D206" s="9">
        <v>5.4</v>
      </c>
      <c r="E206" s="9">
        <v>0.21</v>
      </c>
      <c r="F206" s="9">
        <v>173</v>
      </c>
      <c r="G206" s="9">
        <v>0.371</v>
      </c>
      <c r="H206" s="9" t="s">
        <v>106</v>
      </c>
      <c r="I206" s="9">
        <v>4</v>
      </c>
      <c r="J206" s="9" t="s">
        <v>122</v>
      </c>
      <c r="K206" s="9" t="s">
        <v>1508</v>
      </c>
      <c r="L206" t="str">
        <f>IF(OR(J206="Cattle",J206="Zebu Cattle"),IF(COUNTIF(lists!$M$2:$M$258, K206) &gt; 0,"bos.indicus",IF(COUNTIF(lists!$L$2:$L$258, K206) &gt; 0,"cross.bred","pure.bred.exotic")),"NA")</f>
        <v>cross.bred</v>
      </c>
      <c r="M206"/>
      <c r="N206"/>
      <c r="O206" s="9" t="s">
        <v>109</v>
      </c>
      <c r="P206" s="9" t="s">
        <v>4069</v>
      </c>
      <c r="Q206" s="9" t="s">
        <v>3813</v>
      </c>
      <c r="R206" s="9" t="s">
        <v>3830</v>
      </c>
      <c r="S206" s="9" t="s">
        <v>106</v>
      </c>
      <c r="T206" s="9">
        <v>133.87</v>
      </c>
      <c r="U206" s="9">
        <v>104.11</v>
      </c>
      <c r="V206" s="9">
        <v>188.4</v>
      </c>
      <c r="W206" s="9" t="s">
        <v>106</v>
      </c>
      <c r="X206" s="9">
        <v>700.04</v>
      </c>
      <c r="Y206" s="9" t="s">
        <v>106</v>
      </c>
      <c r="Z206" s="9" t="s">
        <v>106</v>
      </c>
      <c r="AA206" s="9">
        <v>57.8</v>
      </c>
      <c r="AB206" s="9">
        <v>62.5</v>
      </c>
      <c r="AC206" s="9" t="s">
        <v>5100</v>
      </c>
      <c r="AD206" s="9" t="s">
        <v>5100</v>
      </c>
    </row>
    <row r="207" spans="1:30">
      <c r="A207" s="9" t="s">
        <v>1506</v>
      </c>
      <c r="B207" s="9" t="s">
        <v>1511</v>
      </c>
      <c r="C207" s="9" t="s">
        <v>105</v>
      </c>
      <c r="D207" s="9">
        <v>6.6</v>
      </c>
      <c r="E207" s="9">
        <v>0.31</v>
      </c>
      <c r="F207" s="9">
        <v>208</v>
      </c>
      <c r="G207" s="9">
        <v>0.78900000000000003</v>
      </c>
      <c r="H207" s="9" t="s">
        <v>106</v>
      </c>
      <c r="I207" s="9">
        <v>4</v>
      </c>
      <c r="J207" s="9" t="s">
        <v>122</v>
      </c>
      <c r="K207" s="9" t="s">
        <v>1508</v>
      </c>
      <c r="L207" t="str">
        <f>IF(OR(J207="Cattle",J207="Zebu Cattle"),IF(COUNTIF(lists!$M$2:$M$258, K207) &gt; 0,"bos.indicus",IF(COUNTIF(lists!$L$2:$L$258, K207) &gt; 0,"cross.bred","pure.bred.exotic")),"NA")</f>
        <v>cross.bred</v>
      </c>
      <c r="M207"/>
      <c r="N207"/>
      <c r="O207" s="9" t="s">
        <v>109</v>
      </c>
      <c r="P207" s="9" t="s">
        <v>4069</v>
      </c>
      <c r="Q207" s="9" t="s">
        <v>3813</v>
      </c>
      <c r="R207" s="9" t="s">
        <v>3830</v>
      </c>
      <c r="S207" s="9" t="s">
        <v>106</v>
      </c>
      <c r="T207" s="9">
        <v>122.12</v>
      </c>
      <c r="U207" s="9">
        <v>106.38</v>
      </c>
      <c r="V207" s="9">
        <v>180.08</v>
      </c>
      <c r="W207" s="9" t="s">
        <v>106</v>
      </c>
      <c r="X207" s="9">
        <v>636.83000000000004</v>
      </c>
      <c r="Y207" s="9" t="s">
        <v>106</v>
      </c>
      <c r="Z207" s="9" t="s">
        <v>106</v>
      </c>
      <c r="AA207" s="9">
        <v>61.6</v>
      </c>
      <c r="AB207" s="9">
        <v>65.7</v>
      </c>
      <c r="AC207" s="9" t="s">
        <v>5100</v>
      </c>
      <c r="AD207" s="9" t="s">
        <v>5100</v>
      </c>
    </row>
    <row r="208" spans="1:30">
      <c r="A208" s="9" t="s">
        <v>1506</v>
      </c>
      <c r="B208" s="9" t="s">
        <v>1512</v>
      </c>
      <c r="C208" s="9" t="s">
        <v>105</v>
      </c>
      <c r="D208" s="9">
        <v>5.7</v>
      </c>
      <c r="E208" s="9">
        <v>0.21</v>
      </c>
      <c r="F208" s="9">
        <v>173</v>
      </c>
      <c r="G208" s="9">
        <v>0.47799999999999998</v>
      </c>
      <c r="H208" s="9" t="s">
        <v>106</v>
      </c>
      <c r="I208" s="9">
        <v>4</v>
      </c>
      <c r="J208" s="9" t="s">
        <v>122</v>
      </c>
      <c r="K208" s="9" t="s">
        <v>1508</v>
      </c>
      <c r="L208" t="str">
        <f>IF(OR(J208="Cattle",J208="Zebu Cattle"),IF(COUNTIF(lists!$M$2:$M$258, K208) &gt; 0,"bos.indicus",IF(COUNTIF(lists!$L$2:$L$258, K208) &gt; 0,"cross.bred","pure.bred.exotic")),"NA")</f>
        <v>cross.bred</v>
      </c>
      <c r="M208"/>
      <c r="N208"/>
      <c r="O208" s="9" t="s">
        <v>109</v>
      </c>
      <c r="P208" s="9" t="s">
        <v>4069</v>
      </c>
      <c r="Q208" s="9" t="s">
        <v>3813</v>
      </c>
      <c r="R208" s="9" t="s">
        <v>3830</v>
      </c>
      <c r="S208" s="9" t="s">
        <v>106</v>
      </c>
      <c r="T208" s="9">
        <v>131.79</v>
      </c>
      <c r="U208" s="9">
        <v>112.32</v>
      </c>
      <c r="V208" s="9">
        <v>192.35</v>
      </c>
      <c r="W208" s="9" t="s">
        <v>106</v>
      </c>
      <c r="X208" s="9">
        <v>684.58</v>
      </c>
      <c r="Y208" s="9" t="s">
        <v>106</v>
      </c>
      <c r="Z208" s="9" t="s">
        <v>106</v>
      </c>
      <c r="AA208" s="9">
        <v>60.6</v>
      </c>
      <c r="AB208" s="9">
        <v>66.099999999999994</v>
      </c>
      <c r="AC208" s="9" t="s">
        <v>5100</v>
      </c>
      <c r="AD208" s="9" t="s">
        <v>5100</v>
      </c>
    </row>
    <row r="209" spans="1:30">
      <c r="A209" s="9" t="s">
        <v>1506</v>
      </c>
      <c r="B209" s="9" t="s">
        <v>1513</v>
      </c>
      <c r="C209" s="9" t="s">
        <v>105</v>
      </c>
      <c r="D209" s="9">
        <v>6.7</v>
      </c>
      <c r="E209" s="9">
        <v>0.31</v>
      </c>
      <c r="F209" s="9">
        <v>208</v>
      </c>
      <c r="G209" s="9">
        <v>0.85</v>
      </c>
      <c r="H209" s="9" t="s">
        <v>106</v>
      </c>
      <c r="I209" s="9">
        <v>4</v>
      </c>
      <c r="J209" s="9" t="s">
        <v>122</v>
      </c>
      <c r="K209" s="9" t="s">
        <v>1508</v>
      </c>
      <c r="L209" t="str">
        <f>IF(OR(J209="Cattle",J209="Zebu Cattle"),IF(COUNTIF(lists!$M$2:$M$258, K209) &gt; 0,"bos.indicus",IF(COUNTIF(lists!$L$2:$L$258, K209) &gt; 0,"cross.bred","pure.bred.exotic")),"NA")</f>
        <v>cross.bred</v>
      </c>
      <c r="M209"/>
      <c r="N209"/>
      <c r="O209" s="9" t="s">
        <v>109</v>
      </c>
      <c r="P209" s="9" t="s">
        <v>4069</v>
      </c>
      <c r="Q209" s="9" t="s">
        <v>3813</v>
      </c>
      <c r="R209" s="9" t="s">
        <v>3830</v>
      </c>
      <c r="S209" s="9" t="s">
        <v>106</v>
      </c>
      <c r="T209" s="9">
        <v>119.85</v>
      </c>
      <c r="U209" s="9">
        <v>114.27</v>
      </c>
      <c r="V209" s="9">
        <v>185.32</v>
      </c>
      <c r="W209" s="9" t="s">
        <v>106</v>
      </c>
      <c r="X209" s="9">
        <v>624.97</v>
      </c>
      <c r="Y209" s="9" t="s">
        <v>106</v>
      </c>
      <c r="Z209" s="9" t="s">
        <v>106</v>
      </c>
      <c r="AA209" s="9">
        <v>59</v>
      </c>
      <c r="AB209" s="9">
        <v>71.2</v>
      </c>
      <c r="AC209" s="9" t="s">
        <v>5100</v>
      </c>
      <c r="AD209" s="9" t="s">
        <v>5100</v>
      </c>
    </row>
    <row r="210" spans="1:30">
      <c r="A210" s="9" t="s">
        <v>1506</v>
      </c>
      <c r="B210" s="9" t="s">
        <v>1514</v>
      </c>
      <c r="C210" s="9" t="s">
        <v>105</v>
      </c>
      <c r="D210" s="9">
        <v>5.0999999999999996</v>
      </c>
      <c r="E210" s="9">
        <v>0.21</v>
      </c>
      <c r="F210" s="9">
        <v>173</v>
      </c>
      <c r="G210" s="9">
        <v>0.35799999999999998</v>
      </c>
      <c r="H210" s="9" t="s">
        <v>106</v>
      </c>
      <c r="I210" s="9">
        <v>4</v>
      </c>
      <c r="J210" s="9" t="s">
        <v>122</v>
      </c>
      <c r="K210" s="9" t="s">
        <v>1508</v>
      </c>
      <c r="L210" t="str">
        <f>IF(OR(J210="Cattle",J210="Zebu Cattle"),IF(COUNTIF(lists!$M$2:$M$258, K210) &gt; 0,"bos.indicus",IF(COUNTIF(lists!$L$2:$L$258, K210) &gt; 0,"cross.bred","pure.bred.exotic")),"NA")</f>
        <v>cross.bred</v>
      </c>
      <c r="M210"/>
      <c r="N210"/>
      <c r="O210" s="9" t="s">
        <v>109</v>
      </c>
      <c r="P210" s="9" t="s">
        <v>4069</v>
      </c>
      <c r="Q210" s="9" t="s">
        <v>3813</v>
      </c>
      <c r="R210" s="9" t="s">
        <v>3830</v>
      </c>
      <c r="S210" s="9" t="s">
        <v>106</v>
      </c>
      <c r="T210" s="9">
        <v>138.25</v>
      </c>
      <c r="U210" s="9">
        <v>86.82</v>
      </c>
      <c r="V210" s="9">
        <v>180.58</v>
      </c>
      <c r="W210" s="9" t="s">
        <v>106</v>
      </c>
      <c r="X210" s="9">
        <v>732.61</v>
      </c>
      <c r="Y210" s="9" t="s">
        <v>106</v>
      </c>
      <c r="Z210" s="9" t="s">
        <v>106</v>
      </c>
      <c r="AA210" s="9">
        <v>61</v>
      </c>
      <c r="AB210" s="9">
        <v>65.3</v>
      </c>
      <c r="AC210" s="9" t="s">
        <v>5100</v>
      </c>
      <c r="AD210" s="9" t="s">
        <v>5100</v>
      </c>
    </row>
    <row r="211" spans="1:30">
      <c r="A211" s="9" t="s">
        <v>1506</v>
      </c>
      <c r="B211" s="9" t="s">
        <v>1515</v>
      </c>
      <c r="C211" s="9" t="s">
        <v>105</v>
      </c>
      <c r="D211" s="9">
        <v>5.8</v>
      </c>
      <c r="E211" s="9">
        <v>0.31</v>
      </c>
      <c r="F211" s="9">
        <v>208</v>
      </c>
      <c r="G211" s="9">
        <v>0.71099999999999997</v>
      </c>
      <c r="H211" s="9" t="s">
        <v>106</v>
      </c>
      <c r="I211" s="9">
        <v>4</v>
      </c>
      <c r="J211" s="9" t="s">
        <v>122</v>
      </c>
      <c r="K211" s="9" t="s">
        <v>1508</v>
      </c>
      <c r="L211" t="str">
        <f>IF(OR(J211="Cattle",J211="Zebu Cattle"),IF(COUNTIF(lists!$M$2:$M$258, K211) &gt; 0,"bos.indicus",IF(COUNTIF(lists!$L$2:$L$258, K211) &gt; 0,"cross.bred","pure.bred.exotic")),"NA")</f>
        <v>cross.bred</v>
      </c>
      <c r="M211"/>
      <c r="N211"/>
      <c r="O211" s="9" t="s">
        <v>109</v>
      </c>
      <c r="P211" s="9" t="s">
        <v>4069</v>
      </c>
      <c r="Q211" s="9" t="s">
        <v>3813</v>
      </c>
      <c r="R211" s="9" t="s">
        <v>3830</v>
      </c>
      <c r="S211" s="9" t="s">
        <v>106</v>
      </c>
      <c r="T211" s="9">
        <v>126.55</v>
      </c>
      <c r="U211" s="9">
        <v>90.98</v>
      </c>
      <c r="V211" s="9">
        <v>170.67</v>
      </c>
      <c r="W211" s="9" t="s">
        <v>106</v>
      </c>
      <c r="X211" s="9">
        <v>659.98</v>
      </c>
      <c r="Y211" s="9" t="s">
        <v>106</v>
      </c>
      <c r="Z211" s="9" t="s">
        <v>106</v>
      </c>
      <c r="AA211" s="9">
        <v>61.1</v>
      </c>
      <c r="AB211" s="9">
        <v>69.5</v>
      </c>
      <c r="AC211" s="9" t="s">
        <v>5100</v>
      </c>
      <c r="AD211" s="9" t="s">
        <v>5100</v>
      </c>
    </row>
    <row r="212" spans="1:30">
      <c r="A212" s="9" t="s">
        <v>1506</v>
      </c>
      <c r="B212" s="9" t="s">
        <v>1516</v>
      </c>
      <c r="C212" s="9" t="s">
        <v>105</v>
      </c>
      <c r="D212" s="9">
        <v>5.2</v>
      </c>
      <c r="E212" s="9">
        <v>0.21</v>
      </c>
      <c r="F212" s="9">
        <v>173</v>
      </c>
      <c r="G212" s="9">
        <v>0.30599999999999999</v>
      </c>
      <c r="H212" s="9" t="s">
        <v>106</v>
      </c>
      <c r="I212" s="9">
        <v>4</v>
      </c>
      <c r="J212" s="9" t="s">
        <v>122</v>
      </c>
      <c r="K212" s="9" t="s">
        <v>1508</v>
      </c>
      <c r="L212" t="str">
        <f>IF(OR(J212="Cattle",J212="Zebu Cattle"),IF(COUNTIF(lists!$M$2:$M$258, K212) &gt; 0,"bos.indicus",IF(COUNTIF(lists!$L$2:$L$258, K212) &gt; 0,"cross.bred","pure.bred.exotic")),"NA")</f>
        <v>cross.bred</v>
      </c>
      <c r="M212"/>
      <c r="N212"/>
      <c r="O212" s="9" t="s">
        <v>109</v>
      </c>
      <c r="P212" s="9" t="s">
        <v>4069</v>
      </c>
      <c r="Q212" s="9" t="s">
        <v>3813</v>
      </c>
      <c r="R212" s="9" t="s">
        <v>3830</v>
      </c>
      <c r="S212" s="9" t="s">
        <v>106</v>
      </c>
      <c r="T212" s="9">
        <v>141</v>
      </c>
      <c r="U212" s="9">
        <v>76</v>
      </c>
      <c r="V212" s="9">
        <v>176</v>
      </c>
      <c r="W212" s="9" t="s">
        <v>106</v>
      </c>
      <c r="X212" s="9">
        <v>753</v>
      </c>
      <c r="Y212" s="9" t="s">
        <v>106</v>
      </c>
      <c r="Z212" s="9" t="s">
        <v>106</v>
      </c>
      <c r="AA212" s="9">
        <v>60.8</v>
      </c>
      <c r="AB212" s="9">
        <v>63.8</v>
      </c>
      <c r="AC212" s="9" t="s">
        <v>5100</v>
      </c>
      <c r="AD212" s="9" t="s">
        <v>5100</v>
      </c>
    </row>
    <row r="213" spans="1:30">
      <c r="A213" s="9" t="s">
        <v>1506</v>
      </c>
      <c r="B213" s="9" t="s">
        <v>1517</v>
      </c>
      <c r="C213" s="9" t="s">
        <v>105</v>
      </c>
      <c r="D213" s="9">
        <v>5.2</v>
      </c>
      <c r="E213" s="9">
        <v>0.21</v>
      </c>
      <c r="F213" s="9">
        <v>208</v>
      </c>
      <c r="G213" s="9">
        <v>0.53800000000000003</v>
      </c>
      <c r="H213" s="9" t="s">
        <v>106</v>
      </c>
      <c r="I213" s="9">
        <v>4</v>
      </c>
      <c r="J213" s="9" t="s">
        <v>122</v>
      </c>
      <c r="K213" s="9" t="s">
        <v>1508</v>
      </c>
      <c r="L213" t="str">
        <f>IF(OR(J213="Cattle",J213="Zebu Cattle"),IF(COUNTIF(lists!$M$2:$M$258, K213) &gt; 0,"bos.indicus",IF(COUNTIF(lists!$L$2:$L$258, K213) &gt; 0,"cross.bred","pure.bred.exotic")),"NA")</f>
        <v>cross.bred</v>
      </c>
      <c r="M213"/>
      <c r="N213"/>
      <c r="O213" s="9" t="s">
        <v>109</v>
      </c>
      <c r="P213" s="9" t="s">
        <v>4069</v>
      </c>
      <c r="Q213" s="9" t="s">
        <v>3813</v>
      </c>
      <c r="R213" s="9" t="s">
        <v>3830</v>
      </c>
      <c r="S213" s="9" t="s">
        <v>106</v>
      </c>
      <c r="T213" s="9">
        <v>130</v>
      </c>
      <c r="U213" s="9">
        <v>79</v>
      </c>
      <c r="V213" s="9">
        <v>164</v>
      </c>
      <c r="W213" s="9" t="s">
        <v>106</v>
      </c>
      <c r="X213" s="9">
        <v>678</v>
      </c>
      <c r="Y213" s="9" t="s">
        <v>106</v>
      </c>
      <c r="Z213" s="9" t="s">
        <v>106</v>
      </c>
      <c r="AA213" s="9">
        <v>59.8</v>
      </c>
      <c r="AB213" s="9">
        <v>65.7</v>
      </c>
      <c r="AC213" s="9" t="s">
        <v>5100</v>
      </c>
      <c r="AD213" s="9" t="s">
        <v>5100</v>
      </c>
    </row>
    <row r="214" spans="1:30">
      <c r="A214" s="9" t="s">
        <v>1518</v>
      </c>
      <c r="B214" s="9" t="s">
        <v>1519</v>
      </c>
      <c r="C214" s="9" t="s">
        <v>105</v>
      </c>
      <c r="D214" s="9">
        <v>3</v>
      </c>
      <c r="E214" s="9">
        <v>0.1</v>
      </c>
      <c r="F214" s="9">
        <v>155.38999999999999</v>
      </c>
      <c r="G214" s="9">
        <v>0.17899999999999999</v>
      </c>
      <c r="H214" s="9" t="s">
        <v>106</v>
      </c>
      <c r="I214" s="9">
        <v>4</v>
      </c>
      <c r="J214" s="9" t="s">
        <v>122</v>
      </c>
      <c r="K214" s="9" t="s">
        <v>1508</v>
      </c>
      <c r="L214" t="str">
        <f>IF(OR(J214="Cattle",J214="Zebu Cattle"),IF(COUNTIF(lists!$M$2:$M$258, K214) &gt; 0,"bos.indicus",IF(COUNTIF(lists!$L$2:$L$258, K214) &gt; 0,"cross.bred","pure.bred.exotic")),"NA")</f>
        <v>cross.bred</v>
      </c>
      <c r="M214"/>
      <c r="N214"/>
      <c r="O214" s="9" t="s">
        <v>124</v>
      </c>
      <c r="P214" s="9" t="s">
        <v>4069</v>
      </c>
      <c r="Q214" s="9" t="s">
        <v>3813</v>
      </c>
      <c r="R214" s="9" t="s">
        <v>3830</v>
      </c>
      <c r="S214" s="9" t="s">
        <v>106</v>
      </c>
      <c r="T214" s="9">
        <v>56.8</v>
      </c>
      <c r="U214" s="9">
        <v>66</v>
      </c>
      <c r="V214" s="9">
        <v>697.46</v>
      </c>
      <c r="W214" s="9" t="s">
        <v>106</v>
      </c>
      <c r="X214" s="9">
        <v>666.7</v>
      </c>
      <c r="Y214" s="9" t="s">
        <v>106</v>
      </c>
      <c r="Z214" s="9" t="s">
        <v>106</v>
      </c>
      <c r="AA214" s="9">
        <v>47.1</v>
      </c>
      <c r="AB214" s="9" t="s">
        <v>106</v>
      </c>
      <c r="AC214" s="9" t="s">
        <v>5100</v>
      </c>
      <c r="AD214" s="9" t="s">
        <v>5100</v>
      </c>
    </row>
    <row r="215" spans="1:30">
      <c r="A215" s="9" t="s">
        <v>1518</v>
      </c>
      <c r="B215" s="9" t="s">
        <v>1520</v>
      </c>
      <c r="C215" s="9" t="s">
        <v>105</v>
      </c>
      <c r="D215" s="9">
        <v>3.3</v>
      </c>
      <c r="E215" s="9">
        <v>0.1</v>
      </c>
      <c r="F215" s="9">
        <v>161.63</v>
      </c>
      <c r="G215" s="9">
        <v>0.434</v>
      </c>
      <c r="H215" s="9" t="s">
        <v>106</v>
      </c>
      <c r="I215" s="9">
        <v>4</v>
      </c>
      <c r="J215" s="9" t="s">
        <v>122</v>
      </c>
      <c r="K215" s="9" t="s">
        <v>1508</v>
      </c>
      <c r="L215" t="str">
        <f>IF(OR(J215="Cattle",J215="Zebu Cattle"),IF(COUNTIF(lists!$M$2:$M$258, K215) &gt; 0,"bos.indicus",IF(COUNTIF(lists!$L$2:$L$258, K215) &gt; 0,"cross.bred","pure.bred.exotic")),"NA")</f>
        <v>cross.bred</v>
      </c>
      <c r="M215"/>
      <c r="N215"/>
      <c r="O215" s="9" t="s">
        <v>124</v>
      </c>
      <c r="P215" s="9" t="s">
        <v>4069</v>
      </c>
      <c r="Q215" s="9" t="s">
        <v>3813</v>
      </c>
      <c r="R215" s="9" t="s">
        <v>3830</v>
      </c>
      <c r="S215" s="9" t="s">
        <v>106</v>
      </c>
      <c r="T215" s="9">
        <v>59.3</v>
      </c>
      <c r="U215" s="9">
        <v>82.39</v>
      </c>
      <c r="V215" s="9">
        <v>572.89</v>
      </c>
      <c r="W215" s="9" t="s">
        <v>106</v>
      </c>
      <c r="X215" s="9">
        <v>633.85</v>
      </c>
      <c r="Y215" s="9" t="s">
        <v>106</v>
      </c>
      <c r="Z215" s="9" t="s">
        <v>106</v>
      </c>
      <c r="AA215" s="9">
        <v>51.3</v>
      </c>
      <c r="AB215" s="9" t="s">
        <v>106</v>
      </c>
      <c r="AC215" s="9" t="s">
        <v>5100</v>
      </c>
      <c r="AD215" s="9" t="s">
        <v>5100</v>
      </c>
    </row>
    <row r="216" spans="1:30">
      <c r="A216" s="9" t="s">
        <v>1518</v>
      </c>
      <c r="B216" s="9" t="s">
        <v>1521</v>
      </c>
      <c r="C216" s="9" t="s">
        <v>105</v>
      </c>
      <c r="D216" s="9">
        <v>3.5</v>
      </c>
      <c r="E216" s="9">
        <v>0.1</v>
      </c>
      <c r="F216" s="9">
        <v>160.13999999999999</v>
      </c>
      <c r="G216" s="9">
        <v>0.373</v>
      </c>
      <c r="H216" s="9" t="s">
        <v>106</v>
      </c>
      <c r="I216" s="9">
        <v>4</v>
      </c>
      <c r="J216" s="9" t="s">
        <v>122</v>
      </c>
      <c r="K216" s="9" t="s">
        <v>1508</v>
      </c>
      <c r="L216" t="str">
        <f>IF(OR(J216="Cattle",J216="Zebu Cattle"),IF(COUNTIF(lists!$M$2:$M$258, K216) &gt; 0,"bos.indicus",IF(COUNTIF(lists!$L$2:$L$258, K216) &gt; 0,"cross.bred","pure.bred.exotic")),"NA")</f>
        <v>cross.bred</v>
      </c>
      <c r="M216"/>
      <c r="N216"/>
      <c r="O216" s="9" t="s">
        <v>124</v>
      </c>
      <c r="P216" s="9" t="s">
        <v>4069</v>
      </c>
      <c r="Q216" s="9" t="s">
        <v>3813</v>
      </c>
      <c r="R216" s="9" t="s">
        <v>3830</v>
      </c>
      <c r="S216" s="9" t="s">
        <v>106</v>
      </c>
      <c r="T216" s="9">
        <v>60.89</v>
      </c>
      <c r="U216" s="9">
        <v>93.31</v>
      </c>
      <c r="V216" s="9">
        <v>512.78</v>
      </c>
      <c r="W216" s="9" t="s">
        <v>106</v>
      </c>
      <c r="X216" s="9">
        <v>611.77</v>
      </c>
      <c r="Y216" s="9" t="s">
        <v>106</v>
      </c>
      <c r="Z216" s="9" t="s">
        <v>106</v>
      </c>
      <c r="AA216" s="9">
        <v>52.5</v>
      </c>
      <c r="AB216" s="9" t="s">
        <v>106</v>
      </c>
      <c r="AC216" s="9" t="s">
        <v>5100</v>
      </c>
      <c r="AD216" s="9" t="s">
        <v>5100</v>
      </c>
    </row>
    <row r="217" spans="1:30">
      <c r="A217" s="9" t="s">
        <v>1518</v>
      </c>
      <c r="B217" s="9" t="s">
        <v>1522</v>
      </c>
      <c r="C217" s="9" t="s">
        <v>105</v>
      </c>
      <c r="D217" s="9">
        <v>3.5</v>
      </c>
      <c r="E217" s="9">
        <v>0.1</v>
      </c>
      <c r="F217" s="9">
        <v>159.62</v>
      </c>
      <c r="G217" s="9">
        <v>0.35199999999999998</v>
      </c>
      <c r="H217" s="9" t="s">
        <v>106</v>
      </c>
      <c r="I217" s="9">
        <v>4</v>
      </c>
      <c r="J217" s="9" t="s">
        <v>122</v>
      </c>
      <c r="K217" s="9" t="s">
        <v>1508</v>
      </c>
      <c r="L217" t="str">
        <f>IF(OR(J217="Cattle",J217="Zebu Cattle"),IF(COUNTIF(lists!$M$2:$M$258, K217) &gt; 0,"bos.indicus",IF(COUNTIF(lists!$L$2:$L$258, K217) &gt; 0,"cross.bred","pure.bred.exotic")),"NA")</f>
        <v>cross.bred</v>
      </c>
      <c r="M217"/>
      <c r="N217"/>
      <c r="O217" s="9" t="s">
        <v>124</v>
      </c>
      <c r="P217" s="9" t="s">
        <v>4069</v>
      </c>
      <c r="Q217" s="9" t="s">
        <v>3813</v>
      </c>
      <c r="R217" s="9" t="s">
        <v>3830</v>
      </c>
      <c r="S217" s="9" t="s">
        <v>106</v>
      </c>
      <c r="T217" s="9">
        <v>62.26</v>
      </c>
      <c r="U217" s="9">
        <v>107.29</v>
      </c>
      <c r="V217" s="9">
        <v>456.98</v>
      </c>
      <c r="W217" s="9" t="s">
        <v>106</v>
      </c>
      <c r="X217" s="9">
        <v>582.03</v>
      </c>
      <c r="Y217" s="9" t="s">
        <v>106</v>
      </c>
      <c r="Z217" s="9" t="s">
        <v>106</v>
      </c>
      <c r="AA217" s="9">
        <v>52.9</v>
      </c>
      <c r="AB217" s="9" t="s">
        <v>106</v>
      </c>
      <c r="AC217" s="9" t="s">
        <v>5100</v>
      </c>
      <c r="AD217" s="9" t="s">
        <v>5100</v>
      </c>
    </row>
    <row r="218" spans="1:30">
      <c r="A218" s="9" t="s">
        <v>1518</v>
      </c>
      <c r="B218" s="9" t="s">
        <v>861</v>
      </c>
      <c r="C218" s="9" t="s">
        <v>105</v>
      </c>
      <c r="D218" s="9">
        <v>3</v>
      </c>
      <c r="E218" s="9">
        <v>0.1</v>
      </c>
      <c r="F218" s="9">
        <v>155.97</v>
      </c>
      <c r="G218" s="9">
        <v>0.20300000000000001</v>
      </c>
      <c r="H218" s="9" t="s">
        <v>106</v>
      </c>
      <c r="I218" s="9">
        <v>4</v>
      </c>
      <c r="J218" s="9" t="s">
        <v>122</v>
      </c>
      <c r="K218" s="9" t="s">
        <v>1508</v>
      </c>
      <c r="L218" t="str">
        <f>IF(OR(J218="Cattle",J218="Zebu Cattle"),IF(COUNTIF(lists!$M$2:$M$258, K218) &gt; 0,"bos.indicus",IF(COUNTIF(lists!$L$2:$L$258, K218) &gt; 0,"cross.bred","pure.bred.exotic")),"NA")</f>
        <v>cross.bred</v>
      </c>
      <c r="M218"/>
      <c r="N218"/>
      <c r="O218" s="9" t="s">
        <v>124</v>
      </c>
      <c r="P218" s="9" t="s">
        <v>4069</v>
      </c>
      <c r="Q218" s="9" t="s">
        <v>3813</v>
      </c>
      <c r="R218" s="9" t="s">
        <v>3830</v>
      </c>
      <c r="S218" s="9" t="s">
        <v>106</v>
      </c>
      <c r="T218" s="9">
        <v>55.2</v>
      </c>
      <c r="U218" s="9">
        <v>49.7</v>
      </c>
      <c r="V218" s="9">
        <v>865.09</v>
      </c>
      <c r="W218" s="9" t="s">
        <v>106</v>
      </c>
      <c r="X218" s="9">
        <v>701.4</v>
      </c>
      <c r="Y218" s="9" t="s">
        <v>106</v>
      </c>
      <c r="Z218" s="9" t="s">
        <v>106</v>
      </c>
      <c r="AA218" s="9">
        <v>51.6</v>
      </c>
      <c r="AB218" s="9" t="s">
        <v>106</v>
      </c>
      <c r="AC218" s="9" t="s">
        <v>5100</v>
      </c>
      <c r="AD218" s="9" t="s">
        <v>5100</v>
      </c>
    </row>
    <row r="219" spans="1:30">
      <c r="A219" s="9" t="s">
        <v>1523</v>
      </c>
      <c r="B219" s="9" t="s">
        <v>1519</v>
      </c>
      <c r="C219" s="9" t="s">
        <v>105</v>
      </c>
      <c r="D219" s="9">
        <v>4.0999999999999996</v>
      </c>
      <c r="E219" s="9">
        <v>0.05</v>
      </c>
      <c r="F219" s="9">
        <v>176.7</v>
      </c>
      <c r="G219" s="9">
        <v>0.35499999999999998</v>
      </c>
      <c r="H219" s="9" t="s">
        <v>106</v>
      </c>
      <c r="I219" s="9">
        <v>4</v>
      </c>
      <c r="J219" s="9" t="s">
        <v>122</v>
      </c>
      <c r="K219" s="9" t="s">
        <v>1508</v>
      </c>
      <c r="L219" t="str">
        <f>IF(OR(J219="Cattle",J219="Zebu Cattle"),IF(COUNTIF(lists!$M$2:$M$258, K219) &gt; 0,"bos.indicus",IF(COUNTIF(lists!$L$2:$L$258, K219) &gt; 0,"cross.bred","pure.bred.exotic")),"NA")</f>
        <v>cross.bred</v>
      </c>
      <c r="M219"/>
      <c r="N219"/>
      <c r="O219" s="9" t="s">
        <v>124</v>
      </c>
      <c r="P219" s="9" t="s">
        <v>4069</v>
      </c>
      <c r="Q219" s="9" t="s">
        <v>3813</v>
      </c>
      <c r="R219" s="9" t="s">
        <v>3830</v>
      </c>
      <c r="S219" s="9" t="s">
        <v>106</v>
      </c>
      <c r="T219" s="9">
        <v>69.760000000000005</v>
      </c>
      <c r="U219" s="9">
        <v>75.05</v>
      </c>
      <c r="V219" s="9">
        <v>618.84</v>
      </c>
      <c r="W219" s="9" t="s">
        <v>106</v>
      </c>
      <c r="X219" s="9">
        <v>644.59</v>
      </c>
      <c r="Y219" s="9" t="s">
        <v>106</v>
      </c>
      <c r="Z219" s="9" t="s">
        <v>106</v>
      </c>
      <c r="AA219" s="9">
        <v>58.8</v>
      </c>
      <c r="AB219" s="9" t="s">
        <v>106</v>
      </c>
      <c r="AC219" s="9" t="s">
        <v>5100</v>
      </c>
      <c r="AD219" s="9" t="s">
        <v>5100</v>
      </c>
    </row>
    <row r="220" spans="1:30">
      <c r="A220" s="9" t="s">
        <v>1523</v>
      </c>
      <c r="B220" s="9" t="s">
        <v>1520</v>
      </c>
      <c r="C220" s="9" t="s">
        <v>105</v>
      </c>
      <c r="D220" s="9">
        <v>4.5999999999999996</v>
      </c>
      <c r="E220" s="9">
        <v>0.05</v>
      </c>
      <c r="F220" s="9">
        <v>185.03</v>
      </c>
      <c r="G220" s="9">
        <v>0.69499999999999995</v>
      </c>
      <c r="H220" s="9" t="s">
        <v>106</v>
      </c>
      <c r="I220" s="9">
        <v>4</v>
      </c>
      <c r="J220" s="9" t="s">
        <v>122</v>
      </c>
      <c r="K220" s="9" t="s">
        <v>1508</v>
      </c>
      <c r="L220" t="str">
        <f>IF(OR(J220="Cattle",J220="Zebu Cattle"),IF(COUNTIF(lists!$M$2:$M$258, K220) &gt; 0,"bos.indicus",IF(COUNTIF(lists!$L$2:$L$258, K220) &gt; 0,"cross.bred","pure.bred.exotic")),"NA")</f>
        <v>cross.bred</v>
      </c>
      <c r="M220"/>
      <c r="N220"/>
      <c r="O220" s="9" t="s">
        <v>124</v>
      </c>
      <c r="P220" s="9" t="s">
        <v>4069</v>
      </c>
      <c r="Q220" s="9" t="s">
        <v>3813</v>
      </c>
      <c r="R220" s="9" t="s">
        <v>3830</v>
      </c>
      <c r="S220" s="9" t="s">
        <v>106</v>
      </c>
      <c r="T220" s="9">
        <v>72.98</v>
      </c>
      <c r="U220" s="9">
        <v>97.43</v>
      </c>
      <c r="V220" s="9">
        <v>490.35</v>
      </c>
      <c r="W220" s="9" t="s">
        <v>106</v>
      </c>
      <c r="X220" s="9">
        <v>604.70000000000005</v>
      </c>
      <c r="Y220" s="9" t="s">
        <v>106</v>
      </c>
      <c r="Z220" s="9" t="s">
        <v>106</v>
      </c>
      <c r="AA220" s="9">
        <v>58.4</v>
      </c>
      <c r="AB220" s="9" t="s">
        <v>106</v>
      </c>
      <c r="AC220" s="9" t="s">
        <v>5100</v>
      </c>
      <c r="AD220" s="9" t="s">
        <v>5100</v>
      </c>
    </row>
    <row r="221" spans="1:30">
      <c r="A221" s="9" t="s">
        <v>1523</v>
      </c>
      <c r="B221" s="9" t="s">
        <v>1524</v>
      </c>
      <c r="C221" s="9" t="s">
        <v>105</v>
      </c>
      <c r="D221" s="9">
        <v>4.3</v>
      </c>
      <c r="E221" s="9">
        <v>0.05</v>
      </c>
      <c r="F221" s="9">
        <v>177.7</v>
      </c>
      <c r="G221" s="9">
        <v>0.39600000000000002</v>
      </c>
      <c r="H221" s="9" t="s">
        <v>106</v>
      </c>
      <c r="I221" s="9">
        <v>4</v>
      </c>
      <c r="J221" s="9" t="s">
        <v>122</v>
      </c>
      <c r="K221" s="9" t="s">
        <v>1508</v>
      </c>
      <c r="L221" t="str">
        <f>IF(OR(J221="Cattle",J221="Zebu Cattle"),IF(COUNTIF(lists!$M$2:$M$258, K221) &gt; 0,"bos.indicus",IF(COUNTIF(lists!$L$2:$L$258, K221) &gt; 0,"cross.bred","pure.bred.exotic")),"NA")</f>
        <v>cross.bred</v>
      </c>
      <c r="M221"/>
      <c r="N221"/>
      <c r="O221" s="9" t="s">
        <v>124</v>
      </c>
      <c r="P221" s="9" t="s">
        <v>4069</v>
      </c>
      <c r="Q221" s="9" t="s">
        <v>3813</v>
      </c>
      <c r="R221" s="9" t="s">
        <v>3830</v>
      </c>
      <c r="S221" s="9" t="s">
        <v>106</v>
      </c>
      <c r="T221" s="9">
        <v>70.260000000000005</v>
      </c>
      <c r="U221" s="9">
        <v>77.86</v>
      </c>
      <c r="V221" s="9">
        <v>671.79</v>
      </c>
      <c r="W221" s="9" t="s">
        <v>106</v>
      </c>
      <c r="X221" s="9">
        <v>643.70000000000005</v>
      </c>
      <c r="Y221" s="9" t="s">
        <v>106</v>
      </c>
      <c r="Z221" s="9" t="s">
        <v>106</v>
      </c>
      <c r="AA221" s="9">
        <v>56.8</v>
      </c>
      <c r="AB221" s="9" t="s">
        <v>106</v>
      </c>
      <c r="AC221" s="9" t="s">
        <v>5100</v>
      </c>
      <c r="AD221" s="9" t="s">
        <v>5100</v>
      </c>
    </row>
    <row r="222" spans="1:30">
      <c r="A222" s="9" t="s">
        <v>1523</v>
      </c>
      <c r="B222" s="9" t="s">
        <v>1525</v>
      </c>
      <c r="C222" s="9" t="s">
        <v>105</v>
      </c>
      <c r="D222" s="9">
        <v>4.5999999999999996</v>
      </c>
      <c r="E222" s="9">
        <v>0.05</v>
      </c>
      <c r="F222" s="9">
        <v>186.45</v>
      </c>
      <c r="G222" s="9">
        <v>0.753</v>
      </c>
      <c r="H222" s="9" t="s">
        <v>106</v>
      </c>
      <c r="I222" s="9">
        <v>4</v>
      </c>
      <c r="J222" s="9" t="s">
        <v>122</v>
      </c>
      <c r="K222" s="9" t="s">
        <v>1508</v>
      </c>
      <c r="L222" t="str">
        <f>IF(OR(J222="Cattle",J222="Zebu Cattle"),IF(COUNTIF(lists!$M$2:$M$258, K222) &gt; 0,"bos.indicus",IF(COUNTIF(lists!$L$2:$L$258, K222) &gt; 0,"cross.bred","pure.bred.exotic")),"NA")</f>
        <v>cross.bred</v>
      </c>
      <c r="M222"/>
      <c r="N222"/>
      <c r="O222" s="9" t="s">
        <v>124</v>
      </c>
      <c r="P222" s="9" t="s">
        <v>4069</v>
      </c>
      <c r="Q222" s="9" t="s">
        <v>3813</v>
      </c>
      <c r="R222" s="9" t="s">
        <v>3830</v>
      </c>
      <c r="S222" s="9" t="s">
        <v>106</v>
      </c>
      <c r="T222" s="9">
        <v>72.430000000000007</v>
      </c>
      <c r="U222" s="9">
        <v>108.22</v>
      </c>
      <c r="V222" s="9">
        <v>547.30999999999995</v>
      </c>
      <c r="W222" s="9" t="s">
        <v>106</v>
      </c>
      <c r="X222" s="9">
        <v>589.70000000000005</v>
      </c>
      <c r="Y222" s="9" t="s">
        <v>106</v>
      </c>
      <c r="Z222" s="9" t="s">
        <v>106</v>
      </c>
      <c r="AA222" s="9">
        <v>55.7</v>
      </c>
      <c r="AB222" s="9" t="s">
        <v>106</v>
      </c>
      <c r="AC222" s="9" t="s">
        <v>5100</v>
      </c>
      <c r="AD222" s="9" t="s">
        <v>5100</v>
      </c>
    </row>
    <row r="223" spans="1:30">
      <c r="A223" s="9" t="s">
        <v>1523</v>
      </c>
      <c r="B223" s="9" t="s">
        <v>861</v>
      </c>
      <c r="C223" s="9" t="s">
        <v>105</v>
      </c>
      <c r="D223" s="9">
        <v>3.2</v>
      </c>
      <c r="E223" s="9">
        <v>0.05</v>
      </c>
      <c r="F223" s="9">
        <v>169.98</v>
      </c>
      <c r="G223" s="9">
        <v>8.1000000000000003E-2</v>
      </c>
      <c r="H223" s="9" t="s">
        <v>106</v>
      </c>
      <c r="I223" s="9">
        <v>4</v>
      </c>
      <c r="J223" s="9" t="s">
        <v>122</v>
      </c>
      <c r="K223" s="9" t="s">
        <v>1508</v>
      </c>
      <c r="L223" t="str">
        <f>IF(OR(J223="Cattle",J223="Zebu Cattle"),IF(COUNTIF(lists!$M$2:$M$258, K223) &gt; 0,"bos.indicus",IF(COUNTIF(lists!$L$2:$L$258, K223) &gt; 0,"cross.bred","pure.bred.exotic")),"NA")</f>
        <v>cross.bred</v>
      </c>
      <c r="M223"/>
      <c r="N223"/>
      <c r="O223" s="9" t="s">
        <v>124</v>
      </c>
      <c r="P223" s="9" t="s">
        <v>4069</v>
      </c>
      <c r="Q223" s="9" t="s">
        <v>3813</v>
      </c>
      <c r="R223" s="9" t="s">
        <v>3830</v>
      </c>
      <c r="S223" s="9" t="s">
        <v>106</v>
      </c>
      <c r="T223" s="9">
        <v>65.75</v>
      </c>
      <c r="U223" s="9">
        <v>51.16</v>
      </c>
      <c r="V223" s="9">
        <v>869.24</v>
      </c>
      <c r="W223" s="9" t="s">
        <v>106</v>
      </c>
      <c r="X223" s="9">
        <v>686.16</v>
      </c>
      <c r="Y223" s="9" t="s">
        <v>106</v>
      </c>
      <c r="Z223" s="9" t="s">
        <v>106</v>
      </c>
      <c r="AA223" s="9">
        <v>49</v>
      </c>
      <c r="AB223" s="9" t="s">
        <v>106</v>
      </c>
      <c r="AC223" s="9" t="s">
        <v>5100</v>
      </c>
      <c r="AD223" s="9" t="s">
        <v>5100</v>
      </c>
    </row>
    <row r="224" spans="1:30">
      <c r="A224" s="9" t="s">
        <v>1532</v>
      </c>
      <c r="B224" s="9" t="s">
        <v>1533</v>
      </c>
      <c r="C224" s="9" t="s">
        <v>105</v>
      </c>
      <c r="D224" s="9">
        <v>6</v>
      </c>
      <c r="E224" s="9" t="s">
        <v>106</v>
      </c>
      <c r="F224" s="9">
        <v>181</v>
      </c>
      <c r="G224" s="9">
        <v>0.39</v>
      </c>
      <c r="H224" s="9" t="s">
        <v>106</v>
      </c>
      <c r="I224" s="9">
        <v>4</v>
      </c>
      <c r="J224" s="9" t="s">
        <v>122</v>
      </c>
      <c r="K224" s="9" t="s">
        <v>4801</v>
      </c>
      <c r="L224" t="str">
        <f>IF(OR(J224="Cattle",J224="Zebu Cattle"),IF(COUNTIF(lists!$M$2:$M$258, K224) &gt; 0,"bos.indicus",IF(COUNTIF(lists!$L$2:$L$258, K224) &gt; 0,"cross.bred","pure.bred.exotic")),"NA")</f>
        <v>pure.bred.exotic</v>
      </c>
      <c r="M224"/>
      <c r="N224"/>
      <c r="O224" s="9" t="s">
        <v>135</v>
      </c>
      <c r="P224" s="9" t="s">
        <v>5017</v>
      </c>
      <c r="Q224" s="9" t="s">
        <v>3805</v>
      </c>
      <c r="R224" s="9" t="s">
        <v>3830</v>
      </c>
      <c r="S224" s="9" t="s">
        <v>106</v>
      </c>
      <c r="T224" s="9" t="s">
        <v>106</v>
      </c>
      <c r="U224" s="9">
        <v>117</v>
      </c>
      <c r="V224" s="9">
        <v>149</v>
      </c>
      <c r="W224" s="9" t="s">
        <v>106</v>
      </c>
      <c r="X224" s="9">
        <v>559</v>
      </c>
      <c r="Y224" s="9" t="s">
        <v>106</v>
      </c>
      <c r="Z224" s="9">
        <v>31</v>
      </c>
      <c r="AA224" s="9" t="s">
        <v>106</v>
      </c>
      <c r="AB224" s="9" t="s">
        <v>106</v>
      </c>
      <c r="AC224" s="9" t="s">
        <v>5100</v>
      </c>
      <c r="AD224" s="9" t="s">
        <v>5100</v>
      </c>
    </row>
    <row r="225" spans="1:30">
      <c r="A225" s="9" t="s">
        <v>1532</v>
      </c>
      <c r="B225" s="9" t="s">
        <v>1533</v>
      </c>
      <c r="C225" s="9" t="s">
        <v>105</v>
      </c>
      <c r="D225" s="9">
        <v>5.6</v>
      </c>
      <c r="E225" s="9" t="s">
        <v>106</v>
      </c>
      <c r="F225" s="9">
        <v>163</v>
      </c>
      <c r="G225" s="9">
        <v>0.42</v>
      </c>
      <c r="H225" s="9" t="s">
        <v>106</v>
      </c>
      <c r="I225" s="9">
        <v>4</v>
      </c>
      <c r="J225" s="9" t="s">
        <v>122</v>
      </c>
      <c r="K225" s="9" t="s">
        <v>4526</v>
      </c>
      <c r="L225" t="str">
        <f>IF(OR(J225="Cattle",J225="Zebu Cattle"),IF(COUNTIF(lists!$M$2:$M$258, K225) &gt; 0,"bos.indicus",IF(COUNTIF(lists!$L$2:$L$258, K225) &gt; 0,"cross.bred","pure.bred.exotic")),"NA")</f>
        <v>bos.indicus</v>
      </c>
      <c r="M225"/>
      <c r="N225"/>
      <c r="O225" s="9" t="s">
        <v>109</v>
      </c>
      <c r="P225" s="9" t="s">
        <v>5017</v>
      </c>
      <c r="Q225" s="9" t="s">
        <v>3805</v>
      </c>
      <c r="R225" s="9" t="s">
        <v>3830</v>
      </c>
      <c r="S225" s="9" t="s">
        <v>106</v>
      </c>
      <c r="T225" s="9" t="s">
        <v>106</v>
      </c>
      <c r="U225" s="9">
        <v>117</v>
      </c>
      <c r="V225" s="9">
        <v>149</v>
      </c>
      <c r="W225" s="9" t="s">
        <v>106</v>
      </c>
      <c r="X225" s="9">
        <v>559</v>
      </c>
      <c r="Y225" s="9" t="s">
        <v>106</v>
      </c>
      <c r="Z225" s="9">
        <v>31</v>
      </c>
      <c r="AA225" s="9" t="s">
        <v>106</v>
      </c>
      <c r="AB225" s="9" t="s">
        <v>106</v>
      </c>
      <c r="AC225" s="9" t="s">
        <v>5100</v>
      </c>
      <c r="AD225" s="9" t="s">
        <v>5100</v>
      </c>
    </row>
    <row r="226" spans="1:30">
      <c r="A226" s="9" t="s">
        <v>1532</v>
      </c>
      <c r="B226" s="9" t="s">
        <v>1534</v>
      </c>
      <c r="C226" s="9" t="s">
        <v>105</v>
      </c>
      <c r="D226" s="9">
        <v>7</v>
      </c>
      <c r="E226" s="9" t="s">
        <v>106</v>
      </c>
      <c r="F226" s="9">
        <v>181</v>
      </c>
      <c r="G226" s="9">
        <v>0.42</v>
      </c>
      <c r="H226" s="9" t="s">
        <v>106</v>
      </c>
      <c r="I226" s="9">
        <v>4</v>
      </c>
      <c r="J226" s="9" t="s">
        <v>122</v>
      </c>
      <c r="K226" s="9" t="s">
        <v>4801</v>
      </c>
      <c r="L226" t="str">
        <f>IF(OR(J226="Cattle",J226="Zebu Cattle"),IF(COUNTIF(lists!$M$2:$M$258, K226) &gt; 0,"bos.indicus",IF(COUNTIF(lists!$L$2:$L$258, K226) &gt; 0,"cross.bred","pure.bred.exotic")),"NA")</f>
        <v>pure.bred.exotic</v>
      </c>
      <c r="M226"/>
      <c r="N226"/>
      <c r="O226" s="9" t="s">
        <v>135</v>
      </c>
      <c r="P226" s="9" t="s">
        <v>5017</v>
      </c>
      <c r="Q226" s="9" t="s">
        <v>3805</v>
      </c>
      <c r="R226" s="9" t="s">
        <v>3830</v>
      </c>
      <c r="S226" s="9" t="s">
        <v>106</v>
      </c>
      <c r="T226" s="9" t="s">
        <v>106</v>
      </c>
      <c r="U226" s="9">
        <v>142</v>
      </c>
      <c r="V226" s="9">
        <v>157</v>
      </c>
      <c r="W226" s="9" t="s">
        <v>106</v>
      </c>
      <c r="X226" s="9">
        <v>504</v>
      </c>
      <c r="Y226" s="9" t="s">
        <v>106</v>
      </c>
      <c r="Z226" s="9">
        <v>52</v>
      </c>
      <c r="AA226" s="9" t="s">
        <v>106</v>
      </c>
      <c r="AB226" s="9" t="s">
        <v>106</v>
      </c>
      <c r="AC226" s="9" t="s">
        <v>5100</v>
      </c>
      <c r="AD226" s="9" t="s">
        <v>5100</v>
      </c>
    </row>
    <row r="227" spans="1:30">
      <c r="A227" s="9" t="s">
        <v>1532</v>
      </c>
      <c r="B227" s="9" t="s">
        <v>1534</v>
      </c>
      <c r="C227" s="9" t="s">
        <v>105</v>
      </c>
      <c r="D227" s="9">
        <v>6.8</v>
      </c>
      <c r="E227" s="9" t="s">
        <v>106</v>
      </c>
      <c r="F227" s="9">
        <v>163</v>
      </c>
      <c r="G227" s="9">
        <v>0.47</v>
      </c>
      <c r="H227" s="9" t="s">
        <v>106</v>
      </c>
      <c r="I227" s="9">
        <v>4</v>
      </c>
      <c r="J227" s="9" t="s">
        <v>122</v>
      </c>
      <c r="K227" s="9" t="s">
        <v>4526</v>
      </c>
      <c r="L227" t="str">
        <f>IF(OR(J227="Cattle",J227="Zebu Cattle"),IF(COUNTIF(lists!$M$2:$M$258, K227) &gt; 0,"bos.indicus",IF(COUNTIF(lists!$L$2:$L$258, K227) &gt; 0,"cross.bred","pure.bred.exotic")),"NA")</f>
        <v>bos.indicus</v>
      </c>
      <c r="M227"/>
      <c r="N227"/>
      <c r="O227" s="9" t="s">
        <v>109</v>
      </c>
      <c r="P227" s="9" t="s">
        <v>5017</v>
      </c>
      <c r="Q227" s="9" t="s">
        <v>3805</v>
      </c>
      <c r="R227" s="9" t="s">
        <v>3830</v>
      </c>
      <c r="S227" s="9" t="s">
        <v>106</v>
      </c>
      <c r="T227" s="9" t="s">
        <v>106</v>
      </c>
      <c r="U227" s="9">
        <v>142</v>
      </c>
      <c r="V227" s="9">
        <v>157</v>
      </c>
      <c r="W227" s="9" t="s">
        <v>106</v>
      </c>
      <c r="X227" s="9">
        <v>504</v>
      </c>
      <c r="Y227" s="9" t="s">
        <v>106</v>
      </c>
      <c r="Z227" s="9">
        <v>52</v>
      </c>
      <c r="AA227" s="9" t="s">
        <v>106</v>
      </c>
      <c r="AB227" s="9" t="s">
        <v>106</v>
      </c>
      <c r="AC227" s="9" t="s">
        <v>5100</v>
      </c>
      <c r="AD227" s="9" t="s">
        <v>5100</v>
      </c>
    </row>
    <row r="228" spans="1:30">
      <c r="A228" s="9" t="s">
        <v>1532</v>
      </c>
      <c r="B228" s="9" t="s">
        <v>1535</v>
      </c>
      <c r="C228" s="9" t="s">
        <v>105</v>
      </c>
      <c r="D228" s="9">
        <v>7.4</v>
      </c>
      <c r="E228" s="9" t="s">
        <v>106</v>
      </c>
      <c r="F228" s="9">
        <v>181</v>
      </c>
      <c r="G228" s="9">
        <v>0.52</v>
      </c>
      <c r="H228" s="9" t="s">
        <v>106</v>
      </c>
      <c r="I228" s="9">
        <v>4</v>
      </c>
      <c r="J228" s="9" t="s">
        <v>122</v>
      </c>
      <c r="K228" s="9" t="s">
        <v>4801</v>
      </c>
      <c r="L228" t="str">
        <f>IF(OR(J228="Cattle",J228="Zebu Cattle"),IF(COUNTIF(lists!$M$2:$M$258, K228) &gt; 0,"bos.indicus",IF(COUNTIF(lists!$L$2:$L$258, K228) &gt; 0,"cross.bred","pure.bred.exotic")),"NA")</f>
        <v>pure.bred.exotic</v>
      </c>
      <c r="M228"/>
      <c r="N228"/>
      <c r="O228" s="9" t="s">
        <v>135</v>
      </c>
      <c r="P228" s="9" t="s">
        <v>5017</v>
      </c>
      <c r="Q228" s="9" t="s">
        <v>3805</v>
      </c>
      <c r="R228" s="9" t="s">
        <v>3830</v>
      </c>
      <c r="S228" s="9" t="s">
        <v>106</v>
      </c>
      <c r="T228" s="9" t="s">
        <v>106</v>
      </c>
      <c r="U228" s="9">
        <v>131</v>
      </c>
      <c r="V228" s="9">
        <v>344</v>
      </c>
      <c r="W228" s="9" t="s">
        <v>106</v>
      </c>
      <c r="X228" s="9">
        <v>534</v>
      </c>
      <c r="Y228" s="9" t="s">
        <v>106</v>
      </c>
      <c r="Z228" s="9">
        <v>49</v>
      </c>
      <c r="AA228" s="9" t="s">
        <v>106</v>
      </c>
      <c r="AB228" s="9" t="s">
        <v>106</v>
      </c>
      <c r="AC228" s="9" t="s">
        <v>5100</v>
      </c>
      <c r="AD228" s="9" t="s">
        <v>5100</v>
      </c>
    </row>
    <row r="229" spans="1:30">
      <c r="A229" s="9" t="s">
        <v>1532</v>
      </c>
      <c r="B229" s="9" t="s">
        <v>1535</v>
      </c>
      <c r="C229" s="9" t="s">
        <v>105</v>
      </c>
      <c r="D229" s="9">
        <v>6.8</v>
      </c>
      <c r="E229" s="9" t="s">
        <v>106</v>
      </c>
      <c r="F229" s="9">
        <v>163</v>
      </c>
      <c r="G229" s="9">
        <v>0.52</v>
      </c>
      <c r="H229" s="9" t="s">
        <v>106</v>
      </c>
      <c r="I229" s="9">
        <v>4</v>
      </c>
      <c r="J229" s="9" t="s">
        <v>122</v>
      </c>
      <c r="K229" s="9" t="s">
        <v>4526</v>
      </c>
      <c r="L229" t="str">
        <f>IF(OR(J229="Cattle",J229="Zebu Cattle"),IF(COUNTIF(lists!$M$2:$M$258, K229) &gt; 0,"bos.indicus",IF(COUNTIF(lists!$L$2:$L$258, K229) &gt; 0,"cross.bred","pure.bred.exotic")),"NA")</f>
        <v>bos.indicus</v>
      </c>
      <c r="M229"/>
      <c r="N229"/>
      <c r="O229" s="9" t="s">
        <v>109</v>
      </c>
      <c r="P229" s="9" t="s">
        <v>5017</v>
      </c>
      <c r="Q229" s="9" t="s">
        <v>3805</v>
      </c>
      <c r="R229" s="9" t="s">
        <v>3830</v>
      </c>
      <c r="S229" s="9" t="s">
        <v>106</v>
      </c>
      <c r="T229" s="9" t="s">
        <v>106</v>
      </c>
      <c r="U229" s="9">
        <v>131</v>
      </c>
      <c r="V229" s="9">
        <v>344</v>
      </c>
      <c r="W229" s="9" t="s">
        <v>106</v>
      </c>
      <c r="X229" s="9">
        <v>534</v>
      </c>
      <c r="Y229" s="9" t="s">
        <v>106</v>
      </c>
      <c r="Z229" s="9">
        <v>49</v>
      </c>
      <c r="AA229" s="9" t="s">
        <v>106</v>
      </c>
      <c r="AB229" s="9" t="s">
        <v>106</v>
      </c>
      <c r="AC229" s="9" t="s">
        <v>5100</v>
      </c>
      <c r="AD229" s="9" t="s">
        <v>5100</v>
      </c>
    </row>
    <row r="230" spans="1:30">
      <c r="A230" s="9" t="s">
        <v>1532</v>
      </c>
      <c r="B230" s="9" t="s">
        <v>1536</v>
      </c>
      <c r="C230" s="9" t="s">
        <v>105</v>
      </c>
      <c r="D230" s="9">
        <v>6.7</v>
      </c>
      <c r="E230" s="9" t="s">
        <v>106</v>
      </c>
      <c r="F230" s="9">
        <v>181</v>
      </c>
      <c r="G230" s="9">
        <v>0.4</v>
      </c>
      <c r="H230" s="9" t="s">
        <v>106</v>
      </c>
      <c r="I230" s="9">
        <v>4</v>
      </c>
      <c r="J230" s="9" t="s">
        <v>122</v>
      </c>
      <c r="K230" s="9" t="s">
        <v>4801</v>
      </c>
      <c r="L230" t="str">
        <f>IF(OR(J230="Cattle",J230="Zebu Cattle"),IF(COUNTIF(lists!$M$2:$M$258, K230) &gt; 0,"bos.indicus",IF(COUNTIF(lists!$L$2:$L$258, K230) &gt; 0,"cross.bred","pure.bred.exotic")),"NA")</f>
        <v>pure.bred.exotic</v>
      </c>
      <c r="M230"/>
      <c r="N230"/>
      <c r="O230" s="9" t="s">
        <v>135</v>
      </c>
      <c r="P230" s="9" t="s">
        <v>5017</v>
      </c>
      <c r="Q230" s="9" t="s">
        <v>3805</v>
      </c>
      <c r="R230" s="9" t="s">
        <v>3830</v>
      </c>
      <c r="S230" s="9" t="s">
        <v>106</v>
      </c>
      <c r="T230" s="9" t="s">
        <v>106</v>
      </c>
      <c r="U230" s="9">
        <v>137</v>
      </c>
      <c r="V230" s="9">
        <v>351</v>
      </c>
      <c r="W230" s="9" t="s">
        <v>106</v>
      </c>
      <c r="X230" s="9">
        <v>536</v>
      </c>
      <c r="Y230" s="9" t="s">
        <v>106</v>
      </c>
      <c r="Z230" s="9">
        <v>59</v>
      </c>
      <c r="AA230" s="9" t="s">
        <v>106</v>
      </c>
      <c r="AB230" s="9" t="s">
        <v>106</v>
      </c>
      <c r="AC230" s="9" t="s">
        <v>5100</v>
      </c>
      <c r="AD230" s="9" t="s">
        <v>5100</v>
      </c>
    </row>
    <row r="231" spans="1:30">
      <c r="A231" s="9" t="s">
        <v>1532</v>
      </c>
      <c r="B231" s="9" t="s">
        <v>1536</v>
      </c>
      <c r="C231" s="9" t="s">
        <v>105</v>
      </c>
      <c r="D231" s="9">
        <v>6.2</v>
      </c>
      <c r="E231" s="9" t="s">
        <v>106</v>
      </c>
      <c r="F231" s="9">
        <v>163</v>
      </c>
      <c r="G231" s="9">
        <v>0.44</v>
      </c>
      <c r="H231" s="9" t="s">
        <v>106</v>
      </c>
      <c r="I231" s="9">
        <v>4</v>
      </c>
      <c r="J231" s="9" t="s">
        <v>122</v>
      </c>
      <c r="K231" s="9" t="s">
        <v>4526</v>
      </c>
      <c r="L231" t="str">
        <f>IF(OR(J231="Cattle",J231="Zebu Cattle"),IF(COUNTIF(lists!$M$2:$M$258, K231) &gt; 0,"bos.indicus",IF(COUNTIF(lists!$L$2:$L$258, K231) &gt; 0,"cross.bred","pure.bred.exotic")),"NA")</f>
        <v>bos.indicus</v>
      </c>
      <c r="M231"/>
      <c r="N231"/>
      <c r="O231" s="9" t="s">
        <v>109</v>
      </c>
      <c r="P231" s="9" t="s">
        <v>5017</v>
      </c>
      <c r="Q231" s="9" t="s">
        <v>3805</v>
      </c>
      <c r="R231" s="9" t="s">
        <v>3830</v>
      </c>
      <c r="S231" s="9" t="s">
        <v>106</v>
      </c>
      <c r="T231" s="9" t="s">
        <v>106</v>
      </c>
      <c r="U231" s="9">
        <v>137</v>
      </c>
      <c r="V231" s="9">
        <v>351</v>
      </c>
      <c r="W231" s="9" t="s">
        <v>106</v>
      </c>
      <c r="X231" s="9">
        <v>536</v>
      </c>
      <c r="Y231" s="9" t="s">
        <v>106</v>
      </c>
      <c r="Z231" s="9">
        <v>59</v>
      </c>
      <c r="AA231" s="9" t="s">
        <v>106</v>
      </c>
      <c r="AB231" s="9" t="s">
        <v>106</v>
      </c>
      <c r="AC231" s="9" t="s">
        <v>5100</v>
      </c>
      <c r="AD231" s="9" t="s">
        <v>5100</v>
      </c>
    </row>
    <row r="232" spans="1:30">
      <c r="A232" s="9" t="s">
        <v>1537</v>
      </c>
      <c r="B232" s="9" t="s">
        <v>1538</v>
      </c>
      <c r="C232" s="9" t="s">
        <v>105</v>
      </c>
      <c r="D232" s="9">
        <v>15.7</v>
      </c>
      <c r="E232" s="9">
        <v>100</v>
      </c>
      <c r="F232" s="9">
        <v>438.2</v>
      </c>
      <c r="G232" s="9">
        <v>0.05</v>
      </c>
      <c r="H232" s="9">
        <v>11.4</v>
      </c>
      <c r="I232" s="9">
        <v>8</v>
      </c>
      <c r="J232" s="9" t="s">
        <v>122</v>
      </c>
      <c r="K232" s="9" t="s">
        <v>4801</v>
      </c>
      <c r="L232" t="str">
        <f>IF(OR(J232="Cattle",J232="Zebu Cattle"),IF(COUNTIF(lists!$M$2:$M$258, K232) &gt; 0,"bos.indicus",IF(COUNTIF(lists!$L$2:$L$258, K232) &gt; 0,"cross.bred","pure.bred.exotic")),"NA")</f>
        <v>pure.bred.exotic</v>
      </c>
      <c r="M232"/>
      <c r="N232"/>
      <c r="O232" s="9" t="s">
        <v>135</v>
      </c>
      <c r="P232" s="9" t="s">
        <v>202</v>
      </c>
      <c r="Q232" s="9" t="s">
        <v>3809</v>
      </c>
      <c r="R232" s="9" t="s">
        <v>3830</v>
      </c>
      <c r="S232" s="9">
        <v>272.04000000000002</v>
      </c>
      <c r="T232" s="9">
        <v>186.13</v>
      </c>
      <c r="U232" s="9">
        <v>98.79</v>
      </c>
      <c r="V232" s="9">
        <v>222.79</v>
      </c>
      <c r="W232" s="9">
        <v>31.91</v>
      </c>
      <c r="X232" s="9">
        <v>478.78</v>
      </c>
      <c r="Y232" s="9" t="s">
        <v>106</v>
      </c>
      <c r="Z232" s="9">
        <v>41.26</v>
      </c>
      <c r="AA232" s="9" t="s">
        <v>106</v>
      </c>
      <c r="AB232" s="9" t="s">
        <v>106</v>
      </c>
      <c r="AC232" s="9" t="s">
        <v>5100</v>
      </c>
      <c r="AD232" s="9" t="s">
        <v>5100</v>
      </c>
    </row>
    <row r="233" spans="1:30">
      <c r="A233" s="9" t="s">
        <v>1537</v>
      </c>
      <c r="B233" s="9" t="s">
        <v>1539</v>
      </c>
      <c r="C233" s="9" t="s">
        <v>105</v>
      </c>
      <c r="D233" s="9">
        <v>15.8</v>
      </c>
      <c r="E233" s="9">
        <v>100</v>
      </c>
      <c r="F233" s="9">
        <v>435.4</v>
      </c>
      <c r="G233" s="9">
        <v>0.05</v>
      </c>
      <c r="H233" s="9">
        <v>11.7</v>
      </c>
      <c r="I233" s="9">
        <v>8</v>
      </c>
      <c r="J233" s="9" t="s">
        <v>122</v>
      </c>
      <c r="K233" s="9" t="s">
        <v>4801</v>
      </c>
      <c r="L233" t="str">
        <f>IF(OR(J233="Cattle",J233="Zebu Cattle"),IF(COUNTIF(lists!$M$2:$M$258, K233) &gt; 0,"bos.indicus",IF(COUNTIF(lists!$L$2:$L$258, K233) &gt; 0,"cross.bred","pure.bred.exotic")),"NA")</f>
        <v>pure.bred.exotic</v>
      </c>
      <c r="M233"/>
      <c r="N233"/>
      <c r="O233" s="9" t="s">
        <v>135</v>
      </c>
      <c r="P233" s="9" t="s">
        <v>202</v>
      </c>
      <c r="Q233" s="9" t="s">
        <v>3809</v>
      </c>
      <c r="R233" s="9" t="s">
        <v>3830</v>
      </c>
      <c r="S233" s="9">
        <v>264.76</v>
      </c>
      <c r="T233" s="9">
        <v>178.92</v>
      </c>
      <c r="U233" s="9">
        <v>99.71</v>
      </c>
      <c r="V233" s="9">
        <v>223.81</v>
      </c>
      <c r="W233" s="9">
        <v>41.91</v>
      </c>
      <c r="X233" s="9">
        <v>473.84</v>
      </c>
      <c r="Y233" s="9" t="s">
        <v>106</v>
      </c>
      <c r="Z233" s="9">
        <v>38.71</v>
      </c>
      <c r="AA233" s="9" t="s">
        <v>106</v>
      </c>
      <c r="AB233" s="9" t="s">
        <v>106</v>
      </c>
      <c r="AC233" s="9" t="s">
        <v>5100</v>
      </c>
      <c r="AD233" s="9" t="s">
        <v>5100</v>
      </c>
    </row>
    <row r="234" spans="1:30">
      <c r="A234" s="9" t="s">
        <v>1537</v>
      </c>
      <c r="B234" s="9" t="s">
        <v>1540</v>
      </c>
      <c r="C234" s="9" t="s">
        <v>105</v>
      </c>
      <c r="D234" s="9">
        <v>14.8</v>
      </c>
      <c r="E234" s="9">
        <v>100</v>
      </c>
      <c r="F234" s="9">
        <v>440.8</v>
      </c>
      <c r="G234" s="9">
        <v>-0.02</v>
      </c>
      <c r="H234" s="9">
        <v>5.9</v>
      </c>
      <c r="I234" s="9">
        <v>8</v>
      </c>
      <c r="J234" s="9" t="s">
        <v>122</v>
      </c>
      <c r="K234" s="9" t="s">
        <v>4801</v>
      </c>
      <c r="L234" t="str">
        <f>IF(OR(J234="Cattle",J234="Zebu Cattle"),IF(COUNTIF(lists!$M$2:$M$258, K234) &gt; 0,"bos.indicus",IF(COUNTIF(lists!$L$2:$L$258, K234) &gt; 0,"cross.bred","pure.bred.exotic")),"NA")</f>
        <v>pure.bred.exotic</v>
      </c>
      <c r="M234"/>
      <c r="N234"/>
      <c r="O234" s="9" t="s">
        <v>135</v>
      </c>
      <c r="P234" s="9" t="s">
        <v>202</v>
      </c>
      <c r="Q234" s="9" t="s">
        <v>3809</v>
      </c>
      <c r="R234" s="9" t="s">
        <v>3830</v>
      </c>
      <c r="S234" s="9">
        <v>304.62</v>
      </c>
      <c r="T234" s="9">
        <v>115.65</v>
      </c>
      <c r="U234" s="9">
        <v>77.25</v>
      </c>
      <c r="V234" s="9">
        <v>291.7</v>
      </c>
      <c r="W234" s="9">
        <v>25.35</v>
      </c>
      <c r="X234" s="9">
        <v>535.15</v>
      </c>
      <c r="Y234" s="9" t="s">
        <v>106</v>
      </c>
      <c r="Z234" s="9">
        <v>51.12</v>
      </c>
      <c r="AA234" s="9" t="s">
        <v>106</v>
      </c>
      <c r="AB234" s="9" t="s">
        <v>106</v>
      </c>
      <c r="AC234" s="9" t="s">
        <v>5100</v>
      </c>
      <c r="AD234" s="9" t="s">
        <v>5100</v>
      </c>
    </row>
    <row r="235" spans="1:30">
      <c r="A235" s="9" t="s">
        <v>1537</v>
      </c>
      <c r="B235" s="9" t="s">
        <v>1541</v>
      </c>
      <c r="C235" s="9" t="s">
        <v>105</v>
      </c>
      <c r="D235" s="9">
        <v>14.9</v>
      </c>
      <c r="E235" s="9">
        <v>100</v>
      </c>
      <c r="F235" s="9">
        <v>441</v>
      </c>
      <c r="G235" s="9">
        <v>-0.03</v>
      </c>
      <c r="H235" s="9">
        <v>6</v>
      </c>
      <c r="I235" s="9">
        <v>8</v>
      </c>
      <c r="J235" s="9" t="s">
        <v>122</v>
      </c>
      <c r="K235" s="9" t="s">
        <v>4801</v>
      </c>
      <c r="L235" t="str">
        <f>IF(OR(J235="Cattle",J235="Zebu Cattle"),IF(COUNTIF(lists!$M$2:$M$258, K235) &gt; 0,"bos.indicus",IF(COUNTIF(lists!$L$2:$L$258, K235) &gt; 0,"cross.bred","pure.bred.exotic")),"NA")</f>
        <v>pure.bred.exotic</v>
      </c>
      <c r="M235"/>
      <c r="N235"/>
      <c r="O235" s="9" t="s">
        <v>135</v>
      </c>
      <c r="P235" s="9" t="s">
        <v>202</v>
      </c>
      <c r="Q235" s="9" t="s">
        <v>3809</v>
      </c>
      <c r="R235" s="9" t="s">
        <v>3830</v>
      </c>
      <c r="S235" s="9">
        <v>297.93</v>
      </c>
      <c r="T235" s="9">
        <v>108.5</v>
      </c>
      <c r="U235" s="9">
        <v>77.73</v>
      </c>
      <c r="V235" s="9">
        <v>291.16000000000003</v>
      </c>
      <c r="W235" s="9">
        <v>36.340000000000003</v>
      </c>
      <c r="X235" s="9">
        <v>531.99</v>
      </c>
      <c r="Y235" s="9" t="s">
        <v>106</v>
      </c>
      <c r="Z235" s="9">
        <v>48.3</v>
      </c>
      <c r="AA235" s="9" t="s">
        <v>106</v>
      </c>
      <c r="AB235" s="9" t="s">
        <v>106</v>
      </c>
      <c r="AC235" s="9" t="s">
        <v>5100</v>
      </c>
      <c r="AD235" s="9" t="s">
        <v>5100</v>
      </c>
    </row>
    <row r="236" spans="1:30">
      <c r="A236" s="9" t="s">
        <v>1542</v>
      </c>
      <c r="B236" s="9" t="s">
        <v>1543</v>
      </c>
      <c r="C236" s="9" t="s">
        <v>105</v>
      </c>
      <c r="D236" s="9">
        <v>13.6</v>
      </c>
      <c r="E236" s="9">
        <v>70</v>
      </c>
      <c r="F236" s="9">
        <v>433.8</v>
      </c>
      <c r="G236" s="9">
        <v>-0.02</v>
      </c>
      <c r="H236" s="9">
        <v>7.8</v>
      </c>
      <c r="I236" s="9">
        <v>12</v>
      </c>
      <c r="J236" s="9" t="s">
        <v>122</v>
      </c>
      <c r="K236" s="9" t="s">
        <v>4801</v>
      </c>
      <c r="L236" t="str">
        <f>IF(OR(J236="Cattle",J236="Zebu Cattle"),IF(COUNTIF(lists!$M$2:$M$258, K236) &gt; 0,"bos.indicus",IF(COUNTIF(lists!$L$2:$L$258, K236) &gt; 0,"cross.bred","pure.bred.exotic")),"NA")</f>
        <v>pure.bred.exotic</v>
      </c>
      <c r="M236"/>
      <c r="N236"/>
      <c r="O236" s="9" t="s">
        <v>135</v>
      </c>
      <c r="P236" s="9" t="s">
        <v>202</v>
      </c>
      <c r="Q236" s="9" t="s">
        <v>3809</v>
      </c>
      <c r="R236" s="9" t="s">
        <v>3830</v>
      </c>
      <c r="S236" s="9">
        <v>307.3</v>
      </c>
      <c r="T236" s="9">
        <v>210</v>
      </c>
      <c r="U236" s="9">
        <v>85.3</v>
      </c>
      <c r="V236" s="9">
        <v>179.2</v>
      </c>
      <c r="W236" s="9">
        <v>34.6</v>
      </c>
      <c r="X236" s="9">
        <v>540</v>
      </c>
      <c r="Y236" s="9" t="s">
        <v>106</v>
      </c>
      <c r="Z236" s="9">
        <v>39.9</v>
      </c>
      <c r="AA236" s="9" t="s">
        <v>106</v>
      </c>
      <c r="AB236" s="9" t="s">
        <v>106</v>
      </c>
      <c r="AC236" s="9" t="s">
        <v>5100</v>
      </c>
      <c r="AD236" s="9" t="s">
        <v>5100</v>
      </c>
    </row>
    <row r="237" spans="1:30">
      <c r="A237" s="9" t="s">
        <v>1542</v>
      </c>
      <c r="B237" s="9" t="s">
        <v>1544</v>
      </c>
      <c r="C237" s="9" t="s">
        <v>105</v>
      </c>
      <c r="D237" s="9">
        <v>15.2</v>
      </c>
      <c r="E237" s="9">
        <v>70</v>
      </c>
      <c r="F237" s="9">
        <v>436.3</v>
      </c>
      <c r="G237" s="9">
        <v>0.06</v>
      </c>
      <c r="H237" s="9">
        <v>10.9</v>
      </c>
      <c r="I237" s="9">
        <v>12</v>
      </c>
      <c r="J237" s="9" t="s">
        <v>122</v>
      </c>
      <c r="K237" s="9" t="s">
        <v>4801</v>
      </c>
      <c r="L237" t="str">
        <f>IF(OR(J237="Cattle",J237="Zebu Cattle"),IF(COUNTIF(lists!$M$2:$M$258, K237) &gt; 0,"bos.indicus",IF(COUNTIF(lists!$L$2:$L$258, K237) &gt; 0,"cross.bred","pure.bred.exotic")),"NA")</f>
        <v>pure.bred.exotic</v>
      </c>
      <c r="M237"/>
      <c r="N237"/>
      <c r="O237" s="9" t="s">
        <v>135</v>
      </c>
      <c r="P237" s="9" t="s">
        <v>202</v>
      </c>
      <c r="Q237" s="9" t="s">
        <v>3809</v>
      </c>
      <c r="R237" s="9" t="s">
        <v>3830</v>
      </c>
      <c r="S237" s="9">
        <v>267.82</v>
      </c>
      <c r="T237" s="9">
        <v>181.57</v>
      </c>
      <c r="U237" s="9">
        <v>101.05</v>
      </c>
      <c r="V237" s="9">
        <v>222.81</v>
      </c>
      <c r="W237" s="9">
        <v>31.63</v>
      </c>
      <c r="X237" s="9">
        <v>469.58</v>
      </c>
      <c r="Y237" s="9" t="s">
        <v>106</v>
      </c>
      <c r="Z237" s="9">
        <v>41.68</v>
      </c>
      <c r="AA237" s="9" t="s">
        <v>106</v>
      </c>
      <c r="AB237" s="9" t="s">
        <v>106</v>
      </c>
      <c r="AC237" s="9" t="s">
        <v>5100</v>
      </c>
      <c r="AD237" s="9" t="s">
        <v>5100</v>
      </c>
    </row>
    <row r="238" spans="1:30">
      <c r="A238" s="9" t="s">
        <v>1542</v>
      </c>
      <c r="B238" s="9" t="s">
        <v>1545</v>
      </c>
      <c r="C238" s="9" t="s">
        <v>105</v>
      </c>
      <c r="D238" s="9">
        <v>16.399999999999999</v>
      </c>
      <c r="E238" s="9">
        <v>70</v>
      </c>
      <c r="F238" s="9">
        <v>436.8</v>
      </c>
      <c r="G238" s="9">
        <v>0.08</v>
      </c>
      <c r="H238" s="9">
        <v>13.1</v>
      </c>
      <c r="I238" s="9">
        <v>12</v>
      </c>
      <c r="J238" s="9" t="s">
        <v>122</v>
      </c>
      <c r="K238" s="9" t="s">
        <v>4801</v>
      </c>
      <c r="L238" t="str">
        <f>IF(OR(J238="Cattle",J238="Zebu Cattle"),IF(COUNTIF(lists!$M$2:$M$258, K238) &gt; 0,"bos.indicus",IF(COUNTIF(lists!$L$2:$L$258, K238) &gt; 0,"cross.bred","pure.bred.exotic")),"NA")</f>
        <v>pure.bred.exotic</v>
      </c>
      <c r="M238"/>
      <c r="N238"/>
      <c r="O238" s="9" t="s">
        <v>135</v>
      </c>
      <c r="P238" s="9" t="s">
        <v>202</v>
      </c>
      <c r="Q238" s="9" t="s">
        <v>3809</v>
      </c>
      <c r="R238" s="9" t="s">
        <v>3830</v>
      </c>
      <c r="S238" s="9">
        <v>244</v>
      </c>
      <c r="T238" s="9">
        <v>164.42</v>
      </c>
      <c r="U238" s="9">
        <v>110.55</v>
      </c>
      <c r="V238" s="9">
        <v>261.14</v>
      </c>
      <c r="W238" s="9">
        <v>29.84</v>
      </c>
      <c r="X238" s="9">
        <v>427.1</v>
      </c>
      <c r="Y238" s="9" t="s">
        <v>106</v>
      </c>
      <c r="Z238" s="9">
        <v>42.75</v>
      </c>
      <c r="AA238" s="9" t="s">
        <v>106</v>
      </c>
      <c r="AB238" s="9" t="s">
        <v>106</v>
      </c>
      <c r="AC238" s="9" t="s">
        <v>5100</v>
      </c>
      <c r="AD238" s="9" t="s">
        <v>5100</v>
      </c>
    </row>
    <row r="239" spans="1:30">
      <c r="A239" s="9" t="s">
        <v>1542</v>
      </c>
      <c r="B239" s="9" t="s">
        <v>1546</v>
      </c>
      <c r="C239" s="9" t="s">
        <v>105</v>
      </c>
      <c r="D239" s="9">
        <v>14.2</v>
      </c>
      <c r="E239" s="9">
        <v>70</v>
      </c>
      <c r="F239" s="9">
        <v>435.8</v>
      </c>
      <c r="G239" s="9">
        <v>0.04</v>
      </c>
      <c r="H239" s="9">
        <v>8.9</v>
      </c>
      <c r="I239" s="9">
        <v>12</v>
      </c>
      <c r="J239" s="9" t="s">
        <v>122</v>
      </c>
      <c r="K239" s="9" t="s">
        <v>4801</v>
      </c>
      <c r="L239" t="str">
        <f>IF(OR(J239="Cattle",J239="Zebu Cattle"),IF(COUNTIF(lists!$M$2:$M$258, K239) &gt; 0,"bos.indicus",IF(COUNTIF(lists!$L$2:$L$258, K239) &gt; 0,"cross.bred","pure.bred.exotic")),"NA")</f>
        <v>pure.bred.exotic</v>
      </c>
      <c r="M239"/>
      <c r="N239"/>
      <c r="O239" s="9" t="s">
        <v>135</v>
      </c>
      <c r="P239" s="9" t="s">
        <v>202</v>
      </c>
      <c r="Q239" s="9" t="s">
        <v>3809</v>
      </c>
      <c r="R239" s="9" t="s">
        <v>3830</v>
      </c>
      <c r="S239" s="9">
        <v>295.88</v>
      </c>
      <c r="T239" s="9">
        <v>201.77</v>
      </c>
      <c r="U239" s="9">
        <v>89.86</v>
      </c>
      <c r="V239" s="9">
        <v>189.96</v>
      </c>
      <c r="W239" s="9">
        <v>33.74</v>
      </c>
      <c r="X239" s="9">
        <v>519.63</v>
      </c>
      <c r="Y239" s="9" t="s">
        <v>106</v>
      </c>
      <c r="Z239" s="9">
        <v>40.409999999999997</v>
      </c>
      <c r="AA239" s="9" t="s">
        <v>106</v>
      </c>
      <c r="AB239" s="9" t="s">
        <v>106</v>
      </c>
      <c r="AC239" s="9" t="s">
        <v>5100</v>
      </c>
      <c r="AD239" s="9" t="s">
        <v>5100</v>
      </c>
    </row>
    <row r="240" spans="1:30">
      <c r="A240" s="9" t="s">
        <v>1547</v>
      </c>
      <c r="B240" s="9" t="s">
        <v>1548</v>
      </c>
      <c r="C240" s="9" t="s">
        <v>105</v>
      </c>
      <c r="D240" s="9">
        <v>8.3000000000000007</v>
      </c>
      <c r="E240" s="9">
        <v>0.94</v>
      </c>
      <c r="F240" s="9">
        <v>333.5</v>
      </c>
      <c r="G240" s="65">
        <v>-0.46</v>
      </c>
      <c r="H240" s="9">
        <v>8</v>
      </c>
      <c r="I240" s="9">
        <v>4</v>
      </c>
      <c r="J240" s="9" t="s">
        <v>122</v>
      </c>
      <c r="K240" s="9" t="s">
        <v>924</v>
      </c>
      <c r="L240" t="str">
        <f>IF(OR(J240="Cattle",J240="Zebu Cattle"),IF(COUNTIF(lists!$M$2:$M$258, K240) &gt; 0,"bos.indicus",IF(COUNTIF(lists!$L$2:$L$258, K240) &gt; 0,"cross.bred","pure.bred.exotic")),"NA")</f>
        <v>pure.bred.exotic</v>
      </c>
      <c r="M240"/>
      <c r="N240"/>
      <c r="O240" s="9" t="s">
        <v>135</v>
      </c>
      <c r="P240" s="9" t="s">
        <v>106</v>
      </c>
      <c r="Q240" s="9" t="s">
        <v>3809</v>
      </c>
      <c r="R240" s="9" t="s">
        <v>3830</v>
      </c>
      <c r="S240" s="9" t="s">
        <v>106</v>
      </c>
      <c r="T240" s="9">
        <v>108.87</v>
      </c>
      <c r="U240" s="9">
        <v>90.98</v>
      </c>
      <c r="V240" s="9">
        <v>220.38</v>
      </c>
      <c r="W240" s="9" t="s">
        <v>106</v>
      </c>
      <c r="X240" s="9" t="s">
        <v>106</v>
      </c>
      <c r="Y240" s="9" t="s">
        <v>106</v>
      </c>
      <c r="Z240" s="9" t="s">
        <v>106</v>
      </c>
      <c r="AA240" s="9" t="s">
        <v>106</v>
      </c>
      <c r="AB240" s="9" t="s">
        <v>106</v>
      </c>
      <c r="AC240" s="9" t="s">
        <v>5100</v>
      </c>
      <c r="AD240" s="9" t="s">
        <v>5100</v>
      </c>
    </row>
    <row r="241" spans="1:30">
      <c r="A241" s="9" t="s">
        <v>1547</v>
      </c>
      <c r="B241" s="9" t="s">
        <v>1549</v>
      </c>
      <c r="C241" s="9" t="s">
        <v>105</v>
      </c>
      <c r="D241" s="9">
        <v>7.9</v>
      </c>
      <c r="E241" s="9">
        <v>1.03</v>
      </c>
      <c r="F241" s="9">
        <v>332.5</v>
      </c>
      <c r="G241" s="65">
        <v>-0.5</v>
      </c>
      <c r="H241" s="9">
        <v>7.6</v>
      </c>
      <c r="I241" s="9">
        <v>4</v>
      </c>
      <c r="J241" s="9" t="s">
        <v>122</v>
      </c>
      <c r="K241" s="9" t="s">
        <v>924</v>
      </c>
      <c r="L241" t="str">
        <f>IF(OR(J241="Cattle",J241="Zebu Cattle"),IF(COUNTIF(lists!$M$2:$M$258, K241) &gt; 0,"bos.indicus",IF(COUNTIF(lists!$L$2:$L$258, K241) &gt; 0,"cross.bred","pure.bred.exotic")),"NA")</f>
        <v>pure.bred.exotic</v>
      </c>
      <c r="M241"/>
      <c r="N241"/>
      <c r="O241" s="9" t="s">
        <v>135</v>
      </c>
      <c r="P241" s="9" t="s">
        <v>106</v>
      </c>
      <c r="Q241" s="9" t="s">
        <v>3809</v>
      </c>
      <c r="R241" s="9" t="s">
        <v>3830</v>
      </c>
      <c r="S241" s="9" t="s">
        <v>106</v>
      </c>
      <c r="T241" s="9">
        <v>117.37</v>
      </c>
      <c r="U241" s="9">
        <v>93.8</v>
      </c>
      <c r="V241" s="9">
        <v>221.78</v>
      </c>
      <c r="W241" s="9" t="s">
        <v>106</v>
      </c>
      <c r="X241" s="9" t="s">
        <v>106</v>
      </c>
      <c r="Y241" s="9" t="s">
        <v>106</v>
      </c>
      <c r="Z241" s="9" t="s">
        <v>106</v>
      </c>
      <c r="AA241" s="9" t="s">
        <v>106</v>
      </c>
      <c r="AB241" s="9" t="s">
        <v>106</v>
      </c>
      <c r="AC241" s="9" t="s">
        <v>5100</v>
      </c>
      <c r="AD241" s="9" t="s">
        <v>5100</v>
      </c>
    </row>
    <row r="242" spans="1:30">
      <c r="A242" s="9" t="s">
        <v>1547</v>
      </c>
      <c r="B242" s="9" t="s">
        <v>1531</v>
      </c>
      <c r="C242" s="9" t="s">
        <v>105</v>
      </c>
      <c r="D242" s="9">
        <v>7.1</v>
      </c>
      <c r="E242" s="9">
        <v>0.96</v>
      </c>
      <c r="F242" s="9">
        <v>330.5</v>
      </c>
      <c r="G242" s="65">
        <v>-0.57999999999999996</v>
      </c>
      <c r="H242" s="9">
        <v>6.4</v>
      </c>
      <c r="I242" s="9">
        <v>4</v>
      </c>
      <c r="J242" s="9" t="s">
        <v>122</v>
      </c>
      <c r="K242" s="9" t="s">
        <v>924</v>
      </c>
      <c r="L242" t="str">
        <f>IF(OR(J242="Cattle",J242="Zebu Cattle"),IF(COUNTIF(lists!$M$2:$M$258, K242) &gt; 0,"bos.indicus",IF(COUNTIF(lists!$L$2:$L$258, K242) &gt; 0,"cross.bred","pure.bred.exotic")),"NA")</f>
        <v>pure.bred.exotic</v>
      </c>
      <c r="M242"/>
      <c r="N242"/>
      <c r="O242" s="9" t="s">
        <v>135</v>
      </c>
      <c r="P242" s="9" t="s">
        <v>106</v>
      </c>
      <c r="Q242" s="9" t="s">
        <v>3809</v>
      </c>
      <c r="R242" s="9" t="s">
        <v>3830</v>
      </c>
      <c r="S242" s="9" t="s">
        <v>106</v>
      </c>
      <c r="T242" s="9">
        <v>112</v>
      </c>
      <c r="U242" s="9">
        <v>67</v>
      </c>
      <c r="V242" s="9">
        <v>200</v>
      </c>
      <c r="W242" s="9" t="s">
        <v>106</v>
      </c>
      <c r="X242" s="9" t="s">
        <v>106</v>
      </c>
      <c r="Y242" s="9" t="s">
        <v>106</v>
      </c>
      <c r="Z242" s="9" t="s">
        <v>106</v>
      </c>
      <c r="AA242" s="9" t="s">
        <v>106</v>
      </c>
      <c r="AB242" s="9" t="s">
        <v>106</v>
      </c>
      <c r="AC242" s="9" t="s">
        <v>5100</v>
      </c>
      <c r="AD242" s="9" t="s">
        <v>5100</v>
      </c>
    </row>
    <row r="243" spans="1:30">
      <c r="A243" s="9" t="s">
        <v>1550</v>
      </c>
      <c r="B243" s="9" t="s">
        <v>1551</v>
      </c>
      <c r="C243" s="9" t="s">
        <v>105</v>
      </c>
      <c r="D243" s="9">
        <v>6.8</v>
      </c>
      <c r="E243" s="9">
        <v>0.28999999999999998</v>
      </c>
      <c r="F243" s="9">
        <v>302.39999999999998</v>
      </c>
      <c r="G243" s="65">
        <v>0.34</v>
      </c>
      <c r="H243" s="9">
        <v>5.2</v>
      </c>
      <c r="I243" s="9">
        <v>6</v>
      </c>
      <c r="J243" s="9" t="s">
        <v>122</v>
      </c>
      <c r="K243" s="9" t="s">
        <v>924</v>
      </c>
      <c r="L243" t="str">
        <f>IF(OR(J243="Cattle",J243="Zebu Cattle"),IF(COUNTIF(lists!$M$2:$M$258, K243) &gt; 0,"bos.indicus",IF(COUNTIF(lists!$L$2:$L$258, K243) &gt; 0,"cross.bred","pure.bred.exotic")),"NA")</f>
        <v>pure.bred.exotic</v>
      </c>
      <c r="M243"/>
      <c r="N243"/>
      <c r="O243" s="9" t="s">
        <v>135</v>
      </c>
      <c r="P243" s="9" t="s">
        <v>106</v>
      </c>
      <c r="Q243" s="9" t="s">
        <v>3809</v>
      </c>
      <c r="R243" s="9" t="s">
        <v>3830</v>
      </c>
      <c r="S243" s="9" t="s">
        <v>106</v>
      </c>
      <c r="T243" s="9">
        <v>101.51</v>
      </c>
      <c r="U243" s="9">
        <v>93.02</v>
      </c>
      <c r="V243" s="9">
        <v>209.47</v>
      </c>
      <c r="W243" s="9" t="s">
        <v>106</v>
      </c>
      <c r="X243" s="9" t="s">
        <v>106</v>
      </c>
      <c r="Y243" s="9" t="s">
        <v>106</v>
      </c>
      <c r="Z243" s="9" t="s">
        <v>106</v>
      </c>
      <c r="AA243" s="9" t="s">
        <v>106</v>
      </c>
      <c r="AB243" s="9" t="s">
        <v>106</v>
      </c>
      <c r="AC243" s="9" t="s">
        <v>5100</v>
      </c>
      <c r="AD243" s="9" t="s">
        <v>5100</v>
      </c>
    </row>
    <row r="244" spans="1:30">
      <c r="A244" s="9" t="s">
        <v>1550</v>
      </c>
      <c r="B244" s="9" t="s">
        <v>1552</v>
      </c>
      <c r="C244" s="9" t="s">
        <v>105</v>
      </c>
      <c r="D244" s="9">
        <v>7</v>
      </c>
      <c r="E244" s="9">
        <v>0.24</v>
      </c>
      <c r="F244" s="9">
        <v>295.89999999999998</v>
      </c>
      <c r="G244" s="65">
        <v>0.08</v>
      </c>
      <c r="H244" s="9">
        <v>5.2</v>
      </c>
      <c r="I244" s="9">
        <v>6</v>
      </c>
      <c r="J244" s="9" t="s">
        <v>122</v>
      </c>
      <c r="K244" s="9" t="s">
        <v>924</v>
      </c>
      <c r="L244" t="str">
        <f>IF(OR(J244="Cattle",J244="Zebu Cattle"),IF(COUNTIF(lists!$M$2:$M$258, K244) &gt; 0,"bos.indicus",IF(COUNTIF(lists!$L$2:$L$258, K244) &gt; 0,"cross.bred","pure.bred.exotic")),"NA")</f>
        <v>pure.bred.exotic</v>
      </c>
      <c r="M244"/>
      <c r="N244"/>
      <c r="O244" s="9" t="s">
        <v>135</v>
      </c>
      <c r="P244" s="9" t="s">
        <v>106</v>
      </c>
      <c r="Q244" s="9" t="s">
        <v>3809</v>
      </c>
      <c r="R244" s="9" t="s">
        <v>3830</v>
      </c>
      <c r="S244" s="9" t="s">
        <v>106</v>
      </c>
      <c r="T244" s="9">
        <v>101.34</v>
      </c>
      <c r="U244" s="9">
        <v>101.37</v>
      </c>
      <c r="V244" s="9">
        <v>188.06</v>
      </c>
      <c r="W244" s="9" t="s">
        <v>106</v>
      </c>
      <c r="X244" s="9" t="s">
        <v>106</v>
      </c>
      <c r="Y244" s="9" t="s">
        <v>106</v>
      </c>
      <c r="Z244" s="9" t="s">
        <v>106</v>
      </c>
      <c r="AA244" s="9" t="s">
        <v>106</v>
      </c>
      <c r="AB244" s="9" t="s">
        <v>106</v>
      </c>
      <c r="AC244" s="9" t="s">
        <v>5100</v>
      </c>
      <c r="AD244" s="9" t="s">
        <v>5100</v>
      </c>
    </row>
    <row r="245" spans="1:30">
      <c r="A245" s="9" t="s">
        <v>1550</v>
      </c>
      <c r="B245" s="9" t="s">
        <v>1531</v>
      </c>
      <c r="C245" s="9" t="s">
        <v>105</v>
      </c>
      <c r="D245" s="9">
        <v>5.5</v>
      </c>
      <c r="E245" s="9">
        <v>0.27</v>
      </c>
      <c r="F245" s="9">
        <v>291.89999999999998</v>
      </c>
      <c r="G245" s="65">
        <v>-0.08</v>
      </c>
      <c r="H245" s="9">
        <v>4.2</v>
      </c>
      <c r="I245" s="9">
        <v>6</v>
      </c>
      <c r="J245" s="9" t="s">
        <v>122</v>
      </c>
      <c r="K245" s="9" t="s">
        <v>924</v>
      </c>
      <c r="L245" t="str">
        <f>IF(OR(J245="Cattle",J245="Zebu Cattle"),IF(COUNTIF(lists!$M$2:$M$258, K245) &gt; 0,"bos.indicus",IF(COUNTIF(lists!$L$2:$L$258, K245) &gt; 0,"cross.bred","pure.bred.exotic")),"NA")</f>
        <v>pure.bred.exotic</v>
      </c>
      <c r="M245"/>
      <c r="N245"/>
      <c r="O245" s="9" t="s">
        <v>135</v>
      </c>
      <c r="P245" s="9" t="s">
        <v>106</v>
      </c>
      <c r="Q245" s="9" t="s">
        <v>3809</v>
      </c>
      <c r="R245" s="9" t="s">
        <v>3830</v>
      </c>
      <c r="S245" s="9" t="s">
        <v>106</v>
      </c>
      <c r="T245" s="9">
        <v>107</v>
      </c>
      <c r="U245" s="9">
        <v>64</v>
      </c>
      <c r="V245" s="9">
        <v>180</v>
      </c>
      <c r="W245" s="9" t="s">
        <v>106</v>
      </c>
      <c r="X245" s="9" t="s">
        <v>106</v>
      </c>
      <c r="Y245" s="9" t="s">
        <v>106</v>
      </c>
      <c r="Z245" s="9" t="s">
        <v>106</v>
      </c>
      <c r="AA245" s="9" t="s">
        <v>106</v>
      </c>
      <c r="AB245" s="9" t="s">
        <v>106</v>
      </c>
      <c r="AC245" s="9" t="s">
        <v>5100</v>
      </c>
      <c r="AD245" s="9" t="s">
        <v>5100</v>
      </c>
    </row>
    <row r="246" spans="1:30">
      <c r="A246" s="9" t="s">
        <v>1553</v>
      </c>
      <c r="B246" s="9" t="s">
        <v>1554</v>
      </c>
      <c r="C246" s="9" t="s">
        <v>105</v>
      </c>
      <c r="D246" s="9">
        <v>7.9</v>
      </c>
      <c r="E246" s="9">
        <v>0.24</v>
      </c>
      <c r="F246" s="9">
        <v>384</v>
      </c>
      <c r="G246" s="9">
        <v>0.21</v>
      </c>
      <c r="H246" s="9">
        <v>5.5</v>
      </c>
      <c r="I246" s="9">
        <v>8</v>
      </c>
      <c r="J246" s="9" t="s">
        <v>122</v>
      </c>
      <c r="K246" s="9" t="s">
        <v>1555</v>
      </c>
      <c r="L246" t="str">
        <f>IF(OR(J246="Cattle",J246="Zebu Cattle"),IF(COUNTIF(lists!$M$2:$M$258, K246) &gt; 0,"bos.indicus",IF(COUNTIF(lists!$L$2:$L$258, K246) &gt; 0,"cross.bred","pure.bred.exotic")),"NA")</f>
        <v>cross.bred</v>
      </c>
      <c r="M246"/>
      <c r="N246"/>
      <c r="O246" s="9" t="s">
        <v>124</v>
      </c>
      <c r="P246" s="9" t="s">
        <v>106</v>
      </c>
      <c r="Q246" s="9" t="s">
        <v>3809</v>
      </c>
      <c r="R246" s="9" t="s">
        <v>3830</v>
      </c>
      <c r="S246" s="9" t="s">
        <v>106</v>
      </c>
      <c r="T246" s="9">
        <v>118.81</v>
      </c>
      <c r="U246" s="9">
        <v>114.89</v>
      </c>
      <c r="V246" s="9">
        <v>194.48</v>
      </c>
      <c r="W246" s="9" t="s">
        <v>106</v>
      </c>
      <c r="X246" s="9">
        <v>635.82000000000005</v>
      </c>
      <c r="Y246" s="9" t="s">
        <v>106</v>
      </c>
      <c r="Z246" s="9" t="s">
        <v>106</v>
      </c>
      <c r="AA246" s="9" t="s">
        <v>106</v>
      </c>
      <c r="AB246" s="9">
        <v>56.5</v>
      </c>
      <c r="AC246" s="9" t="s">
        <v>5100</v>
      </c>
      <c r="AD246" s="9" t="s">
        <v>5100</v>
      </c>
    </row>
    <row r="247" spans="1:30">
      <c r="A247" s="9" t="s">
        <v>1553</v>
      </c>
      <c r="B247" s="9" t="s">
        <v>1556</v>
      </c>
      <c r="C247" s="9" t="s">
        <v>105</v>
      </c>
      <c r="D247" s="9">
        <v>8.6999999999999993</v>
      </c>
      <c r="E247" s="9">
        <v>0.24</v>
      </c>
      <c r="F247" s="9">
        <v>384</v>
      </c>
      <c r="G247" s="9">
        <v>0.54</v>
      </c>
      <c r="H247" s="9">
        <v>6.5</v>
      </c>
      <c r="I247" s="9">
        <v>8</v>
      </c>
      <c r="J247" s="9" t="s">
        <v>122</v>
      </c>
      <c r="K247" s="9" t="s">
        <v>1555</v>
      </c>
      <c r="L247" t="str">
        <f>IF(OR(J247="Cattle",J247="Zebu Cattle"),IF(COUNTIF(lists!$M$2:$M$258, K247) &gt; 0,"bos.indicus",IF(COUNTIF(lists!$L$2:$L$258, K247) &gt; 0,"cross.bred","pure.bred.exotic")),"NA")</f>
        <v>cross.bred</v>
      </c>
      <c r="M247"/>
      <c r="N247"/>
      <c r="O247" s="9" t="s">
        <v>124</v>
      </c>
      <c r="P247" s="9" t="s">
        <v>106</v>
      </c>
      <c r="Q247" s="9" t="s">
        <v>3809</v>
      </c>
      <c r="R247" s="9" t="s">
        <v>3830</v>
      </c>
      <c r="S247" s="9" t="s">
        <v>106</v>
      </c>
      <c r="T247" s="9">
        <v>108.37</v>
      </c>
      <c r="U247" s="9">
        <v>113.77</v>
      </c>
      <c r="V247" s="9">
        <v>214.6</v>
      </c>
      <c r="W247" s="9" t="s">
        <v>106</v>
      </c>
      <c r="X247" s="9">
        <v>603.79</v>
      </c>
      <c r="Y247" s="9" t="s">
        <v>106</v>
      </c>
      <c r="Z247" s="9" t="s">
        <v>106</v>
      </c>
      <c r="AA247" s="9" t="s">
        <v>106</v>
      </c>
      <c r="AB247" s="9">
        <v>56.5</v>
      </c>
      <c r="AC247" s="9" t="s">
        <v>5100</v>
      </c>
      <c r="AD247" s="9" t="s">
        <v>5100</v>
      </c>
    </row>
    <row r="248" spans="1:30">
      <c r="A248" s="9" t="s">
        <v>1553</v>
      </c>
      <c r="B248" s="9" t="s">
        <v>1557</v>
      </c>
      <c r="C248" s="9" t="s">
        <v>105</v>
      </c>
      <c r="D248" s="9">
        <v>7.6</v>
      </c>
      <c r="E248" s="9">
        <v>0.24</v>
      </c>
      <c r="F248" s="9">
        <v>384</v>
      </c>
      <c r="G248" s="9">
        <v>0.18</v>
      </c>
      <c r="H248" s="9">
        <v>5.4</v>
      </c>
      <c r="I248" s="9">
        <v>8</v>
      </c>
      <c r="J248" s="9" t="s">
        <v>122</v>
      </c>
      <c r="K248" s="9" t="s">
        <v>1555</v>
      </c>
      <c r="L248" t="str">
        <f>IF(OR(J248="Cattle",J248="Zebu Cattle"),IF(COUNTIF(lists!$M$2:$M$258, K248) &gt; 0,"bos.indicus",IF(COUNTIF(lists!$L$2:$L$258, K248) &gt; 0,"cross.bred","pure.bred.exotic")),"NA")</f>
        <v>cross.bred</v>
      </c>
      <c r="M248"/>
      <c r="N248"/>
      <c r="O248" s="9" t="s">
        <v>124</v>
      </c>
      <c r="P248" s="9" t="s">
        <v>106</v>
      </c>
      <c r="Q248" s="9" t="s">
        <v>3809</v>
      </c>
      <c r="R248" s="9" t="s">
        <v>3830</v>
      </c>
      <c r="S248" s="9" t="s">
        <v>106</v>
      </c>
      <c r="T248" s="9">
        <v>126.11</v>
      </c>
      <c r="U248" s="9">
        <v>90.45</v>
      </c>
      <c r="V248" s="9">
        <v>187.25</v>
      </c>
      <c r="W248" s="9" t="s">
        <v>106</v>
      </c>
      <c r="X248" s="9">
        <v>661.84</v>
      </c>
      <c r="Y248" s="9" t="s">
        <v>106</v>
      </c>
      <c r="Z248" s="9" t="s">
        <v>106</v>
      </c>
      <c r="AA248" s="9" t="s">
        <v>106</v>
      </c>
      <c r="AB248" s="9">
        <v>55</v>
      </c>
      <c r="AC248" s="9" t="s">
        <v>5100</v>
      </c>
      <c r="AD248" s="9" t="s">
        <v>5100</v>
      </c>
    </row>
    <row r="249" spans="1:30">
      <c r="A249" s="9" t="s">
        <v>1553</v>
      </c>
      <c r="B249" s="9" t="s">
        <v>1558</v>
      </c>
      <c r="C249" s="9" t="s">
        <v>105</v>
      </c>
      <c r="D249" s="9">
        <v>6.3</v>
      </c>
      <c r="E249" s="9">
        <v>0.24</v>
      </c>
      <c r="F249" s="9">
        <v>384</v>
      </c>
      <c r="G249" s="9">
        <v>-0.86</v>
      </c>
      <c r="H249" s="9">
        <v>5.0999999999999996</v>
      </c>
      <c r="I249" s="9">
        <v>8</v>
      </c>
      <c r="J249" s="9" t="s">
        <v>122</v>
      </c>
      <c r="K249" s="9" t="s">
        <v>1555</v>
      </c>
      <c r="L249" t="str">
        <f>IF(OR(J249="Cattle",J249="Zebu Cattle"),IF(COUNTIF(lists!$M$2:$M$258, K249) &gt; 0,"bos.indicus",IF(COUNTIF(lists!$L$2:$L$258, K249) &gt; 0,"cross.bred","pure.bred.exotic")),"NA")</f>
        <v>cross.bred</v>
      </c>
      <c r="M249"/>
      <c r="N249"/>
      <c r="O249" s="9" t="s">
        <v>124</v>
      </c>
      <c r="P249" s="9" t="s">
        <v>106</v>
      </c>
      <c r="Q249" s="9" t="s">
        <v>3809</v>
      </c>
      <c r="R249" s="9" t="s">
        <v>3830</v>
      </c>
      <c r="S249" s="9" t="s">
        <v>106</v>
      </c>
      <c r="T249" s="9">
        <v>134</v>
      </c>
      <c r="U249" s="9">
        <v>64</v>
      </c>
      <c r="V249" s="9">
        <v>180</v>
      </c>
      <c r="W249" s="9" t="s">
        <v>106</v>
      </c>
      <c r="X249" s="9">
        <v>690</v>
      </c>
      <c r="Y249" s="9" t="s">
        <v>106</v>
      </c>
      <c r="Z249" s="9" t="s">
        <v>106</v>
      </c>
      <c r="AA249" s="9" t="s">
        <v>106</v>
      </c>
      <c r="AB249" s="9">
        <v>54</v>
      </c>
      <c r="AC249" s="9" t="s">
        <v>5100</v>
      </c>
      <c r="AD249" s="9" t="s">
        <v>5100</v>
      </c>
    </row>
    <row r="250" spans="1:30">
      <c r="A250" s="9" t="s">
        <v>1559</v>
      </c>
      <c r="B250" s="9" t="s">
        <v>1560</v>
      </c>
      <c r="C250" s="9" t="s">
        <v>105</v>
      </c>
      <c r="D250" s="9">
        <v>13.4</v>
      </c>
      <c r="E250" s="9">
        <v>0.31</v>
      </c>
      <c r="F250" s="9">
        <v>402.5</v>
      </c>
      <c r="G250" s="59">
        <v>2.4289999999999998</v>
      </c>
      <c r="H250" s="9">
        <v>4.72</v>
      </c>
      <c r="I250" s="9">
        <v>8</v>
      </c>
      <c r="J250" s="9" t="s">
        <v>122</v>
      </c>
      <c r="K250" s="9" t="s">
        <v>4801</v>
      </c>
      <c r="L250" t="str">
        <f>IF(OR(J250="Cattle",J250="Zebu Cattle"),IF(COUNTIF(lists!$M$2:$M$258, K250) &gt; 0,"bos.indicus",IF(COUNTIF(lists!$L$2:$L$258, K250) &gt; 0,"cross.bred","pure.bred.exotic")),"NA")</f>
        <v>pure.bred.exotic</v>
      </c>
      <c r="M250"/>
      <c r="N250"/>
      <c r="O250" s="9" t="s">
        <v>124</v>
      </c>
      <c r="P250" s="9" t="s">
        <v>106</v>
      </c>
      <c r="Q250" s="9" t="s">
        <v>3809</v>
      </c>
      <c r="R250" s="9" t="s">
        <v>3830</v>
      </c>
      <c r="S250" s="9" t="s">
        <v>106</v>
      </c>
      <c r="T250" s="9" t="s">
        <v>106</v>
      </c>
      <c r="U250" s="9">
        <v>92.34</v>
      </c>
      <c r="V250" s="9">
        <v>213.27</v>
      </c>
      <c r="W250" s="9" t="s">
        <v>106</v>
      </c>
      <c r="X250" s="9">
        <v>662.87</v>
      </c>
      <c r="Y250" s="9" t="s">
        <v>106</v>
      </c>
      <c r="Z250" s="9">
        <v>42.92</v>
      </c>
      <c r="AA250" s="9">
        <v>61.5</v>
      </c>
      <c r="AB250" s="9" t="s">
        <v>106</v>
      </c>
      <c r="AC250" s="9" t="s">
        <v>5100</v>
      </c>
      <c r="AD250" s="9" t="s">
        <v>5100</v>
      </c>
    </row>
    <row r="251" spans="1:30">
      <c r="A251" s="9" t="s">
        <v>1559</v>
      </c>
      <c r="B251" s="9" t="s">
        <v>1562</v>
      </c>
      <c r="C251" s="9" t="s">
        <v>105</v>
      </c>
      <c r="D251" s="9">
        <v>12.3</v>
      </c>
      <c r="E251" s="9">
        <v>0.31</v>
      </c>
      <c r="F251" s="9">
        <v>395</v>
      </c>
      <c r="G251" s="59">
        <v>1.714</v>
      </c>
      <c r="H251" s="9">
        <v>3.8</v>
      </c>
      <c r="I251" s="9">
        <v>8</v>
      </c>
      <c r="J251" s="9" t="s">
        <v>122</v>
      </c>
      <c r="K251" s="9" t="s">
        <v>4801</v>
      </c>
      <c r="L251" t="str">
        <f>IF(OR(J251="Cattle",J251="Zebu Cattle"),IF(COUNTIF(lists!$M$2:$M$258, K251) &gt; 0,"bos.indicus",IF(COUNTIF(lists!$L$2:$L$258, K251) &gt; 0,"cross.bred","pure.bred.exotic")),"NA")</f>
        <v>pure.bred.exotic</v>
      </c>
      <c r="M251"/>
      <c r="N251"/>
      <c r="O251" s="9" t="s">
        <v>124</v>
      </c>
      <c r="P251" s="9" t="s">
        <v>106</v>
      </c>
      <c r="Q251" s="9" t="s">
        <v>3809</v>
      </c>
      <c r="R251" s="9" t="s">
        <v>3830</v>
      </c>
      <c r="S251" s="9" t="s">
        <v>106</v>
      </c>
      <c r="T251" s="9" t="s">
        <v>106</v>
      </c>
      <c r="U251" s="9">
        <v>85.32</v>
      </c>
      <c r="V251" s="9">
        <v>205.43</v>
      </c>
      <c r="W251" s="9" t="s">
        <v>106</v>
      </c>
      <c r="X251" s="9">
        <v>685.71</v>
      </c>
      <c r="Y251" s="9" t="s">
        <v>106</v>
      </c>
      <c r="Z251" s="9">
        <v>51.64</v>
      </c>
      <c r="AA251" s="9">
        <v>62.5</v>
      </c>
      <c r="AB251" s="9" t="s">
        <v>106</v>
      </c>
      <c r="AC251" s="9" t="s">
        <v>5100</v>
      </c>
      <c r="AD251" s="9" t="s">
        <v>5100</v>
      </c>
    </row>
    <row r="252" spans="1:30">
      <c r="A252" s="9" t="s">
        <v>1559</v>
      </c>
      <c r="B252" s="9" t="s">
        <v>1563</v>
      </c>
      <c r="C252" s="9" t="s">
        <v>105</v>
      </c>
      <c r="D252" s="9">
        <v>11.8</v>
      </c>
      <c r="E252" s="9">
        <v>0.31</v>
      </c>
      <c r="F252" s="9">
        <v>392</v>
      </c>
      <c r="G252" s="59">
        <v>1.429</v>
      </c>
      <c r="H252" s="9">
        <v>3.75</v>
      </c>
      <c r="I252" s="9">
        <v>8</v>
      </c>
      <c r="J252" s="9" t="s">
        <v>122</v>
      </c>
      <c r="K252" s="9" t="s">
        <v>4801</v>
      </c>
      <c r="L252" t="str">
        <f>IF(OR(J252="Cattle",J252="Zebu Cattle"),IF(COUNTIF(lists!$M$2:$M$258, K252) &gt; 0,"bos.indicus",IF(COUNTIF(lists!$L$2:$L$258, K252) &gt; 0,"cross.bred","pure.bred.exotic")),"NA")</f>
        <v>pure.bred.exotic</v>
      </c>
      <c r="M252"/>
      <c r="N252"/>
      <c r="O252" s="9" t="s">
        <v>124</v>
      </c>
      <c r="P252" s="9" t="s">
        <v>106</v>
      </c>
      <c r="Q252" s="9" t="s">
        <v>3809</v>
      </c>
      <c r="R252" s="9" t="s">
        <v>3830</v>
      </c>
      <c r="S252" s="9" t="s">
        <v>106</v>
      </c>
      <c r="T252" s="9" t="s">
        <v>106</v>
      </c>
      <c r="U252" s="9">
        <v>86.02</v>
      </c>
      <c r="V252" s="9">
        <v>205</v>
      </c>
      <c r="W252" s="9" t="s">
        <v>106</v>
      </c>
      <c r="X252" s="9">
        <v>684.96</v>
      </c>
      <c r="Y252" s="9" t="s">
        <v>106</v>
      </c>
      <c r="Z252" s="9">
        <v>56.31</v>
      </c>
      <c r="AA252" s="9">
        <v>58.7</v>
      </c>
      <c r="AB252" s="9" t="s">
        <v>106</v>
      </c>
      <c r="AC252" s="9" t="s">
        <v>5100</v>
      </c>
      <c r="AD252" s="9" t="s">
        <v>5100</v>
      </c>
    </row>
    <row r="253" spans="1:30">
      <c r="A253" s="9" t="s">
        <v>1559</v>
      </c>
      <c r="B253" s="9" t="s">
        <v>1531</v>
      </c>
      <c r="C253" s="9" t="s">
        <v>105</v>
      </c>
      <c r="D253" s="9">
        <v>9.8000000000000007</v>
      </c>
      <c r="E253" s="9">
        <v>0.3</v>
      </c>
      <c r="F253" s="9">
        <v>384.5</v>
      </c>
      <c r="G253" s="59">
        <v>0.71399999999999997</v>
      </c>
      <c r="H253" s="9">
        <v>3.32</v>
      </c>
      <c r="I253" s="9">
        <v>8</v>
      </c>
      <c r="J253" s="9" t="s">
        <v>122</v>
      </c>
      <c r="K253" s="9" t="s">
        <v>4801</v>
      </c>
      <c r="L253" t="str">
        <f>IF(OR(J253="Cattle",J253="Zebu Cattle"),IF(COUNTIF(lists!$M$2:$M$258, K253) &gt; 0,"bos.indicus",IF(COUNTIF(lists!$L$2:$L$258, K253) &gt; 0,"cross.bred","pure.bred.exotic")),"NA")</f>
        <v>pure.bred.exotic</v>
      </c>
      <c r="M253"/>
      <c r="N253"/>
      <c r="O253" s="9" t="s">
        <v>124</v>
      </c>
      <c r="P253" s="9" t="s">
        <v>106</v>
      </c>
      <c r="Q253" s="9" t="s">
        <v>3809</v>
      </c>
      <c r="R253" s="9" t="s">
        <v>3830</v>
      </c>
      <c r="S253" s="9" t="s">
        <v>106</v>
      </c>
      <c r="T253" s="9" t="s">
        <v>106</v>
      </c>
      <c r="U253" s="9">
        <v>68.400000000000006</v>
      </c>
      <c r="V253" s="9">
        <v>176</v>
      </c>
      <c r="W253" s="9" t="s">
        <v>106</v>
      </c>
      <c r="X253" s="9">
        <v>712</v>
      </c>
      <c r="Y253" s="9" t="s">
        <v>106</v>
      </c>
      <c r="Z253" s="9">
        <v>44.2</v>
      </c>
      <c r="AA253" s="9">
        <v>55.8</v>
      </c>
      <c r="AB253" s="9" t="s">
        <v>106</v>
      </c>
      <c r="AC253" s="9" t="s">
        <v>5100</v>
      </c>
      <c r="AD253" s="9" t="s">
        <v>5100</v>
      </c>
    </row>
    <row r="254" spans="1:30">
      <c r="A254" s="9" t="s">
        <v>1629</v>
      </c>
      <c r="B254" s="9" t="s">
        <v>1630</v>
      </c>
      <c r="C254" s="9" t="s">
        <v>105</v>
      </c>
      <c r="D254" s="9">
        <v>9.23</v>
      </c>
      <c r="E254" s="9">
        <v>0.43</v>
      </c>
      <c r="F254" s="9">
        <v>300</v>
      </c>
      <c r="G254" s="67">
        <v>1.4222222222222201</v>
      </c>
      <c r="H254" s="9" t="s">
        <v>106</v>
      </c>
      <c r="I254" s="16">
        <v>6</v>
      </c>
      <c r="J254" s="9" t="s">
        <v>122</v>
      </c>
      <c r="K254" s="9" t="s">
        <v>1631</v>
      </c>
      <c r="L254" t="str">
        <f>IF(OR(J254="Cattle",J254="Zebu Cattle"),IF(COUNTIF(lists!$M$2:$M$258, K254) &gt; 0,"bos.indicus",IF(COUNTIF(lists!$L$2:$L$258, K254) &gt; 0,"cross.bred","pure.bred.exotic")),"NA")</f>
        <v>cross.bred</v>
      </c>
      <c r="M254"/>
      <c r="N254"/>
      <c r="O254" s="9" t="s">
        <v>109</v>
      </c>
      <c r="P254" s="9" t="s">
        <v>5018</v>
      </c>
      <c r="Q254" s="9" t="s">
        <v>3813</v>
      </c>
      <c r="R254" s="9" t="s">
        <v>3830</v>
      </c>
      <c r="S254" s="9" t="s">
        <v>106</v>
      </c>
      <c r="T254" s="9" t="s">
        <v>106</v>
      </c>
      <c r="U254" s="9">
        <v>162</v>
      </c>
      <c r="V254" s="9" t="s">
        <v>106</v>
      </c>
      <c r="W254" s="9" t="s">
        <v>106</v>
      </c>
      <c r="X254" s="9" t="s">
        <v>106</v>
      </c>
      <c r="Y254" s="9" t="s">
        <v>106</v>
      </c>
      <c r="Z254" s="9" t="s">
        <v>106</v>
      </c>
      <c r="AA254" s="9" t="s">
        <v>106</v>
      </c>
      <c r="AB254" s="9" t="s">
        <v>106</v>
      </c>
      <c r="AC254" s="9" t="s">
        <v>5100</v>
      </c>
      <c r="AD254" s="9" t="s">
        <v>5100</v>
      </c>
    </row>
    <row r="255" spans="1:30">
      <c r="A255" s="9" t="s">
        <v>1629</v>
      </c>
      <c r="B255" s="9" t="s">
        <v>1635</v>
      </c>
      <c r="C255" s="9" t="s">
        <v>105</v>
      </c>
      <c r="D255" s="9">
        <v>9.59</v>
      </c>
      <c r="E255" s="9">
        <v>0.43</v>
      </c>
      <c r="F255" s="9">
        <v>300</v>
      </c>
      <c r="G255" s="9">
        <v>1.36455555555556</v>
      </c>
      <c r="H255" s="9" t="s">
        <v>106</v>
      </c>
      <c r="I255" s="16">
        <v>6</v>
      </c>
      <c r="J255" s="9" t="s">
        <v>122</v>
      </c>
      <c r="K255" s="9" t="s">
        <v>1631</v>
      </c>
      <c r="L255" t="str">
        <f>IF(OR(J255="Cattle",J255="Zebu Cattle"),IF(COUNTIF(lists!$M$2:$M$258, K255) &gt; 0,"bos.indicus",IF(COUNTIF(lists!$L$2:$L$258, K255) &gt; 0,"cross.bred","pure.bred.exotic")),"NA")</f>
        <v>cross.bred</v>
      </c>
      <c r="M255"/>
      <c r="N255"/>
      <c r="O255" s="9" t="s">
        <v>109</v>
      </c>
      <c r="P255" s="9" t="s">
        <v>5018</v>
      </c>
      <c r="Q255" s="9" t="s">
        <v>3813</v>
      </c>
      <c r="R255" s="9" t="s">
        <v>3830</v>
      </c>
      <c r="S255" s="9" t="s">
        <v>106</v>
      </c>
      <c r="T255" s="9" t="s">
        <v>106</v>
      </c>
      <c r="U255" s="9">
        <v>159</v>
      </c>
      <c r="V255" s="9" t="s">
        <v>106</v>
      </c>
      <c r="W255" s="9" t="s">
        <v>106</v>
      </c>
      <c r="X255" s="9" t="s">
        <v>106</v>
      </c>
      <c r="Y255" s="9" t="s">
        <v>106</v>
      </c>
      <c r="Z255" s="9" t="s">
        <v>106</v>
      </c>
      <c r="AA255" s="9" t="s">
        <v>106</v>
      </c>
      <c r="AB255" s="9" t="s">
        <v>106</v>
      </c>
      <c r="AC255" s="9" t="s">
        <v>5100</v>
      </c>
      <c r="AD255" s="9" t="s">
        <v>5100</v>
      </c>
    </row>
    <row r="256" spans="1:30">
      <c r="A256" s="9" t="s">
        <v>1629</v>
      </c>
      <c r="B256" s="9" t="s">
        <v>1632</v>
      </c>
      <c r="C256" s="9" t="s">
        <v>105</v>
      </c>
      <c r="D256" s="9">
        <v>9.48</v>
      </c>
      <c r="E256" s="9">
        <v>0.43</v>
      </c>
      <c r="F256" s="9">
        <v>300</v>
      </c>
      <c r="G256" s="67">
        <v>1.23555555555556</v>
      </c>
      <c r="H256" s="9" t="s">
        <v>106</v>
      </c>
      <c r="I256" s="16">
        <v>6</v>
      </c>
      <c r="J256" s="9" t="s">
        <v>122</v>
      </c>
      <c r="K256" s="9" t="s">
        <v>1631</v>
      </c>
      <c r="L256" t="str">
        <f>IF(OR(J256="Cattle",J256="Zebu Cattle"),IF(COUNTIF(lists!$M$2:$M$258, K256) &gt; 0,"bos.indicus",IF(COUNTIF(lists!$L$2:$L$258, K256) &gt; 0,"cross.bred","pure.bred.exotic")),"NA")</f>
        <v>cross.bred</v>
      </c>
      <c r="M256"/>
      <c r="N256"/>
      <c r="O256" s="9" t="s">
        <v>109</v>
      </c>
      <c r="P256" s="9" t="s">
        <v>5018</v>
      </c>
      <c r="Q256" s="9" t="s">
        <v>3813</v>
      </c>
      <c r="R256" s="9" t="s">
        <v>3830</v>
      </c>
      <c r="S256" s="9" t="s">
        <v>106</v>
      </c>
      <c r="T256" s="9" t="s">
        <v>106</v>
      </c>
      <c r="U256" s="9">
        <v>161</v>
      </c>
      <c r="V256" s="9" t="s">
        <v>106</v>
      </c>
      <c r="W256" s="9" t="s">
        <v>106</v>
      </c>
      <c r="X256" s="9" t="s">
        <v>106</v>
      </c>
      <c r="Y256" s="9" t="s">
        <v>106</v>
      </c>
      <c r="Z256" s="9" t="s">
        <v>106</v>
      </c>
      <c r="AA256" s="9" t="s">
        <v>106</v>
      </c>
      <c r="AB256" s="9" t="s">
        <v>106</v>
      </c>
      <c r="AC256" s="9" t="s">
        <v>5100</v>
      </c>
      <c r="AD256" s="9" t="s">
        <v>5100</v>
      </c>
    </row>
    <row r="257" spans="1:31">
      <c r="A257" s="9" t="s">
        <v>1629</v>
      </c>
      <c r="B257" s="9" t="s">
        <v>1633</v>
      </c>
      <c r="C257" s="9" t="s">
        <v>105</v>
      </c>
      <c r="D257" s="9">
        <v>9.92</v>
      </c>
      <c r="E257" s="9">
        <v>0.43</v>
      </c>
      <c r="F257" s="9">
        <v>300</v>
      </c>
      <c r="G257" s="67">
        <v>0.93688888888888899</v>
      </c>
      <c r="H257" s="9" t="s">
        <v>106</v>
      </c>
      <c r="I257" s="16">
        <v>6</v>
      </c>
      <c r="J257" s="9" t="s">
        <v>122</v>
      </c>
      <c r="K257" s="9" t="s">
        <v>1631</v>
      </c>
      <c r="L257" t="str">
        <f>IF(OR(J257="Cattle",J257="Zebu Cattle"),IF(COUNTIF(lists!$M$2:$M$258, K257) &gt; 0,"bos.indicus",IF(COUNTIF(lists!$L$2:$L$258, K257) &gt; 0,"cross.bred","pure.bred.exotic")),"NA")</f>
        <v>cross.bred</v>
      </c>
      <c r="M257"/>
      <c r="N257"/>
      <c r="O257" s="9" t="s">
        <v>109</v>
      </c>
      <c r="P257" s="9" t="s">
        <v>5018</v>
      </c>
      <c r="Q257" s="9" t="s">
        <v>3813</v>
      </c>
      <c r="R257" s="9" t="s">
        <v>3830</v>
      </c>
      <c r="S257" s="9" t="s">
        <v>106</v>
      </c>
      <c r="T257" s="9" t="s">
        <v>106</v>
      </c>
      <c r="U257" s="9">
        <v>162</v>
      </c>
      <c r="V257" s="9" t="s">
        <v>106</v>
      </c>
      <c r="W257" s="9" t="s">
        <v>106</v>
      </c>
      <c r="X257" s="9" t="s">
        <v>106</v>
      </c>
      <c r="Y257" s="9" t="s">
        <v>106</v>
      </c>
      <c r="Z257" s="9" t="s">
        <v>106</v>
      </c>
      <c r="AA257" s="9" t="s">
        <v>106</v>
      </c>
      <c r="AB257" s="9" t="s">
        <v>106</v>
      </c>
      <c r="AC257" s="9" t="s">
        <v>5100</v>
      </c>
      <c r="AD257" s="9" t="s">
        <v>5100</v>
      </c>
    </row>
    <row r="258" spans="1:31">
      <c r="A258" s="9" t="s">
        <v>1629</v>
      </c>
      <c r="B258" s="9" t="s">
        <v>1634</v>
      </c>
      <c r="C258" s="9" t="s">
        <v>105</v>
      </c>
      <c r="D258" s="9">
        <v>10.02</v>
      </c>
      <c r="E258" s="9">
        <v>0.43</v>
      </c>
      <c r="F258" s="9">
        <v>300</v>
      </c>
      <c r="G258" s="9">
        <v>0.59399999999999997</v>
      </c>
      <c r="H258" s="9" t="s">
        <v>106</v>
      </c>
      <c r="I258" s="16">
        <v>6</v>
      </c>
      <c r="J258" s="9" t="s">
        <v>122</v>
      </c>
      <c r="K258" s="9" t="s">
        <v>1631</v>
      </c>
      <c r="L258" t="str">
        <f>IF(OR(J258="Cattle",J258="Zebu Cattle"),IF(COUNTIF(lists!$M$2:$M$258, K258) &gt; 0,"bos.indicus",IF(COUNTIF(lists!$L$2:$L$258, K258) &gt; 0,"cross.bred","pure.bred.exotic")),"NA")</f>
        <v>cross.bred</v>
      </c>
      <c r="M258"/>
      <c r="N258"/>
      <c r="O258" s="9" t="s">
        <v>109</v>
      </c>
      <c r="P258" s="9" t="s">
        <v>5018</v>
      </c>
      <c r="Q258" s="9" t="s">
        <v>3813</v>
      </c>
      <c r="R258" s="9" t="s">
        <v>3830</v>
      </c>
      <c r="S258" s="9" t="s">
        <v>106</v>
      </c>
      <c r="T258" s="9" t="s">
        <v>106</v>
      </c>
      <c r="U258" s="9">
        <v>162</v>
      </c>
      <c r="V258" s="9" t="s">
        <v>106</v>
      </c>
      <c r="W258" s="9" t="s">
        <v>106</v>
      </c>
      <c r="X258" s="9" t="s">
        <v>106</v>
      </c>
      <c r="Y258" s="9" t="s">
        <v>106</v>
      </c>
      <c r="Z258" s="9" t="s">
        <v>106</v>
      </c>
      <c r="AA258" s="9" t="s">
        <v>106</v>
      </c>
      <c r="AB258" s="9" t="s">
        <v>106</v>
      </c>
      <c r="AC258" s="9" t="s">
        <v>5100</v>
      </c>
      <c r="AD258" s="9" t="s">
        <v>5100</v>
      </c>
    </row>
    <row r="259" spans="1:31" s="8" customFormat="1" hidden="1">
      <c r="A259" s="12" t="s">
        <v>106</v>
      </c>
      <c r="B259" s="12" t="s">
        <v>127</v>
      </c>
      <c r="C259" s="12" t="s">
        <v>105</v>
      </c>
      <c r="D259" s="12">
        <v>9.1999999999999998E-3</v>
      </c>
      <c r="E259" s="12" t="s">
        <v>106</v>
      </c>
      <c r="F259" s="12" t="s">
        <v>106</v>
      </c>
      <c r="G259" s="12" t="s">
        <v>106</v>
      </c>
      <c r="H259" s="12">
        <v>9</v>
      </c>
      <c r="I259" s="12"/>
      <c r="J259" s="12" t="s">
        <v>106</v>
      </c>
      <c r="K259" s="12" t="s">
        <v>123</v>
      </c>
      <c r="L259" s="8" t="str">
        <f>IF(OR(J259="Cattle",J259="Zebu Cattle"),IF(COUNTIF(lists!$M$2:$M$258, K259) &gt; 0,"bos.indicus",IF(COUNTIF(lists!$L$2:$L$258, K259) &gt; 0,"cross.bred","pure.bred.exotic")),"NA")</f>
        <v>NA</v>
      </c>
      <c r="O259" s="12" t="s">
        <v>124</v>
      </c>
      <c r="P259" s="12" t="s">
        <v>106</v>
      </c>
      <c r="Q259" s="12"/>
      <c r="R259" s="12" t="s">
        <v>3830</v>
      </c>
      <c r="S259" s="12">
        <v>300.7</v>
      </c>
      <c r="T259" s="12" t="s">
        <v>106</v>
      </c>
      <c r="U259" s="12">
        <v>169.1</v>
      </c>
      <c r="V259" s="12">
        <v>241.4</v>
      </c>
      <c r="W259" s="12" t="s">
        <v>106</v>
      </c>
      <c r="X259" s="12">
        <v>426.6</v>
      </c>
      <c r="Y259" s="12" t="s">
        <v>106</v>
      </c>
      <c r="Z259" s="12" t="s">
        <v>106</v>
      </c>
      <c r="AA259" s="12" t="s">
        <v>106</v>
      </c>
      <c r="AB259" s="12" t="s">
        <v>106</v>
      </c>
      <c r="AC259" s="9"/>
      <c r="AD259" s="9"/>
      <c r="AE259" s="52"/>
    </row>
    <row r="260" spans="1:31">
      <c r="A260" s="9" t="s">
        <v>1671</v>
      </c>
      <c r="B260" s="9" t="s">
        <v>106</v>
      </c>
      <c r="C260" s="9" t="s">
        <v>105</v>
      </c>
      <c r="D260" s="9">
        <v>8.27</v>
      </c>
      <c r="E260" s="9">
        <v>0.3</v>
      </c>
      <c r="F260" s="9">
        <v>185.75</v>
      </c>
      <c r="G260" s="9">
        <v>0.83250000000000002</v>
      </c>
      <c r="H260" s="9" t="s">
        <v>106</v>
      </c>
      <c r="I260" s="9" t="s">
        <v>106</v>
      </c>
      <c r="J260" s="9" t="s">
        <v>122</v>
      </c>
      <c r="K260" s="9" t="s">
        <v>1561</v>
      </c>
      <c r="L260" t="str">
        <f>IF(OR(J260="Cattle",J260="Zebu Cattle"),IF(COUNTIF(lists!$M$2:$M$258, K260) &gt; 0,"bos.indicus",IF(COUNTIF(lists!$L$2:$L$258, K260) &gt; 0,"cross.bred","pure.bred.exotic")),"NA")</f>
        <v>pure.bred.exotic</v>
      </c>
      <c r="M260"/>
      <c r="N260"/>
      <c r="O260" s="9" t="s">
        <v>124</v>
      </c>
      <c r="P260" s="9" t="s">
        <v>106</v>
      </c>
      <c r="R260" s="9" t="s">
        <v>3830</v>
      </c>
      <c r="S260" s="9" t="s">
        <v>106</v>
      </c>
      <c r="T260" s="9" t="s">
        <v>106</v>
      </c>
      <c r="U260" s="9" t="s">
        <v>106</v>
      </c>
      <c r="V260" s="9" t="s">
        <v>106</v>
      </c>
      <c r="W260" s="9" t="s">
        <v>106</v>
      </c>
      <c r="X260" s="9" t="s">
        <v>106</v>
      </c>
      <c r="Y260" s="9" t="s">
        <v>106</v>
      </c>
      <c r="Z260" s="9" t="s">
        <v>106</v>
      </c>
      <c r="AA260" s="9" t="s">
        <v>106</v>
      </c>
      <c r="AB260" s="9" t="s">
        <v>106</v>
      </c>
      <c r="AC260" s="9" t="s">
        <v>5100</v>
      </c>
      <c r="AD260" s="9" t="s">
        <v>5100</v>
      </c>
    </row>
    <row r="261" spans="1:31">
      <c r="A261" s="9" t="s">
        <v>1701</v>
      </c>
      <c r="B261" s="9" t="s">
        <v>1702</v>
      </c>
      <c r="C261" s="9" t="s">
        <v>105</v>
      </c>
      <c r="D261" s="9">
        <v>7.2</v>
      </c>
      <c r="E261" s="9">
        <v>0.2</v>
      </c>
      <c r="F261" s="9" t="s">
        <v>106</v>
      </c>
      <c r="G261" s="9" t="s">
        <v>106</v>
      </c>
      <c r="H261" s="9">
        <v>1.1599999999999999</v>
      </c>
      <c r="I261" s="9">
        <v>2</v>
      </c>
      <c r="J261" s="9" t="s">
        <v>122</v>
      </c>
      <c r="K261" s="9" t="s">
        <v>1703</v>
      </c>
      <c r="L261" t="str">
        <f>IF(OR(J261="Cattle",J261="Zebu Cattle"),IF(COUNTIF(lists!$M$2:$M$258, K261) &gt; 0,"bos.indicus",IF(COUNTIF(lists!$L$2:$L$258, K261) &gt; 0,"cross.bred","pure.bred.exotic")),"NA")</f>
        <v>bos.indicus</v>
      </c>
      <c r="M261"/>
      <c r="N261"/>
      <c r="O261" s="9" t="s">
        <v>109</v>
      </c>
      <c r="P261" s="9" t="s">
        <v>202</v>
      </c>
      <c r="Q261" s="9" t="s">
        <v>3809</v>
      </c>
      <c r="R261" s="9" t="s">
        <v>3830</v>
      </c>
      <c r="S261" s="9">
        <v>475</v>
      </c>
      <c r="T261" s="9">
        <v>86</v>
      </c>
      <c r="U261" s="9">
        <v>42</v>
      </c>
      <c r="V261" s="9">
        <v>922</v>
      </c>
      <c r="W261" s="9">
        <v>20</v>
      </c>
      <c r="X261" s="9">
        <v>732</v>
      </c>
      <c r="Y261" s="9" t="s">
        <v>106</v>
      </c>
      <c r="Z261" s="9" t="s">
        <v>106</v>
      </c>
      <c r="AA261" s="9" t="s">
        <v>106</v>
      </c>
      <c r="AB261" s="9" t="s">
        <v>106</v>
      </c>
      <c r="AC261" s="9" t="s">
        <v>5100</v>
      </c>
      <c r="AD261" s="9" t="s">
        <v>5100</v>
      </c>
    </row>
    <row r="262" spans="1:31">
      <c r="A262" s="9" t="s">
        <v>1701</v>
      </c>
      <c r="B262" s="9" t="s">
        <v>1704</v>
      </c>
      <c r="C262" s="9" t="s">
        <v>105</v>
      </c>
      <c r="D262" s="9">
        <v>9</v>
      </c>
      <c r="E262" s="9">
        <v>0.2</v>
      </c>
      <c r="F262" s="9" t="s">
        <v>106</v>
      </c>
      <c r="G262" s="9" t="s">
        <v>106</v>
      </c>
      <c r="H262" s="9">
        <v>1.46</v>
      </c>
      <c r="I262" s="9">
        <v>2</v>
      </c>
      <c r="J262" s="9" t="s">
        <v>122</v>
      </c>
      <c r="K262" s="9" t="s">
        <v>1703</v>
      </c>
      <c r="L262" t="str">
        <f>IF(OR(J262="Cattle",J262="Zebu Cattle"),IF(COUNTIF(lists!$M$2:$M$258, K262) &gt; 0,"bos.indicus",IF(COUNTIF(lists!$L$2:$L$258, K262) &gt; 0,"cross.bred","pure.bred.exotic")),"NA")</f>
        <v>bos.indicus</v>
      </c>
      <c r="M262"/>
      <c r="N262"/>
      <c r="O262" s="9" t="s">
        <v>109</v>
      </c>
      <c r="P262" s="9" t="s">
        <v>202</v>
      </c>
      <c r="Q262" s="9" t="s">
        <v>3809</v>
      </c>
      <c r="R262" s="9" t="s">
        <v>3830</v>
      </c>
      <c r="S262" s="9">
        <v>471</v>
      </c>
      <c r="T262" s="9">
        <v>200</v>
      </c>
      <c r="U262" s="9">
        <v>221</v>
      </c>
      <c r="V262" s="9">
        <v>911</v>
      </c>
      <c r="W262" s="9">
        <v>23</v>
      </c>
      <c r="X262" s="9">
        <v>482</v>
      </c>
      <c r="Y262" s="9" t="s">
        <v>106</v>
      </c>
      <c r="Z262" s="9" t="s">
        <v>106</v>
      </c>
      <c r="AA262" s="9" t="s">
        <v>106</v>
      </c>
      <c r="AB262" s="9" t="s">
        <v>106</v>
      </c>
      <c r="AC262" s="9" t="s">
        <v>5100</v>
      </c>
      <c r="AD262" s="9" t="s">
        <v>5100</v>
      </c>
    </row>
    <row r="263" spans="1:31">
      <c r="A263" s="9" t="s">
        <v>1701</v>
      </c>
      <c r="B263" s="9" t="s">
        <v>1705</v>
      </c>
      <c r="C263" s="9" t="s">
        <v>105</v>
      </c>
      <c r="D263" s="9">
        <v>7.4</v>
      </c>
      <c r="E263" s="9">
        <v>0.2</v>
      </c>
      <c r="F263" s="9" t="s">
        <v>106</v>
      </c>
      <c r="G263" s="9" t="s">
        <v>106</v>
      </c>
      <c r="H263" s="9">
        <v>1.18</v>
      </c>
      <c r="I263" s="9">
        <v>2</v>
      </c>
      <c r="J263" s="9" t="s">
        <v>122</v>
      </c>
      <c r="K263" s="9" t="s">
        <v>1703</v>
      </c>
      <c r="L263" t="str">
        <f>IF(OR(J263="Cattle",J263="Zebu Cattle"),IF(COUNTIF(lists!$M$2:$M$258, K263) &gt; 0,"bos.indicus",IF(COUNTIF(lists!$L$2:$L$258, K263) &gt; 0,"cross.bred","pure.bred.exotic")),"NA")</f>
        <v>bos.indicus</v>
      </c>
      <c r="M263"/>
      <c r="N263"/>
      <c r="O263" s="9" t="s">
        <v>109</v>
      </c>
      <c r="P263" s="9" t="s">
        <v>202</v>
      </c>
      <c r="Q263" s="9" t="s">
        <v>3809</v>
      </c>
      <c r="R263" s="9" t="s">
        <v>3830</v>
      </c>
      <c r="S263" s="9">
        <v>447</v>
      </c>
      <c r="T263" s="9">
        <v>144</v>
      </c>
      <c r="U263" s="9">
        <v>191</v>
      </c>
      <c r="V263" s="9">
        <v>917</v>
      </c>
      <c r="W263" s="9">
        <v>21</v>
      </c>
      <c r="X263" s="9">
        <v>458</v>
      </c>
      <c r="Y263" s="9" t="s">
        <v>106</v>
      </c>
      <c r="Z263" s="9" t="s">
        <v>106</v>
      </c>
      <c r="AA263" s="9" t="s">
        <v>106</v>
      </c>
      <c r="AB263" s="9" t="s">
        <v>106</v>
      </c>
      <c r="AC263" s="9" t="s">
        <v>5100</v>
      </c>
      <c r="AD263" s="9" t="s">
        <v>5100</v>
      </c>
    </row>
    <row r="264" spans="1:31">
      <c r="A264" s="9" t="s">
        <v>1701</v>
      </c>
      <c r="B264" s="9" t="s">
        <v>1706</v>
      </c>
      <c r="C264" s="9" t="s">
        <v>105</v>
      </c>
      <c r="D264" s="9">
        <v>8.1</v>
      </c>
      <c r="E264" s="9">
        <v>0.2</v>
      </c>
      <c r="F264" s="9" t="s">
        <v>106</v>
      </c>
      <c r="G264" s="9" t="s">
        <v>106</v>
      </c>
      <c r="H264" s="9">
        <v>1.54</v>
      </c>
      <c r="I264" s="9">
        <v>2</v>
      </c>
      <c r="J264" s="9" t="s">
        <v>122</v>
      </c>
      <c r="K264" s="9" t="s">
        <v>1703</v>
      </c>
      <c r="L264" t="str">
        <f>IF(OR(J264="Cattle",J264="Zebu Cattle"),IF(COUNTIF(lists!$M$2:$M$258, K264) &gt; 0,"bos.indicus",IF(COUNTIF(lists!$L$2:$L$258, K264) &gt; 0,"cross.bred","pure.bred.exotic")),"NA")</f>
        <v>bos.indicus</v>
      </c>
      <c r="M264"/>
      <c r="N264"/>
      <c r="O264" s="9" t="s">
        <v>109</v>
      </c>
      <c r="P264" s="9" t="s">
        <v>202</v>
      </c>
      <c r="Q264" s="9" t="s">
        <v>3809</v>
      </c>
      <c r="R264" s="9" t="s">
        <v>3830</v>
      </c>
      <c r="S264" s="9">
        <v>456</v>
      </c>
      <c r="T264" s="9">
        <v>182</v>
      </c>
      <c r="U264" s="9">
        <v>145</v>
      </c>
      <c r="V264" s="9">
        <v>907</v>
      </c>
      <c r="W264" s="9">
        <v>17</v>
      </c>
      <c r="X264" s="9">
        <v>467</v>
      </c>
      <c r="Y264" s="9" t="s">
        <v>106</v>
      </c>
      <c r="Z264" s="9" t="s">
        <v>106</v>
      </c>
      <c r="AA264" s="9" t="s">
        <v>106</v>
      </c>
      <c r="AB264" s="9" t="s">
        <v>106</v>
      </c>
      <c r="AC264" s="9" t="s">
        <v>5100</v>
      </c>
      <c r="AD264" s="9" t="s">
        <v>5100</v>
      </c>
    </row>
    <row r="265" spans="1:31" s="8" customFormat="1" hidden="1">
      <c r="A265" s="12" t="s">
        <v>1707</v>
      </c>
      <c r="B265" s="12" t="s">
        <v>106</v>
      </c>
      <c r="C265" s="12" t="s">
        <v>105</v>
      </c>
      <c r="D265" s="12">
        <v>0.524121776720891</v>
      </c>
      <c r="E265" s="12">
        <v>2</v>
      </c>
      <c r="F265" s="12">
        <v>35.549999999999997</v>
      </c>
      <c r="G265" s="12">
        <v>226.5</v>
      </c>
      <c r="H265" s="12" t="s">
        <v>106</v>
      </c>
      <c r="I265" s="12"/>
      <c r="J265" s="12" t="s">
        <v>106</v>
      </c>
      <c r="K265" s="12" t="s">
        <v>1703</v>
      </c>
      <c r="L265" s="8" t="str">
        <f>IF(OR(J265="Cattle",J265="Zebu Cattle"),IF(COUNTIF(lists!$M$2:$M$258, K265) &gt; 0,"bos.indicus",IF(COUNTIF(lists!$L$2:$L$258, K265) &gt; 0,"cross.bred","pure.bred.exotic")),"NA")</f>
        <v>NA</v>
      </c>
      <c r="O265" s="12" t="s">
        <v>109</v>
      </c>
      <c r="P265" s="12" t="s">
        <v>106</v>
      </c>
      <c r="Q265" s="12"/>
      <c r="R265" s="12" t="s">
        <v>3830</v>
      </c>
      <c r="S265" s="12" t="s">
        <v>106</v>
      </c>
      <c r="T265" s="12" t="s">
        <v>106</v>
      </c>
      <c r="U265" s="12" t="s">
        <v>106</v>
      </c>
      <c r="V265" s="12" t="s">
        <v>106</v>
      </c>
      <c r="W265" s="12" t="s">
        <v>106</v>
      </c>
      <c r="X265" s="12" t="s">
        <v>106</v>
      </c>
      <c r="Y265" s="12" t="s">
        <v>106</v>
      </c>
      <c r="Z265" s="12" t="s">
        <v>106</v>
      </c>
      <c r="AA265" s="12" t="s">
        <v>106</v>
      </c>
      <c r="AB265" s="12" t="s">
        <v>106</v>
      </c>
      <c r="AC265" s="9"/>
      <c r="AD265" s="9"/>
      <c r="AE265" s="52"/>
    </row>
    <row r="266" spans="1:31">
      <c r="A266" s="9" t="s">
        <v>1729</v>
      </c>
      <c r="B266" s="9" t="s">
        <v>1730</v>
      </c>
      <c r="C266" s="9" t="s">
        <v>105</v>
      </c>
      <c r="D266" s="9">
        <v>12.55</v>
      </c>
      <c r="E266" s="9">
        <v>0.14899999999999999</v>
      </c>
      <c r="F266" s="68">
        <v>420</v>
      </c>
      <c r="G266" s="9" t="s">
        <v>106</v>
      </c>
      <c r="H266" s="9">
        <v>6.48</v>
      </c>
      <c r="I266" s="9">
        <v>4</v>
      </c>
      <c r="J266" s="9" t="s">
        <v>122</v>
      </c>
      <c r="K266" s="9" t="s">
        <v>1731</v>
      </c>
      <c r="L266" t="str">
        <f>IF(OR(J266="Cattle",J266="Zebu Cattle"),IF(COUNTIF(lists!$M$2:$M$258, K266) &gt; 0,"bos.indicus",IF(COUNTIF(lists!$L$2:$L$258, K266) &gt; 0,"cross.bred","pure.bred.exotic")),"NA")</f>
        <v>cross.bred</v>
      </c>
      <c r="M266"/>
      <c r="N266"/>
      <c r="O266" s="9" t="s">
        <v>124</v>
      </c>
      <c r="P266" s="9" t="s">
        <v>106</v>
      </c>
      <c r="Q266" s="9" t="s">
        <v>3809</v>
      </c>
      <c r="R266" s="9" t="s">
        <v>3830</v>
      </c>
      <c r="S266" s="9">
        <v>323.79000000000002</v>
      </c>
      <c r="T266" s="9">
        <v>94.77</v>
      </c>
      <c r="U266" s="9" t="s">
        <v>106</v>
      </c>
      <c r="V266" s="9">
        <v>94.75</v>
      </c>
      <c r="W266" s="9" t="s">
        <v>106</v>
      </c>
      <c r="X266" s="9">
        <v>586.26</v>
      </c>
      <c r="Y266" s="9">
        <v>51.9</v>
      </c>
      <c r="Z266" s="9">
        <v>46.94</v>
      </c>
      <c r="AA266" s="9">
        <v>56.7</v>
      </c>
      <c r="AB266" s="9">
        <v>59.7</v>
      </c>
      <c r="AC266" s="9" t="s">
        <v>5100</v>
      </c>
      <c r="AD266" s="9" t="s">
        <v>5100</v>
      </c>
    </row>
    <row r="267" spans="1:31">
      <c r="A267" s="9" t="s">
        <v>1729</v>
      </c>
      <c r="B267" s="9" t="s">
        <v>1733</v>
      </c>
      <c r="C267" s="9" t="s">
        <v>105</v>
      </c>
      <c r="D267" s="9">
        <v>12.26</v>
      </c>
      <c r="E267" s="9">
        <v>0.14899999999999999</v>
      </c>
      <c r="F267" s="68">
        <v>420</v>
      </c>
      <c r="G267" s="9" t="s">
        <v>106</v>
      </c>
      <c r="H267" s="9">
        <v>5.8</v>
      </c>
      <c r="I267" s="9">
        <v>4</v>
      </c>
      <c r="J267" s="9" t="s">
        <v>122</v>
      </c>
      <c r="K267" s="9" t="s">
        <v>1731</v>
      </c>
      <c r="L267" t="str">
        <f>IF(OR(J267="Cattle",J267="Zebu Cattle"),IF(COUNTIF(lists!$M$2:$M$258, K267) &gt; 0,"bos.indicus",IF(COUNTIF(lists!$L$2:$L$258, K267) &gt; 0,"cross.bred","pure.bred.exotic")),"NA")</f>
        <v>cross.bred</v>
      </c>
      <c r="M267"/>
      <c r="N267"/>
      <c r="O267" s="9" t="s">
        <v>124</v>
      </c>
      <c r="P267" s="9" t="s">
        <v>106</v>
      </c>
      <c r="Q267" s="9" t="s">
        <v>3809</v>
      </c>
      <c r="R267" s="9" t="s">
        <v>3830</v>
      </c>
      <c r="S267" s="9">
        <v>344.3</v>
      </c>
      <c r="T267" s="9">
        <v>95.37</v>
      </c>
      <c r="U267" s="9" t="s">
        <v>106</v>
      </c>
      <c r="V267" s="9">
        <v>88.96</v>
      </c>
      <c r="W267" s="9" t="s">
        <v>106</v>
      </c>
      <c r="X267" s="9">
        <v>595.49</v>
      </c>
      <c r="Y267" s="9">
        <v>58.8</v>
      </c>
      <c r="Z267" s="9">
        <v>49.41</v>
      </c>
      <c r="AA267" s="9">
        <v>60.3</v>
      </c>
      <c r="AB267" s="9">
        <v>63.6</v>
      </c>
      <c r="AC267" s="9" t="s">
        <v>5100</v>
      </c>
      <c r="AD267" s="9" t="s">
        <v>5100</v>
      </c>
    </row>
    <row r="268" spans="1:31">
      <c r="A268" s="9" t="s">
        <v>1729</v>
      </c>
      <c r="B268" s="9" t="s">
        <v>1734</v>
      </c>
      <c r="C268" s="9" t="s">
        <v>105</v>
      </c>
      <c r="D268" s="9">
        <v>12.37</v>
      </c>
      <c r="E268" s="9">
        <v>0.14899999999999999</v>
      </c>
      <c r="F268" s="68">
        <v>420</v>
      </c>
      <c r="G268" s="9" t="s">
        <v>106</v>
      </c>
      <c r="H268" s="9">
        <v>5.16</v>
      </c>
      <c r="I268" s="9">
        <v>4</v>
      </c>
      <c r="J268" s="9" t="s">
        <v>122</v>
      </c>
      <c r="K268" s="9" t="s">
        <v>1731</v>
      </c>
      <c r="L268" t="str">
        <f>IF(OR(J268="Cattle",J268="Zebu Cattle"),IF(COUNTIF(lists!$M$2:$M$258, K268) &gt; 0,"bos.indicus",IF(COUNTIF(lists!$L$2:$L$258, K268) &gt; 0,"cross.bred","pure.bred.exotic")),"NA")</f>
        <v>cross.bred</v>
      </c>
      <c r="M268"/>
      <c r="N268"/>
      <c r="O268" s="9" t="s">
        <v>124</v>
      </c>
      <c r="P268" s="9" t="s">
        <v>106</v>
      </c>
      <c r="Q268" s="9" t="s">
        <v>3809</v>
      </c>
      <c r="R268" s="9" t="s">
        <v>3830</v>
      </c>
      <c r="S268" s="9">
        <v>368.3</v>
      </c>
      <c r="T268" s="9">
        <v>96.04</v>
      </c>
      <c r="U268" s="9" t="s">
        <v>106</v>
      </c>
      <c r="V268" s="9">
        <v>81.489999999999995</v>
      </c>
      <c r="W268" s="9" t="s">
        <v>106</v>
      </c>
      <c r="X268" s="9">
        <v>609.77</v>
      </c>
      <c r="Y268" s="9">
        <v>54.6</v>
      </c>
      <c r="Z268" s="9">
        <v>52.02</v>
      </c>
      <c r="AA268" s="9">
        <v>56.1</v>
      </c>
      <c r="AB268" s="9">
        <v>59</v>
      </c>
      <c r="AC268" s="9" t="s">
        <v>5100</v>
      </c>
      <c r="AD268" s="9" t="s">
        <v>5100</v>
      </c>
    </row>
    <row r="269" spans="1:31">
      <c r="A269" s="9" t="s">
        <v>1729</v>
      </c>
      <c r="B269" s="9" t="s">
        <v>1732</v>
      </c>
      <c r="C269" s="9" t="s">
        <v>105</v>
      </c>
      <c r="D269" s="9">
        <v>11.63</v>
      </c>
      <c r="E269" s="9">
        <v>0.14899999999999999</v>
      </c>
      <c r="F269" s="68">
        <v>420</v>
      </c>
      <c r="G269" s="9" t="s">
        <v>106</v>
      </c>
      <c r="H269" s="9">
        <v>4.55</v>
      </c>
      <c r="I269" s="9">
        <v>4</v>
      </c>
      <c r="J269" s="9" t="s">
        <v>122</v>
      </c>
      <c r="K269" s="9" t="s">
        <v>1731</v>
      </c>
      <c r="L269" t="str">
        <f>IF(OR(J269="Cattle",J269="Zebu Cattle"),IF(COUNTIF(lists!$M$2:$M$258, K269) &gt; 0,"bos.indicus",IF(COUNTIF(lists!$L$2:$L$258, K269) &gt; 0,"cross.bred","pure.bred.exotic")),"NA")</f>
        <v>cross.bred</v>
      </c>
      <c r="M269"/>
      <c r="N269"/>
      <c r="O269" s="9" t="s">
        <v>124</v>
      </c>
      <c r="P269" s="9" t="s">
        <v>106</v>
      </c>
      <c r="Q269" s="9" t="s">
        <v>3809</v>
      </c>
      <c r="R269" s="9" t="s">
        <v>3830</v>
      </c>
      <c r="S269" s="9">
        <v>392.71</v>
      </c>
      <c r="T269" s="9">
        <v>96.7</v>
      </c>
      <c r="U269" s="9" t="s">
        <v>106</v>
      </c>
      <c r="V269" s="9">
        <v>73.459999999999994</v>
      </c>
      <c r="W269" s="9" t="s">
        <v>106</v>
      </c>
      <c r="X269" s="9">
        <v>626.37</v>
      </c>
      <c r="Y269" s="9">
        <v>55.7</v>
      </c>
      <c r="Z269" s="9">
        <v>54.5</v>
      </c>
      <c r="AA269" s="9">
        <v>55.3</v>
      </c>
      <c r="AB269" s="9">
        <v>58.1</v>
      </c>
      <c r="AC269" s="9" t="s">
        <v>5100</v>
      </c>
      <c r="AD269" s="9" t="s">
        <v>5100</v>
      </c>
    </row>
    <row r="270" spans="1:31">
      <c r="A270" s="9" t="s">
        <v>1821</v>
      </c>
      <c r="B270" s="9" t="s">
        <v>1822</v>
      </c>
      <c r="C270" s="9" t="s">
        <v>105</v>
      </c>
      <c r="D270" s="9">
        <v>3.1</v>
      </c>
      <c r="E270" s="9">
        <v>0.34</v>
      </c>
      <c r="F270" s="68">
        <v>155</v>
      </c>
      <c r="G270" s="9">
        <v>-0.112</v>
      </c>
      <c r="H270" s="9" t="s">
        <v>106</v>
      </c>
      <c r="I270" s="9">
        <v>11</v>
      </c>
      <c r="J270" s="9" t="s">
        <v>122</v>
      </c>
      <c r="K270" s="9" t="s">
        <v>1823</v>
      </c>
      <c r="L270" t="str">
        <f>IF(OR(J270="Cattle",J270="Zebu Cattle"),IF(COUNTIF(lists!$M$2:$M$258, K270) &gt; 0,"bos.indicus",IF(COUNTIF(lists!$L$2:$L$258, K270) &gt; 0,"cross.bred","pure.bred.exotic")),"NA")</f>
        <v>cross.bred</v>
      </c>
      <c r="M270"/>
      <c r="N270"/>
      <c r="O270" s="9" t="s">
        <v>124</v>
      </c>
      <c r="P270" s="9" t="s">
        <v>5019</v>
      </c>
      <c r="Q270" s="9" t="s">
        <v>3813</v>
      </c>
      <c r="R270" s="9" t="s">
        <v>3830</v>
      </c>
      <c r="S270" s="9">
        <v>455</v>
      </c>
      <c r="T270" s="9">
        <v>81</v>
      </c>
      <c r="U270" s="9">
        <v>46</v>
      </c>
      <c r="V270" s="9">
        <v>923</v>
      </c>
      <c r="W270" s="9" t="s">
        <v>106</v>
      </c>
      <c r="X270" s="9">
        <v>784</v>
      </c>
      <c r="Y270" s="9">
        <v>54.6</v>
      </c>
      <c r="Z270" s="9">
        <v>58</v>
      </c>
      <c r="AA270" s="9">
        <v>46.5</v>
      </c>
      <c r="AB270" s="9">
        <v>49.7</v>
      </c>
      <c r="AC270" s="9" t="s">
        <v>5100</v>
      </c>
      <c r="AD270" s="9" t="s">
        <v>5100</v>
      </c>
    </row>
    <row r="271" spans="1:31">
      <c r="A271" s="9" t="s">
        <v>1821</v>
      </c>
      <c r="B271" s="9" t="s">
        <v>1824</v>
      </c>
      <c r="C271" s="9" t="s">
        <v>105</v>
      </c>
      <c r="D271" s="9">
        <v>5.5</v>
      </c>
      <c r="E271" s="9">
        <v>0.34</v>
      </c>
      <c r="F271" s="68">
        <v>155</v>
      </c>
      <c r="G271" s="9">
        <v>0.54100000000000004</v>
      </c>
      <c r="H271" s="9" t="s">
        <v>106</v>
      </c>
      <c r="I271" s="9">
        <v>11</v>
      </c>
      <c r="J271" s="9" t="s">
        <v>122</v>
      </c>
      <c r="K271" s="9" t="s">
        <v>1823</v>
      </c>
      <c r="L271" t="str">
        <f>IF(OR(J271="Cattle",J271="Zebu Cattle"),IF(COUNTIF(lists!$M$2:$M$258, K271) &gt; 0,"bos.indicus",IF(COUNTIF(lists!$L$2:$L$258, K271) &gt; 0,"cross.bred","pure.bred.exotic")),"NA")</f>
        <v>cross.bred</v>
      </c>
      <c r="M271"/>
      <c r="N271"/>
      <c r="O271" s="9" t="s">
        <v>124</v>
      </c>
      <c r="P271" s="9" t="s">
        <v>5019</v>
      </c>
      <c r="Q271" s="9" t="s">
        <v>3813</v>
      </c>
      <c r="R271" s="9" t="s">
        <v>3830</v>
      </c>
      <c r="S271" s="9">
        <v>329.38</v>
      </c>
      <c r="T271" s="9">
        <v>68.78</v>
      </c>
      <c r="U271" s="9">
        <v>92.96</v>
      </c>
      <c r="V271" s="9">
        <v>909.32</v>
      </c>
      <c r="W271" s="9" t="s">
        <v>106</v>
      </c>
      <c r="X271" s="9">
        <v>642.73</v>
      </c>
      <c r="Y271" s="9">
        <v>57.1</v>
      </c>
      <c r="Z271" s="9">
        <v>46.93</v>
      </c>
      <c r="AA271" s="9">
        <v>57.1</v>
      </c>
      <c r="AB271" s="9">
        <v>59.4</v>
      </c>
      <c r="AC271" s="9" t="s">
        <v>5100</v>
      </c>
      <c r="AD271" s="9" t="s">
        <v>5100</v>
      </c>
    </row>
    <row r="272" spans="1:31">
      <c r="A272" s="9" t="s">
        <v>1821</v>
      </c>
      <c r="B272" s="9" t="s">
        <v>1825</v>
      </c>
      <c r="C272" s="9" t="s">
        <v>105</v>
      </c>
      <c r="D272" s="9">
        <v>4.5</v>
      </c>
      <c r="E272" s="9">
        <v>0.34</v>
      </c>
      <c r="F272" s="68">
        <v>155</v>
      </c>
      <c r="G272" s="9">
        <v>0.28000000000000003</v>
      </c>
      <c r="H272" s="9" t="s">
        <v>106</v>
      </c>
      <c r="I272" s="9">
        <v>11</v>
      </c>
      <c r="J272" s="9" t="s">
        <v>122</v>
      </c>
      <c r="K272" s="9" t="s">
        <v>1823</v>
      </c>
      <c r="L272" t="str">
        <f>IF(OR(J272="Cattle",J272="Zebu Cattle"),IF(COUNTIF(lists!$M$2:$M$258, K272) &gt; 0,"bos.indicus",IF(COUNTIF(lists!$L$2:$L$258, K272) &gt; 0,"cross.bred","pure.bred.exotic")),"NA")</f>
        <v>cross.bred</v>
      </c>
      <c r="M272"/>
      <c r="N272"/>
      <c r="O272" s="9" t="s">
        <v>124</v>
      </c>
      <c r="P272" s="9" t="s">
        <v>5019</v>
      </c>
      <c r="Q272" s="9" t="s">
        <v>3813</v>
      </c>
      <c r="R272" s="9" t="s">
        <v>3830</v>
      </c>
      <c r="S272" s="9">
        <v>421.8</v>
      </c>
      <c r="T272" s="9">
        <v>103.1</v>
      </c>
      <c r="U272" s="9">
        <v>84.8</v>
      </c>
      <c r="V272" s="9">
        <v>909.9</v>
      </c>
      <c r="W272" s="9" t="s">
        <v>106</v>
      </c>
      <c r="X272" s="9">
        <v>639</v>
      </c>
      <c r="Y272" s="9">
        <v>65.8</v>
      </c>
      <c r="Z272" s="9">
        <v>52.8</v>
      </c>
      <c r="AA272" s="9">
        <v>61.8</v>
      </c>
      <c r="AB272" s="9">
        <v>65.8</v>
      </c>
      <c r="AC272" s="9" t="s">
        <v>5100</v>
      </c>
      <c r="AD272" s="9" t="s">
        <v>5100</v>
      </c>
    </row>
    <row r="273" spans="1:30">
      <c r="A273" s="9" t="s">
        <v>1821</v>
      </c>
      <c r="B273" s="9" t="s">
        <v>1826</v>
      </c>
      <c r="C273" s="9" t="s">
        <v>105</v>
      </c>
      <c r="D273" s="9">
        <v>4.4000000000000004</v>
      </c>
      <c r="E273" s="9">
        <v>0.34</v>
      </c>
      <c r="F273" s="68">
        <v>155</v>
      </c>
      <c r="G273" s="9">
        <v>0.373</v>
      </c>
      <c r="H273" s="9" t="s">
        <v>106</v>
      </c>
      <c r="I273" s="9">
        <v>11</v>
      </c>
      <c r="J273" s="9" t="s">
        <v>122</v>
      </c>
      <c r="K273" s="9" t="s">
        <v>1823</v>
      </c>
      <c r="L273" t="str">
        <f>IF(OR(J273="Cattle",J273="Zebu Cattle"),IF(COUNTIF(lists!$M$2:$M$258, K273) &gt; 0,"bos.indicus",IF(COUNTIF(lists!$L$2:$L$258, K273) &gt; 0,"cross.bred","pure.bred.exotic")),"NA")</f>
        <v>cross.bred</v>
      </c>
      <c r="M273"/>
      <c r="N273"/>
      <c r="O273" s="9" t="s">
        <v>124</v>
      </c>
      <c r="P273" s="9" t="s">
        <v>5019</v>
      </c>
      <c r="Q273" s="9" t="s">
        <v>3813</v>
      </c>
      <c r="R273" s="9" t="s">
        <v>3830</v>
      </c>
      <c r="S273" s="9">
        <v>402</v>
      </c>
      <c r="T273" s="9">
        <v>95.5</v>
      </c>
      <c r="U273" s="9">
        <v>89.3</v>
      </c>
      <c r="V273" s="9">
        <v>893.3</v>
      </c>
      <c r="W273" s="9" t="s">
        <v>106</v>
      </c>
      <c r="X273" s="9">
        <v>618.5</v>
      </c>
      <c r="Y273" s="9">
        <v>67.599999999999994</v>
      </c>
      <c r="Z273" s="9">
        <v>50</v>
      </c>
      <c r="AA273" s="9">
        <v>63.3</v>
      </c>
      <c r="AB273" s="9">
        <v>66.099999999999994</v>
      </c>
      <c r="AC273" s="9" t="s">
        <v>5100</v>
      </c>
      <c r="AD273" s="9" t="s">
        <v>5100</v>
      </c>
    </row>
    <row r="274" spans="1:30">
      <c r="A274" s="9" t="s">
        <v>1860</v>
      </c>
      <c r="B274" s="9" t="s">
        <v>5043</v>
      </c>
      <c r="C274" s="9" t="s">
        <v>105</v>
      </c>
      <c r="D274" s="9">
        <v>5.4</v>
      </c>
      <c r="E274" s="9" t="s">
        <v>106</v>
      </c>
      <c r="F274" s="9">
        <v>185.74</v>
      </c>
      <c r="G274" s="9">
        <v>0.34</v>
      </c>
      <c r="H274" s="9" t="s">
        <v>106</v>
      </c>
      <c r="I274" s="9">
        <v>4</v>
      </c>
      <c r="J274" s="9" t="s">
        <v>122</v>
      </c>
      <c r="K274" s="9" t="s">
        <v>4165</v>
      </c>
      <c r="L274" t="str">
        <f>IF(OR(J274="Cattle",J274="Zebu Cattle"),IF(COUNTIF(lists!$M$2:$M$258, K274) &gt; 0,"bos.indicus",IF(COUNTIF(lists!$L$2:$L$258, K274) &gt; 0,"cross.bred","pure.bred.exotic")),"NA")</f>
        <v>pure.bred.exotic</v>
      </c>
      <c r="M274"/>
      <c r="N274"/>
      <c r="O274" s="9" t="s">
        <v>135</v>
      </c>
      <c r="P274" s="9" t="s">
        <v>5052</v>
      </c>
      <c r="Q274" s="9" t="s">
        <v>3805</v>
      </c>
      <c r="R274" s="9" t="s">
        <v>3830</v>
      </c>
      <c r="S274" s="9" t="s">
        <v>106</v>
      </c>
      <c r="T274" s="9">
        <v>212</v>
      </c>
      <c r="U274" s="9">
        <v>85</v>
      </c>
      <c r="V274" s="9">
        <v>173</v>
      </c>
      <c r="W274" s="9">
        <v>15</v>
      </c>
      <c r="X274" s="9">
        <v>593</v>
      </c>
      <c r="Y274" s="9" t="s">
        <v>106</v>
      </c>
      <c r="Z274" s="9" t="s">
        <v>106</v>
      </c>
      <c r="AA274" s="9" t="s">
        <v>106</v>
      </c>
      <c r="AB274" s="9" t="s">
        <v>106</v>
      </c>
      <c r="AC274" s="9" t="s">
        <v>5100</v>
      </c>
      <c r="AD274" s="9" t="s">
        <v>5100</v>
      </c>
    </row>
    <row r="275" spans="1:30">
      <c r="A275" s="9" t="s">
        <v>1860</v>
      </c>
      <c r="B275" s="9" t="s">
        <v>5044</v>
      </c>
      <c r="C275" s="9" t="s">
        <v>105</v>
      </c>
      <c r="D275" s="9">
        <v>6.4</v>
      </c>
      <c r="E275" s="9" t="s">
        <v>106</v>
      </c>
      <c r="F275" s="9">
        <v>194.02</v>
      </c>
      <c r="G275" s="9">
        <v>0.52</v>
      </c>
      <c r="H275" s="9" t="s">
        <v>106</v>
      </c>
      <c r="I275" s="9">
        <v>4</v>
      </c>
      <c r="J275" s="9" t="s">
        <v>122</v>
      </c>
      <c r="K275" s="9" t="s">
        <v>4165</v>
      </c>
      <c r="L275" t="str">
        <f>IF(OR(J275="Cattle",J275="Zebu Cattle"),IF(COUNTIF(lists!$M$2:$M$258, K275) &gt; 0,"bos.indicus",IF(COUNTIF(lists!$L$2:$L$258, K275) &gt; 0,"cross.bred","pure.bred.exotic")),"NA")</f>
        <v>pure.bred.exotic</v>
      </c>
      <c r="M275"/>
      <c r="N275"/>
      <c r="O275" s="9" t="s">
        <v>135</v>
      </c>
      <c r="P275" s="9" t="s">
        <v>5052</v>
      </c>
      <c r="Q275" s="9" t="s">
        <v>3805</v>
      </c>
      <c r="R275" s="9" t="s">
        <v>3830</v>
      </c>
      <c r="S275" s="9" t="s">
        <v>106</v>
      </c>
      <c r="T275" s="9">
        <v>200.29</v>
      </c>
      <c r="U275" s="9">
        <v>105.84</v>
      </c>
      <c r="V275" s="9">
        <v>205.46</v>
      </c>
      <c r="W275" s="9">
        <v>15.2</v>
      </c>
      <c r="X275" s="9">
        <v>565.6</v>
      </c>
      <c r="Y275" s="9" t="s">
        <v>106</v>
      </c>
      <c r="Z275" s="9" t="s">
        <v>106</v>
      </c>
      <c r="AA275" s="9" t="s">
        <v>106</v>
      </c>
      <c r="AB275" s="9" t="s">
        <v>106</v>
      </c>
      <c r="AC275" s="9" t="s">
        <v>5100</v>
      </c>
      <c r="AD275" s="9" t="s">
        <v>5100</v>
      </c>
    </row>
    <row r="276" spans="1:30">
      <c r="A276" s="9" t="s">
        <v>1860</v>
      </c>
      <c r="B276" s="9" t="s">
        <v>5045</v>
      </c>
      <c r="C276" s="9" t="s">
        <v>105</v>
      </c>
      <c r="D276" s="9">
        <v>5.2</v>
      </c>
      <c r="E276" s="9" t="s">
        <v>106</v>
      </c>
      <c r="F276" s="9">
        <v>186.2</v>
      </c>
      <c r="G276" s="9">
        <v>0.35</v>
      </c>
      <c r="H276" s="9" t="s">
        <v>106</v>
      </c>
      <c r="I276" s="9">
        <v>4</v>
      </c>
      <c r="J276" s="9" t="s">
        <v>122</v>
      </c>
      <c r="K276" s="9" t="s">
        <v>4165</v>
      </c>
      <c r="L276" t="str">
        <f>IF(OR(J276="Cattle",J276="Zebu Cattle"),IF(COUNTIF(lists!$M$2:$M$258, K276) &gt; 0,"bos.indicus",IF(COUNTIF(lists!$L$2:$L$258, K276) &gt; 0,"cross.bred","pure.bred.exotic")),"NA")</f>
        <v>pure.bred.exotic</v>
      </c>
      <c r="M276"/>
      <c r="N276"/>
      <c r="O276" s="9" t="s">
        <v>135</v>
      </c>
      <c r="P276" s="9" t="s">
        <v>5052</v>
      </c>
      <c r="Q276" s="9" t="s">
        <v>3805</v>
      </c>
      <c r="R276" s="9" t="s">
        <v>3830</v>
      </c>
      <c r="S276" s="9" t="s">
        <v>106</v>
      </c>
      <c r="T276" s="9">
        <v>203</v>
      </c>
      <c r="U276" s="9">
        <v>63</v>
      </c>
      <c r="V276" s="9">
        <v>185</v>
      </c>
      <c r="W276" s="9">
        <v>13</v>
      </c>
      <c r="X276" s="9">
        <v>611</v>
      </c>
      <c r="Y276" s="9" t="s">
        <v>106</v>
      </c>
      <c r="Z276" s="9" t="s">
        <v>106</v>
      </c>
      <c r="AA276" s="9" t="s">
        <v>106</v>
      </c>
      <c r="AB276" s="9" t="s">
        <v>106</v>
      </c>
      <c r="AC276" s="9" t="s">
        <v>5100</v>
      </c>
      <c r="AD276" s="9" t="s">
        <v>5100</v>
      </c>
    </row>
    <row r="277" spans="1:30">
      <c r="A277" s="9" t="s">
        <v>1860</v>
      </c>
      <c r="B277" s="9" t="s">
        <v>5046</v>
      </c>
      <c r="C277" s="9" t="s">
        <v>105</v>
      </c>
      <c r="D277" s="9">
        <v>6.1</v>
      </c>
      <c r="E277" s="9" t="s">
        <v>106</v>
      </c>
      <c r="F277" s="9">
        <v>194.02</v>
      </c>
      <c r="G277" s="9">
        <v>0.52</v>
      </c>
      <c r="H277" s="9" t="s">
        <v>106</v>
      </c>
      <c r="I277" s="9">
        <v>4</v>
      </c>
      <c r="J277" s="9" t="s">
        <v>122</v>
      </c>
      <c r="K277" s="9" t="s">
        <v>4165</v>
      </c>
      <c r="L277" t="str">
        <f>IF(OR(J277="Cattle",J277="Zebu Cattle"),IF(COUNTIF(lists!$M$2:$M$258, K277) &gt; 0,"bos.indicus",IF(COUNTIF(lists!$L$2:$L$258, K277) &gt; 0,"cross.bred","pure.bred.exotic")),"NA")</f>
        <v>pure.bred.exotic</v>
      </c>
      <c r="M277"/>
      <c r="N277"/>
      <c r="O277" s="9" t="s">
        <v>135</v>
      </c>
      <c r="P277" s="9" t="s">
        <v>5052</v>
      </c>
      <c r="Q277" s="9" t="s">
        <v>3805</v>
      </c>
      <c r="R277" s="9" t="s">
        <v>3830</v>
      </c>
      <c r="S277" s="9" t="s">
        <v>106</v>
      </c>
      <c r="T277" s="9">
        <v>192.59</v>
      </c>
      <c r="U277" s="9">
        <v>89.45</v>
      </c>
      <c r="V277" s="9">
        <v>220.97</v>
      </c>
      <c r="W277" s="9">
        <v>13.62</v>
      </c>
      <c r="X277" s="9">
        <v>578.51</v>
      </c>
      <c r="Y277" s="9" t="s">
        <v>106</v>
      </c>
      <c r="Z277" s="9" t="s">
        <v>106</v>
      </c>
      <c r="AA277" s="9" t="s">
        <v>106</v>
      </c>
      <c r="AB277" s="9" t="s">
        <v>106</v>
      </c>
      <c r="AC277" s="9" t="s">
        <v>5100</v>
      </c>
      <c r="AD277" s="9" t="s">
        <v>5100</v>
      </c>
    </row>
    <row r="278" spans="1:30">
      <c r="A278" s="9" t="s">
        <v>1860</v>
      </c>
      <c r="B278" s="9" t="s">
        <v>5047</v>
      </c>
      <c r="C278" s="9" t="s">
        <v>105</v>
      </c>
      <c r="D278" s="9">
        <v>7.5</v>
      </c>
      <c r="E278" s="9" t="s">
        <v>106</v>
      </c>
      <c r="F278" s="9">
        <v>200</v>
      </c>
      <c r="G278" s="9">
        <v>0.65</v>
      </c>
      <c r="H278" s="9" t="s">
        <v>106</v>
      </c>
      <c r="I278" s="9">
        <v>4</v>
      </c>
      <c r="J278" s="9" t="s">
        <v>122</v>
      </c>
      <c r="K278" s="9" t="s">
        <v>4165</v>
      </c>
      <c r="L278" t="str">
        <f>IF(OR(J278="Cattle",J278="Zebu Cattle"),IF(COUNTIF(lists!$M$2:$M$258, K278) &gt; 0,"bos.indicus",IF(COUNTIF(lists!$L$2:$L$258, K278) &gt; 0,"cross.bred","pure.bred.exotic")),"NA")</f>
        <v>pure.bred.exotic</v>
      </c>
      <c r="M278"/>
      <c r="N278"/>
      <c r="O278" s="9" t="s">
        <v>135</v>
      </c>
      <c r="P278" s="9" t="s">
        <v>5052</v>
      </c>
      <c r="Q278" s="9" t="s">
        <v>3805</v>
      </c>
      <c r="R278" s="9" t="s">
        <v>3830</v>
      </c>
      <c r="S278" s="9" t="s">
        <v>106</v>
      </c>
      <c r="T278" s="9">
        <v>188.88</v>
      </c>
      <c r="U278" s="9">
        <v>98.86</v>
      </c>
      <c r="V278" s="9">
        <v>237.38</v>
      </c>
      <c r="W278" s="9">
        <v>13.85</v>
      </c>
      <c r="X278" s="9">
        <v>566.96</v>
      </c>
      <c r="Y278" s="9" t="s">
        <v>106</v>
      </c>
      <c r="Z278" s="9" t="s">
        <v>106</v>
      </c>
      <c r="AA278" s="9" t="s">
        <v>106</v>
      </c>
      <c r="AB278" s="9" t="s">
        <v>106</v>
      </c>
      <c r="AC278" s="9" t="s">
        <v>5100</v>
      </c>
      <c r="AD278" s="9" t="s">
        <v>5100</v>
      </c>
    </row>
    <row r="279" spans="1:30">
      <c r="A279" s="9" t="s">
        <v>1860</v>
      </c>
      <c r="B279" s="9" t="s">
        <v>5048</v>
      </c>
      <c r="C279" s="9" t="s">
        <v>105</v>
      </c>
      <c r="D279" s="9">
        <v>7.8</v>
      </c>
      <c r="E279" s="9" t="s">
        <v>106</v>
      </c>
      <c r="F279" s="9">
        <v>200.46</v>
      </c>
      <c r="G279" s="9">
        <v>0.66</v>
      </c>
      <c r="H279" s="9" t="s">
        <v>106</v>
      </c>
      <c r="I279" s="9">
        <v>4</v>
      </c>
      <c r="J279" s="9" t="s">
        <v>122</v>
      </c>
      <c r="K279" s="9" t="s">
        <v>4165</v>
      </c>
      <c r="L279" t="str">
        <f>IF(OR(J279="Cattle",J279="Zebu Cattle"),IF(COUNTIF(lists!$M$2:$M$258, K279) &gt; 0,"bos.indicus",IF(COUNTIF(lists!$L$2:$L$258, K279) &gt; 0,"cross.bred","pure.bred.exotic")),"NA")</f>
        <v>pure.bred.exotic</v>
      </c>
      <c r="M279"/>
      <c r="N279"/>
      <c r="O279" s="9" t="s">
        <v>135</v>
      </c>
      <c r="P279" s="9" t="s">
        <v>5052</v>
      </c>
      <c r="Q279" s="9" t="s">
        <v>3805</v>
      </c>
      <c r="R279" s="9" t="s">
        <v>3830</v>
      </c>
      <c r="S279" s="9" t="s">
        <v>106</v>
      </c>
      <c r="T279" s="9">
        <v>184</v>
      </c>
      <c r="U279" s="9">
        <v>111.27</v>
      </c>
      <c r="V279" s="9">
        <v>263.18</v>
      </c>
      <c r="W279" s="9">
        <v>14.14</v>
      </c>
      <c r="X279" s="9">
        <v>551.71</v>
      </c>
      <c r="Y279" s="9" t="s">
        <v>106</v>
      </c>
      <c r="Z279" s="9" t="s">
        <v>106</v>
      </c>
      <c r="AA279" s="9" t="s">
        <v>106</v>
      </c>
      <c r="AB279" s="9" t="s">
        <v>106</v>
      </c>
      <c r="AC279" s="9" t="s">
        <v>5100</v>
      </c>
      <c r="AD279" s="9" t="s">
        <v>5100</v>
      </c>
    </row>
    <row r="280" spans="1:30">
      <c r="A280" s="9" t="s">
        <v>1860</v>
      </c>
      <c r="B280" s="9" t="s">
        <v>5043</v>
      </c>
      <c r="C280" s="9" t="s">
        <v>105</v>
      </c>
      <c r="D280" s="9">
        <v>4.7</v>
      </c>
      <c r="E280" s="9" t="s">
        <v>106</v>
      </c>
      <c r="F280" s="9">
        <v>137.44</v>
      </c>
      <c r="G280" s="9">
        <v>0.28999999999999998</v>
      </c>
      <c r="H280" s="9" t="s">
        <v>106</v>
      </c>
      <c r="I280" s="9">
        <v>4</v>
      </c>
      <c r="J280" s="9" t="s">
        <v>122</v>
      </c>
      <c r="K280" s="9" t="s">
        <v>4526</v>
      </c>
      <c r="L280" t="str">
        <f>IF(OR(J280="Cattle",J280="Zebu Cattle"),IF(COUNTIF(lists!$M$2:$M$258, K280) &gt; 0,"bos.indicus",IF(COUNTIF(lists!$L$2:$L$258, K280) &gt; 0,"cross.bred","pure.bred.exotic")),"NA")</f>
        <v>bos.indicus</v>
      </c>
      <c r="M280"/>
      <c r="N280"/>
      <c r="O280" s="9" t="s">
        <v>109</v>
      </c>
      <c r="P280" s="9" t="s">
        <v>5052</v>
      </c>
      <c r="Q280" s="9" t="s">
        <v>3805</v>
      </c>
      <c r="R280" s="9" t="s">
        <v>3830</v>
      </c>
      <c r="S280" s="9" t="s">
        <v>106</v>
      </c>
      <c r="T280" s="9">
        <v>212</v>
      </c>
      <c r="U280" s="9">
        <v>85</v>
      </c>
      <c r="V280" s="9">
        <v>173</v>
      </c>
      <c r="W280" s="9">
        <v>15</v>
      </c>
      <c r="X280" s="9">
        <v>593</v>
      </c>
      <c r="Y280" s="9" t="s">
        <v>106</v>
      </c>
      <c r="Z280" s="9" t="s">
        <v>106</v>
      </c>
      <c r="AA280" s="9" t="s">
        <v>106</v>
      </c>
      <c r="AB280" s="9" t="s">
        <v>106</v>
      </c>
      <c r="AC280" s="9" t="s">
        <v>5100</v>
      </c>
      <c r="AD280" s="9" t="s">
        <v>5100</v>
      </c>
    </row>
    <row r="281" spans="1:30">
      <c r="A281" s="9" t="s">
        <v>1860</v>
      </c>
      <c r="B281" s="9" t="s">
        <v>5045</v>
      </c>
      <c r="C281" s="9" t="s">
        <v>105</v>
      </c>
      <c r="D281" s="9">
        <v>4.3</v>
      </c>
      <c r="E281" s="9" t="s">
        <v>106</v>
      </c>
      <c r="F281" s="9">
        <v>137.9</v>
      </c>
      <c r="G281" s="9">
        <v>0.3</v>
      </c>
      <c r="H281" s="9" t="s">
        <v>106</v>
      </c>
      <c r="I281" s="9">
        <v>4</v>
      </c>
      <c r="J281" s="9" t="s">
        <v>122</v>
      </c>
      <c r="K281" s="9" t="s">
        <v>4526</v>
      </c>
      <c r="L281" t="str">
        <f>IF(OR(J281="Cattle",J281="Zebu Cattle"),IF(COUNTIF(lists!$M$2:$M$258, K281) &gt; 0,"bos.indicus",IF(COUNTIF(lists!$L$2:$L$258, K281) &gt; 0,"cross.bred","pure.bred.exotic")),"NA")</f>
        <v>bos.indicus</v>
      </c>
      <c r="M281"/>
      <c r="N281"/>
      <c r="O281" s="9" t="s">
        <v>109</v>
      </c>
      <c r="P281" s="9" t="s">
        <v>5052</v>
      </c>
      <c r="Q281" s="9" t="s">
        <v>3805</v>
      </c>
      <c r="R281" s="9" t="s">
        <v>3830</v>
      </c>
      <c r="S281" s="9" t="s">
        <v>106</v>
      </c>
      <c r="T281" s="9">
        <v>203</v>
      </c>
      <c r="U281" s="9">
        <v>63</v>
      </c>
      <c r="V281" s="9">
        <v>185</v>
      </c>
      <c r="W281" s="9">
        <v>13</v>
      </c>
      <c r="X281" s="9">
        <v>611</v>
      </c>
      <c r="Y281" s="9" t="s">
        <v>106</v>
      </c>
      <c r="Z281" s="9" t="s">
        <v>106</v>
      </c>
      <c r="AA281" s="9" t="s">
        <v>106</v>
      </c>
      <c r="AB281" s="9" t="s">
        <v>106</v>
      </c>
      <c r="AC281" s="9" t="s">
        <v>5100</v>
      </c>
      <c r="AD281" s="9" t="s">
        <v>5100</v>
      </c>
    </row>
    <row r="282" spans="1:30">
      <c r="A282" s="9" t="s">
        <v>1860</v>
      </c>
      <c r="B282" s="9" t="s">
        <v>5044</v>
      </c>
      <c r="C282" s="9" t="s">
        <v>105</v>
      </c>
      <c r="D282" s="9">
        <v>5.3</v>
      </c>
      <c r="E282" s="9" t="s">
        <v>106</v>
      </c>
      <c r="F282" s="9">
        <v>142.5</v>
      </c>
      <c r="G282" s="9">
        <v>0.4</v>
      </c>
      <c r="H282" s="9" t="s">
        <v>106</v>
      </c>
      <c r="I282" s="9">
        <v>4</v>
      </c>
      <c r="J282" s="9" t="s">
        <v>122</v>
      </c>
      <c r="K282" s="9" t="s">
        <v>4526</v>
      </c>
      <c r="L282" t="str">
        <f>IF(OR(J282="Cattle",J282="Zebu Cattle"),IF(COUNTIF(lists!$M$2:$M$258, K282) &gt; 0,"bos.indicus",IF(COUNTIF(lists!$L$2:$L$258, K282) &gt; 0,"cross.bred","pure.bred.exotic")),"NA")</f>
        <v>bos.indicus</v>
      </c>
      <c r="M282"/>
      <c r="N282"/>
      <c r="O282" s="9" t="s">
        <v>109</v>
      </c>
      <c r="P282" s="9" t="s">
        <v>5052</v>
      </c>
      <c r="Q282" s="9" t="s">
        <v>3805</v>
      </c>
      <c r="R282" s="9" t="s">
        <v>3830</v>
      </c>
      <c r="S282" s="9" t="s">
        <v>106</v>
      </c>
      <c r="T282" s="9">
        <v>197.86</v>
      </c>
      <c r="U282" s="9">
        <v>110.17</v>
      </c>
      <c r="V282" s="9">
        <v>213.78</v>
      </c>
      <c r="W282" s="9">
        <v>15.24</v>
      </c>
      <c r="X282" s="9">
        <v>559.91999999999996</v>
      </c>
      <c r="Y282" s="9" t="s">
        <v>106</v>
      </c>
      <c r="Z282" s="9" t="s">
        <v>106</v>
      </c>
      <c r="AA282" s="9" t="s">
        <v>106</v>
      </c>
      <c r="AB282" s="9" t="s">
        <v>106</v>
      </c>
      <c r="AC282" s="9" t="s">
        <v>5100</v>
      </c>
      <c r="AD282" s="9" t="s">
        <v>5100</v>
      </c>
    </row>
    <row r="283" spans="1:30">
      <c r="A283" s="9" t="s">
        <v>1860</v>
      </c>
      <c r="B283" s="9" t="s">
        <v>5049</v>
      </c>
      <c r="C283" s="9" t="s">
        <v>105</v>
      </c>
      <c r="D283" s="9">
        <v>5.3</v>
      </c>
      <c r="E283" s="9" t="s">
        <v>106</v>
      </c>
      <c r="F283" s="9">
        <v>143.41999999999999</v>
      </c>
      <c r="G283" s="9">
        <v>0.42</v>
      </c>
      <c r="H283" s="9" t="s">
        <v>106</v>
      </c>
      <c r="I283" s="9">
        <v>4</v>
      </c>
      <c r="J283" s="9" t="s">
        <v>122</v>
      </c>
      <c r="K283" s="9" t="s">
        <v>4526</v>
      </c>
      <c r="L283" t="str">
        <f>IF(OR(J283="Cattle",J283="Zebu Cattle"),IF(COUNTIF(lists!$M$2:$M$258, K283) &gt; 0,"bos.indicus",IF(COUNTIF(lists!$L$2:$L$258, K283) &gt; 0,"cross.bred","pure.bred.exotic")),"NA")</f>
        <v>bos.indicus</v>
      </c>
      <c r="M283"/>
      <c r="N283"/>
      <c r="O283" s="9" t="s">
        <v>109</v>
      </c>
      <c r="P283" s="9" t="s">
        <v>5052</v>
      </c>
      <c r="Q283" s="9" t="s">
        <v>3805</v>
      </c>
      <c r="R283" s="9" t="s">
        <v>3830</v>
      </c>
      <c r="S283" s="9" t="s">
        <v>106</v>
      </c>
      <c r="T283" s="9">
        <v>191.01</v>
      </c>
      <c r="U283" s="9">
        <v>93.44</v>
      </c>
      <c r="V283" s="9">
        <v>227.65</v>
      </c>
      <c r="W283" s="9">
        <v>13.72</v>
      </c>
      <c r="X283" s="9">
        <v>573.6</v>
      </c>
      <c r="Y283" s="9" t="s">
        <v>106</v>
      </c>
      <c r="Z283" s="9" t="s">
        <v>106</v>
      </c>
      <c r="AA283" s="9" t="s">
        <v>106</v>
      </c>
      <c r="AB283" s="9" t="s">
        <v>106</v>
      </c>
      <c r="AC283" s="9" t="s">
        <v>5100</v>
      </c>
      <c r="AD283" s="9" t="s">
        <v>5100</v>
      </c>
    </row>
    <row r="284" spans="1:30">
      <c r="A284" s="9" t="s">
        <v>1860</v>
      </c>
      <c r="B284" s="9" t="s">
        <v>5050</v>
      </c>
      <c r="C284" s="9" t="s">
        <v>105</v>
      </c>
      <c r="D284" s="9">
        <v>6.3</v>
      </c>
      <c r="E284" s="9" t="s">
        <v>106</v>
      </c>
      <c r="F284" s="9">
        <v>152.16</v>
      </c>
      <c r="G284" s="9">
        <v>0.61</v>
      </c>
      <c r="H284" s="9" t="s">
        <v>106</v>
      </c>
      <c r="I284" s="9">
        <v>4</v>
      </c>
      <c r="J284" s="9" t="s">
        <v>122</v>
      </c>
      <c r="K284" s="9" t="s">
        <v>4526</v>
      </c>
      <c r="L284" t="str">
        <f>IF(OR(J284="Cattle",J284="Zebu Cattle"),IF(COUNTIF(lists!$M$2:$M$258, K284) &gt; 0,"bos.indicus",IF(COUNTIF(lists!$L$2:$L$258, K284) &gt; 0,"cross.bred","pure.bred.exotic")),"NA")</f>
        <v>bos.indicus</v>
      </c>
      <c r="M284"/>
      <c r="N284"/>
      <c r="O284" s="9" t="s">
        <v>109</v>
      </c>
      <c r="P284" s="9" t="s">
        <v>5052</v>
      </c>
      <c r="Q284" s="9" t="s">
        <v>3805</v>
      </c>
      <c r="R284" s="9" t="s">
        <v>3830</v>
      </c>
      <c r="S284" s="9" t="s">
        <v>106</v>
      </c>
      <c r="T284" s="9">
        <v>186.19</v>
      </c>
      <c r="U284" s="9">
        <v>105.69</v>
      </c>
      <c r="V284" s="9">
        <v>250.91</v>
      </c>
      <c r="W284" s="9">
        <v>14.01</v>
      </c>
      <c r="X284" s="9">
        <v>558.57000000000005</v>
      </c>
      <c r="Y284" s="9" t="s">
        <v>106</v>
      </c>
      <c r="Z284" s="9" t="s">
        <v>106</v>
      </c>
      <c r="AA284" s="9" t="s">
        <v>106</v>
      </c>
      <c r="AB284" s="9" t="s">
        <v>106</v>
      </c>
      <c r="AC284" s="9" t="s">
        <v>5100</v>
      </c>
      <c r="AD284" s="9" t="s">
        <v>5100</v>
      </c>
    </row>
    <row r="285" spans="1:30">
      <c r="A285" s="9" t="s">
        <v>1860</v>
      </c>
      <c r="B285" s="9" t="s">
        <v>5051</v>
      </c>
      <c r="C285" s="9" t="s">
        <v>105</v>
      </c>
      <c r="D285" s="9">
        <v>6.7</v>
      </c>
      <c r="E285" s="9" t="s">
        <v>106</v>
      </c>
      <c r="F285" s="9">
        <v>153.54</v>
      </c>
      <c r="G285" s="9">
        <v>0.64</v>
      </c>
      <c r="H285" s="9" t="s">
        <v>106</v>
      </c>
      <c r="I285" s="9">
        <v>4</v>
      </c>
      <c r="J285" s="9" t="s">
        <v>122</v>
      </c>
      <c r="K285" s="9" t="s">
        <v>4526</v>
      </c>
      <c r="L285" t="str">
        <f>IF(OR(J285="Cattle",J285="Zebu Cattle"),IF(COUNTIF(lists!$M$2:$M$258, K285) &gt; 0,"bos.indicus",IF(COUNTIF(lists!$L$2:$L$258, K285) &gt; 0,"cross.bred","pure.bred.exotic")),"NA")</f>
        <v>bos.indicus</v>
      </c>
      <c r="M285"/>
      <c r="N285"/>
      <c r="O285" s="9" t="s">
        <v>109</v>
      </c>
      <c r="P285" s="9" t="s">
        <v>5052</v>
      </c>
      <c r="Q285" s="9" t="s">
        <v>3805</v>
      </c>
      <c r="R285" s="9" t="s">
        <v>3830</v>
      </c>
      <c r="S285" s="9" t="s">
        <v>106</v>
      </c>
      <c r="T285" s="9">
        <v>180.88</v>
      </c>
      <c r="U285" s="9">
        <v>119.19</v>
      </c>
      <c r="V285" s="9">
        <v>282.8</v>
      </c>
      <c r="W285" s="9">
        <v>14.33</v>
      </c>
      <c r="X285" s="9">
        <v>541.98</v>
      </c>
      <c r="Y285" s="9" t="s">
        <v>106</v>
      </c>
      <c r="Z285" s="9" t="s">
        <v>106</v>
      </c>
      <c r="AA285" s="9" t="s">
        <v>106</v>
      </c>
      <c r="AB285" s="9" t="s">
        <v>106</v>
      </c>
      <c r="AC285" s="9" t="s">
        <v>5100</v>
      </c>
      <c r="AD285" s="9" t="s">
        <v>5100</v>
      </c>
    </row>
    <row r="286" spans="1:30">
      <c r="A286" s="9" t="s">
        <v>1875</v>
      </c>
      <c r="B286" s="9" t="s">
        <v>1876</v>
      </c>
      <c r="C286" s="9" t="s">
        <v>105</v>
      </c>
      <c r="D286" s="9">
        <v>9.8000000000000007</v>
      </c>
      <c r="E286" s="9">
        <v>0.5</v>
      </c>
      <c r="F286" s="9">
        <v>400.5</v>
      </c>
      <c r="G286" s="59">
        <v>5.4000000000000003E-3</v>
      </c>
      <c r="H286" s="9">
        <v>8.25</v>
      </c>
      <c r="I286" s="9">
        <v>6</v>
      </c>
      <c r="J286" s="9" t="s">
        <v>122</v>
      </c>
      <c r="K286" s="9" t="s">
        <v>1731</v>
      </c>
      <c r="L286" t="str">
        <f>IF(OR(J286="Cattle",J286="Zebu Cattle"),IF(COUNTIF(lists!$M$2:$M$258, K286) &gt; 0,"bos.indicus",IF(COUNTIF(lists!$L$2:$L$258, K286) &gt; 0,"cross.bred","pure.bred.exotic")),"NA")</f>
        <v>cross.bred</v>
      </c>
      <c r="M286"/>
      <c r="N286"/>
      <c r="O286" s="9" t="s">
        <v>124</v>
      </c>
      <c r="P286" s="9" t="s">
        <v>106</v>
      </c>
      <c r="Q286" s="9" t="s">
        <v>3809</v>
      </c>
      <c r="R286" s="9" t="s">
        <v>3830</v>
      </c>
      <c r="S286" s="9">
        <v>354</v>
      </c>
      <c r="T286" s="9">
        <v>100</v>
      </c>
      <c r="U286" s="9">
        <v>93.1</v>
      </c>
      <c r="V286" s="9">
        <v>890</v>
      </c>
      <c r="W286" s="9" t="s">
        <v>106</v>
      </c>
      <c r="X286" s="9">
        <v>550</v>
      </c>
      <c r="Y286" s="9">
        <v>61.7</v>
      </c>
      <c r="Z286" s="9">
        <v>40.299999999999997</v>
      </c>
      <c r="AA286" s="9">
        <v>65.900000000000006</v>
      </c>
      <c r="AB286" s="9">
        <v>68.599999999999994</v>
      </c>
      <c r="AC286" s="9" t="s">
        <v>5100</v>
      </c>
      <c r="AD286" s="9" t="s">
        <v>5100</v>
      </c>
    </row>
    <row r="287" spans="1:30">
      <c r="A287" s="9" t="s">
        <v>1875</v>
      </c>
      <c r="B287" s="9" t="s">
        <v>1877</v>
      </c>
      <c r="C287" s="9" t="s">
        <v>105</v>
      </c>
      <c r="D287" s="9">
        <v>11</v>
      </c>
      <c r="E287" s="9">
        <v>0.56999999999999995</v>
      </c>
      <c r="F287" s="9">
        <v>413</v>
      </c>
      <c r="G287" s="59">
        <v>4.02E-2</v>
      </c>
      <c r="H287" s="9">
        <v>9.5</v>
      </c>
      <c r="I287" s="9">
        <v>6</v>
      </c>
      <c r="J287" s="9" t="s">
        <v>122</v>
      </c>
      <c r="K287" s="9" t="s">
        <v>1731</v>
      </c>
      <c r="L287" t="str">
        <f>IF(OR(J287="Cattle",J287="Zebu Cattle"),IF(COUNTIF(lists!$M$2:$M$258, K287) &gt; 0,"bos.indicus",IF(COUNTIF(lists!$L$2:$L$258, K287) &gt; 0,"cross.bred","pure.bred.exotic")),"NA")</f>
        <v>cross.bred</v>
      </c>
      <c r="M287"/>
      <c r="N287"/>
      <c r="O287" s="9" t="s">
        <v>124</v>
      </c>
      <c r="P287" s="9" t="s">
        <v>106</v>
      </c>
      <c r="Q287" s="9" t="s">
        <v>3809</v>
      </c>
      <c r="R287" s="9" t="s">
        <v>3830</v>
      </c>
      <c r="S287" s="9">
        <v>351.38</v>
      </c>
      <c r="T287" s="9">
        <v>101.8</v>
      </c>
      <c r="U287" s="9">
        <v>103.54</v>
      </c>
      <c r="V287" s="9">
        <v>892.74</v>
      </c>
      <c r="W287" s="9" t="s">
        <v>106</v>
      </c>
      <c r="X287" s="9">
        <v>532.16</v>
      </c>
      <c r="Y287" s="9">
        <v>66.2</v>
      </c>
      <c r="Z287" s="9">
        <v>41.9</v>
      </c>
      <c r="AA287" s="9">
        <v>70.5</v>
      </c>
      <c r="AB287" s="9">
        <v>72.8</v>
      </c>
      <c r="AC287" s="9" t="s">
        <v>5100</v>
      </c>
      <c r="AD287" s="9" t="s">
        <v>5100</v>
      </c>
    </row>
    <row r="288" spans="1:30">
      <c r="A288" s="9" t="s">
        <v>1875</v>
      </c>
      <c r="B288" s="9" t="s">
        <v>1878</v>
      </c>
      <c r="C288" s="9" t="s">
        <v>105</v>
      </c>
      <c r="D288" s="9">
        <v>10.7</v>
      </c>
      <c r="E288" s="9">
        <v>0.56999999999999995</v>
      </c>
      <c r="F288" s="9">
        <v>433</v>
      </c>
      <c r="G288" s="59">
        <v>3.9800000000000002E-2</v>
      </c>
      <c r="H288" s="9">
        <v>7.7</v>
      </c>
      <c r="I288" s="9">
        <v>6</v>
      </c>
      <c r="J288" s="9" t="s">
        <v>122</v>
      </c>
      <c r="K288" s="9" t="s">
        <v>1731</v>
      </c>
      <c r="L288" t="str">
        <f>IF(OR(J288="Cattle",J288="Zebu Cattle"),IF(COUNTIF(lists!$M$2:$M$258, K288) &gt; 0,"bos.indicus",IF(COUNTIF(lists!$L$2:$L$258, K288) &gt; 0,"cross.bred","pure.bred.exotic")),"NA")</f>
        <v>cross.bred</v>
      </c>
      <c r="M288"/>
      <c r="N288"/>
      <c r="O288" s="9" t="s">
        <v>124</v>
      </c>
      <c r="P288" s="9" t="s">
        <v>106</v>
      </c>
      <c r="Q288" s="9" t="s">
        <v>3809</v>
      </c>
      <c r="R288" s="9" t="s">
        <v>3830</v>
      </c>
      <c r="S288" s="9">
        <v>348.77</v>
      </c>
      <c r="T288" s="9">
        <v>103.6</v>
      </c>
      <c r="U288" s="9">
        <v>113.97</v>
      </c>
      <c r="V288" s="9">
        <v>895.49</v>
      </c>
      <c r="W288" s="9" t="s">
        <v>106</v>
      </c>
      <c r="X288" s="9">
        <v>514.35</v>
      </c>
      <c r="Y288" s="9">
        <v>65.099999999999994</v>
      </c>
      <c r="Z288" s="9">
        <v>43.51</v>
      </c>
      <c r="AA288" s="9">
        <v>71.7</v>
      </c>
      <c r="AB288" s="9">
        <v>73.8</v>
      </c>
      <c r="AC288" s="9" t="s">
        <v>5100</v>
      </c>
      <c r="AD288" s="9" t="s">
        <v>5100</v>
      </c>
    </row>
    <row r="289" spans="1:31">
      <c r="A289" s="9" t="s">
        <v>1875</v>
      </c>
      <c r="B289" s="9" t="s">
        <v>1879</v>
      </c>
      <c r="C289" s="9" t="s">
        <v>105</v>
      </c>
      <c r="D289" s="9">
        <v>10.3</v>
      </c>
      <c r="E289" s="9">
        <v>0.56999999999999995</v>
      </c>
      <c r="F289" s="9">
        <v>445</v>
      </c>
      <c r="G289" s="59">
        <v>4.58E-2</v>
      </c>
      <c r="H289" s="9">
        <v>7.43</v>
      </c>
      <c r="I289" s="9">
        <v>6</v>
      </c>
      <c r="J289" s="9" t="s">
        <v>122</v>
      </c>
      <c r="K289" s="9" t="s">
        <v>1731</v>
      </c>
      <c r="L289" t="str">
        <f>IF(OR(J289="Cattle",J289="Zebu Cattle"),IF(COUNTIF(lists!$M$2:$M$258, K289) &gt; 0,"bos.indicus",IF(COUNTIF(lists!$L$2:$L$258, K289) &gt; 0,"cross.bred","pure.bred.exotic")),"NA")</f>
        <v>cross.bred</v>
      </c>
      <c r="M289"/>
      <c r="N289"/>
      <c r="O289" s="9" t="s">
        <v>124</v>
      </c>
      <c r="P289" s="9" t="s">
        <v>106</v>
      </c>
      <c r="Q289" s="9" t="s">
        <v>3809</v>
      </c>
      <c r="R289" s="9" t="s">
        <v>3830</v>
      </c>
      <c r="S289" s="9">
        <v>346.08</v>
      </c>
      <c r="T289" s="9">
        <v>105.45</v>
      </c>
      <c r="U289" s="9">
        <v>124.69</v>
      </c>
      <c r="V289" s="9">
        <v>898.34</v>
      </c>
      <c r="W289" s="9" t="s">
        <v>106</v>
      </c>
      <c r="X289" s="9">
        <v>496.03</v>
      </c>
      <c r="Y289" s="9">
        <v>63.2</v>
      </c>
      <c r="Z289" s="9">
        <v>45.15</v>
      </c>
      <c r="AA289" s="9">
        <v>69.099999999999994</v>
      </c>
      <c r="AB289" s="9">
        <v>71.400000000000006</v>
      </c>
      <c r="AC289" s="9" t="s">
        <v>5100</v>
      </c>
      <c r="AD289" s="9" t="s">
        <v>5100</v>
      </c>
    </row>
    <row r="290" spans="1:31">
      <c r="A290" s="9" t="s">
        <v>1875</v>
      </c>
      <c r="B290" s="9" t="s">
        <v>1880</v>
      </c>
      <c r="C290" s="9" t="s">
        <v>105</v>
      </c>
      <c r="D290" s="9">
        <v>9.6999999999999993</v>
      </c>
      <c r="E290" s="9">
        <v>0.5</v>
      </c>
      <c r="F290" s="9">
        <v>415.5</v>
      </c>
      <c r="G290" s="59">
        <v>1.84E-2</v>
      </c>
      <c r="H290" s="9">
        <v>6.82</v>
      </c>
      <c r="I290" s="9">
        <v>6</v>
      </c>
      <c r="J290" s="9" t="s">
        <v>122</v>
      </c>
      <c r="K290" s="9" t="s">
        <v>1731</v>
      </c>
      <c r="L290" t="str">
        <f>IF(OR(J290="Cattle",J290="Zebu Cattle"),IF(COUNTIF(lists!$M$2:$M$258, K290) &gt; 0,"bos.indicus",IF(COUNTIF(lists!$L$2:$L$258, K290) &gt; 0,"cross.bred","pure.bred.exotic")),"NA")</f>
        <v>cross.bred</v>
      </c>
      <c r="M290"/>
      <c r="N290"/>
      <c r="O290" s="9" t="s">
        <v>124</v>
      </c>
      <c r="P290" s="9" t="s">
        <v>106</v>
      </c>
      <c r="Q290" s="9" t="s">
        <v>3809</v>
      </c>
      <c r="R290" s="9" t="s">
        <v>3830</v>
      </c>
      <c r="S290" s="9">
        <v>396</v>
      </c>
      <c r="T290" s="9">
        <v>119</v>
      </c>
      <c r="U290" s="9">
        <v>87.5</v>
      </c>
      <c r="V290" s="9">
        <v>888</v>
      </c>
      <c r="W290" s="9" t="s">
        <v>106</v>
      </c>
      <c r="X290" s="9">
        <v>610</v>
      </c>
      <c r="Y290" s="9">
        <v>68.400000000000006</v>
      </c>
      <c r="Z290" s="9">
        <v>45.2</v>
      </c>
      <c r="AA290" s="9">
        <v>68.3</v>
      </c>
      <c r="AB290" s="9">
        <v>71</v>
      </c>
      <c r="AC290" s="9" t="s">
        <v>5100</v>
      </c>
      <c r="AD290" s="9" t="s">
        <v>5100</v>
      </c>
    </row>
    <row r="291" spans="1:31">
      <c r="A291" s="9" t="s">
        <v>1875</v>
      </c>
      <c r="B291" s="9" t="s">
        <v>1881</v>
      </c>
      <c r="C291" s="9" t="s">
        <v>105</v>
      </c>
      <c r="D291" s="9">
        <v>10.199999999999999</v>
      </c>
      <c r="E291" s="9">
        <v>0.56999999999999995</v>
      </c>
      <c r="F291" s="9">
        <v>424.5</v>
      </c>
      <c r="G291" s="59">
        <v>6.0000000000000001E-3</v>
      </c>
      <c r="H291" s="9">
        <v>8.5399999999999991</v>
      </c>
      <c r="I291" s="9">
        <v>6</v>
      </c>
      <c r="J291" s="9" t="s">
        <v>122</v>
      </c>
      <c r="K291" s="9" t="s">
        <v>1731</v>
      </c>
      <c r="L291" t="str">
        <f>IF(OR(J291="Cattle",J291="Zebu Cattle"),IF(COUNTIF(lists!$M$2:$M$258, K291) &gt; 0,"bos.indicus",IF(COUNTIF(lists!$L$2:$L$258, K291) &gt; 0,"cross.bred","pure.bred.exotic")),"NA")</f>
        <v>cross.bred</v>
      </c>
      <c r="M291"/>
      <c r="N291"/>
      <c r="O291" s="9" t="s">
        <v>124</v>
      </c>
      <c r="P291" s="9" t="s">
        <v>106</v>
      </c>
      <c r="Q291" s="9" t="s">
        <v>3809</v>
      </c>
      <c r="R291" s="9" t="s">
        <v>3830</v>
      </c>
      <c r="S291" s="9">
        <v>385.76</v>
      </c>
      <c r="T291" s="9">
        <v>117.59</v>
      </c>
      <c r="U291" s="9">
        <v>99.75</v>
      </c>
      <c r="V291" s="9">
        <v>891.29</v>
      </c>
      <c r="W291" s="9" t="s">
        <v>106</v>
      </c>
      <c r="X291" s="9">
        <v>580.17999999999995</v>
      </c>
      <c r="Y291" s="9">
        <v>67.599999999999994</v>
      </c>
      <c r="Z291" s="9">
        <v>46.06</v>
      </c>
      <c r="AA291" s="9">
        <v>69.400000000000006</v>
      </c>
      <c r="AB291" s="9">
        <v>71.599999999999994</v>
      </c>
      <c r="AC291" s="9" t="s">
        <v>5100</v>
      </c>
      <c r="AD291" s="9" t="s">
        <v>5100</v>
      </c>
    </row>
    <row r="292" spans="1:31">
      <c r="A292" s="9" t="s">
        <v>1875</v>
      </c>
      <c r="B292" s="9" t="s">
        <v>1882</v>
      </c>
      <c r="C292" s="9" t="s">
        <v>105</v>
      </c>
      <c r="D292" s="9">
        <v>11.6</v>
      </c>
      <c r="E292" s="9">
        <v>0.56999999999999995</v>
      </c>
      <c r="F292" s="9">
        <v>431</v>
      </c>
      <c r="G292" s="59">
        <v>6.6E-3</v>
      </c>
      <c r="H292" s="9">
        <v>8.69</v>
      </c>
      <c r="I292" s="9">
        <v>6</v>
      </c>
      <c r="J292" s="9" t="s">
        <v>122</v>
      </c>
      <c r="K292" s="9" t="s">
        <v>1731</v>
      </c>
      <c r="L292" t="str">
        <f>IF(OR(J292="Cattle",J292="Zebu Cattle"),IF(COUNTIF(lists!$M$2:$M$258, K292) &gt; 0,"bos.indicus",IF(COUNTIF(lists!$L$2:$L$258, K292) &gt; 0,"cross.bred","pure.bred.exotic")),"NA")</f>
        <v>cross.bred</v>
      </c>
      <c r="M292"/>
      <c r="N292"/>
      <c r="O292" s="9" t="s">
        <v>124</v>
      </c>
      <c r="P292" s="9" t="s">
        <v>106</v>
      </c>
      <c r="Q292" s="9" t="s">
        <v>3809</v>
      </c>
      <c r="R292" s="9" t="s">
        <v>3830</v>
      </c>
      <c r="S292" s="9">
        <v>378</v>
      </c>
      <c r="T292" s="9">
        <v>116.52</v>
      </c>
      <c r="U292" s="9">
        <v>109.04</v>
      </c>
      <c r="V292" s="9">
        <v>893.81</v>
      </c>
      <c r="W292" s="9" t="s">
        <v>106</v>
      </c>
      <c r="X292" s="9">
        <v>557.54999999999995</v>
      </c>
      <c r="Y292" s="9">
        <v>67</v>
      </c>
      <c r="Z292" s="9">
        <v>46.72</v>
      </c>
      <c r="AA292" s="9">
        <v>70</v>
      </c>
      <c r="AB292" s="9">
        <v>72.3</v>
      </c>
      <c r="AC292" s="9" t="s">
        <v>5100</v>
      </c>
      <c r="AD292" s="9" t="s">
        <v>5100</v>
      </c>
    </row>
    <row r="293" spans="1:31">
      <c r="A293" s="9" t="s">
        <v>1875</v>
      </c>
      <c r="B293" s="9" t="s">
        <v>1883</v>
      </c>
      <c r="C293" s="9" t="s">
        <v>105</v>
      </c>
      <c r="D293" s="9">
        <v>11.2</v>
      </c>
      <c r="E293" s="9">
        <v>0.56999999999999995</v>
      </c>
      <c r="F293" s="9">
        <v>434.5</v>
      </c>
      <c r="G293" s="59">
        <v>4.5999999999999999E-2</v>
      </c>
      <c r="H293" s="9">
        <v>9.73</v>
      </c>
      <c r="I293" s="9">
        <v>6</v>
      </c>
      <c r="J293" s="9" t="s">
        <v>122</v>
      </c>
      <c r="K293" s="9" t="s">
        <v>1731</v>
      </c>
      <c r="L293" t="str">
        <f>IF(OR(J293="Cattle",J293="Zebu Cattle"),IF(COUNTIF(lists!$M$2:$M$258, K293) &gt; 0,"bos.indicus",IF(COUNTIF(lists!$L$2:$L$258, K293) &gt; 0,"cross.bred","pure.bred.exotic")),"NA")</f>
        <v>cross.bred</v>
      </c>
      <c r="M293"/>
      <c r="N293"/>
      <c r="O293" s="9" t="s">
        <v>124</v>
      </c>
      <c r="P293" s="9" t="s">
        <v>106</v>
      </c>
      <c r="Q293" s="9" t="s">
        <v>3809</v>
      </c>
      <c r="R293" s="9" t="s">
        <v>3830</v>
      </c>
      <c r="S293" s="9">
        <v>369.59</v>
      </c>
      <c r="T293" s="9">
        <v>115.36</v>
      </c>
      <c r="U293" s="9">
        <v>119.1</v>
      </c>
      <c r="V293" s="9">
        <v>896.55</v>
      </c>
      <c r="W293" s="9" t="s">
        <v>106</v>
      </c>
      <c r="X293" s="9">
        <v>533.04</v>
      </c>
      <c r="Y293" s="9">
        <v>65.3</v>
      </c>
      <c r="Z293" s="9">
        <v>47.43</v>
      </c>
      <c r="AA293" s="9">
        <v>70.099999999999994</v>
      </c>
      <c r="AB293" s="9">
        <v>72.400000000000006</v>
      </c>
      <c r="AC293" s="9" t="s">
        <v>5100</v>
      </c>
      <c r="AD293" s="9" t="s">
        <v>5100</v>
      </c>
    </row>
    <row r="294" spans="1:31">
      <c r="A294" s="9" t="s">
        <v>1884</v>
      </c>
      <c r="B294" s="9" t="s">
        <v>1885</v>
      </c>
      <c r="C294" s="9" t="s">
        <v>105</v>
      </c>
      <c r="D294" s="9">
        <v>9.3000000000000007</v>
      </c>
      <c r="E294" s="9">
        <v>0.46</v>
      </c>
      <c r="F294" s="9">
        <v>421</v>
      </c>
      <c r="G294" s="9">
        <v>-9.7999999999999997E-3</v>
      </c>
      <c r="H294" s="9">
        <v>8.69</v>
      </c>
      <c r="I294" s="9">
        <v>6</v>
      </c>
      <c r="J294" s="9" t="s">
        <v>122</v>
      </c>
      <c r="K294" s="9" t="s">
        <v>1731</v>
      </c>
      <c r="L294" t="str">
        <f>IF(OR(J294="Cattle",J294="Zebu Cattle"),IF(COUNTIF(lists!$M$2:$M$258, K294) &gt; 0,"bos.indicus",IF(COUNTIF(lists!$L$2:$L$258, K294) &gt; 0,"cross.bred","pure.bred.exotic")),"NA")</f>
        <v>cross.bred</v>
      </c>
      <c r="M294"/>
      <c r="N294"/>
      <c r="O294" s="9" t="s">
        <v>124</v>
      </c>
      <c r="P294" s="9" t="s">
        <v>106</v>
      </c>
      <c r="Q294" s="9" t="s">
        <v>3809</v>
      </c>
      <c r="R294" s="9" t="s">
        <v>3829</v>
      </c>
      <c r="S294" s="9">
        <v>372.72</v>
      </c>
      <c r="T294" s="9">
        <v>116.53</v>
      </c>
      <c r="U294" s="9">
        <v>97.73</v>
      </c>
      <c r="V294" s="9">
        <v>891.04</v>
      </c>
      <c r="W294" s="9" t="s">
        <v>106</v>
      </c>
      <c r="X294" s="9">
        <v>550.17999999999995</v>
      </c>
      <c r="Y294" s="9">
        <v>61.3</v>
      </c>
      <c r="Z294" s="9">
        <v>49.02</v>
      </c>
      <c r="AA294" s="9">
        <v>65.8</v>
      </c>
      <c r="AB294" s="9">
        <v>67.7</v>
      </c>
      <c r="AC294" s="9" t="s">
        <v>5100</v>
      </c>
      <c r="AD294" s="9" t="s">
        <v>5100</v>
      </c>
    </row>
    <row r="295" spans="1:31">
      <c r="A295" s="9" t="s">
        <v>1884</v>
      </c>
      <c r="B295" s="9" t="s">
        <v>1886</v>
      </c>
      <c r="C295" s="9" t="s">
        <v>105</v>
      </c>
      <c r="D295" s="9">
        <v>10.5</v>
      </c>
      <c r="E295" s="9">
        <v>0.46</v>
      </c>
      <c r="F295" s="9">
        <v>427</v>
      </c>
      <c r="G295" s="9">
        <v>-2.7300000000000001E-2</v>
      </c>
      <c r="H295" s="9">
        <v>9.64</v>
      </c>
      <c r="I295" s="9">
        <v>6</v>
      </c>
      <c r="J295" s="9" t="s">
        <v>122</v>
      </c>
      <c r="K295" s="9" t="s">
        <v>1731</v>
      </c>
      <c r="L295" t="str">
        <f>IF(OR(J295="Cattle",J295="Zebu Cattle"),IF(COUNTIF(lists!$M$2:$M$258, K295) &gt; 0,"bos.indicus",IF(COUNTIF(lists!$L$2:$L$258, K295) &gt; 0,"cross.bred","pure.bred.exotic")),"NA")</f>
        <v>cross.bred</v>
      </c>
      <c r="M295"/>
      <c r="N295"/>
      <c r="O295" s="9" t="s">
        <v>124</v>
      </c>
      <c r="P295" s="9" t="s">
        <v>106</v>
      </c>
      <c r="Q295" s="9" t="s">
        <v>3809</v>
      </c>
      <c r="R295" s="9" t="s">
        <v>3829</v>
      </c>
      <c r="S295" s="9">
        <v>345.77</v>
      </c>
      <c r="T295" s="9">
        <v>109.4</v>
      </c>
      <c r="U295" s="9">
        <v>104.34</v>
      </c>
      <c r="V295" s="9">
        <v>888.22</v>
      </c>
      <c r="W295" s="9" t="s">
        <v>106</v>
      </c>
      <c r="X295" s="9">
        <v>544.69000000000005</v>
      </c>
      <c r="Y295" s="9">
        <v>62.7</v>
      </c>
      <c r="Z295" s="9">
        <v>46.44</v>
      </c>
      <c r="AA295" s="9">
        <v>68.3</v>
      </c>
      <c r="AB295" s="9">
        <v>70.099999999999994</v>
      </c>
      <c r="AC295" s="9" t="s">
        <v>5100</v>
      </c>
      <c r="AD295" s="9" t="s">
        <v>5100</v>
      </c>
    </row>
    <row r="296" spans="1:31">
      <c r="A296" s="9" t="s">
        <v>1884</v>
      </c>
      <c r="B296" s="9" t="s">
        <v>1887</v>
      </c>
      <c r="C296" s="9" t="s">
        <v>105</v>
      </c>
      <c r="D296" s="9">
        <v>11.2</v>
      </c>
      <c r="E296" s="9">
        <v>0.46</v>
      </c>
      <c r="F296" s="9">
        <v>440.5</v>
      </c>
      <c r="G296" s="9">
        <v>-1.0200000000000001E-2</v>
      </c>
      <c r="H296" s="9">
        <v>10.94</v>
      </c>
      <c r="I296" s="9">
        <v>6</v>
      </c>
      <c r="J296" s="9" t="s">
        <v>122</v>
      </c>
      <c r="K296" s="9" t="s">
        <v>1731</v>
      </c>
      <c r="L296" t="str">
        <f>IF(OR(J296="Cattle",J296="Zebu Cattle"),IF(COUNTIF(lists!$M$2:$M$258, K296) &gt; 0,"bos.indicus",IF(COUNTIF(lists!$L$2:$L$258, K296) &gt; 0,"cross.bred","pure.bred.exotic")),"NA")</f>
        <v>cross.bred</v>
      </c>
      <c r="M296"/>
      <c r="N296"/>
      <c r="O296" s="9" t="s">
        <v>124</v>
      </c>
      <c r="P296" s="9" t="s">
        <v>106</v>
      </c>
      <c r="Q296" s="9" t="s">
        <v>3809</v>
      </c>
      <c r="R296" s="9" t="s">
        <v>3829</v>
      </c>
      <c r="S296" s="9">
        <v>317.79000000000002</v>
      </c>
      <c r="T296" s="9">
        <v>102.06</v>
      </c>
      <c r="U296" s="9">
        <v>111.3</v>
      </c>
      <c r="V296" s="9">
        <v>894.1</v>
      </c>
      <c r="W296" s="9" t="s">
        <v>106</v>
      </c>
      <c r="X296" s="9">
        <v>529.44000000000005</v>
      </c>
      <c r="Y296" s="9">
        <v>65.400000000000006</v>
      </c>
      <c r="Z296" s="9">
        <v>44.21</v>
      </c>
      <c r="AA296" s="9">
        <v>70.5</v>
      </c>
      <c r="AB296" s="9">
        <v>72.5</v>
      </c>
      <c r="AC296" s="9" t="s">
        <v>5100</v>
      </c>
      <c r="AD296" s="9" t="s">
        <v>5100</v>
      </c>
    </row>
    <row r="297" spans="1:31">
      <c r="A297" s="9" t="s">
        <v>1884</v>
      </c>
      <c r="B297" s="9" t="s">
        <v>1888</v>
      </c>
      <c r="C297" s="9" t="s">
        <v>105</v>
      </c>
      <c r="D297" s="9">
        <v>11.4</v>
      </c>
      <c r="E297" s="9">
        <v>0.46</v>
      </c>
      <c r="F297" s="9">
        <v>444.5</v>
      </c>
      <c r="G297" s="9">
        <v>6.8999999999999999E-3</v>
      </c>
      <c r="H297" s="9">
        <v>11.89</v>
      </c>
      <c r="I297" s="9">
        <v>6</v>
      </c>
      <c r="J297" s="9" t="s">
        <v>122</v>
      </c>
      <c r="K297" s="9" t="s">
        <v>1731</v>
      </c>
      <c r="L297" t="str">
        <f>IF(OR(J297="Cattle",J297="Zebu Cattle"),IF(COUNTIF(lists!$M$2:$M$258, K297) &gt; 0,"bos.indicus",IF(COUNTIF(lists!$L$2:$L$258, K297) &gt; 0,"cross.bred","pure.bred.exotic")),"NA")</f>
        <v>cross.bred</v>
      </c>
      <c r="M297"/>
      <c r="N297"/>
      <c r="O297" s="9" t="s">
        <v>124</v>
      </c>
      <c r="P297" s="9" t="s">
        <v>106</v>
      </c>
      <c r="Q297" s="9" t="s">
        <v>3809</v>
      </c>
      <c r="R297" s="9" t="s">
        <v>3829</v>
      </c>
      <c r="S297" s="9">
        <v>294.08</v>
      </c>
      <c r="T297" s="9">
        <v>96.17</v>
      </c>
      <c r="U297" s="9">
        <v>120.55</v>
      </c>
      <c r="V297" s="9">
        <v>883.85</v>
      </c>
      <c r="W297" s="9" t="s">
        <v>106</v>
      </c>
      <c r="X297" s="9">
        <v>523.66999999999996</v>
      </c>
      <c r="Y297" s="9">
        <v>59</v>
      </c>
      <c r="Z297" s="9">
        <v>42.61</v>
      </c>
      <c r="AA297" s="9">
        <v>67.8</v>
      </c>
      <c r="AB297" s="9">
        <v>70</v>
      </c>
      <c r="AC297" s="9" t="s">
        <v>5100</v>
      </c>
      <c r="AD297" s="9" t="s">
        <v>5100</v>
      </c>
    </row>
    <row r="298" spans="1:31">
      <c r="A298" s="9" t="s">
        <v>1884</v>
      </c>
      <c r="B298" s="9" t="s">
        <v>1889</v>
      </c>
      <c r="C298" s="9" t="s">
        <v>105</v>
      </c>
      <c r="D298" s="9">
        <v>10.4</v>
      </c>
      <c r="E298" s="9">
        <v>0.46</v>
      </c>
      <c r="F298" s="9">
        <v>432</v>
      </c>
      <c r="G298" s="9">
        <v>1.89E-2</v>
      </c>
      <c r="H298" s="9">
        <v>9.0399999999999991</v>
      </c>
      <c r="I298" s="9">
        <v>6</v>
      </c>
      <c r="J298" s="9" t="s">
        <v>122</v>
      </c>
      <c r="K298" s="9" t="s">
        <v>1731</v>
      </c>
      <c r="L298" t="str">
        <f>IF(OR(J298="Cattle",J298="Zebu Cattle"),IF(COUNTIF(lists!$M$2:$M$258, K298) &gt; 0,"bos.indicus",IF(COUNTIF(lists!$L$2:$L$258, K298) &gt; 0,"cross.bred","pure.bred.exotic")),"NA")</f>
        <v>cross.bred</v>
      </c>
      <c r="M298"/>
      <c r="N298"/>
      <c r="O298" s="9" t="s">
        <v>124</v>
      </c>
      <c r="P298" s="9" t="s">
        <v>106</v>
      </c>
      <c r="Q298" s="9" t="s">
        <v>3809</v>
      </c>
      <c r="R298" s="9" t="s">
        <v>3829</v>
      </c>
      <c r="S298" s="9">
        <v>372.65</v>
      </c>
      <c r="T298" s="9">
        <v>115</v>
      </c>
      <c r="U298" s="9">
        <v>125.24</v>
      </c>
      <c r="V298" s="9">
        <v>899.79</v>
      </c>
      <c r="W298" s="9" t="s">
        <v>106</v>
      </c>
      <c r="X298" s="9">
        <v>527.1</v>
      </c>
      <c r="Y298" s="9">
        <v>53.2</v>
      </c>
      <c r="Z298" s="9">
        <v>53.92</v>
      </c>
      <c r="AA298" s="9">
        <v>63.7</v>
      </c>
      <c r="AB298" s="9">
        <v>69.5</v>
      </c>
      <c r="AC298" s="9" t="s">
        <v>5100</v>
      </c>
      <c r="AD298" s="9" t="s">
        <v>5100</v>
      </c>
    </row>
    <row r="299" spans="1:31">
      <c r="A299" s="9" t="s">
        <v>1884</v>
      </c>
      <c r="B299" s="9" t="s">
        <v>1890</v>
      </c>
      <c r="C299" s="9" t="s">
        <v>105</v>
      </c>
      <c r="D299" s="9">
        <v>10.6</v>
      </c>
      <c r="E299" s="9">
        <v>0.46</v>
      </c>
      <c r="F299" s="9">
        <v>417.5</v>
      </c>
      <c r="G299" s="9">
        <v>-1.55E-2</v>
      </c>
      <c r="H299" s="9">
        <v>9.89</v>
      </c>
      <c r="I299" s="9">
        <v>6</v>
      </c>
      <c r="J299" s="9" t="s">
        <v>122</v>
      </c>
      <c r="K299" s="9" t="s">
        <v>1731</v>
      </c>
      <c r="L299" t="str">
        <f>IF(OR(J299="Cattle",J299="Zebu Cattle"),IF(COUNTIF(lists!$M$2:$M$258, K299) &gt; 0,"bos.indicus",IF(COUNTIF(lists!$L$2:$L$258, K299) &gt; 0,"cross.bred","pure.bred.exotic")),"NA")</f>
        <v>cross.bred</v>
      </c>
      <c r="M299"/>
      <c r="N299"/>
      <c r="O299" s="9" t="s">
        <v>124</v>
      </c>
      <c r="P299" s="9" t="s">
        <v>106</v>
      </c>
      <c r="Q299" s="9" t="s">
        <v>3809</v>
      </c>
      <c r="R299" s="9" t="s">
        <v>3829</v>
      </c>
      <c r="S299" s="9">
        <v>344</v>
      </c>
      <c r="T299" s="9">
        <v>108.09</v>
      </c>
      <c r="U299" s="9">
        <v>130.75</v>
      </c>
      <c r="V299" s="9">
        <v>896.15</v>
      </c>
      <c r="W299" s="9" t="s">
        <v>106</v>
      </c>
      <c r="X299" s="9">
        <v>515.49</v>
      </c>
      <c r="Y299" s="9">
        <v>58.7</v>
      </c>
      <c r="Z299" s="9">
        <v>51.36</v>
      </c>
      <c r="AA299" s="9">
        <v>67.2</v>
      </c>
      <c r="AB299" s="9">
        <v>71.7</v>
      </c>
      <c r="AC299" s="9" t="s">
        <v>5100</v>
      </c>
      <c r="AD299" s="9" t="s">
        <v>5100</v>
      </c>
    </row>
    <row r="300" spans="1:31">
      <c r="A300" s="9" t="s">
        <v>1884</v>
      </c>
      <c r="B300" s="9" t="s">
        <v>1891</v>
      </c>
      <c r="C300" s="9" t="s">
        <v>105</v>
      </c>
      <c r="D300" s="9">
        <v>11.2</v>
      </c>
      <c r="E300" s="9">
        <v>0.46</v>
      </c>
      <c r="F300" s="9">
        <v>411.5</v>
      </c>
      <c r="G300" s="9">
        <v>-1.89E-2</v>
      </c>
      <c r="H300" s="9">
        <v>10.84</v>
      </c>
      <c r="I300" s="9">
        <v>6</v>
      </c>
      <c r="J300" s="9" t="s">
        <v>122</v>
      </c>
      <c r="K300" s="9" t="s">
        <v>1731</v>
      </c>
      <c r="L300" t="str">
        <f>IF(OR(J300="Cattle",J300="Zebu Cattle"),IF(COUNTIF(lists!$M$2:$M$258, K300) &gt; 0,"bos.indicus",IF(COUNTIF(lists!$L$2:$L$258, K300) &gt; 0,"cross.bred","pure.bred.exotic")),"NA")</f>
        <v>cross.bred</v>
      </c>
      <c r="M300"/>
      <c r="N300"/>
      <c r="O300" s="9" t="s">
        <v>124</v>
      </c>
      <c r="P300" s="9" t="s">
        <v>106</v>
      </c>
      <c r="Q300" s="9" t="s">
        <v>3809</v>
      </c>
      <c r="R300" s="9" t="s">
        <v>3829</v>
      </c>
      <c r="S300" s="9">
        <v>319.04000000000002</v>
      </c>
      <c r="T300" s="9">
        <v>101.93</v>
      </c>
      <c r="U300" s="9">
        <v>135.13</v>
      </c>
      <c r="V300" s="9">
        <v>892.89</v>
      </c>
      <c r="W300" s="9" t="s">
        <v>106</v>
      </c>
      <c r="X300" s="9">
        <v>507.8</v>
      </c>
      <c r="Y300" s="9">
        <v>59.9</v>
      </c>
      <c r="Z300" s="9">
        <v>48.93</v>
      </c>
      <c r="AA300" s="9">
        <v>68.8</v>
      </c>
      <c r="AB300" s="9">
        <v>71.400000000000006</v>
      </c>
      <c r="AC300" s="9" t="s">
        <v>5100</v>
      </c>
      <c r="AD300" s="9" t="s">
        <v>5100</v>
      </c>
    </row>
    <row r="301" spans="1:31">
      <c r="A301" s="9" t="s">
        <v>1884</v>
      </c>
      <c r="B301" s="9" t="s">
        <v>1892</v>
      </c>
      <c r="C301" s="9" t="s">
        <v>105</v>
      </c>
      <c r="D301" s="9">
        <v>12.1</v>
      </c>
      <c r="E301" s="9">
        <v>0.46</v>
      </c>
      <c r="F301" s="9">
        <v>447</v>
      </c>
      <c r="G301" s="9">
        <v>-2.35E-2</v>
      </c>
      <c r="H301" s="9">
        <v>11.15</v>
      </c>
      <c r="I301" s="9">
        <v>6</v>
      </c>
      <c r="J301" s="9" t="s">
        <v>122</v>
      </c>
      <c r="K301" s="9" t="s">
        <v>1731</v>
      </c>
      <c r="L301" t="str">
        <f>IF(OR(J301="Cattle",J301="Zebu Cattle"),IF(COUNTIF(lists!$M$2:$M$258, K301) &gt; 0,"bos.indicus",IF(COUNTIF(lists!$L$2:$L$258, K301) &gt; 0,"cross.bred","pure.bred.exotic")),"NA")</f>
        <v>cross.bred</v>
      </c>
      <c r="M301"/>
      <c r="N301"/>
      <c r="O301" s="9" t="s">
        <v>124</v>
      </c>
      <c r="P301" s="9" t="s">
        <v>106</v>
      </c>
      <c r="Q301" s="9" t="s">
        <v>3809</v>
      </c>
      <c r="R301" s="9" t="s">
        <v>3829</v>
      </c>
      <c r="S301" s="9">
        <v>296.81</v>
      </c>
      <c r="T301" s="9">
        <v>96.35</v>
      </c>
      <c r="U301" s="9">
        <v>138.77000000000001</v>
      </c>
      <c r="V301" s="9">
        <v>889.95</v>
      </c>
      <c r="W301" s="9" t="s">
        <v>106</v>
      </c>
      <c r="X301" s="9">
        <v>502.45</v>
      </c>
      <c r="Y301" s="9">
        <v>59.5</v>
      </c>
      <c r="Z301" s="9">
        <v>46.63</v>
      </c>
      <c r="AA301" s="9">
        <v>70</v>
      </c>
      <c r="AB301" s="9">
        <v>72.599999999999994</v>
      </c>
      <c r="AC301" s="9" t="s">
        <v>5100</v>
      </c>
      <c r="AD301" s="9" t="s">
        <v>5100</v>
      </c>
    </row>
    <row r="302" spans="1:31">
      <c r="A302" s="9" t="s">
        <v>1969</v>
      </c>
      <c r="B302" s="9" t="s">
        <v>1970</v>
      </c>
      <c r="C302" s="9" t="s">
        <v>105</v>
      </c>
      <c r="D302" s="9">
        <v>5.4</v>
      </c>
      <c r="E302" s="9">
        <v>0.03</v>
      </c>
      <c r="F302" s="9">
        <v>215</v>
      </c>
      <c r="G302" s="9">
        <v>0.57999999999999996</v>
      </c>
      <c r="H302" s="9" t="s">
        <v>106</v>
      </c>
      <c r="I302" s="9">
        <v>8</v>
      </c>
      <c r="J302" s="9" t="s">
        <v>122</v>
      </c>
      <c r="K302" s="9" t="s">
        <v>1971</v>
      </c>
      <c r="L302" t="str">
        <f>IF(OR(J302="Cattle",J302="Zebu Cattle"),IF(COUNTIF(lists!$M$2:$M$258, K302) &gt; 0,"bos.indicus",IF(COUNTIF(lists!$L$2:$L$258, K302) &gt; 0,"cross.bred","pure.bred.exotic")),"NA")</f>
        <v>cross.bred</v>
      </c>
      <c r="M302"/>
      <c r="N302"/>
      <c r="O302" s="9" t="s">
        <v>124</v>
      </c>
      <c r="P302" s="9" t="s">
        <v>106</v>
      </c>
      <c r="Q302" s="9" t="s">
        <v>3805</v>
      </c>
      <c r="R302" s="9" t="s">
        <v>3830</v>
      </c>
      <c r="S302" s="9" t="s">
        <v>106</v>
      </c>
      <c r="T302" s="9">
        <v>97.2</v>
      </c>
      <c r="U302" s="9">
        <v>144.80000000000001</v>
      </c>
      <c r="V302" s="9">
        <v>409.5</v>
      </c>
      <c r="W302" s="9" t="s">
        <v>106</v>
      </c>
      <c r="X302" s="9" t="s">
        <v>106</v>
      </c>
      <c r="Y302" s="9" t="s">
        <v>106</v>
      </c>
      <c r="Z302" s="9" t="s">
        <v>106</v>
      </c>
      <c r="AA302" s="9" t="s">
        <v>106</v>
      </c>
      <c r="AB302" s="9" t="s">
        <v>106</v>
      </c>
      <c r="AC302" s="9" t="s">
        <v>5100</v>
      </c>
      <c r="AD302" s="9" t="s">
        <v>5100</v>
      </c>
    </row>
    <row r="303" spans="1:31">
      <c r="A303" s="9" t="s">
        <v>1969</v>
      </c>
      <c r="B303" s="9" t="s">
        <v>1972</v>
      </c>
      <c r="C303" s="9" t="s">
        <v>105</v>
      </c>
      <c r="D303" s="9">
        <v>4.3</v>
      </c>
      <c r="E303" s="9">
        <v>0.03</v>
      </c>
      <c r="F303" s="9">
        <v>190</v>
      </c>
      <c r="G303" s="9">
        <v>0.375</v>
      </c>
      <c r="H303" s="9" t="s">
        <v>106</v>
      </c>
      <c r="I303" s="9">
        <v>8</v>
      </c>
      <c r="J303" s="9" t="s">
        <v>122</v>
      </c>
      <c r="K303" s="9" t="s">
        <v>1971</v>
      </c>
      <c r="L303" t="str">
        <f>IF(OR(J303="Cattle",J303="Zebu Cattle"),IF(COUNTIF(lists!$M$2:$M$258, K303) &gt; 0,"bos.indicus",IF(COUNTIF(lists!$L$2:$L$258, K303) &gt; 0,"cross.bred","pure.bred.exotic")),"NA")</f>
        <v>cross.bred</v>
      </c>
      <c r="M303"/>
      <c r="N303"/>
      <c r="O303" s="9" t="s">
        <v>124</v>
      </c>
      <c r="P303" s="9" t="s">
        <v>106</v>
      </c>
      <c r="Q303" s="9" t="s">
        <v>3805</v>
      </c>
      <c r="R303" s="9" t="s">
        <v>3830</v>
      </c>
      <c r="S303" s="9" t="s">
        <v>106</v>
      </c>
      <c r="T303" s="9">
        <v>115.3</v>
      </c>
      <c r="U303" s="9">
        <v>121.8</v>
      </c>
      <c r="V303" s="9">
        <v>338.4</v>
      </c>
      <c r="W303" s="9" t="s">
        <v>106</v>
      </c>
      <c r="X303" s="9" t="s">
        <v>106</v>
      </c>
      <c r="Y303" s="9" t="s">
        <v>106</v>
      </c>
      <c r="Z303" s="9" t="s">
        <v>106</v>
      </c>
      <c r="AA303" s="9" t="s">
        <v>106</v>
      </c>
      <c r="AB303" s="9" t="s">
        <v>106</v>
      </c>
      <c r="AC303" s="9" t="s">
        <v>5100</v>
      </c>
      <c r="AD303" s="9" t="s">
        <v>5100</v>
      </c>
    </row>
    <row r="304" spans="1:31" hidden="1">
      <c r="A304" s="9" t="s">
        <v>114</v>
      </c>
      <c r="B304" s="9" t="s">
        <v>115</v>
      </c>
      <c r="C304" s="9" t="s">
        <v>105</v>
      </c>
      <c r="D304" s="9">
        <v>0.22819999999999999</v>
      </c>
      <c r="E304" s="9">
        <v>18.36</v>
      </c>
      <c r="F304" s="9">
        <v>9.7200000000000006</v>
      </c>
      <c r="G304" s="9">
        <v>14.59</v>
      </c>
      <c r="H304" s="9" t="s">
        <v>106</v>
      </c>
      <c r="I304" s="9">
        <v>9</v>
      </c>
      <c r="J304" s="9" t="s">
        <v>116</v>
      </c>
      <c r="K304" s="9" t="s">
        <v>117</v>
      </c>
      <c r="L304" t="str">
        <f>IF(OR(J304="Cattle",J304="Zebu Cattle"),IF(COUNTIF(lists!$M$2:$M$258, K304) &gt; 0,"bos.indicus",IF(COUNTIF(lists!$L$2:$L$258, K304) &gt; 0,"cross.bred","pure.bred.exotic")),"NA")</f>
        <v>NA</v>
      </c>
      <c r="M304" t="str">
        <f>IF(J304="Sheep",IF(COUNTIF(lists!$H$2:$H$258, K304) &gt; 0,"indigenous",IF(COUNTIF(lists!$G$2:$G$258, K304) &gt; 0,"cross.bred","not found")),"NA")</f>
        <v>NA</v>
      </c>
      <c r="N304" t="str">
        <f>IF(J304="Goat",IF(COUNTIF(lists!$J$2:$J$258, K304) &gt; 0,"indigenous",IF(COUNTIF(lists!$I$2:$I$258, K304) &gt; 0,"cross.bred","not found")),"NA")</f>
        <v>indigenous</v>
      </c>
      <c r="O304" s="9" t="s">
        <v>109</v>
      </c>
      <c r="P304" s="9" t="s">
        <v>106</v>
      </c>
      <c r="Q304" s="9" t="s">
        <v>3804</v>
      </c>
      <c r="S304" s="9" t="s">
        <v>106</v>
      </c>
      <c r="T304" s="9">
        <v>57.7</v>
      </c>
      <c r="U304" s="9">
        <v>142.1</v>
      </c>
      <c r="V304" s="9">
        <v>880.5</v>
      </c>
      <c r="W304" s="9">
        <v>34.6</v>
      </c>
      <c r="X304" s="9" t="s">
        <v>106</v>
      </c>
      <c r="Y304" s="9" t="s">
        <v>106</v>
      </c>
      <c r="Z304" s="37"/>
      <c r="AA304" s="37"/>
      <c r="AB304" s="37"/>
      <c r="AE304">
        <v>0</v>
      </c>
    </row>
    <row r="305" spans="1:31" hidden="1">
      <c r="A305" s="9" t="s">
        <v>114</v>
      </c>
      <c r="B305" s="9" t="s">
        <v>118</v>
      </c>
      <c r="C305" s="9" t="s">
        <v>105</v>
      </c>
      <c r="D305" s="9">
        <v>0.24063999999999999</v>
      </c>
      <c r="E305" s="9">
        <v>18.36</v>
      </c>
      <c r="F305" s="9">
        <v>9.25</v>
      </c>
      <c r="G305" s="9">
        <v>16.96</v>
      </c>
      <c r="H305" s="9" t="s">
        <v>106</v>
      </c>
      <c r="I305" s="9">
        <v>9</v>
      </c>
      <c r="J305" s="9" t="s">
        <v>116</v>
      </c>
      <c r="K305" s="9" t="s">
        <v>117</v>
      </c>
      <c r="L305" t="str">
        <f>IF(OR(J305="Cattle",J305="Zebu Cattle"),IF(COUNTIF(lists!$M$2:$M$258, K305) &gt; 0,"bos.indicus",IF(COUNTIF(lists!$L$2:$L$258, K305) &gt; 0,"cross.bred","pure.bred.exotic")),"NA")</f>
        <v>NA</v>
      </c>
      <c r="M305" t="str">
        <f>IF(J305="Sheep",IF(COUNTIF(lists!$H$2:$H$258, K305) &gt; 0,"indigenous",IF(COUNTIF(lists!$G$2:$G$258, K305) &gt; 0,"cross.bred","not found")),"NA")</f>
        <v>NA</v>
      </c>
      <c r="N305" t="str">
        <f>IF(J305="Goat",IF(COUNTIF(lists!$J$2:$J$258, K305) &gt; 0,"indigenous",IF(COUNTIF(lists!$I$2:$I$258, K305) &gt; 0,"cross.bred","not found")),"NA")</f>
        <v>indigenous</v>
      </c>
      <c r="O305" s="9" t="s">
        <v>109</v>
      </c>
      <c r="P305" s="9" t="s">
        <v>106</v>
      </c>
      <c r="Q305" s="9" t="s">
        <v>3804</v>
      </c>
      <c r="S305" s="9" t="s">
        <v>106</v>
      </c>
      <c r="T305" s="9">
        <v>54.6</v>
      </c>
      <c r="U305" s="9">
        <v>139.30000000000001</v>
      </c>
      <c r="V305" s="9">
        <v>881.4</v>
      </c>
      <c r="W305" s="9">
        <v>34.200000000000003</v>
      </c>
      <c r="X305" s="9" t="s">
        <v>106</v>
      </c>
      <c r="Y305" s="9" t="s">
        <v>106</v>
      </c>
      <c r="Z305" s="37"/>
      <c r="AA305" s="37"/>
      <c r="AB305" s="37"/>
      <c r="AE305">
        <v>0</v>
      </c>
    </row>
    <row r="306" spans="1:31" hidden="1">
      <c r="A306" s="9" t="s">
        <v>114</v>
      </c>
      <c r="B306" s="9" t="s">
        <v>119</v>
      </c>
      <c r="C306" s="9" t="s">
        <v>105</v>
      </c>
      <c r="D306" s="9">
        <v>0.27334999999999998</v>
      </c>
      <c r="E306" s="9">
        <v>18.36</v>
      </c>
      <c r="F306" s="9">
        <v>9.83</v>
      </c>
      <c r="G306" s="9">
        <v>23</v>
      </c>
      <c r="H306" s="9" t="s">
        <v>106</v>
      </c>
      <c r="I306" s="9">
        <v>9</v>
      </c>
      <c r="J306" s="9" t="s">
        <v>116</v>
      </c>
      <c r="K306" s="9" t="s">
        <v>117</v>
      </c>
      <c r="L306" t="str">
        <f>IF(OR(J306="Cattle",J306="Zebu Cattle"),IF(COUNTIF(lists!$M$2:$M$258, K306) &gt; 0,"bos.indicus",IF(COUNTIF(lists!$L$2:$L$258, K306) &gt; 0,"cross.bred","pure.bred.exotic")),"NA")</f>
        <v>NA</v>
      </c>
      <c r="M306" t="str">
        <f>IF(J306="Sheep",IF(COUNTIF(lists!$H$2:$H$258, K306) &gt; 0,"indigenous",IF(COUNTIF(lists!$G$2:$G$258, K306) &gt; 0,"cross.bred","not found")),"NA")</f>
        <v>NA</v>
      </c>
      <c r="N306" t="str">
        <f>IF(J306="Goat",IF(COUNTIF(lists!$J$2:$J$258, K306) &gt; 0,"indigenous",IF(COUNTIF(lists!$I$2:$I$258, K306) &gt; 0,"cross.bred","not found")),"NA")</f>
        <v>indigenous</v>
      </c>
      <c r="O306" s="9" t="s">
        <v>109</v>
      </c>
      <c r="P306" s="9" t="s">
        <v>106</v>
      </c>
      <c r="Q306" s="9" t="s">
        <v>3804</v>
      </c>
      <c r="S306" s="9" t="s">
        <v>106</v>
      </c>
      <c r="T306" s="9">
        <v>52.2</v>
      </c>
      <c r="U306" s="9">
        <v>136.19999999999999</v>
      </c>
      <c r="V306" s="9">
        <v>881.1</v>
      </c>
      <c r="W306" s="9">
        <v>33.799999999999997</v>
      </c>
      <c r="X306" s="9" t="s">
        <v>106</v>
      </c>
      <c r="Y306" s="9" t="s">
        <v>106</v>
      </c>
      <c r="Z306" s="37"/>
      <c r="AA306" s="37"/>
      <c r="AB306" s="37"/>
      <c r="AE306">
        <v>0</v>
      </c>
    </row>
    <row r="307" spans="1:31" hidden="1">
      <c r="A307" s="9" t="s">
        <v>142</v>
      </c>
      <c r="B307" s="9" t="s">
        <v>143</v>
      </c>
      <c r="C307" s="9" t="s">
        <v>105</v>
      </c>
      <c r="D307" s="9">
        <v>0.41099999999999998</v>
      </c>
      <c r="E307" s="9">
        <v>19.100000000000001</v>
      </c>
      <c r="F307" s="9">
        <v>15.4</v>
      </c>
      <c r="G307" s="9">
        <v>-4.9000000000000004</v>
      </c>
      <c r="H307" s="9" t="s">
        <v>106</v>
      </c>
      <c r="I307" s="9">
        <v>20</v>
      </c>
      <c r="J307" s="9" t="s">
        <v>116</v>
      </c>
      <c r="K307" s="9" t="s">
        <v>144</v>
      </c>
      <c r="L307" t="str">
        <f>IF(OR(J307="Cattle",J307="Zebu Cattle"),IF(COUNTIF(lists!$M$2:$M$258, K307) &gt; 0,"bos.indicus",IF(COUNTIF(lists!$L$2:$L$258, K307) &gt; 0,"cross.bred","pure.bred.exotic")),"NA")</f>
        <v>NA</v>
      </c>
      <c r="M307" t="str">
        <f>IF(J307="Sheep",IF(COUNTIF(lists!$H$2:$H$258, K307) &gt; 0,"indigenous",IF(COUNTIF(lists!$G$2:$G$258, K307) &gt; 0,"cross.bred","not found")),"NA")</f>
        <v>NA</v>
      </c>
      <c r="N307" t="str">
        <f>IF(J307="Goat",IF(COUNTIF(lists!$J$2:$J$258, K307) &gt; 0,"indigenous",IF(COUNTIF(lists!$I$2:$I$258, K307) &gt; 0,"cross.bred","not found")),"NA")</f>
        <v>not found</v>
      </c>
      <c r="O307" s="9" t="s">
        <v>109</v>
      </c>
      <c r="P307" s="9" t="s">
        <v>106</v>
      </c>
      <c r="Q307" s="9" t="s">
        <v>3804</v>
      </c>
      <c r="S307" s="9" t="s">
        <v>106</v>
      </c>
      <c r="T307" s="9" t="s">
        <v>106</v>
      </c>
      <c r="U307" s="9" t="s">
        <v>106</v>
      </c>
      <c r="V307" s="9" t="s">
        <v>106</v>
      </c>
      <c r="W307" s="9" t="s">
        <v>106</v>
      </c>
      <c r="X307" s="9" t="s">
        <v>106</v>
      </c>
      <c r="Y307" s="9">
        <v>0.54</v>
      </c>
      <c r="Z307" s="37"/>
      <c r="AA307" s="37"/>
      <c r="AB307" s="37"/>
      <c r="AE307">
        <v>0</v>
      </c>
    </row>
    <row r="308" spans="1:31" hidden="1">
      <c r="A308" s="9" t="s">
        <v>142</v>
      </c>
      <c r="B308" s="9" t="s">
        <v>145</v>
      </c>
      <c r="C308" s="9" t="s">
        <v>105</v>
      </c>
      <c r="D308" s="9">
        <v>0.51300000000000001</v>
      </c>
      <c r="E308" s="9">
        <v>19.2</v>
      </c>
      <c r="F308" s="9">
        <v>15.4</v>
      </c>
      <c r="G308" s="9">
        <v>-4.9000000000000004</v>
      </c>
      <c r="H308" s="9" t="s">
        <v>106</v>
      </c>
      <c r="I308" s="9">
        <v>20</v>
      </c>
      <c r="J308" s="9" t="s">
        <v>116</v>
      </c>
      <c r="K308" s="9" t="s">
        <v>144</v>
      </c>
      <c r="L308" t="str">
        <f>IF(OR(J308="Cattle",J308="Zebu Cattle"),IF(COUNTIF(lists!$M$2:$M$258, K308) &gt; 0,"bos.indicus",IF(COUNTIF(lists!$L$2:$L$258, K308) &gt; 0,"cross.bred","pure.bred.exotic")),"NA")</f>
        <v>NA</v>
      </c>
      <c r="M308" t="str">
        <f>IF(J308="Sheep",IF(COUNTIF(lists!$H$2:$H$258, K308) &gt; 0,"indigenous",IF(COUNTIF(lists!$G$2:$G$258, K308) &gt; 0,"cross.bred","not found")),"NA")</f>
        <v>NA</v>
      </c>
      <c r="N308" t="str">
        <f>IF(J308="Goat",IF(COUNTIF(lists!$J$2:$J$258, K308) &gt; 0,"indigenous",IF(COUNTIF(lists!$I$2:$I$258, K308) &gt; 0,"cross.bred","not found")),"NA")</f>
        <v>not found</v>
      </c>
      <c r="O308" s="9" t="s">
        <v>109</v>
      </c>
      <c r="P308" s="9" t="s">
        <v>106</v>
      </c>
      <c r="Q308" s="9" t="s">
        <v>3804</v>
      </c>
      <c r="S308" s="9" t="s">
        <v>106</v>
      </c>
      <c r="T308" s="9" t="s">
        <v>106</v>
      </c>
      <c r="U308" s="9" t="s">
        <v>106</v>
      </c>
      <c r="V308" s="9" t="s">
        <v>106</v>
      </c>
      <c r="W308" s="9" t="s">
        <v>106</v>
      </c>
      <c r="X308" s="9" t="s">
        <v>106</v>
      </c>
      <c r="Y308" s="9">
        <v>0.62</v>
      </c>
      <c r="Z308" s="37"/>
      <c r="AA308" s="37"/>
      <c r="AB308" s="37"/>
      <c r="AE308">
        <v>0</v>
      </c>
    </row>
    <row r="309" spans="1:31" hidden="1">
      <c r="A309" s="9" t="s">
        <v>142</v>
      </c>
      <c r="B309" s="9" t="s">
        <v>146</v>
      </c>
      <c r="C309" s="9" t="s">
        <v>105</v>
      </c>
      <c r="D309" s="9">
        <v>0.63900000000000001</v>
      </c>
      <c r="E309" s="9">
        <v>19.2</v>
      </c>
      <c r="F309" s="9">
        <v>15.5</v>
      </c>
      <c r="G309" s="9">
        <v>24.2</v>
      </c>
      <c r="H309" s="9" t="s">
        <v>106</v>
      </c>
      <c r="I309" s="9">
        <v>20</v>
      </c>
      <c r="J309" s="9" t="s">
        <v>116</v>
      </c>
      <c r="K309" s="9" t="s">
        <v>144</v>
      </c>
      <c r="L309" t="str">
        <f>IF(OR(J309="Cattle",J309="Zebu Cattle"),IF(COUNTIF(lists!$M$2:$M$258, K309) &gt; 0,"bos.indicus",IF(COUNTIF(lists!$L$2:$L$258, K309) &gt; 0,"cross.bred","pure.bred.exotic")),"NA")</f>
        <v>NA</v>
      </c>
      <c r="M309" t="str">
        <f>IF(J309="Sheep",IF(COUNTIF(lists!$H$2:$H$258, K309) &gt; 0,"indigenous",IF(COUNTIF(lists!$G$2:$G$258, K309) &gt; 0,"cross.bred","not found")),"NA")</f>
        <v>NA</v>
      </c>
      <c r="N309" t="str">
        <f>IF(J309="Goat",IF(COUNTIF(lists!$J$2:$J$258, K309) &gt; 0,"indigenous",IF(COUNTIF(lists!$I$2:$I$258, K309) &gt; 0,"cross.bred","not found")),"NA")</f>
        <v>not found</v>
      </c>
      <c r="O309" s="9" t="s">
        <v>109</v>
      </c>
      <c r="P309" s="9" t="s">
        <v>106</v>
      </c>
      <c r="Q309" s="9" t="s">
        <v>3804</v>
      </c>
      <c r="S309" s="9" t="s">
        <v>106</v>
      </c>
      <c r="T309" s="9" t="s">
        <v>106</v>
      </c>
      <c r="U309" s="9" t="s">
        <v>106</v>
      </c>
      <c r="V309" s="9" t="s">
        <v>106</v>
      </c>
      <c r="W309" s="9" t="s">
        <v>106</v>
      </c>
      <c r="X309" s="9" t="s">
        <v>106</v>
      </c>
      <c r="Y309" s="9">
        <v>0.65</v>
      </c>
      <c r="Z309" s="37"/>
      <c r="AA309" s="37"/>
      <c r="AB309" s="37"/>
      <c r="AE309">
        <v>0</v>
      </c>
    </row>
    <row r="310" spans="1:31" hidden="1">
      <c r="A310" s="9" t="s">
        <v>142</v>
      </c>
      <c r="B310" s="9" t="s">
        <v>147</v>
      </c>
      <c r="C310" s="9" t="s">
        <v>105</v>
      </c>
      <c r="D310" s="9">
        <v>0.76300000000000001</v>
      </c>
      <c r="E310" s="9">
        <v>19.2</v>
      </c>
      <c r="F310" s="9">
        <v>15.7</v>
      </c>
      <c r="G310" s="9">
        <v>27.1</v>
      </c>
      <c r="H310" s="9" t="s">
        <v>106</v>
      </c>
      <c r="I310" s="9">
        <v>20</v>
      </c>
      <c r="J310" s="9" t="s">
        <v>116</v>
      </c>
      <c r="K310" s="9" t="s">
        <v>144</v>
      </c>
      <c r="L310" t="str">
        <f>IF(OR(J310="Cattle",J310="Zebu Cattle"),IF(COUNTIF(lists!$M$2:$M$258, K310) &gt; 0,"bos.indicus",IF(COUNTIF(lists!$L$2:$L$258, K310) &gt; 0,"cross.bred","pure.bred.exotic")),"NA")</f>
        <v>NA</v>
      </c>
      <c r="M310" t="str">
        <f>IF(J310="Sheep",IF(COUNTIF(lists!$H$2:$H$258, K310) &gt; 0,"indigenous",IF(COUNTIF(lists!$G$2:$G$258, K310) &gt; 0,"cross.bred","not found")),"NA")</f>
        <v>NA</v>
      </c>
      <c r="N310" t="str">
        <f>IF(J310="Goat",IF(COUNTIF(lists!$J$2:$J$258, K310) &gt; 0,"indigenous",IF(COUNTIF(lists!$I$2:$I$258, K310) &gt; 0,"cross.bred","not found")),"NA")</f>
        <v>not found</v>
      </c>
      <c r="O310" s="9" t="s">
        <v>109</v>
      </c>
      <c r="P310" s="9" t="s">
        <v>106</v>
      </c>
      <c r="Q310" s="9" t="s">
        <v>3804</v>
      </c>
      <c r="S310" s="9" t="s">
        <v>106</v>
      </c>
      <c r="T310" s="9" t="s">
        <v>106</v>
      </c>
      <c r="U310" s="9" t="s">
        <v>106</v>
      </c>
      <c r="V310" s="9" t="s">
        <v>106</v>
      </c>
      <c r="W310" s="9" t="s">
        <v>106</v>
      </c>
      <c r="X310" s="9" t="s">
        <v>106</v>
      </c>
      <c r="Y310" s="9" t="s">
        <v>106</v>
      </c>
      <c r="Z310" s="37"/>
      <c r="AA310" s="37"/>
      <c r="AB310" s="37"/>
      <c r="AE310">
        <v>0</v>
      </c>
    </row>
    <row r="311" spans="1:31" hidden="1">
      <c r="A311" s="9" t="s">
        <v>158</v>
      </c>
      <c r="B311" s="9" t="s">
        <v>159</v>
      </c>
      <c r="C311" s="9" t="s">
        <v>105</v>
      </c>
      <c r="D311" s="9">
        <v>0.86499999999999999</v>
      </c>
      <c r="E311" s="9">
        <v>43</v>
      </c>
      <c r="F311" s="9" t="s">
        <v>106</v>
      </c>
      <c r="G311" s="9" t="s">
        <v>106</v>
      </c>
      <c r="H311" s="9" t="s">
        <v>106</v>
      </c>
      <c r="I311" s="9">
        <v>16</v>
      </c>
      <c r="J311" s="9" t="s">
        <v>116</v>
      </c>
      <c r="K311" s="9" t="s">
        <v>160</v>
      </c>
      <c r="L311" t="str">
        <f>IF(OR(J311="Cattle",J311="Zebu Cattle"),IF(COUNTIF(lists!$M$2:$M$258, K311) &gt; 0,"bos.indicus",IF(COUNTIF(lists!$L$2:$L$258, K311) &gt; 0,"cross.bred","pure.bred.exotic")),"NA")</f>
        <v>NA</v>
      </c>
      <c r="M311" t="str">
        <f>IF(J311="Sheep",IF(COUNTIF(lists!$H$2:$H$258, K311) &gt; 0,"indigenous",IF(COUNTIF(lists!$G$2:$G$258, K311) &gt; 0,"cross.bred","not found")),"NA")</f>
        <v>NA</v>
      </c>
      <c r="N311" t="str">
        <f>IF(J311="Goat",IF(COUNTIF(lists!$J$2:$J$258, K311) &gt; 0,"indigenous",IF(COUNTIF(lists!$I$2:$I$258, K311) &gt; 0,"cross.bred","not found")),"NA")</f>
        <v>not found</v>
      </c>
      <c r="O311" s="9" t="s">
        <v>109</v>
      </c>
      <c r="P311" s="9" t="s">
        <v>106</v>
      </c>
      <c r="Q311" s="9" t="s">
        <v>3800</v>
      </c>
      <c r="S311" s="9" t="s">
        <v>106</v>
      </c>
      <c r="T311" s="9">
        <v>60</v>
      </c>
      <c r="U311" s="9">
        <v>120</v>
      </c>
      <c r="V311" s="9" t="s">
        <v>106</v>
      </c>
      <c r="W311" s="9" t="s">
        <v>106</v>
      </c>
      <c r="X311" s="9">
        <v>510</v>
      </c>
      <c r="Y311" s="9">
        <v>60.6</v>
      </c>
      <c r="Z311" s="37"/>
      <c r="AA311" s="37"/>
      <c r="AB311" s="37"/>
      <c r="AE311">
        <v>0</v>
      </c>
    </row>
    <row r="312" spans="1:31" hidden="1">
      <c r="A312" s="9" t="s">
        <v>158</v>
      </c>
      <c r="B312" s="9" t="s">
        <v>161</v>
      </c>
      <c r="C312" s="9" t="s">
        <v>105</v>
      </c>
      <c r="D312" s="9">
        <v>0.88500000000000001</v>
      </c>
      <c r="E312" s="9">
        <v>43</v>
      </c>
      <c r="F312" s="9" t="s">
        <v>106</v>
      </c>
      <c r="G312" s="9" t="s">
        <v>106</v>
      </c>
      <c r="H312" s="9" t="s">
        <v>106</v>
      </c>
      <c r="I312" s="9">
        <v>16</v>
      </c>
      <c r="J312" s="9" t="s">
        <v>116</v>
      </c>
      <c r="K312" s="9" t="s">
        <v>160</v>
      </c>
      <c r="L312" t="str">
        <f>IF(OR(J312="Cattle",J312="Zebu Cattle"),IF(COUNTIF(lists!$M$2:$M$258, K312) &gt; 0,"bos.indicus",IF(COUNTIF(lists!$L$2:$L$258, K312) &gt; 0,"cross.bred","pure.bred.exotic")),"NA")</f>
        <v>NA</v>
      </c>
      <c r="M312" t="str">
        <f>IF(J312="Sheep",IF(COUNTIF(lists!$H$2:$H$258, K312) &gt; 0,"indigenous",IF(COUNTIF(lists!$G$2:$G$258, K312) &gt; 0,"cross.bred","not found")),"NA")</f>
        <v>NA</v>
      </c>
      <c r="N312" t="str">
        <f>IF(J312="Goat",IF(COUNTIF(lists!$J$2:$J$258, K312) &gt; 0,"indigenous",IF(COUNTIF(lists!$I$2:$I$258, K312) &gt; 0,"cross.bred","not found")),"NA")</f>
        <v>not found</v>
      </c>
      <c r="O312" s="9" t="s">
        <v>109</v>
      </c>
      <c r="P312" s="9" t="s">
        <v>106</v>
      </c>
      <c r="Q312" s="9" t="s">
        <v>3800</v>
      </c>
      <c r="S312" s="9" t="s">
        <v>106</v>
      </c>
      <c r="T312" s="9">
        <v>73</v>
      </c>
      <c r="U312" s="9">
        <v>119</v>
      </c>
      <c r="V312" s="9" t="s">
        <v>106</v>
      </c>
      <c r="W312" s="9" t="s">
        <v>106</v>
      </c>
      <c r="X312" s="9">
        <v>465</v>
      </c>
      <c r="Y312" s="9">
        <v>56.2</v>
      </c>
      <c r="Z312" s="37"/>
      <c r="AA312" s="37"/>
      <c r="AB312" s="37"/>
      <c r="AE312">
        <v>0</v>
      </c>
    </row>
    <row r="313" spans="1:31" hidden="1">
      <c r="A313" s="9" t="s">
        <v>167</v>
      </c>
      <c r="B313" s="9" t="s">
        <v>168</v>
      </c>
      <c r="C313" s="9" t="s">
        <v>105</v>
      </c>
      <c r="D313" s="9">
        <v>0.26400000000000001</v>
      </c>
      <c r="E313" s="9" t="s">
        <v>106</v>
      </c>
      <c r="F313" s="9" t="s">
        <v>106</v>
      </c>
      <c r="G313" s="9" t="s">
        <v>106</v>
      </c>
      <c r="H313" s="9" t="s">
        <v>106</v>
      </c>
      <c r="J313" s="9" t="s">
        <v>116</v>
      </c>
      <c r="K313" s="9" t="s">
        <v>169</v>
      </c>
      <c r="L313" t="str">
        <f>IF(OR(J313="Cattle",J313="Zebu Cattle"),IF(COUNTIF(lists!$M$2:$M$258, K313) &gt; 0,"bos.indicus",IF(COUNTIF(lists!$L$2:$L$258, K313) &gt; 0,"cross.bred","pure.bred.exotic")),"NA")</f>
        <v>NA</v>
      </c>
      <c r="M313" t="str">
        <f>IF(J313="Sheep",IF(COUNTIF(lists!$H$2:$H$258, K313) &gt; 0,"indigenous",IF(COUNTIF(lists!$G$2:$G$258, K313) &gt; 0,"cross.bred","not found")),"NA")</f>
        <v>NA</v>
      </c>
      <c r="N313" t="str">
        <f>IF(J313="Goat",IF(COUNTIF(lists!$J$2:$J$258, K313) &gt; 0,"indigenous",IF(COUNTIF(lists!$I$2:$I$258, K313) &gt; 0,"cross.bred","not found")),"NA")</f>
        <v>not found</v>
      </c>
      <c r="O313" s="9" t="s">
        <v>109</v>
      </c>
      <c r="P313" s="9" t="s">
        <v>170</v>
      </c>
      <c r="S313" s="9" t="s">
        <v>106</v>
      </c>
      <c r="T313" s="9" t="s">
        <v>106</v>
      </c>
      <c r="U313" s="9" t="s">
        <v>106</v>
      </c>
      <c r="V313" s="9" t="s">
        <v>106</v>
      </c>
      <c r="W313" s="9" t="s">
        <v>106</v>
      </c>
      <c r="X313" s="9" t="s">
        <v>106</v>
      </c>
      <c r="Y313" s="9" t="s">
        <v>106</v>
      </c>
      <c r="Z313" s="37"/>
      <c r="AA313" s="37"/>
      <c r="AB313" s="37"/>
      <c r="AE313"/>
    </row>
    <row r="314" spans="1:31" hidden="1">
      <c r="A314" s="9" t="s">
        <v>167</v>
      </c>
      <c r="B314" s="9" t="s">
        <v>171</v>
      </c>
      <c r="C314" s="9" t="s">
        <v>105</v>
      </c>
      <c r="D314" s="9">
        <v>0.33700000000000002</v>
      </c>
      <c r="E314" s="9" t="s">
        <v>106</v>
      </c>
      <c r="F314" s="9" t="s">
        <v>106</v>
      </c>
      <c r="G314" s="9" t="s">
        <v>106</v>
      </c>
      <c r="H314" s="9" t="s">
        <v>106</v>
      </c>
      <c r="J314" s="9" t="s">
        <v>116</v>
      </c>
      <c r="K314" s="9" t="s">
        <v>169</v>
      </c>
      <c r="L314" t="str">
        <f>IF(OR(J314="Cattle",J314="Zebu Cattle"),IF(COUNTIF(lists!$M$2:$M$258, K314) &gt; 0,"bos.indicus",IF(COUNTIF(lists!$L$2:$L$258, K314) &gt; 0,"cross.bred","pure.bred.exotic")),"NA")</f>
        <v>NA</v>
      </c>
      <c r="M314" t="str">
        <f>IF(J314="Sheep",IF(COUNTIF(lists!$H$2:$H$258, K314) &gt; 0,"indigenous",IF(COUNTIF(lists!$G$2:$G$258, K314) &gt; 0,"cross.bred","not found")),"NA")</f>
        <v>NA</v>
      </c>
      <c r="N314" t="str">
        <f>IF(J314="Goat",IF(COUNTIF(lists!$J$2:$J$258, K314) &gt; 0,"indigenous",IF(COUNTIF(lists!$I$2:$I$258, K314) &gt; 0,"cross.bred","not found")),"NA")</f>
        <v>not found</v>
      </c>
      <c r="O314" s="9" t="s">
        <v>109</v>
      </c>
      <c r="P314" s="9" t="s">
        <v>170</v>
      </c>
      <c r="S314" s="9" t="s">
        <v>106</v>
      </c>
      <c r="T314" s="9" t="s">
        <v>106</v>
      </c>
      <c r="U314" s="9" t="s">
        <v>106</v>
      </c>
      <c r="V314" s="9" t="s">
        <v>106</v>
      </c>
      <c r="W314" s="9" t="s">
        <v>106</v>
      </c>
      <c r="X314" s="9" t="s">
        <v>106</v>
      </c>
      <c r="Y314" s="9" t="s">
        <v>106</v>
      </c>
      <c r="Z314" s="37"/>
      <c r="AA314" s="37"/>
      <c r="AB314" s="37"/>
      <c r="AE314"/>
    </row>
    <row r="315" spans="1:31" hidden="1">
      <c r="A315" s="9" t="s">
        <v>167</v>
      </c>
      <c r="B315" s="9" t="s">
        <v>172</v>
      </c>
      <c r="C315" s="9" t="s">
        <v>105</v>
      </c>
      <c r="D315" s="9">
        <v>0.37</v>
      </c>
      <c r="E315" s="9" t="s">
        <v>106</v>
      </c>
      <c r="F315" s="9" t="s">
        <v>106</v>
      </c>
      <c r="G315" s="9" t="s">
        <v>106</v>
      </c>
      <c r="H315" s="9" t="s">
        <v>106</v>
      </c>
      <c r="J315" s="9" t="s">
        <v>116</v>
      </c>
      <c r="K315" s="9" t="s">
        <v>169</v>
      </c>
      <c r="L315" t="str">
        <f>IF(OR(J315="Cattle",J315="Zebu Cattle"),IF(COUNTIF(lists!$M$2:$M$258, K315) &gt; 0,"bos.indicus",IF(COUNTIF(lists!$L$2:$L$258, K315) &gt; 0,"cross.bred","pure.bred.exotic")),"NA")</f>
        <v>NA</v>
      </c>
      <c r="M315" t="str">
        <f>IF(J315="Sheep",IF(COUNTIF(lists!$H$2:$H$258, K315) &gt; 0,"indigenous",IF(COUNTIF(lists!$G$2:$G$258, K315) &gt; 0,"cross.bred","not found")),"NA")</f>
        <v>NA</v>
      </c>
      <c r="N315" t="str">
        <f>IF(J315="Goat",IF(COUNTIF(lists!$J$2:$J$258, K315) &gt; 0,"indigenous",IF(COUNTIF(lists!$I$2:$I$258, K315) &gt; 0,"cross.bred","not found")),"NA")</f>
        <v>not found</v>
      </c>
      <c r="O315" s="9" t="s">
        <v>109</v>
      </c>
      <c r="P315" s="9" t="s">
        <v>170</v>
      </c>
      <c r="S315" s="9" t="s">
        <v>106</v>
      </c>
      <c r="T315" s="9" t="s">
        <v>106</v>
      </c>
      <c r="U315" s="9" t="s">
        <v>106</v>
      </c>
      <c r="V315" s="9" t="s">
        <v>106</v>
      </c>
      <c r="W315" s="9" t="s">
        <v>106</v>
      </c>
      <c r="X315" s="9" t="s">
        <v>106</v>
      </c>
      <c r="Y315" s="9" t="s">
        <v>106</v>
      </c>
      <c r="Z315" s="37"/>
      <c r="AA315" s="37"/>
      <c r="AB315" s="37"/>
      <c r="AE315"/>
    </row>
    <row r="316" spans="1:31" hidden="1">
      <c r="A316" s="9" t="s">
        <v>167</v>
      </c>
      <c r="B316" s="9" t="s">
        <v>173</v>
      </c>
      <c r="C316" s="9" t="s">
        <v>105</v>
      </c>
      <c r="D316" s="9">
        <v>0.28799999999999998</v>
      </c>
      <c r="E316" s="9" t="s">
        <v>106</v>
      </c>
      <c r="F316" s="9" t="s">
        <v>106</v>
      </c>
      <c r="G316" s="9" t="s">
        <v>106</v>
      </c>
      <c r="H316" s="9" t="s">
        <v>106</v>
      </c>
      <c r="J316" s="9" t="s">
        <v>116</v>
      </c>
      <c r="K316" s="9" t="s">
        <v>169</v>
      </c>
      <c r="L316" t="str">
        <f>IF(OR(J316="Cattle",J316="Zebu Cattle"),IF(COUNTIF(lists!$M$2:$M$258, K316) &gt; 0,"bos.indicus",IF(COUNTIF(lists!$L$2:$L$258, K316) &gt; 0,"cross.bred","pure.bred.exotic")),"NA")</f>
        <v>NA</v>
      </c>
      <c r="M316" t="str">
        <f>IF(J316="Sheep",IF(COUNTIF(lists!$H$2:$H$258, K316) &gt; 0,"indigenous",IF(COUNTIF(lists!$G$2:$G$258, K316) &gt; 0,"cross.bred","not found")),"NA")</f>
        <v>NA</v>
      </c>
      <c r="N316" t="str">
        <f>IF(J316="Goat",IF(COUNTIF(lists!$J$2:$J$258, K316) &gt; 0,"indigenous",IF(COUNTIF(lists!$I$2:$I$258, K316) &gt; 0,"cross.bred","not found")),"NA")</f>
        <v>not found</v>
      </c>
      <c r="O316" s="9" t="s">
        <v>109</v>
      </c>
      <c r="P316" s="9" t="s">
        <v>170</v>
      </c>
      <c r="S316" s="9" t="s">
        <v>106</v>
      </c>
      <c r="T316" s="9" t="s">
        <v>106</v>
      </c>
      <c r="U316" s="9" t="s">
        <v>106</v>
      </c>
      <c r="V316" s="9" t="s">
        <v>106</v>
      </c>
      <c r="W316" s="9" t="s">
        <v>106</v>
      </c>
      <c r="X316" s="9" t="s">
        <v>106</v>
      </c>
      <c r="Y316" s="9" t="s">
        <v>106</v>
      </c>
      <c r="Z316" s="37"/>
      <c r="AA316" s="37"/>
      <c r="AB316" s="37"/>
      <c r="AE316"/>
    </row>
    <row r="317" spans="1:31" hidden="1">
      <c r="A317" s="9" t="s">
        <v>174</v>
      </c>
      <c r="B317" s="9" t="s">
        <v>151</v>
      </c>
      <c r="C317" s="9" t="s">
        <v>105</v>
      </c>
      <c r="D317" s="9">
        <v>0.40799999999999997</v>
      </c>
      <c r="E317" s="9">
        <v>7.0000000000000007E-2</v>
      </c>
      <c r="F317" s="9" t="s">
        <v>106</v>
      </c>
      <c r="G317" s="9" t="s">
        <v>106</v>
      </c>
      <c r="H317" s="9" t="s">
        <v>106</v>
      </c>
      <c r="J317" s="9" t="s">
        <v>116</v>
      </c>
      <c r="K317" s="9" t="s">
        <v>117</v>
      </c>
      <c r="L317" t="str">
        <f>IF(OR(J317="Cattle",J317="Zebu Cattle"),IF(COUNTIF(lists!$M$2:$M$258, K317) &gt; 0,"bos.indicus",IF(COUNTIF(lists!$L$2:$L$258, K317) &gt; 0,"cross.bred","pure.bred.exotic")),"NA")</f>
        <v>NA</v>
      </c>
      <c r="M317" t="str">
        <f>IF(J317="Sheep",IF(COUNTIF(lists!$H$2:$H$258, K317) &gt; 0,"indigenous",IF(COUNTIF(lists!$G$2:$G$258, K317) &gt; 0,"cross.bred","not found")),"NA")</f>
        <v>NA</v>
      </c>
      <c r="N317" t="str">
        <f>IF(J317="Goat",IF(COUNTIF(lists!$J$2:$J$258, K317) &gt; 0,"indigenous",IF(COUNTIF(lists!$I$2:$I$258, K317) &gt; 0,"cross.bred","not found")),"NA")</f>
        <v>indigenous</v>
      </c>
      <c r="O317" s="9" t="s">
        <v>109</v>
      </c>
      <c r="P317" s="9" t="s">
        <v>175</v>
      </c>
      <c r="S317" s="9">
        <v>583.5</v>
      </c>
      <c r="T317" s="9">
        <v>54.4</v>
      </c>
      <c r="U317" s="9">
        <v>153.6</v>
      </c>
      <c r="V317" s="9">
        <v>899.5</v>
      </c>
      <c r="W317" s="9">
        <v>21.5</v>
      </c>
      <c r="X317" s="9">
        <v>624.4</v>
      </c>
      <c r="Y317" s="9" t="s">
        <v>106</v>
      </c>
      <c r="Z317" s="37"/>
      <c r="AA317" s="37"/>
      <c r="AB317" s="37"/>
      <c r="AE317"/>
    </row>
    <row r="318" spans="1:31" hidden="1">
      <c r="A318" s="9" t="s">
        <v>174</v>
      </c>
      <c r="B318" s="9" t="s">
        <v>154</v>
      </c>
      <c r="C318" s="9" t="s">
        <v>105</v>
      </c>
      <c r="D318" s="9">
        <v>0.42299999999999999</v>
      </c>
      <c r="E318" s="9">
        <v>7.0000000000000007E-2</v>
      </c>
      <c r="F318" s="9" t="s">
        <v>106</v>
      </c>
      <c r="G318" s="9" t="s">
        <v>106</v>
      </c>
      <c r="H318" s="9" t="s">
        <v>106</v>
      </c>
      <c r="J318" s="9" t="s">
        <v>116</v>
      </c>
      <c r="K318" s="9" t="s">
        <v>117</v>
      </c>
      <c r="L318" t="str">
        <f>IF(OR(J318="Cattle",J318="Zebu Cattle"),IF(COUNTIF(lists!$M$2:$M$258, K318) &gt; 0,"bos.indicus",IF(COUNTIF(lists!$L$2:$L$258, K318) &gt; 0,"cross.bred","pure.bred.exotic")),"NA")</f>
        <v>NA</v>
      </c>
      <c r="M318" t="str">
        <f>IF(J318="Sheep",IF(COUNTIF(lists!$H$2:$H$258, K318) &gt; 0,"indigenous",IF(COUNTIF(lists!$G$2:$G$258, K318) &gt; 0,"cross.bred","not found")),"NA")</f>
        <v>NA</v>
      </c>
      <c r="N318" t="str">
        <f>IF(J318="Goat",IF(COUNTIF(lists!$J$2:$J$258, K318) &gt; 0,"indigenous",IF(COUNTIF(lists!$I$2:$I$258, K318) &gt; 0,"cross.bred","not found")),"NA")</f>
        <v>indigenous</v>
      </c>
      <c r="O318" s="9" t="s">
        <v>109</v>
      </c>
      <c r="P318" s="9" t="s">
        <v>175</v>
      </c>
      <c r="S318" s="9">
        <v>383</v>
      </c>
      <c r="T318" s="9">
        <v>55.9</v>
      </c>
      <c r="U318" s="9">
        <v>148.69999999999999</v>
      </c>
      <c r="V318" s="9">
        <v>904</v>
      </c>
      <c r="W318" s="9">
        <v>32.599999999999902</v>
      </c>
      <c r="X318" s="9">
        <v>420.79999999999899</v>
      </c>
      <c r="Y318" s="9" t="s">
        <v>106</v>
      </c>
      <c r="Z318" s="37"/>
      <c r="AA318" s="37"/>
      <c r="AB318" s="37"/>
      <c r="AE318"/>
    </row>
    <row r="319" spans="1:31" hidden="1">
      <c r="A319" s="9" t="s">
        <v>174</v>
      </c>
      <c r="B319" s="9" t="s">
        <v>155</v>
      </c>
      <c r="C319" s="9" t="s">
        <v>105</v>
      </c>
      <c r="D319" s="9">
        <v>0.40899999999999997</v>
      </c>
      <c r="E319" s="9">
        <v>7.0000000000000007E-2</v>
      </c>
      <c r="F319" s="9" t="s">
        <v>106</v>
      </c>
      <c r="G319" s="9" t="s">
        <v>106</v>
      </c>
      <c r="H319" s="9" t="s">
        <v>106</v>
      </c>
      <c r="J319" s="9" t="s">
        <v>116</v>
      </c>
      <c r="K319" s="9" t="s">
        <v>117</v>
      </c>
      <c r="L319" t="str">
        <f>IF(OR(J319="Cattle",J319="Zebu Cattle"),IF(COUNTIF(lists!$M$2:$M$258, K319) &gt; 0,"bos.indicus",IF(COUNTIF(lists!$L$2:$L$258, K319) &gt; 0,"cross.bred","pure.bred.exotic")),"NA")</f>
        <v>NA</v>
      </c>
      <c r="M319" t="str">
        <f>IF(J319="Sheep",IF(COUNTIF(lists!$H$2:$H$258, K319) &gt; 0,"indigenous",IF(COUNTIF(lists!$G$2:$G$258, K319) &gt; 0,"cross.bred","not found")),"NA")</f>
        <v>NA</v>
      </c>
      <c r="N319" t="str">
        <f>IF(J319="Goat",IF(COUNTIF(lists!$J$2:$J$258, K319) &gt; 0,"indigenous",IF(COUNTIF(lists!$I$2:$I$258, K319) &gt; 0,"cross.bred","not found")),"NA")</f>
        <v>indigenous</v>
      </c>
      <c r="O319" s="9" t="s">
        <v>109</v>
      </c>
      <c r="P319" s="9" t="s">
        <v>175</v>
      </c>
      <c r="S319" s="9">
        <v>251.1</v>
      </c>
      <c r="T319" s="9">
        <v>49.1</v>
      </c>
      <c r="U319" s="9">
        <v>136.4</v>
      </c>
      <c r="V319" s="9">
        <v>910</v>
      </c>
      <c r="W319" s="9">
        <v>33.799999999999997</v>
      </c>
      <c r="X319" s="9">
        <v>357.5</v>
      </c>
      <c r="Y319" s="9" t="s">
        <v>106</v>
      </c>
      <c r="Z319" s="37"/>
      <c r="AA319" s="37"/>
      <c r="AB319" s="37"/>
      <c r="AE319"/>
    </row>
    <row r="320" spans="1:31" hidden="1">
      <c r="A320" s="9" t="s">
        <v>174</v>
      </c>
      <c r="B320" s="9" t="s">
        <v>156</v>
      </c>
      <c r="C320" s="9" t="s">
        <v>105</v>
      </c>
      <c r="D320" s="9">
        <v>0.44600000000000001</v>
      </c>
      <c r="E320" s="9">
        <v>7.0000000000000007E-2</v>
      </c>
      <c r="F320" s="9" t="s">
        <v>106</v>
      </c>
      <c r="G320" s="9" t="s">
        <v>106</v>
      </c>
      <c r="H320" s="9" t="s">
        <v>106</v>
      </c>
      <c r="J320" s="9" t="s">
        <v>116</v>
      </c>
      <c r="K320" s="9" t="s">
        <v>117</v>
      </c>
      <c r="L320" t="str">
        <f>IF(OR(J320="Cattle",J320="Zebu Cattle"),IF(COUNTIF(lists!$M$2:$M$258, K320) &gt; 0,"bos.indicus",IF(COUNTIF(lists!$L$2:$L$258, K320) &gt; 0,"cross.bred","pure.bred.exotic")),"NA")</f>
        <v>NA</v>
      </c>
      <c r="M320" t="str">
        <f>IF(J320="Sheep",IF(COUNTIF(lists!$H$2:$H$258, K320) &gt; 0,"indigenous",IF(COUNTIF(lists!$G$2:$G$258, K320) &gt; 0,"cross.bred","not found")),"NA")</f>
        <v>NA</v>
      </c>
      <c r="N320" t="str">
        <f>IF(J320="Goat",IF(COUNTIF(lists!$J$2:$J$258, K320) &gt; 0,"indigenous",IF(COUNTIF(lists!$I$2:$I$258, K320) &gt; 0,"cross.bred","not found")),"NA")</f>
        <v>indigenous</v>
      </c>
      <c r="O320" s="9" t="s">
        <v>109</v>
      </c>
      <c r="P320" s="9" t="s">
        <v>175</v>
      </c>
      <c r="S320" s="9">
        <v>236.9</v>
      </c>
      <c r="T320" s="9">
        <v>45</v>
      </c>
      <c r="U320" s="9">
        <v>130</v>
      </c>
      <c r="V320" s="9">
        <v>914.4</v>
      </c>
      <c r="W320" s="9">
        <v>29</v>
      </c>
      <c r="X320" s="9">
        <v>339.3</v>
      </c>
      <c r="Y320" s="9" t="s">
        <v>106</v>
      </c>
      <c r="Z320" s="37"/>
      <c r="AA320" s="37"/>
      <c r="AB320" s="37"/>
      <c r="AE320"/>
    </row>
    <row r="321" spans="1:31" hidden="1">
      <c r="A321" s="9" t="s">
        <v>178</v>
      </c>
      <c r="B321" s="9" t="s">
        <v>179</v>
      </c>
      <c r="C321" s="9" t="s">
        <v>105</v>
      </c>
      <c r="D321" s="9">
        <v>0.873</v>
      </c>
      <c r="E321" s="9">
        <v>11.4</v>
      </c>
      <c r="F321" s="9" t="s">
        <v>106</v>
      </c>
      <c r="G321" s="9" t="s">
        <v>106</v>
      </c>
      <c r="H321" s="9" t="s">
        <v>106</v>
      </c>
      <c r="J321" s="9" t="s">
        <v>116</v>
      </c>
      <c r="K321" s="9" t="s">
        <v>180</v>
      </c>
      <c r="L321" t="str">
        <f>IF(OR(J321="Cattle",J321="Zebu Cattle"),IF(COUNTIF(lists!$M$2:$M$258, K321) &gt; 0,"bos.indicus",IF(COUNTIF(lists!$L$2:$L$258, K321) &gt; 0,"cross.bred","pure.bred.exotic")),"NA")</f>
        <v>NA</v>
      </c>
      <c r="M321" t="str">
        <f>IF(J321="Sheep",IF(COUNTIF(lists!$H$2:$H$258, K321) &gt; 0,"indigenous",IF(COUNTIF(lists!$G$2:$G$258, K321) &gt; 0,"cross.bred","not found")),"NA")</f>
        <v>NA</v>
      </c>
      <c r="N321" t="str">
        <f>IF(J321="Goat",IF(COUNTIF(lists!$J$2:$J$258, K321) &gt; 0,"indigenous",IF(COUNTIF(lists!$I$2:$I$258, K321) &gt; 0,"cross.bred","not found")),"NA")</f>
        <v>not found</v>
      </c>
      <c r="O321" s="9" t="s">
        <v>180</v>
      </c>
      <c r="P321" s="9" t="s">
        <v>170</v>
      </c>
      <c r="S321" s="9" t="s">
        <v>106</v>
      </c>
      <c r="T321" s="9" t="s">
        <v>106</v>
      </c>
      <c r="U321" s="9" t="s">
        <v>106</v>
      </c>
      <c r="V321" s="9" t="s">
        <v>106</v>
      </c>
      <c r="W321" s="9" t="s">
        <v>106</v>
      </c>
      <c r="X321" s="9" t="s">
        <v>106</v>
      </c>
      <c r="Y321" s="9" t="s">
        <v>106</v>
      </c>
      <c r="Z321" s="37"/>
      <c r="AA321" s="37"/>
      <c r="AB321" s="37"/>
      <c r="AE321"/>
    </row>
    <row r="322" spans="1:31" hidden="1">
      <c r="A322" s="9" t="s">
        <v>178</v>
      </c>
      <c r="B322" s="9" t="s">
        <v>181</v>
      </c>
      <c r="C322" s="9" t="s">
        <v>105</v>
      </c>
      <c r="D322" s="9">
        <v>0.86099999999999999</v>
      </c>
      <c r="E322" s="9">
        <v>11.4</v>
      </c>
      <c r="F322" s="9" t="s">
        <v>106</v>
      </c>
      <c r="G322" s="9" t="s">
        <v>106</v>
      </c>
      <c r="H322" s="9" t="s">
        <v>106</v>
      </c>
      <c r="J322" s="9" t="s">
        <v>116</v>
      </c>
      <c r="K322" s="9" t="s">
        <v>180</v>
      </c>
      <c r="L322" t="str">
        <f>IF(OR(J322="Cattle",J322="Zebu Cattle"),IF(COUNTIF(lists!$M$2:$M$258, K322) &gt; 0,"bos.indicus",IF(COUNTIF(lists!$L$2:$L$258, K322) &gt; 0,"cross.bred","pure.bred.exotic")),"NA")</f>
        <v>NA</v>
      </c>
      <c r="M322" t="str">
        <f>IF(J322="Sheep",IF(COUNTIF(lists!$H$2:$H$258, K322) &gt; 0,"indigenous",IF(COUNTIF(lists!$G$2:$G$258, K322) &gt; 0,"cross.bred","not found")),"NA")</f>
        <v>NA</v>
      </c>
      <c r="N322" t="str">
        <f>IF(J322="Goat",IF(COUNTIF(lists!$J$2:$J$258, K322) &gt; 0,"indigenous",IF(COUNTIF(lists!$I$2:$I$258, K322) &gt; 0,"cross.bred","not found")),"NA")</f>
        <v>not found</v>
      </c>
      <c r="O322" s="9" t="s">
        <v>180</v>
      </c>
      <c r="P322" s="9" t="s">
        <v>170</v>
      </c>
      <c r="S322" s="9" t="s">
        <v>106</v>
      </c>
      <c r="T322" s="9" t="s">
        <v>106</v>
      </c>
      <c r="U322" s="9" t="s">
        <v>106</v>
      </c>
      <c r="V322" s="9" t="s">
        <v>106</v>
      </c>
      <c r="W322" s="9" t="s">
        <v>106</v>
      </c>
      <c r="X322" s="9" t="s">
        <v>106</v>
      </c>
      <c r="Y322" s="9" t="s">
        <v>106</v>
      </c>
      <c r="Z322" s="37"/>
      <c r="AA322" s="37"/>
      <c r="AB322" s="37"/>
      <c r="AE322"/>
    </row>
    <row r="323" spans="1:31" hidden="1">
      <c r="A323" s="9" t="s">
        <v>178</v>
      </c>
      <c r="B323" s="9" t="s">
        <v>182</v>
      </c>
      <c r="C323" s="9" t="s">
        <v>105</v>
      </c>
      <c r="D323" s="9">
        <v>0.85599999999999998</v>
      </c>
      <c r="E323" s="9">
        <v>11.4</v>
      </c>
      <c r="F323" s="9" t="s">
        <v>106</v>
      </c>
      <c r="G323" s="9" t="s">
        <v>106</v>
      </c>
      <c r="H323" s="9" t="s">
        <v>106</v>
      </c>
      <c r="J323" s="9" t="s">
        <v>116</v>
      </c>
      <c r="K323" s="9" t="s">
        <v>180</v>
      </c>
      <c r="L323" t="str">
        <f>IF(OR(J323="Cattle",J323="Zebu Cattle"),IF(COUNTIF(lists!$M$2:$M$258, K323) &gt; 0,"bos.indicus",IF(COUNTIF(lists!$L$2:$L$258, K323) &gt; 0,"cross.bred","pure.bred.exotic")),"NA")</f>
        <v>NA</v>
      </c>
      <c r="M323" t="str">
        <f>IF(J323="Sheep",IF(COUNTIF(lists!$H$2:$H$258, K323) &gt; 0,"indigenous",IF(COUNTIF(lists!$G$2:$G$258, K323) &gt; 0,"cross.bred","not found")),"NA")</f>
        <v>NA</v>
      </c>
      <c r="N323" t="str">
        <f>IF(J323="Goat",IF(COUNTIF(lists!$J$2:$J$258, K323) &gt; 0,"indigenous",IF(COUNTIF(lists!$I$2:$I$258, K323) &gt; 0,"cross.bred","not found")),"NA")</f>
        <v>not found</v>
      </c>
      <c r="O323" s="9" t="s">
        <v>180</v>
      </c>
      <c r="P323" s="9" t="s">
        <v>170</v>
      </c>
      <c r="S323" s="9" t="s">
        <v>106</v>
      </c>
      <c r="T323" s="9" t="s">
        <v>106</v>
      </c>
      <c r="U323" s="9" t="s">
        <v>106</v>
      </c>
      <c r="V323" s="9" t="s">
        <v>106</v>
      </c>
      <c r="W323" s="9" t="s">
        <v>106</v>
      </c>
      <c r="X323" s="9" t="s">
        <v>106</v>
      </c>
      <c r="Y323" s="9" t="s">
        <v>106</v>
      </c>
      <c r="Z323" s="37"/>
      <c r="AA323" s="37"/>
      <c r="AB323" s="37"/>
      <c r="AE323"/>
    </row>
    <row r="324" spans="1:31" hidden="1">
      <c r="A324" s="9" t="s">
        <v>178</v>
      </c>
      <c r="B324" s="9" t="s">
        <v>183</v>
      </c>
      <c r="C324" s="9" t="s">
        <v>105</v>
      </c>
      <c r="D324" s="9">
        <v>0.83899999999999997</v>
      </c>
      <c r="E324" s="9">
        <v>11.4</v>
      </c>
      <c r="F324" s="9" t="s">
        <v>106</v>
      </c>
      <c r="G324" s="9" t="s">
        <v>106</v>
      </c>
      <c r="H324" s="9" t="s">
        <v>106</v>
      </c>
      <c r="J324" s="9" t="s">
        <v>116</v>
      </c>
      <c r="K324" s="9" t="s">
        <v>180</v>
      </c>
      <c r="L324" t="str">
        <f>IF(OR(J324="Cattle",J324="Zebu Cattle"),IF(COUNTIF(lists!$M$2:$M$258, K324) &gt; 0,"bos.indicus",IF(COUNTIF(lists!$L$2:$L$258, K324) &gt; 0,"cross.bred","pure.bred.exotic")),"NA")</f>
        <v>NA</v>
      </c>
      <c r="M324" t="str">
        <f>IF(J324="Sheep",IF(COUNTIF(lists!$H$2:$H$258, K324) &gt; 0,"indigenous",IF(COUNTIF(lists!$G$2:$G$258, K324) &gt; 0,"cross.bred","not found")),"NA")</f>
        <v>NA</v>
      </c>
      <c r="N324" t="str">
        <f>IF(J324="Goat",IF(COUNTIF(lists!$J$2:$J$258, K324) &gt; 0,"indigenous",IF(COUNTIF(lists!$I$2:$I$258, K324) &gt; 0,"cross.bred","not found")),"NA")</f>
        <v>not found</v>
      </c>
      <c r="O324" s="9" t="s">
        <v>180</v>
      </c>
      <c r="P324" s="9" t="s">
        <v>170</v>
      </c>
      <c r="S324" s="9" t="s">
        <v>106</v>
      </c>
      <c r="T324" s="9" t="s">
        <v>106</v>
      </c>
      <c r="U324" s="9" t="s">
        <v>106</v>
      </c>
      <c r="V324" s="9" t="s">
        <v>106</v>
      </c>
      <c r="W324" s="9" t="s">
        <v>106</v>
      </c>
      <c r="X324" s="9" t="s">
        <v>106</v>
      </c>
      <c r="Y324" s="9" t="s">
        <v>106</v>
      </c>
      <c r="Z324" s="37"/>
      <c r="AA324" s="37"/>
      <c r="AB324" s="37"/>
      <c r="AE324"/>
    </row>
    <row r="325" spans="1:31" hidden="1">
      <c r="A325" s="9" t="s">
        <v>178</v>
      </c>
      <c r="B325" s="9" t="s">
        <v>184</v>
      </c>
      <c r="C325" s="9" t="s">
        <v>105</v>
      </c>
      <c r="D325" s="9">
        <v>0.83399999999999996</v>
      </c>
      <c r="E325" s="9">
        <v>11.4</v>
      </c>
      <c r="F325" s="9" t="s">
        <v>106</v>
      </c>
      <c r="G325" s="9" t="s">
        <v>106</v>
      </c>
      <c r="H325" s="9" t="s">
        <v>106</v>
      </c>
      <c r="J325" s="9" t="s">
        <v>116</v>
      </c>
      <c r="K325" s="9" t="s">
        <v>180</v>
      </c>
      <c r="L325" t="str">
        <f>IF(OR(J325="Cattle",J325="Zebu Cattle"),IF(COUNTIF(lists!$M$2:$M$258, K325) &gt; 0,"bos.indicus",IF(COUNTIF(lists!$L$2:$L$258, K325) &gt; 0,"cross.bred","pure.bred.exotic")),"NA")</f>
        <v>NA</v>
      </c>
      <c r="M325" t="str">
        <f>IF(J325="Sheep",IF(COUNTIF(lists!$H$2:$H$258, K325) &gt; 0,"indigenous",IF(COUNTIF(lists!$G$2:$G$258, K325) &gt; 0,"cross.bred","not found")),"NA")</f>
        <v>NA</v>
      </c>
      <c r="N325" t="str">
        <f>IF(J325="Goat",IF(COUNTIF(lists!$J$2:$J$258, K325) &gt; 0,"indigenous",IF(COUNTIF(lists!$I$2:$I$258, K325) &gt; 0,"cross.bred","not found")),"NA")</f>
        <v>not found</v>
      </c>
      <c r="O325" s="9" t="s">
        <v>180</v>
      </c>
      <c r="P325" s="9" t="s">
        <v>170</v>
      </c>
      <c r="S325" s="9" t="s">
        <v>106</v>
      </c>
      <c r="T325" s="9" t="s">
        <v>106</v>
      </c>
      <c r="U325" s="9" t="s">
        <v>106</v>
      </c>
      <c r="V325" s="9" t="s">
        <v>106</v>
      </c>
      <c r="W325" s="9" t="s">
        <v>106</v>
      </c>
      <c r="X325" s="9" t="s">
        <v>106</v>
      </c>
      <c r="Y325" s="9" t="s">
        <v>106</v>
      </c>
      <c r="Z325" s="37"/>
      <c r="AA325" s="37"/>
      <c r="AB325" s="37"/>
      <c r="AE325"/>
    </row>
    <row r="326" spans="1:31" hidden="1">
      <c r="A326" s="9" t="s">
        <v>195</v>
      </c>
      <c r="B326" s="9" t="s">
        <v>196</v>
      </c>
      <c r="C326" s="9" t="s">
        <v>105</v>
      </c>
      <c r="D326" s="9">
        <v>0.35049000000000002</v>
      </c>
      <c r="E326" s="9">
        <v>21.71</v>
      </c>
      <c r="F326" s="9" t="s">
        <v>106</v>
      </c>
      <c r="G326" s="9" t="s">
        <v>106</v>
      </c>
      <c r="H326" s="9" t="s">
        <v>106</v>
      </c>
      <c r="I326" s="9">
        <v>36</v>
      </c>
      <c r="J326" s="9" t="s">
        <v>116</v>
      </c>
      <c r="K326" s="9" t="s">
        <v>117</v>
      </c>
      <c r="L326" t="str">
        <f>IF(OR(J326="Cattle",J326="Zebu Cattle"),IF(COUNTIF(lists!$M$2:$M$258, K326) &gt; 0,"bos.indicus",IF(COUNTIF(lists!$L$2:$L$258, K326) &gt; 0,"cross.bred","pure.bred.exotic")),"NA")</f>
        <v>NA</v>
      </c>
      <c r="M326" t="str">
        <f>IF(J326="Sheep",IF(COUNTIF(lists!$H$2:$H$258, K326) &gt; 0,"indigenous",IF(COUNTIF(lists!$G$2:$G$258, K326) &gt; 0,"cross.bred","not found")),"NA")</f>
        <v>NA</v>
      </c>
      <c r="N326" t="str">
        <f>IF(J326="Goat",IF(COUNTIF(lists!$J$2:$J$258, K326) &gt; 0,"indigenous",IF(COUNTIF(lists!$I$2:$I$258, K326) &gt; 0,"cross.bred","not found")),"NA")</f>
        <v>indigenous</v>
      </c>
      <c r="O326" s="9" t="s">
        <v>109</v>
      </c>
      <c r="P326" s="9" t="s">
        <v>106</v>
      </c>
      <c r="Q326" s="9" t="s">
        <v>3806</v>
      </c>
      <c r="S326" s="9" t="s">
        <v>106</v>
      </c>
      <c r="T326" s="9">
        <v>44.9</v>
      </c>
      <c r="U326" s="9">
        <v>130.39999999999901</v>
      </c>
      <c r="V326" s="9">
        <v>923.6</v>
      </c>
      <c r="W326" s="9">
        <v>48.8</v>
      </c>
      <c r="X326" s="9" t="s">
        <v>106</v>
      </c>
      <c r="Y326" s="9" t="s">
        <v>106</v>
      </c>
      <c r="Z326" s="37"/>
      <c r="AA326" s="37"/>
      <c r="AB326" s="37"/>
      <c r="AE326">
        <v>0</v>
      </c>
    </row>
    <row r="327" spans="1:31" hidden="1">
      <c r="A327" s="9" t="s">
        <v>195</v>
      </c>
      <c r="B327" s="9" t="s">
        <v>197</v>
      </c>
      <c r="C327" s="9" t="s">
        <v>105</v>
      </c>
      <c r="D327" s="9">
        <v>0.37085000000000001</v>
      </c>
      <c r="E327" s="9">
        <v>21.71</v>
      </c>
      <c r="F327" s="9" t="s">
        <v>106</v>
      </c>
      <c r="G327" s="9" t="s">
        <v>106</v>
      </c>
      <c r="H327" s="9" t="s">
        <v>106</v>
      </c>
      <c r="I327" s="9">
        <v>36</v>
      </c>
      <c r="J327" s="9" t="s">
        <v>116</v>
      </c>
      <c r="K327" s="9" t="s">
        <v>117</v>
      </c>
      <c r="L327" t="str">
        <f>IF(OR(J327="Cattle",J327="Zebu Cattle"),IF(COUNTIF(lists!$M$2:$M$258, K327) &gt; 0,"bos.indicus",IF(COUNTIF(lists!$L$2:$L$258, K327) &gt; 0,"cross.bred","pure.bred.exotic")),"NA")</f>
        <v>NA</v>
      </c>
      <c r="M327" t="str">
        <f>IF(J327="Sheep",IF(COUNTIF(lists!$H$2:$H$258, K327) &gt; 0,"indigenous",IF(COUNTIF(lists!$G$2:$G$258, K327) &gt; 0,"cross.bred","not found")),"NA")</f>
        <v>NA</v>
      </c>
      <c r="N327" t="str">
        <f>IF(J327="Goat",IF(COUNTIF(lists!$J$2:$J$258, K327) &gt; 0,"indigenous",IF(COUNTIF(lists!$I$2:$I$258, K327) &gt; 0,"cross.bred","not found")),"NA")</f>
        <v>indigenous</v>
      </c>
      <c r="O327" s="9" t="s">
        <v>109</v>
      </c>
      <c r="P327" s="9" t="s">
        <v>106</v>
      </c>
      <c r="Q327" s="9" t="s">
        <v>3806</v>
      </c>
      <c r="S327" s="9" t="s">
        <v>106</v>
      </c>
      <c r="T327" s="9">
        <v>45.4</v>
      </c>
      <c r="U327" s="9">
        <v>134.30000000000001</v>
      </c>
      <c r="V327" s="9">
        <v>916.2</v>
      </c>
      <c r="W327" s="9">
        <v>36.700000000000003</v>
      </c>
      <c r="X327" s="9" t="s">
        <v>106</v>
      </c>
      <c r="Y327" s="9" t="s">
        <v>106</v>
      </c>
      <c r="Z327" s="37"/>
      <c r="AA327" s="37"/>
      <c r="AB327" s="37"/>
      <c r="AE327">
        <v>0</v>
      </c>
    </row>
    <row r="328" spans="1:31" hidden="1">
      <c r="A328" s="9" t="s">
        <v>195</v>
      </c>
      <c r="B328" s="9" t="s">
        <v>198</v>
      </c>
      <c r="C328" s="9" t="s">
        <v>105</v>
      </c>
      <c r="D328" s="9">
        <v>0.35743999999999998</v>
      </c>
      <c r="E328" s="9">
        <v>21.71</v>
      </c>
      <c r="F328" s="9" t="s">
        <v>106</v>
      </c>
      <c r="G328" s="9" t="s">
        <v>106</v>
      </c>
      <c r="H328" s="9" t="s">
        <v>106</v>
      </c>
      <c r="I328" s="9">
        <v>36</v>
      </c>
      <c r="J328" s="9" t="s">
        <v>116</v>
      </c>
      <c r="K328" s="9" t="s">
        <v>117</v>
      </c>
      <c r="L328" t="str">
        <f>IF(OR(J328="Cattle",J328="Zebu Cattle"),IF(COUNTIF(lists!$M$2:$M$258, K328) &gt; 0,"bos.indicus",IF(COUNTIF(lists!$L$2:$L$258, K328) &gt; 0,"cross.bred","pure.bred.exotic")),"NA")</f>
        <v>NA</v>
      </c>
      <c r="M328" t="str">
        <f>IF(J328="Sheep",IF(COUNTIF(lists!$H$2:$H$258, K328) &gt; 0,"indigenous",IF(COUNTIF(lists!$G$2:$G$258, K328) &gt; 0,"cross.bred","not found")),"NA")</f>
        <v>NA</v>
      </c>
      <c r="N328" t="str">
        <f>IF(J328="Goat",IF(COUNTIF(lists!$J$2:$J$258, K328) &gt; 0,"indigenous",IF(COUNTIF(lists!$I$2:$I$258, K328) &gt; 0,"cross.bred","not found")),"NA")</f>
        <v>indigenous</v>
      </c>
      <c r="O328" s="9" t="s">
        <v>109</v>
      </c>
      <c r="P328" s="9" t="s">
        <v>106</v>
      </c>
      <c r="Q328" s="9" t="s">
        <v>3806</v>
      </c>
      <c r="S328" s="9" t="s">
        <v>106</v>
      </c>
      <c r="T328" s="9">
        <v>46.7</v>
      </c>
      <c r="U328" s="9">
        <v>137.5</v>
      </c>
      <c r="V328" s="9">
        <v>917.3</v>
      </c>
      <c r="W328" s="9">
        <v>30.6</v>
      </c>
      <c r="X328" s="9" t="s">
        <v>106</v>
      </c>
      <c r="Y328" s="9" t="s">
        <v>106</v>
      </c>
      <c r="Z328" s="37"/>
      <c r="AA328" s="37"/>
      <c r="AB328" s="37"/>
      <c r="AE328">
        <v>0</v>
      </c>
    </row>
    <row r="329" spans="1:31" hidden="1">
      <c r="A329" s="9" t="s">
        <v>195</v>
      </c>
      <c r="B329" s="9" t="s">
        <v>199</v>
      </c>
      <c r="C329" s="9" t="s">
        <v>105</v>
      </c>
      <c r="D329" s="9">
        <v>0.35304999999999997</v>
      </c>
      <c r="E329" s="9">
        <v>21.71</v>
      </c>
      <c r="F329" s="9" t="s">
        <v>106</v>
      </c>
      <c r="G329" s="9" t="s">
        <v>106</v>
      </c>
      <c r="H329" s="9" t="s">
        <v>106</v>
      </c>
      <c r="I329" s="9">
        <v>36</v>
      </c>
      <c r="J329" s="9" t="s">
        <v>116</v>
      </c>
      <c r="K329" s="9" t="s">
        <v>117</v>
      </c>
      <c r="L329" t="str">
        <f>IF(OR(J329="Cattle",J329="Zebu Cattle"),IF(COUNTIF(lists!$M$2:$M$258, K329) &gt; 0,"bos.indicus",IF(COUNTIF(lists!$L$2:$L$258, K329) &gt; 0,"cross.bred","pure.bred.exotic")),"NA")</f>
        <v>NA</v>
      </c>
      <c r="M329" t="str">
        <f>IF(J329="Sheep",IF(COUNTIF(lists!$H$2:$H$258, K329) &gt; 0,"indigenous",IF(COUNTIF(lists!$G$2:$G$258, K329) &gt; 0,"cross.bred","not found")),"NA")</f>
        <v>NA</v>
      </c>
      <c r="N329" t="str">
        <f>IF(J329="Goat",IF(COUNTIF(lists!$J$2:$J$258, K329) &gt; 0,"indigenous",IF(COUNTIF(lists!$I$2:$I$258, K329) &gt; 0,"cross.bred","not found")),"NA")</f>
        <v>indigenous</v>
      </c>
      <c r="O329" s="9" t="s">
        <v>109</v>
      </c>
      <c r="P329" s="9" t="s">
        <v>106</v>
      </c>
      <c r="Q329" s="9" t="s">
        <v>3806</v>
      </c>
      <c r="S329" s="9" t="s">
        <v>106</v>
      </c>
      <c r="T329" s="9">
        <v>46.9</v>
      </c>
      <c r="U329" s="9">
        <v>146.4</v>
      </c>
      <c r="V329" s="9">
        <v>918.9</v>
      </c>
      <c r="W329" s="9">
        <v>23.3</v>
      </c>
      <c r="X329" s="9" t="s">
        <v>106</v>
      </c>
      <c r="Y329" s="9" t="s">
        <v>106</v>
      </c>
      <c r="Z329" s="37"/>
      <c r="AA329" s="37"/>
      <c r="AB329" s="37"/>
      <c r="AE329">
        <v>0</v>
      </c>
    </row>
    <row r="330" spans="1:31" hidden="1">
      <c r="A330" s="9" t="s">
        <v>211</v>
      </c>
      <c r="B330" s="9" t="s">
        <v>151</v>
      </c>
      <c r="C330" s="9" t="s">
        <v>105</v>
      </c>
      <c r="D330" s="9">
        <v>0.441</v>
      </c>
      <c r="E330" s="9">
        <v>6.7000000000000004E-2</v>
      </c>
      <c r="F330" s="9" t="s">
        <v>106</v>
      </c>
      <c r="G330" s="9" t="s">
        <v>106</v>
      </c>
      <c r="H330" s="9" t="s">
        <v>106</v>
      </c>
      <c r="J330" s="9" t="s">
        <v>116</v>
      </c>
      <c r="K330" s="9" t="s">
        <v>212</v>
      </c>
      <c r="L330" t="str">
        <f>IF(OR(J330="Cattle",J330="Zebu Cattle"),IF(COUNTIF(lists!$M$2:$M$258, K330) &gt; 0,"bos.indicus",IF(COUNTIF(lists!$L$2:$L$258, K330) &gt; 0,"cross.bred","pure.bred.exotic")),"NA")</f>
        <v>NA</v>
      </c>
      <c r="M330" t="str">
        <f>IF(J330="Sheep",IF(COUNTIF(lists!$H$2:$H$258, K330) &gt; 0,"indigenous",IF(COUNTIF(lists!$G$2:$G$258, K330) &gt; 0,"cross.bred","not found")),"NA")</f>
        <v>NA</v>
      </c>
      <c r="N330" t="str">
        <f>IF(J330="Goat",IF(COUNTIF(lists!$J$2:$J$258, K330) &gt; 0,"indigenous",IF(COUNTIF(lists!$I$2:$I$258, K330) &gt; 0,"cross.bred","not found")),"NA")</f>
        <v>not found</v>
      </c>
      <c r="O330" s="9" t="s">
        <v>109</v>
      </c>
      <c r="P330" s="9" t="s">
        <v>187</v>
      </c>
      <c r="Q330" s="9" t="s">
        <v>3804</v>
      </c>
      <c r="S330" s="9">
        <v>220.6</v>
      </c>
      <c r="T330" s="9">
        <v>69.400000000000006</v>
      </c>
      <c r="U330" s="9">
        <v>220</v>
      </c>
      <c r="V330" s="9">
        <v>912.8</v>
      </c>
      <c r="W330" s="9" t="s">
        <v>106</v>
      </c>
      <c r="X330" s="9">
        <v>442.6</v>
      </c>
      <c r="Y330" s="9">
        <v>42.76</v>
      </c>
      <c r="Z330" s="37"/>
      <c r="AA330" s="37"/>
      <c r="AB330" s="37"/>
      <c r="AE330"/>
    </row>
    <row r="331" spans="1:31" hidden="1">
      <c r="A331" s="9" t="s">
        <v>226</v>
      </c>
      <c r="B331" s="9" t="s">
        <v>227</v>
      </c>
      <c r="C331" s="9" t="s">
        <v>105</v>
      </c>
      <c r="D331" s="9">
        <v>0.90910000000000002</v>
      </c>
      <c r="E331" s="9">
        <v>0.16700000000000001</v>
      </c>
      <c r="F331" s="9" t="s">
        <v>106</v>
      </c>
      <c r="G331" s="9" t="s">
        <v>106</v>
      </c>
      <c r="H331" s="9">
        <v>0.997</v>
      </c>
      <c r="J331" s="9" t="s">
        <v>116</v>
      </c>
      <c r="K331" s="9" t="s">
        <v>228</v>
      </c>
      <c r="L331" t="str">
        <f>IF(OR(J331="Cattle",J331="Zebu Cattle"),IF(COUNTIF(lists!$M$2:$M$258, K331) &gt; 0,"bos.indicus",IF(COUNTIF(lists!$L$2:$L$258, K331) &gt; 0,"cross.bred","pure.bred.exotic")),"NA")</f>
        <v>NA</v>
      </c>
      <c r="M331" t="str">
        <f>IF(J331="Sheep",IF(COUNTIF(lists!$H$2:$H$258, K331) &gt; 0,"indigenous",IF(COUNTIF(lists!$G$2:$G$258, K331) &gt; 0,"cross.bred","not found")),"NA")</f>
        <v>NA</v>
      </c>
      <c r="N331" t="str">
        <f>IF(J331="Goat",IF(COUNTIF(lists!$J$2:$J$258, K331) &gt; 0,"indigenous",IF(COUNTIF(lists!$I$2:$I$258, K331) &gt; 0,"cross.bred","not found")),"NA")</f>
        <v>not found</v>
      </c>
      <c r="O331" s="9" t="s">
        <v>109</v>
      </c>
      <c r="P331" s="9" t="s">
        <v>202</v>
      </c>
      <c r="Q331" s="9" t="s">
        <v>3809</v>
      </c>
      <c r="S331" s="9">
        <v>321.8</v>
      </c>
      <c r="T331" s="9">
        <v>102</v>
      </c>
      <c r="U331" s="9">
        <v>131.80000000000001</v>
      </c>
      <c r="V331" s="9">
        <v>861.4</v>
      </c>
      <c r="W331" s="9">
        <v>31.8</v>
      </c>
      <c r="X331" s="9">
        <v>453.5</v>
      </c>
      <c r="Y331" s="9" t="s">
        <v>106</v>
      </c>
      <c r="Z331" s="37"/>
      <c r="AA331" s="37"/>
      <c r="AB331" s="37"/>
      <c r="AE331"/>
    </row>
    <row r="332" spans="1:31" hidden="1">
      <c r="A332" s="9" t="s">
        <v>226</v>
      </c>
      <c r="B332" s="9" t="s">
        <v>229</v>
      </c>
      <c r="C332" s="9" t="s">
        <v>105</v>
      </c>
      <c r="D332" s="9">
        <v>0.90979999999999905</v>
      </c>
      <c r="E332" s="9">
        <v>0.16700000000000001</v>
      </c>
      <c r="F332" s="9" t="s">
        <v>106</v>
      </c>
      <c r="G332" s="9" t="s">
        <v>106</v>
      </c>
      <c r="H332" s="9">
        <v>1.1000000000000001</v>
      </c>
      <c r="J332" s="9" t="s">
        <v>116</v>
      </c>
      <c r="K332" s="9" t="s">
        <v>228</v>
      </c>
      <c r="L332" t="str">
        <f>IF(OR(J332="Cattle",J332="Zebu Cattle"),IF(COUNTIF(lists!$M$2:$M$258, K332) &gt; 0,"bos.indicus",IF(COUNTIF(lists!$L$2:$L$258, K332) &gt; 0,"cross.bred","pure.bred.exotic")),"NA")</f>
        <v>NA</v>
      </c>
      <c r="M332" t="str">
        <f>IF(J332="Sheep",IF(COUNTIF(lists!$H$2:$H$258, K332) &gt; 0,"indigenous",IF(COUNTIF(lists!$G$2:$G$258, K332) &gt; 0,"cross.bred","not found")),"NA")</f>
        <v>NA</v>
      </c>
      <c r="N332" t="str">
        <f>IF(J332="Goat",IF(COUNTIF(lists!$J$2:$J$258, K332) &gt; 0,"indigenous",IF(COUNTIF(lists!$I$2:$I$258, K332) &gt; 0,"cross.bred","not found")),"NA")</f>
        <v>not found</v>
      </c>
      <c r="O332" s="9" t="s">
        <v>109</v>
      </c>
      <c r="P332" s="9" t="s">
        <v>202</v>
      </c>
      <c r="Q332" s="9" t="s">
        <v>3809</v>
      </c>
      <c r="S332" s="9">
        <v>321.39999999999998</v>
      </c>
      <c r="T332" s="9">
        <v>111</v>
      </c>
      <c r="U332" s="9">
        <v>132</v>
      </c>
      <c r="V332" s="9">
        <v>868</v>
      </c>
      <c r="W332" s="9">
        <v>31.5</v>
      </c>
      <c r="X332" s="9">
        <v>457</v>
      </c>
      <c r="Y332" s="9" t="s">
        <v>106</v>
      </c>
      <c r="Z332" s="37"/>
      <c r="AA332" s="37"/>
      <c r="AB332" s="37"/>
      <c r="AE332"/>
    </row>
    <row r="333" spans="1:31" hidden="1">
      <c r="A333" s="9" t="s">
        <v>226</v>
      </c>
      <c r="B333" s="9" t="s">
        <v>230</v>
      </c>
      <c r="C333" s="9" t="s">
        <v>105</v>
      </c>
      <c r="D333" s="9">
        <v>0.91020000000000001</v>
      </c>
      <c r="E333" s="9">
        <v>0.16700000000000001</v>
      </c>
      <c r="F333" s="9" t="s">
        <v>106</v>
      </c>
      <c r="G333" s="9" t="s">
        <v>106</v>
      </c>
      <c r="H333" s="9">
        <v>1.1990000000000001</v>
      </c>
      <c r="J333" s="9" t="s">
        <v>116</v>
      </c>
      <c r="K333" s="9" t="s">
        <v>228</v>
      </c>
      <c r="L333" t="str">
        <f>IF(OR(J333="Cattle",J333="Zebu Cattle"),IF(COUNTIF(lists!$M$2:$M$258, K333) &gt; 0,"bos.indicus",IF(COUNTIF(lists!$L$2:$L$258, K333) &gt; 0,"cross.bred","pure.bred.exotic")),"NA")</f>
        <v>NA</v>
      </c>
      <c r="M333" t="str">
        <f>IF(J333="Sheep",IF(COUNTIF(lists!$H$2:$H$258, K333) &gt; 0,"indigenous",IF(COUNTIF(lists!$G$2:$G$258, K333) &gt; 0,"cross.bred","not found")),"NA")</f>
        <v>NA</v>
      </c>
      <c r="N333" t="str">
        <f>IF(J333="Goat",IF(COUNTIF(lists!$J$2:$J$258, K333) &gt; 0,"indigenous",IF(COUNTIF(lists!$I$2:$I$258, K333) &gt; 0,"cross.bred","not found")),"NA")</f>
        <v>not found</v>
      </c>
      <c r="O333" s="9" t="s">
        <v>109</v>
      </c>
      <c r="P333" s="9" t="s">
        <v>202</v>
      </c>
      <c r="Q333" s="9" t="s">
        <v>3809</v>
      </c>
      <c r="S333" s="9">
        <v>325.2</v>
      </c>
      <c r="T333" s="9">
        <v>108.6</v>
      </c>
      <c r="U333" s="9">
        <v>132.5</v>
      </c>
      <c r="V333" s="9">
        <v>861.8</v>
      </c>
      <c r="W333" s="9">
        <v>31</v>
      </c>
      <c r="X333" s="9">
        <v>459</v>
      </c>
      <c r="Y333" s="9" t="s">
        <v>106</v>
      </c>
      <c r="Z333" s="37"/>
      <c r="AA333" s="37"/>
      <c r="AB333" s="37"/>
      <c r="AE333"/>
    </row>
    <row r="334" spans="1:31" hidden="1">
      <c r="A334" s="9" t="s">
        <v>226</v>
      </c>
      <c r="B334" s="9" t="s">
        <v>231</v>
      </c>
      <c r="C334" s="9" t="s">
        <v>105</v>
      </c>
      <c r="D334" s="9">
        <v>0.91059999999999997</v>
      </c>
      <c r="E334" s="9">
        <v>0.16700000000000001</v>
      </c>
      <c r="F334" s="9" t="s">
        <v>106</v>
      </c>
      <c r="G334" s="9" t="s">
        <v>106</v>
      </c>
      <c r="H334" s="9">
        <v>0.96299999999999997</v>
      </c>
      <c r="J334" s="9" t="s">
        <v>116</v>
      </c>
      <c r="K334" s="9" t="s">
        <v>228</v>
      </c>
      <c r="L334" t="str">
        <f>IF(OR(J334="Cattle",J334="Zebu Cattle"),IF(COUNTIF(lists!$M$2:$M$258, K334) &gt; 0,"bos.indicus",IF(COUNTIF(lists!$L$2:$L$258, K334) &gt; 0,"cross.bred","pure.bred.exotic")),"NA")</f>
        <v>NA</v>
      </c>
      <c r="M334" t="str">
        <f>IF(J334="Sheep",IF(COUNTIF(lists!$H$2:$H$258, K334) &gt; 0,"indigenous",IF(COUNTIF(lists!$G$2:$G$258, K334) &gt; 0,"cross.bred","not found")),"NA")</f>
        <v>NA</v>
      </c>
      <c r="N334" t="str">
        <f>IF(J334="Goat",IF(COUNTIF(lists!$J$2:$J$258, K334) &gt; 0,"indigenous",IF(COUNTIF(lists!$I$2:$I$258, K334) &gt; 0,"cross.bred","not found")),"NA")</f>
        <v>not found</v>
      </c>
      <c r="O334" s="9" t="s">
        <v>109</v>
      </c>
      <c r="P334" s="9" t="s">
        <v>202</v>
      </c>
      <c r="Q334" s="9" t="s">
        <v>3809</v>
      </c>
      <c r="S334" s="9">
        <v>334</v>
      </c>
      <c r="T334" s="9">
        <v>100.9</v>
      </c>
      <c r="U334" s="9">
        <v>131.6</v>
      </c>
      <c r="V334" s="9">
        <v>865.69999999999902</v>
      </c>
      <c r="W334" s="9">
        <v>31.8</v>
      </c>
      <c r="X334" s="9">
        <v>461</v>
      </c>
      <c r="Y334" s="9" t="s">
        <v>106</v>
      </c>
      <c r="Z334" s="37"/>
      <c r="AA334" s="37"/>
      <c r="AB334" s="37"/>
      <c r="AE334"/>
    </row>
    <row r="335" spans="1:31" hidden="1">
      <c r="A335" s="9" t="s">
        <v>256</v>
      </c>
      <c r="B335" s="9" t="s">
        <v>257</v>
      </c>
      <c r="C335" s="9" t="s">
        <v>105</v>
      </c>
      <c r="D335" s="9">
        <v>0.46899999999999997</v>
      </c>
      <c r="E335" s="9">
        <v>5.75</v>
      </c>
      <c r="F335" s="9" t="s">
        <v>106</v>
      </c>
      <c r="G335" s="9" t="s">
        <v>106</v>
      </c>
      <c r="H335" s="9" t="s">
        <v>106</v>
      </c>
      <c r="I335" s="9">
        <v>30</v>
      </c>
      <c r="J335" s="9" t="s">
        <v>116</v>
      </c>
      <c r="K335" s="9" t="s">
        <v>117</v>
      </c>
      <c r="L335" t="str">
        <f>IF(OR(J335="Cattle",J335="Zebu Cattle"),IF(COUNTIF(lists!$M$2:$M$258, K335) &gt; 0,"bos.indicus",IF(COUNTIF(lists!$L$2:$L$258, K335) &gt; 0,"cross.bred","pure.bred.exotic")),"NA")</f>
        <v>NA</v>
      </c>
      <c r="M335" t="str">
        <f>IF(J335="Sheep",IF(COUNTIF(lists!$H$2:$H$258, K335) &gt; 0,"indigenous",IF(COUNTIF(lists!$G$2:$G$258, K335) &gt; 0,"cross.bred","not found")),"NA")</f>
        <v>NA</v>
      </c>
      <c r="N335" t="str">
        <f>IF(J335="Goat",IF(COUNTIF(lists!$J$2:$J$258, K335) &gt; 0,"indigenous",IF(COUNTIF(lists!$I$2:$I$258, K335) &gt; 0,"cross.bred","not found")),"NA")</f>
        <v>indigenous</v>
      </c>
      <c r="O335" s="9" t="s">
        <v>109</v>
      </c>
      <c r="P335" s="9" t="s">
        <v>106</v>
      </c>
      <c r="Q335" s="9" t="s">
        <v>3806</v>
      </c>
      <c r="S335" s="9" t="s">
        <v>106</v>
      </c>
      <c r="T335" s="9" t="s">
        <v>106</v>
      </c>
      <c r="U335" s="9" t="s">
        <v>106</v>
      </c>
      <c r="V335" s="9" t="s">
        <v>106</v>
      </c>
      <c r="W335" s="9" t="s">
        <v>106</v>
      </c>
      <c r="X335" s="9" t="s">
        <v>106</v>
      </c>
      <c r="Y335" s="9" t="s">
        <v>106</v>
      </c>
      <c r="Z335" s="37"/>
      <c r="AA335" s="37"/>
      <c r="AB335" s="37"/>
      <c r="AE335">
        <v>0</v>
      </c>
    </row>
    <row r="336" spans="1:31" hidden="1">
      <c r="A336" s="9" t="s">
        <v>256</v>
      </c>
      <c r="B336" s="9" t="s">
        <v>258</v>
      </c>
      <c r="C336" s="9" t="s">
        <v>105</v>
      </c>
      <c r="D336" s="9">
        <v>0.45600000000000002</v>
      </c>
      <c r="E336" s="9">
        <v>5.75</v>
      </c>
      <c r="F336" s="9" t="s">
        <v>106</v>
      </c>
      <c r="G336" s="9" t="s">
        <v>106</v>
      </c>
      <c r="H336" s="9" t="s">
        <v>106</v>
      </c>
      <c r="I336" s="9">
        <v>30</v>
      </c>
      <c r="J336" s="9" t="s">
        <v>116</v>
      </c>
      <c r="K336" s="9" t="s">
        <v>117</v>
      </c>
      <c r="L336" t="str">
        <f>IF(OR(J336="Cattle",J336="Zebu Cattle"),IF(COUNTIF(lists!$M$2:$M$258, K336) &gt; 0,"bos.indicus",IF(COUNTIF(lists!$L$2:$L$258, K336) &gt; 0,"cross.bred","pure.bred.exotic")),"NA")</f>
        <v>NA</v>
      </c>
      <c r="M336" t="str">
        <f>IF(J336="Sheep",IF(COUNTIF(lists!$H$2:$H$258, K336) &gt; 0,"indigenous",IF(COUNTIF(lists!$G$2:$G$258, K336) &gt; 0,"cross.bred","not found")),"NA")</f>
        <v>NA</v>
      </c>
      <c r="N336" t="str">
        <f>IF(J336="Goat",IF(COUNTIF(lists!$J$2:$J$258, K336) &gt; 0,"indigenous",IF(COUNTIF(lists!$I$2:$I$258, K336) &gt; 0,"cross.bred","not found")),"NA")</f>
        <v>indigenous</v>
      </c>
      <c r="O336" s="9" t="s">
        <v>109</v>
      </c>
      <c r="P336" s="9" t="s">
        <v>106</v>
      </c>
      <c r="Q336" s="9" t="s">
        <v>3806</v>
      </c>
      <c r="S336" s="9" t="s">
        <v>106</v>
      </c>
      <c r="T336" s="9" t="s">
        <v>106</v>
      </c>
      <c r="U336" s="9" t="s">
        <v>106</v>
      </c>
      <c r="V336" s="9" t="s">
        <v>106</v>
      </c>
      <c r="W336" s="9" t="s">
        <v>106</v>
      </c>
      <c r="X336" s="9" t="s">
        <v>106</v>
      </c>
      <c r="Y336" s="9" t="s">
        <v>106</v>
      </c>
      <c r="Z336" s="37"/>
      <c r="AA336" s="37"/>
      <c r="AB336" s="37"/>
      <c r="AE336">
        <v>0</v>
      </c>
    </row>
    <row r="337" spans="1:31" hidden="1">
      <c r="A337" s="9" t="s">
        <v>256</v>
      </c>
      <c r="B337" s="9" t="s">
        <v>259</v>
      </c>
      <c r="C337" s="9" t="s">
        <v>105</v>
      </c>
      <c r="D337" s="9">
        <v>0.41499999999999998</v>
      </c>
      <c r="E337" s="9">
        <v>5.75</v>
      </c>
      <c r="F337" s="9" t="s">
        <v>106</v>
      </c>
      <c r="G337" s="9" t="s">
        <v>106</v>
      </c>
      <c r="H337" s="9" t="s">
        <v>106</v>
      </c>
      <c r="I337" s="9">
        <v>30</v>
      </c>
      <c r="J337" s="9" t="s">
        <v>116</v>
      </c>
      <c r="K337" s="9" t="s">
        <v>117</v>
      </c>
      <c r="L337" t="str">
        <f>IF(OR(J337="Cattle",J337="Zebu Cattle"),IF(COUNTIF(lists!$M$2:$M$258, K337) &gt; 0,"bos.indicus",IF(COUNTIF(lists!$L$2:$L$258, K337) &gt; 0,"cross.bred","pure.bred.exotic")),"NA")</f>
        <v>NA</v>
      </c>
      <c r="M337" t="str">
        <f>IF(J337="Sheep",IF(COUNTIF(lists!$H$2:$H$258, K337) &gt; 0,"indigenous",IF(COUNTIF(lists!$G$2:$G$258, K337) &gt; 0,"cross.bred","not found")),"NA")</f>
        <v>NA</v>
      </c>
      <c r="N337" t="str">
        <f>IF(J337="Goat",IF(COUNTIF(lists!$J$2:$J$258, K337) &gt; 0,"indigenous",IF(COUNTIF(lists!$I$2:$I$258, K337) &gt; 0,"cross.bred","not found")),"NA")</f>
        <v>indigenous</v>
      </c>
      <c r="O337" s="9" t="s">
        <v>109</v>
      </c>
      <c r="P337" s="9" t="s">
        <v>106</v>
      </c>
      <c r="Q337" s="9" t="s">
        <v>3806</v>
      </c>
      <c r="S337" s="9" t="s">
        <v>106</v>
      </c>
      <c r="T337" s="9" t="s">
        <v>106</v>
      </c>
      <c r="U337" s="9" t="s">
        <v>106</v>
      </c>
      <c r="V337" s="9" t="s">
        <v>106</v>
      </c>
      <c r="W337" s="9" t="s">
        <v>106</v>
      </c>
      <c r="X337" s="9" t="s">
        <v>106</v>
      </c>
      <c r="Y337" s="9" t="s">
        <v>106</v>
      </c>
      <c r="Z337" s="37"/>
      <c r="AA337" s="37"/>
      <c r="AB337" s="37"/>
      <c r="AE337">
        <v>0</v>
      </c>
    </row>
    <row r="338" spans="1:31" hidden="1">
      <c r="A338" s="9" t="s">
        <v>256</v>
      </c>
      <c r="B338" s="9" t="s">
        <v>260</v>
      </c>
      <c r="C338" s="9" t="s">
        <v>105</v>
      </c>
      <c r="D338" s="9">
        <v>0.443</v>
      </c>
      <c r="E338" s="9">
        <v>5.75</v>
      </c>
      <c r="F338" s="9" t="s">
        <v>106</v>
      </c>
      <c r="G338" s="9" t="s">
        <v>106</v>
      </c>
      <c r="H338" s="9" t="s">
        <v>106</v>
      </c>
      <c r="I338" s="9">
        <v>30</v>
      </c>
      <c r="J338" s="9" t="s">
        <v>116</v>
      </c>
      <c r="K338" s="9" t="s">
        <v>117</v>
      </c>
      <c r="L338" t="str">
        <f>IF(OR(J338="Cattle",J338="Zebu Cattle"),IF(COUNTIF(lists!$M$2:$M$258, K338) &gt; 0,"bos.indicus",IF(COUNTIF(lists!$L$2:$L$258, K338) &gt; 0,"cross.bred","pure.bred.exotic")),"NA")</f>
        <v>NA</v>
      </c>
      <c r="M338" t="str">
        <f>IF(J338="Sheep",IF(COUNTIF(lists!$H$2:$H$258, K338) &gt; 0,"indigenous",IF(COUNTIF(lists!$G$2:$G$258, K338) &gt; 0,"cross.bred","not found")),"NA")</f>
        <v>NA</v>
      </c>
      <c r="N338" t="str">
        <f>IF(J338="Goat",IF(COUNTIF(lists!$J$2:$J$258, K338) &gt; 0,"indigenous",IF(COUNTIF(lists!$I$2:$I$258, K338) &gt; 0,"cross.bred","not found")),"NA")</f>
        <v>indigenous</v>
      </c>
      <c r="O338" s="9" t="s">
        <v>109</v>
      </c>
      <c r="P338" s="9" t="s">
        <v>106</v>
      </c>
      <c r="Q338" s="9" t="s">
        <v>3806</v>
      </c>
      <c r="S338" s="9" t="s">
        <v>106</v>
      </c>
      <c r="T338" s="9" t="s">
        <v>106</v>
      </c>
      <c r="U338" s="9" t="s">
        <v>106</v>
      </c>
      <c r="V338" s="9" t="s">
        <v>106</v>
      </c>
      <c r="W338" s="9" t="s">
        <v>106</v>
      </c>
      <c r="X338" s="9" t="s">
        <v>106</v>
      </c>
      <c r="Y338" s="9" t="s">
        <v>106</v>
      </c>
      <c r="Z338" s="37"/>
      <c r="AA338" s="37"/>
      <c r="AB338" s="37"/>
      <c r="AE338">
        <v>0</v>
      </c>
    </row>
    <row r="339" spans="1:31" hidden="1">
      <c r="A339" s="9" t="s">
        <v>256</v>
      </c>
      <c r="B339" s="9" t="s">
        <v>261</v>
      </c>
      <c r="C339" s="9" t="s">
        <v>105</v>
      </c>
      <c r="D339" s="9">
        <v>0.39800000000000002</v>
      </c>
      <c r="E339" s="9">
        <v>5.75</v>
      </c>
      <c r="F339" s="9" t="s">
        <v>106</v>
      </c>
      <c r="G339" s="9" t="s">
        <v>106</v>
      </c>
      <c r="H339" s="9" t="s">
        <v>106</v>
      </c>
      <c r="I339" s="9">
        <v>30</v>
      </c>
      <c r="J339" s="9" t="s">
        <v>116</v>
      </c>
      <c r="K339" s="9" t="s">
        <v>117</v>
      </c>
      <c r="L339" t="str">
        <f>IF(OR(J339="Cattle",J339="Zebu Cattle"),IF(COUNTIF(lists!$M$2:$M$258, K339) &gt; 0,"bos.indicus",IF(COUNTIF(lists!$L$2:$L$258, K339) &gt; 0,"cross.bred","pure.bred.exotic")),"NA")</f>
        <v>NA</v>
      </c>
      <c r="M339" t="str">
        <f>IF(J339="Sheep",IF(COUNTIF(lists!$H$2:$H$258, K339) &gt; 0,"indigenous",IF(COUNTIF(lists!$G$2:$G$258, K339) &gt; 0,"cross.bred","not found")),"NA")</f>
        <v>NA</v>
      </c>
      <c r="N339" t="str">
        <f>IF(J339="Goat",IF(COUNTIF(lists!$J$2:$J$258, K339) &gt; 0,"indigenous",IF(COUNTIF(lists!$I$2:$I$258, K339) &gt; 0,"cross.bred","not found")),"NA")</f>
        <v>indigenous</v>
      </c>
      <c r="O339" s="9" t="s">
        <v>109</v>
      </c>
      <c r="P339" s="9" t="s">
        <v>106</v>
      </c>
      <c r="Q339" s="9" t="s">
        <v>3806</v>
      </c>
      <c r="S339" s="9" t="s">
        <v>106</v>
      </c>
      <c r="T339" s="9" t="s">
        <v>106</v>
      </c>
      <c r="U339" s="9" t="s">
        <v>106</v>
      </c>
      <c r="V339" s="9" t="s">
        <v>106</v>
      </c>
      <c r="W339" s="9" t="s">
        <v>106</v>
      </c>
      <c r="X339" s="9" t="s">
        <v>106</v>
      </c>
      <c r="Y339" s="9" t="s">
        <v>106</v>
      </c>
      <c r="Z339" s="37"/>
      <c r="AA339" s="37"/>
      <c r="AB339" s="37"/>
      <c r="AE339">
        <v>0</v>
      </c>
    </row>
    <row r="340" spans="1:31" hidden="1">
      <c r="A340" s="9" t="s">
        <v>262</v>
      </c>
      <c r="B340" s="9" t="s">
        <v>263</v>
      </c>
      <c r="C340" s="9" t="s">
        <v>105</v>
      </c>
      <c r="D340" s="9">
        <v>0.26161000000000001</v>
      </c>
      <c r="E340" s="9">
        <v>2.96</v>
      </c>
      <c r="F340" s="9" t="s">
        <v>106</v>
      </c>
      <c r="G340" s="9" t="s">
        <v>106</v>
      </c>
      <c r="H340" s="9" t="s">
        <v>106</v>
      </c>
      <c r="I340" s="9">
        <v>20</v>
      </c>
      <c r="J340" s="9" t="s">
        <v>116</v>
      </c>
      <c r="K340" s="9" t="s">
        <v>117</v>
      </c>
      <c r="L340" t="str">
        <f>IF(OR(J340="Cattle",J340="Zebu Cattle"),IF(COUNTIF(lists!$M$2:$M$258, K340) &gt; 0,"bos.indicus",IF(COUNTIF(lists!$L$2:$L$258, K340) &gt; 0,"cross.bred","pure.bred.exotic")),"NA")</f>
        <v>NA</v>
      </c>
      <c r="M340" t="str">
        <f>IF(J340="Sheep",IF(COUNTIF(lists!$H$2:$H$258, K340) &gt; 0,"indigenous",IF(COUNTIF(lists!$G$2:$G$258, K340) &gt; 0,"cross.bred","not found")),"NA")</f>
        <v>NA</v>
      </c>
      <c r="N340" t="str">
        <f>IF(J340="Goat",IF(COUNTIF(lists!$J$2:$J$258, K340) &gt; 0,"indigenous",IF(COUNTIF(lists!$I$2:$I$258, K340) &gt; 0,"cross.bred","not found")),"NA")</f>
        <v>indigenous</v>
      </c>
      <c r="O340" s="9" t="s">
        <v>109</v>
      </c>
      <c r="P340" s="9" t="s">
        <v>106</v>
      </c>
      <c r="Q340" s="9" t="s">
        <v>3804</v>
      </c>
      <c r="S340" s="9">
        <v>165.39999999999901</v>
      </c>
      <c r="T340" s="9">
        <v>96.2</v>
      </c>
      <c r="U340" s="9">
        <v>188.9</v>
      </c>
      <c r="V340" s="9">
        <v>933.5</v>
      </c>
      <c r="W340" s="9">
        <v>50.5</v>
      </c>
      <c r="X340" s="9">
        <v>305.10000000000002</v>
      </c>
      <c r="Y340" s="9" t="s">
        <v>106</v>
      </c>
      <c r="Z340" s="37"/>
      <c r="AA340" s="37"/>
      <c r="AB340" s="37"/>
      <c r="AE340">
        <v>0</v>
      </c>
    </row>
    <row r="341" spans="1:31" hidden="1">
      <c r="A341" s="9" t="s">
        <v>262</v>
      </c>
      <c r="B341" s="9" t="s">
        <v>264</v>
      </c>
      <c r="C341" s="9" t="s">
        <v>105</v>
      </c>
      <c r="D341" s="9">
        <v>0.25899</v>
      </c>
      <c r="E341" s="9">
        <v>2.96</v>
      </c>
      <c r="F341" s="9" t="s">
        <v>106</v>
      </c>
      <c r="G341" s="9" t="s">
        <v>106</v>
      </c>
      <c r="H341" s="9" t="s">
        <v>106</v>
      </c>
      <c r="I341" s="9">
        <v>20</v>
      </c>
      <c r="J341" s="9" t="s">
        <v>116</v>
      </c>
      <c r="K341" s="9" t="s">
        <v>117</v>
      </c>
      <c r="L341" t="str">
        <f>IF(OR(J341="Cattle",J341="Zebu Cattle"),IF(COUNTIF(lists!$M$2:$M$258, K341) &gt; 0,"bos.indicus",IF(COUNTIF(lists!$L$2:$L$258, K341) &gt; 0,"cross.bred","pure.bred.exotic")),"NA")</f>
        <v>NA</v>
      </c>
      <c r="M341" t="str">
        <f>IF(J341="Sheep",IF(COUNTIF(lists!$H$2:$H$258, K341) &gt; 0,"indigenous",IF(COUNTIF(lists!$G$2:$G$258, K341) &gt; 0,"cross.bred","not found")),"NA")</f>
        <v>NA</v>
      </c>
      <c r="N341" t="str">
        <f>IF(J341="Goat",IF(COUNTIF(lists!$J$2:$J$258, K341) &gt; 0,"indigenous",IF(COUNTIF(lists!$I$2:$I$258, K341) &gt; 0,"cross.bred","not found")),"NA")</f>
        <v>indigenous</v>
      </c>
      <c r="O341" s="9" t="s">
        <v>109</v>
      </c>
      <c r="P341" s="9" t="s">
        <v>106</v>
      </c>
      <c r="Q341" s="9" t="s">
        <v>3804</v>
      </c>
      <c r="S341" s="9">
        <v>178.2</v>
      </c>
      <c r="T341" s="9">
        <v>83</v>
      </c>
      <c r="U341" s="9">
        <v>184.4</v>
      </c>
      <c r="V341" s="9">
        <v>949.9</v>
      </c>
      <c r="W341" s="9">
        <v>87.5</v>
      </c>
      <c r="X341" s="9">
        <v>302.89999999999998</v>
      </c>
      <c r="Y341" s="9" t="s">
        <v>106</v>
      </c>
      <c r="Z341" s="37"/>
      <c r="AA341" s="37"/>
      <c r="AB341" s="37"/>
      <c r="AE341">
        <v>0</v>
      </c>
    </row>
    <row r="342" spans="1:31" hidden="1">
      <c r="A342" s="9" t="s">
        <v>262</v>
      </c>
      <c r="B342" s="9" t="s">
        <v>265</v>
      </c>
      <c r="C342" s="9" t="s">
        <v>105</v>
      </c>
      <c r="D342" s="9">
        <v>0.24346999999999999</v>
      </c>
      <c r="E342" s="9">
        <v>2.96</v>
      </c>
      <c r="F342" s="9" t="s">
        <v>106</v>
      </c>
      <c r="G342" s="9" t="s">
        <v>106</v>
      </c>
      <c r="H342" s="9" t="s">
        <v>106</v>
      </c>
      <c r="I342" s="9">
        <v>20</v>
      </c>
      <c r="J342" s="9" t="s">
        <v>116</v>
      </c>
      <c r="K342" s="9" t="s">
        <v>117</v>
      </c>
      <c r="L342" t="str">
        <f>IF(OR(J342="Cattle",J342="Zebu Cattle"),IF(COUNTIF(lists!$M$2:$M$258, K342) &gt; 0,"bos.indicus",IF(COUNTIF(lists!$L$2:$L$258, K342) &gt; 0,"cross.bred","pure.bred.exotic")),"NA")</f>
        <v>NA</v>
      </c>
      <c r="M342" t="str">
        <f>IF(J342="Sheep",IF(COUNTIF(lists!$H$2:$H$258, K342) &gt; 0,"indigenous",IF(COUNTIF(lists!$G$2:$G$258, K342) &gt; 0,"cross.bred","not found")),"NA")</f>
        <v>NA</v>
      </c>
      <c r="N342" t="str">
        <f>IF(J342="Goat",IF(COUNTIF(lists!$J$2:$J$258, K342) &gt; 0,"indigenous",IF(COUNTIF(lists!$I$2:$I$258, K342) &gt; 0,"cross.bred","not found")),"NA")</f>
        <v>indigenous</v>
      </c>
      <c r="O342" s="9" t="s">
        <v>109</v>
      </c>
      <c r="P342" s="9" t="s">
        <v>106</v>
      </c>
      <c r="Q342" s="9" t="s">
        <v>3804</v>
      </c>
      <c r="S342" s="9">
        <v>178.2</v>
      </c>
      <c r="T342" s="9">
        <v>74</v>
      </c>
      <c r="U342" s="9">
        <v>183.9</v>
      </c>
      <c r="V342" s="9">
        <v>955.7</v>
      </c>
      <c r="W342" s="9">
        <v>106.4</v>
      </c>
      <c r="X342" s="9">
        <v>293.60000000000002</v>
      </c>
      <c r="Y342" s="9" t="s">
        <v>106</v>
      </c>
      <c r="Z342" s="37"/>
      <c r="AA342" s="37"/>
      <c r="AB342" s="37"/>
      <c r="AE342">
        <v>0</v>
      </c>
    </row>
    <row r="343" spans="1:31" hidden="1">
      <c r="A343" s="9" t="s">
        <v>262</v>
      </c>
      <c r="B343" s="9" t="s">
        <v>266</v>
      </c>
      <c r="C343" s="9" t="s">
        <v>105</v>
      </c>
      <c r="D343" s="9">
        <v>0.21675</v>
      </c>
      <c r="E343" s="9">
        <v>2.96</v>
      </c>
      <c r="F343" s="9" t="s">
        <v>106</v>
      </c>
      <c r="G343" s="9" t="s">
        <v>106</v>
      </c>
      <c r="H343" s="9" t="s">
        <v>106</v>
      </c>
      <c r="I343" s="9">
        <v>20</v>
      </c>
      <c r="J343" s="9" t="s">
        <v>116</v>
      </c>
      <c r="K343" s="9" t="s">
        <v>117</v>
      </c>
      <c r="L343" t="str">
        <f>IF(OR(J343="Cattle",J343="Zebu Cattle"),IF(COUNTIF(lists!$M$2:$M$258, K343) &gt; 0,"bos.indicus",IF(COUNTIF(lists!$L$2:$L$258, K343) &gt; 0,"cross.bred","pure.bred.exotic")),"NA")</f>
        <v>NA</v>
      </c>
      <c r="M343" t="str">
        <f>IF(J343="Sheep",IF(COUNTIF(lists!$H$2:$H$258, K343) &gt; 0,"indigenous",IF(COUNTIF(lists!$G$2:$G$258, K343) &gt; 0,"cross.bred","not found")),"NA")</f>
        <v>NA</v>
      </c>
      <c r="N343" t="str">
        <f>IF(J343="Goat",IF(COUNTIF(lists!$J$2:$J$258, K343) &gt; 0,"indigenous",IF(COUNTIF(lists!$I$2:$I$258, K343) &gt; 0,"cross.bred","not found")),"NA")</f>
        <v>indigenous</v>
      </c>
      <c r="O343" s="9" t="s">
        <v>109</v>
      </c>
      <c r="P343" s="9" t="s">
        <v>106</v>
      </c>
      <c r="Q343" s="9" t="s">
        <v>3804</v>
      </c>
      <c r="S343" s="9">
        <v>170.79999999999899</v>
      </c>
      <c r="T343" s="9">
        <v>67.099999999999994</v>
      </c>
      <c r="U343" s="9">
        <v>182</v>
      </c>
      <c r="V343" s="9">
        <v>917.5</v>
      </c>
      <c r="W343" s="9">
        <v>123.3</v>
      </c>
      <c r="X343" s="9">
        <v>296.7</v>
      </c>
      <c r="Y343" s="9" t="s">
        <v>106</v>
      </c>
      <c r="Z343" s="37"/>
      <c r="AA343" s="37"/>
      <c r="AB343" s="37"/>
      <c r="AE343">
        <v>0</v>
      </c>
    </row>
    <row r="344" spans="1:31" hidden="1">
      <c r="A344" s="9" t="s">
        <v>267</v>
      </c>
      <c r="B344" s="9" t="s">
        <v>268</v>
      </c>
      <c r="C344" s="9" t="s">
        <v>105</v>
      </c>
      <c r="D344" s="9">
        <v>0.34976999999999903</v>
      </c>
      <c r="E344" s="9">
        <v>0</v>
      </c>
      <c r="F344" s="9" t="s">
        <v>106</v>
      </c>
      <c r="G344" s="9" t="s">
        <v>106</v>
      </c>
      <c r="H344" s="9" t="s">
        <v>106</v>
      </c>
      <c r="I344" s="9">
        <v>20</v>
      </c>
      <c r="J344" s="9" t="s">
        <v>116</v>
      </c>
      <c r="K344" s="9" t="s">
        <v>117</v>
      </c>
      <c r="L344" t="str">
        <f>IF(OR(J344="Cattle",J344="Zebu Cattle"),IF(COUNTIF(lists!$M$2:$M$258, K344) &gt; 0,"bos.indicus",IF(COUNTIF(lists!$L$2:$L$258, K344) &gt; 0,"cross.bred","pure.bred.exotic")),"NA")</f>
        <v>NA</v>
      </c>
      <c r="M344" t="str">
        <f>IF(J344="Sheep",IF(COUNTIF(lists!$H$2:$H$258, K344) &gt; 0,"indigenous",IF(COUNTIF(lists!$G$2:$G$258, K344) &gt; 0,"cross.bred","not found")),"NA")</f>
        <v>NA</v>
      </c>
      <c r="N344" t="str">
        <f>IF(J344="Goat",IF(COUNTIF(lists!$J$2:$J$258, K344) &gt; 0,"indigenous",IF(COUNTIF(lists!$I$2:$I$258, K344) &gt; 0,"cross.bred","not found")),"NA")</f>
        <v>indigenous</v>
      </c>
      <c r="O344" s="9" t="s">
        <v>109</v>
      </c>
      <c r="P344" s="9" t="s">
        <v>106</v>
      </c>
      <c r="Q344" s="9" t="s">
        <v>3804</v>
      </c>
      <c r="S344" s="9" t="s">
        <v>106</v>
      </c>
      <c r="T344" s="9" t="s">
        <v>106</v>
      </c>
      <c r="U344" s="9" t="s">
        <v>106</v>
      </c>
      <c r="V344" s="9" t="s">
        <v>106</v>
      </c>
      <c r="W344" s="9" t="s">
        <v>106</v>
      </c>
      <c r="X344" s="9" t="s">
        <v>106</v>
      </c>
      <c r="Y344" s="9" t="s">
        <v>106</v>
      </c>
      <c r="Z344" s="37"/>
      <c r="AA344" s="37"/>
      <c r="AB344" s="37"/>
      <c r="AE344">
        <v>0</v>
      </c>
    </row>
    <row r="345" spans="1:31" hidden="1">
      <c r="A345" s="9" t="s">
        <v>267</v>
      </c>
      <c r="B345" s="9" t="s">
        <v>269</v>
      </c>
      <c r="C345" s="9" t="s">
        <v>105</v>
      </c>
      <c r="D345" s="9">
        <v>0.28073999999999999</v>
      </c>
      <c r="E345" s="9">
        <v>0</v>
      </c>
      <c r="F345" s="9" t="s">
        <v>106</v>
      </c>
      <c r="G345" s="9" t="s">
        <v>106</v>
      </c>
      <c r="H345" s="9" t="s">
        <v>106</v>
      </c>
      <c r="I345" s="9">
        <v>20</v>
      </c>
      <c r="J345" s="9" t="s">
        <v>116</v>
      </c>
      <c r="K345" s="9" t="s">
        <v>117</v>
      </c>
      <c r="L345" t="str">
        <f>IF(OR(J345="Cattle",J345="Zebu Cattle"),IF(COUNTIF(lists!$M$2:$M$258, K345) &gt; 0,"bos.indicus",IF(COUNTIF(lists!$L$2:$L$258, K345) &gt; 0,"cross.bred","pure.bred.exotic")),"NA")</f>
        <v>NA</v>
      </c>
      <c r="M345" t="str">
        <f>IF(J345="Sheep",IF(COUNTIF(lists!$H$2:$H$258, K345) &gt; 0,"indigenous",IF(COUNTIF(lists!$G$2:$G$258, K345) &gt; 0,"cross.bred","not found")),"NA")</f>
        <v>NA</v>
      </c>
      <c r="N345" t="str">
        <f>IF(J345="Goat",IF(COUNTIF(lists!$J$2:$J$258, K345) &gt; 0,"indigenous",IF(COUNTIF(lists!$I$2:$I$258, K345) &gt; 0,"cross.bred","not found")),"NA")</f>
        <v>indigenous</v>
      </c>
      <c r="O345" s="9" t="s">
        <v>109</v>
      </c>
      <c r="P345" s="9" t="s">
        <v>106</v>
      </c>
      <c r="Q345" s="9" t="s">
        <v>3804</v>
      </c>
      <c r="S345" s="9" t="s">
        <v>106</v>
      </c>
      <c r="T345" s="9" t="s">
        <v>106</v>
      </c>
      <c r="U345" s="9" t="s">
        <v>106</v>
      </c>
      <c r="V345" s="9" t="s">
        <v>106</v>
      </c>
      <c r="W345" s="9" t="s">
        <v>106</v>
      </c>
      <c r="X345" s="9" t="s">
        <v>106</v>
      </c>
      <c r="Y345" s="9" t="s">
        <v>106</v>
      </c>
      <c r="Z345" s="37"/>
      <c r="AA345" s="37"/>
      <c r="AB345" s="37"/>
      <c r="AE345">
        <v>0</v>
      </c>
    </row>
    <row r="346" spans="1:31" hidden="1">
      <c r="A346" s="9" t="s">
        <v>267</v>
      </c>
      <c r="B346" s="9" t="s">
        <v>270</v>
      </c>
      <c r="C346" s="9" t="s">
        <v>105</v>
      </c>
      <c r="D346" s="9">
        <v>0.33818999999999999</v>
      </c>
      <c r="E346" s="9">
        <v>0</v>
      </c>
      <c r="F346" s="9" t="s">
        <v>106</v>
      </c>
      <c r="G346" s="9" t="s">
        <v>106</v>
      </c>
      <c r="H346" s="9" t="s">
        <v>106</v>
      </c>
      <c r="I346" s="9">
        <v>20</v>
      </c>
      <c r="J346" s="9" t="s">
        <v>116</v>
      </c>
      <c r="K346" s="9" t="s">
        <v>117</v>
      </c>
      <c r="L346" t="str">
        <f>IF(OR(J346="Cattle",J346="Zebu Cattle"),IF(COUNTIF(lists!$M$2:$M$258, K346) &gt; 0,"bos.indicus",IF(COUNTIF(lists!$L$2:$L$258, K346) &gt; 0,"cross.bred","pure.bred.exotic")),"NA")</f>
        <v>NA</v>
      </c>
      <c r="M346" t="str">
        <f>IF(J346="Sheep",IF(COUNTIF(lists!$H$2:$H$258, K346) &gt; 0,"indigenous",IF(COUNTIF(lists!$G$2:$G$258, K346) &gt; 0,"cross.bred","not found")),"NA")</f>
        <v>NA</v>
      </c>
      <c r="N346" t="str">
        <f>IF(J346="Goat",IF(COUNTIF(lists!$J$2:$J$258, K346) &gt; 0,"indigenous",IF(COUNTIF(lists!$I$2:$I$258, K346) &gt; 0,"cross.bred","not found")),"NA")</f>
        <v>indigenous</v>
      </c>
      <c r="O346" s="9" t="s">
        <v>109</v>
      </c>
      <c r="P346" s="9" t="s">
        <v>106</v>
      </c>
      <c r="Q346" s="9" t="s">
        <v>3804</v>
      </c>
      <c r="S346" s="9" t="s">
        <v>106</v>
      </c>
      <c r="T346" s="9" t="s">
        <v>106</v>
      </c>
      <c r="U346" s="9" t="s">
        <v>106</v>
      </c>
      <c r="V346" s="9" t="s">
        <v>106</v>
      </c>
      <c r="W346" s="9" t="s">
        <v>106</v>
      </c>
      <c r="X346" s="9" t="s">
        <v>106</v>
      </c>
      <c r="Y346" s="9" t="s">
        <v>106</v>
      </c>
      <c r="Z346" s="37"/>
      <c r="AA346" s="37"/>
      <c r="AB346" s="37"/>
      <c r="AE346">
        <v>0</v>
      </c>
    </row>
    <row r="347" spans="1:31" hidden="1">
      <c r="A347" s="9" t="s">
        <v>267</v>
      </c>
      <c r="B347" s="9" t="s">
        <v>271</v>
      </c>
      <c r="C347" s="9" t="s">
        <v>105</v>
      </c>
      <c r="D347" s="9">
        <v>0.31093999999999999</v>
      </c>
      <c r="E347" s="9">
        <v>0</v>
      </c>
      <c r="F347" s="9" t="s">
        <v>106</v>
      </c>
      <c r="G347" s="9" t="s">
        <v>106</v>
      </c>
      <c r="H347" s="9" t="s">
        <v>106</v>
      </c>
      <c r="I347" s="9">
        <v>20</v>
      </c>
      <c r="J347" s="9" t="s">
        <v>116</v>
      </c>
      <c r="K347" s="9" t="s">
        <v>117</v>
      </c>
      <c r="L347" t="str">
        <f>IF(OR(J347="Cattle",J347="Zebu Cattle"),IF(COUNTIF(lists!$M$2:$M$258, K347) &gt; 0,"bos.indicus",IF(COUNTIF(lists!$L$2:$L$258, K347) &gt; 0,"cross.bred","pure.bred.exotic")),"NA")</f>
        <v>NA</v>
      </c>
      <c r="M347" t="str">
        <f>IF(J347="Sheep",IF(COUNTIF(lists!$H$2:$H$258, K347) &gt; 0,"indigenous",IF(COUNTIF(lists!$G$2:$G$258, K347) &gt; 0,"cross.bred","not found")),"NA")</f>
        <v>NA</v>
      </c>
      <c r="N347" t="str">
        <f>IF(J347="Goat",IF(COUNTIF(lists!$J$2:$J$258, K347) &gt; 0,"indigenous",IF(COUNTIF(lists!$I$2:$I$258, K347) &gt; 0,"cross.bred","not found")),"NA")</f>
        <v>indigenous</v>
      </c>
      <c r="O347" s="9" t="s">
        <v>109</v>
      </c>
      <c r="P347" s="9" t="s">
        <v>106</v>
      </c>
      <c r="Q347" s="9" t="s">
        <v>3804</v>
      </c>
      <c r="S347" s="9" t="s">
        <v>106</v>
      </c>
      <c r="T347" s="9" t="s">
        <v>106</v>
      </c>
      <c r="U347" s="9" t="s">
        <v>106</v>
      </c>
      <c r="V347" s="9" t="s">
        <v>106</v>
      </c>
      <c r="W347" s="9" t="s">
        <v>106</v>
      </c>
      <c r="X347" s="9" t="s">
        <v>106</v>
      </c>
      <c r="Y347" s="9" t="s">
        <v>106</v>
      </c>
      <c r="Z347" s="37"/>
      <c r="AA347" s="37"/>
      <c r="AB347" s="37"/>
      <c r="AE347">
        <v>0</v>
      </c>
    </row>
    <row r="348" spans="1:31" hidden="1">
      <c r="A348" s="9" t="s">
        <v>272</v>
      </c>
      <c r="B348" s="9" t="s">
        <v>273</v>
      </c>
      <c r="C348" s="9" t="s">
        <v>105</v>
      </c>
      <c r="D348" s="9">
        <v>0.48075000000000001</v>
      </c>
      <c r="E348" s="9">
        <v>34.82</v>
      </c>
      <c r="F348" s="9" t="s">
        <v>106</v>
      </c>
      <c r="G348" s="9" t="s">
        <v>106</v>
      </c>
      <c r="H348" s="9" t="s">
        <v>106</v>
      </c>
      <c r="I348" s="9">
        <v>20</v>
      </c>
      <c r="J348" s="9" t="s">
        <v>116</v>
      </c>
      <c r="K348" s="9" t="s">
        <v>117</v>
      </c>
      <c r="L348" t="str">
        <f>IF(OR(J348="Cattle",J348="Zebu Cattle"),IF(COUNTIF(lists!$M$2:$M$258, K348) &gt; 0,"bos.indicus",IF(COUNTIF(lists!$L$2:$L$258, K348) &gt; 0,"cross.bred","pure.bred.exotic")),"NA")</f>
        <v>NA</v>
      </c>
      <c r="M348" t="str">
        <f>IF(J348="Sheep",IF(COUNTIF(lists!$H$2:$H$258, K348) &gt; 0,"indigenous",IF(COUNTIF(lists!$G$2:$G$258, K348) &gt; 0,"cross.bred","not found")),"NA")</f>
        <v>NA</v>
      </c>
      <c r="N348" t="str">
        <f>IF(J348="Goat",IF(COUNTIF(lists!$J$2:$J$258, K348) &gt; 0,"indigenous",IF(COUNTIF(lists!$I$2:$I$258, K348) &gt; 0,"cross.bred","not found")),"NA")</f>
        <v>indigenous</v>
      </c>
      <c r="O348" s="9" t="s">
        <v>109</v>
      </c>
      <c r="P348" s="9" t="s">
        <v>106</v>
      </c>
      <c r="Q348" s="9" t="s">
        <v>3804</v>
      </c>
      <c r="S348" s="9">
        <v>150</v>
      </c>
      <c r="T348" s="9">
        <v>110</v>
      </c>
      <c r="U348" s="9">
        <v>41.8</v>
      </c>
      <c r="V348" s="9">
        <v>512</v>
      </c>
      <c r="W348" s="9">
        <v>40</v>
      </c>
      <c r="X348" s="9">
        <v>220</v>
      </c>
      <c r="Y348" s="9" t="s">
        <v>106</v>
      </c>
      <c r="Z348" s="37"/>
      <c r="AA348" s="37"/>
      <c r="AB348" s="37"/>
      <c r="AE348">
        <v>0</v>
      </c>
    </row>
    <row r="349" spans="1:31" hidden="1">
      <c r="A349" s="9" t="s">
        <v>272</v>
      </c>
      <c r="B349" s="9" t="s">
        <v>274</v>
      </c>
      <c r="C349" s="9" t="s">
        <v>105</v>
      </c>
      <c r="D349" s="9">
        <v>0.499</v>
      </c>
      <c r="E349" s="9">
        <v>34.82</v>
      </c>
      <c r="F349" s="9" t="s">
        <v>106</v>
      </c>
      <c r="G349" s="9" t="s">
        <v>106</v>
      </c>
      <c r="H349" s="9" t="s">
        <v>106</v>
      </c>
      <c r="I349" s="9">
        <v>20</v>
      </c>
      <c r="J349" s="9" t="s">
        <v>116</v>
      </c>
      <c r="K349" s="9" t="s">
        <v>117</v>
      </c>
      <c r="L349" t="str">
        <f>IF(OR(J349="Cattle",J349="Zebu Cattle"),IF(COUNTIF(lists!$M$2:$M$258, K349) &gt; 0,"bos.indicus",IF(COUNTIF(lists!$L$2:$L$258, K349) &gt; 0,"cross.bred","pure.bred.exotic")),"NA")</f>
        <v>NA</v>
      </c>
      <c r="M349" t="str">
        <f>IF(J349="Sheep",IF(COUNTIF(lists!$H$2:$H$258, K349) &gt; 0,"indigenous",IF(COUNTIF(lists!$G$2:$G$258, K349) &gt; 0,"cross.bred","not found")),"NA")</f>
        <v>NA</v>
      </c>
      <c r="N349" t="str">
        <f>IF(J349="Goat",IF(COUNTIF(lists!$J$2:$J$258, K349) &gt; 0,"indigenous",IF(COUNTIF(lists!$I$2:$I$258, K349) &gt; 0,"cross.bred","not found")),"NA")</f>
        <v>indigenous</v>
      </c>
      <c r="O349" s="9" t="s">
        <v>109</v>
      </c>
      <c r="P349" s="9" t="s">
        <v>106</v>
      </c>
      <c r="Q349" s="9" t="s">
        <v>3804</v>
      </c>
      <c r="S349" s="9">
        <v>170</v>
      </c>
      <c r="T349" s="9">
        <v>110</v>
      </c>
      <c r="U349" s="9">
        <v>60.099999999999902</v>
      </c>
      <c r="V349" s="9">
        <v>424</v>
      </c>
      <c r="W349" s="9">
        <v>50</v>
      </c>
      <c r="X349" s="9">
        <v>250</v>
      </c>
      <c r="Y349" s="9" t="s">
        <v>106</v>
      </c>
      <c r="Z349" s="37"/>
      <c r="AA349" s="37"/>
      <c r="AB349" s="37"/>
      <c r="AE349">
        <v>0</v>
      </c>
    </row>
    <row r="350" spans="1:31" hidden="1">
      <c r="A350" s="9" t="s">
        <v>272</v>
      </c>
      <c r="B350" s="9" t="s">
        <v>275</v>
      </c>
      <c r="C350" s="9" t="s">
        <v>105</v>
      </c>
      <c r="D350" s="9">
        <v>0.56774999999999998</v>
      </c>
      <c r="E350" s="9">
        <v>34.82</v>
      </c>
      <c r="F350" s="9" t="s">
        <v>106</v>
      </c>
      <c r="G350" s="9" t="s">
        <v>106</v>
      </c>
      <c r="H350" s="9" t="s">
        <v>106</v>
      </c>
      <c r="I350" s="9">
        <v>20</v>
      </c>
      <c r="J350" s="9" t="s">
        <v>116</v>
      </c>
      <c r="K350" s="9" t="s">
        <v>117</v>
      </c>
      <c r="L350" t="str">
        <f>IF(OR(J350="Cattle",J350="Zebu Cattle"),IF(COUNTIF(lists!$M$2:$M$258, K350) &gt; 0,"bos.indicus",IF(COUNTIF(lists!$L$2:$L$258, K350) &gt; 0,"cross.bred","pure.bred.exotic")),"NA")</f>
        <v>NA</v>
      </c>
      <c r="M350" t="str">
        <f>IF(J350="Sheep",IF(COUNTIF(lists!$H$2:$H$258, K350) &gt; 0,"indigenous",IF(COUNTIF(lists!$G$2:$G$258, K350) &gt; 0,"cross.bred","not found")),"NA")</f>
        <v>NA</v>
      </c>
      <c r="N350" t="str">
        <f>IF(J350="Goat",IF(COUNTIF(lists!$J$2:$J$258, K350) &gt; 0,"indigenous",IF(COUNTIF(lists!$I$2:$I$258, K350) &gt; 0,"cross.bred","not found")),"NA")</f>
        <v>indigenous</v>
      </c>
      <c r="O350" s="9" t="s">
        <v>109</v>
      </c>
      <c r="P350" s="9" t="s">
        <v>106</v>
      </c>
      <c r="Q350" s="9" t="s">
        <v>3804</v>
      </c>
      <c r="S350" s="9">
        <v>140</v>
      </c>
      <c r="T350" s="9">
        <v>90</v>
      </c>
      <c r="U350" s="9">
        <v>76</v>
      </c>
      <c r="V350" s="9">
        <v>344</v>
      </c>
      <c r="W350" s="9">
        <v>40</v>
      </c>
      <c r="X350" s="9">
        <v>260</v>
      </c>
      <c r="Y350" s="9" t="s">
        <v>106</v>
      </c>
      <c r="Z350" s="37"/>
      <c r="AA350" s="37"/>
      <c r="AB350" s="37"/>
      <c r="AE350">
        <v>0</v>
      </c>
    </row>
    <row r="351" spans="1:31" hidden="1">
      <c r="A351" s="9" t="s">
        <v>272</v>
      </c>
      <c r="B351" s="9" t="s">
        <v>276</v>
      </c>
      <c r="C351" s="9" t="s">
        <v>105</v>
      </c>
      <c r="D351" s="9">
        <v>0.62824999999999998</v>
      </c>
      <c r="E351" s="9">
        <v>34.82</v>
      </c>
      <c r="F351" s="9" t="s">
        <v>106</v>
      </c>
      <c r="G351" s="9" t="s">
        <v>106</v>
      </c>
      <c r="H351" s="9" t="s">
        <v>106</v>
      </c>
      <c r="I351" s="9">
        <v>20</v>
      </c>
      <c r="J351" s="9" t="s">
        <v>116</v>
      </c>
      <c r="K351" s="9" t="s">
        <v>117</v>
      </c>
      <c r="L351" t="str">
        <f>IF(OR(J351="Cattle",J351="Zebu Cattle"),IF(COUNTIF(lists!$M$2:$M$258, K351) &gt; 0,"bos.indicus",IF(COUNTIF(lists!$L$2:$L$258, K351) &gt; 0,"cross.bred","pure.bred.exotic")),"NA")</f>
        <v>NA</v>
      </c>
      <c r="M351" t="str">
        <f>IF(J351="Sheep",IF(COUNTIF(lists!$H$2:$H$258, K351) &gt; 0,"indigenous",IF(COUNTIF(lists!$G$2:$G$258, K351) &gt; 0,"cross.bred","not found")),"NA")</f>
        <v>NA</v>
      </c>
      <c r="N351" t="str">
        <f>IF(J351="Goat",IF(COUNTIF(lists!$J$2:$J$258, K351) &gt; 0,"indigenous",IF(COUNTIF(lists!$I$2:$I$258, K351) &gt; 0,"cross.bred","not found")),"NA")</f>
        <v>indigenous</v>
      </c>
      <c r="O351" s="9" t="s">
        <v>109</v>
      </c>
      <c r="P351" s="9" t="s">
        <v>106</v>
      </c>
      <c r="Q351" s="9" t="s">
        <v>3804</v>
      </c>
      <c r="S351" s="9">
        <v>150</v>
      </c>
      <c r="T351" s="9">
        <v>80</v>
      </c>
      <c r="U351" s="9">
        <v>77</v>
      </c>
      <c r="V351" s="9">
        <v>328</v>
      </c>
      <c r="W351" s="9">
        <v>60</v>
      </c>
      <c r="X351" s="9">
        <v>180</v>
      </c>
      <c r="Y351" s="9" t="s">
        <v>106</v>
      </c>
      <c r="Z351" s="37"/>
      <c r="AA351" s="37"/>
      <c r="AB351" s="37"/>
      <c r="AE351">
        <v>0</v>
      </c>
    </row>
    <row r="352" spans="1:31" hidden="1">
      <c r="A352" s="9" t="s">
        <v>283</v>
      </c>
      <c r="B352" s="9" t="s">
        <v>284</v>
      </c>
      <c r="C352" s="9" t="s">
        <v>105</v>
      </c>
      <c r="D352" s="9">
        <v>0.54400000000000004</v>
      </c>
      <c r="E352" s="9">
        <v>13.1</v>
      </c>
      <c r="F352" s="9" t="s">
        <v>106</v>
      </c>
      <c r="G352" s="9" t="s">
        <v>106</v>
      </c>
      <c r="H352" s="9" t="s">
        <v>106</v>
      </c>
      <c r="I352" s="9">
        <v>36</v>
      </c>
      <c r="J352" s="9" t="s">
        <v>116</v>
      </c>
      <c r="K352" s="9" t="s">
        <v>117</v>
      </c>
      <c r="L352" t="str">
        <f>IF(OR(J352="Cattle",J352="Zebu Cattle"),IF(COUNTIF(lists!$M$2:$M$258, K352) &gt; 0,"bos.indicus",IF(COUNTIF(lists!$L$2:$L$258, K352) &gt; 0,"cross.bred","pure.bred.exotic")),"NA")</f>
        <v>NA</v>
      </c>
      <c r="M352" t="str">
        <f>IF(J352="Sheep",IF(COUNTIF(lists!$H$2:$H$258, K352) &gt; 0,"indigenous",IF(COUNTIF(lists!$G$2:$G$258, K352) &gt; 0,"cross.bred","not found")),"NA")</f>
        <v>NA</v>
      </c>
      <c r="N352" t="str">
        <f>IF(J352="Goat",IF(COUNTIF(lists!$J$2:$J$258, K352) &gt; 0,"indigenous",IF(COUNTIF(lists!$I$2:$I$258, K352) &gt; 0,"cross.bred","not found")),"NA")</f>
        <v>indigenous</v>
      </c>
      <c r="O352" s="9" t="s">
        <v>109</v>
      </c>
      <c r="P352" s="9" t="s">
        <v>106</v>
      </c>
      <c r="Q352" s="9" t="s">
        <v>3804</v>
      </c>
      <c r="S352" s="9" t="s">
        <v>106</v>
      </c>
      <c r="T352" s="9">
        <v>124</v>
      </c>
      <c r="U352" s="9">
        <v>102</v>
      </c>
      <c r="V352" s="9">
        <v>894</v>
      </c>
      <c r="W352" s="9" t="s">
        <v>106</v>
      </c>
      <c r="X352" s="9" t="s">
        <v>106</v>
      </c>
      <c r="Y352" s="9" t="s">
        <v>106</v>
      </c>
      <c r="Z352" s="37"/>
      <c r="AA352" s="37"/>
      <c r="AB352" s="37"/>
      <c r="AE352">
        <v>0</v>
      </c>
    </row>
    <row r="353" spans="1:31" hidden="1">
      <c r="A353" s="9" t="s">
        <v>283</v>
      </c>
      <c r="B353" s="9" t="s">
        <v>285</v>
      </c>
      <c r="C353" s="9" t="s">
        <v>105</v>
      </c>
      <c r="D353" s="9">
        <v>0.55900000000000005</v>
      </c>
      <c r="E353" s="9">
        <v>13.1</v>
      </c>
      <c r="F353" s="9" t="s">
        <v>106</v>
      </c>
      <c r="G353" s="9" t="s">
        <v>106</v>
      </c>
      <c r="H353" s="9" t="s">
        <v>106</v>
      </c>
      <c r="I353" s="9">
        <v>36</v>
      </c>
      <c r="J353" s="9" t="s">
        <v>116</v>
      </c>
      <c r="K353" s="9" t="s">
        <v>117</v>
      </c>
      <c r="L353" t="str">
        <f>IF(OR(J353="Cattle",J353="Zebu Cattle"),IF(COUNTIF(lists!$M$2:$M$258, K353) &gt; 0,"bos.indicus",IF(COUNTIF(lists!$L$2:$L$258, K353) &gt; 0,"cross.bred","pure.bred.exotic")),"NA")</f>
        <v>NA</v>
      </c>
      <c r="M353" t="str">
        <f>IF(J353="Sheep",IF(COUNTIF(lists!$H$2:$H$258, K353) &gt; 0,"indigenous",IF(COUNTIF(lists!$G$2:$G$258, K353) &gt; 0,"cross.bred","not found")),"NA")</f>
        <v>NA</v>
      </c>
      <c r="N353" t="str">
        <f>IF(J353="Goat",IF(COUNTIF(lists!$J$2:$J$258, K353) &gt; 0,"indigenous",IF(COUNTIF(lists!$I$2:$I$258, K353) &gt; 0,"cross.bred","not found")),"NA")</f>
        <v>indigenous</v>
      </c>
      <c r="O353" s="9" t="s">
        <v>109</v>
      </c>
      <c r="P353" s="9" t="s">
        <v>106</v>
      </c>
      <c r="Q353" s="9" t="s">
        <v>3804</v>
      </c>
      <c r="S353" s="9" t="s">
        <v>106</v>
      </c>
      <c r="T353" s="9">
        <v>88</v>
      </c>
      <c r="U353" s="9">
        <v>115</v>
      </c>
      <c r="V353" s="9">
        <v>880.4</v>
      </c>
      <c r="W353" s="9" t="s">
        <v>106</v>
      </c>
      <c r="X353" s="9" t="s">
        <v>106</v>
      </c>
      <c r="Y353" s="9" t="s">
        <v>106</v>
      </c>
      <c r="Z353" s="37"/>
      <c r="AA353" s="37"/>
      <c r="AB353" s="37"/>
      <c r="AE353">
        <v>0</v>
      </c>
    </row>
    <row r="354" spans="1:31" hidden="1">
      <c r="A354" s="9" t="s">
        <v>283</v>
      </c>
      <c r="B354" s="9" t="s">
        <v>286</v>
      </c>
      <c r="C354" s="9" t="s">
        <v>105</v>
      </c>
      <c r="D354" s="9">
        <v>0.55400000000000005</v>
      </c>
      <c r="E354" s="9">
        <v>13.1</v>
      </c>
      <c r="F354" s="9" t="s">
        <v>106</v>
      </c>
      <c r="G354" s="9" t="s">
        <v>106</v>
      </c>
      <c r="H354" s="9" t="s">
        <v>106</v>
      </c>
      <c r="I354" s="9">
        <v>36</v>
      </c>
      <c r="J354" s="9" t="s">
        <v>116</v>
      </c>
      <c r="K354" s="9" t="s">
        <v>117</v>
      </c>
      <c r="L354" t="str">
        <f>IF(OR(J354="Cattle",J354="Zebu Cattle"),IF(COUNTIF(lists!$M$2:$M$258, K354) &gt; 0,"bos.indicus",IF(COUNTIF(lists!$L$2:$L$258, K354) &gt; 0,"cross.bred","pure.bred.exotic")),"NA")</f>
        <v>NA</v>
      </c>
      <c r="M354" t="str">
        <f>IF(J354="Sheep",IF(COUNTIF(lists!$H$2:$H$258, K354) &gt; 0,"indigenous",IF(COUNTIF(lists!$G$2:$G$258, K354) &gt; 0,"cross.bred","not found")),"NA")</f>
        <v>NA</v>
      </c>
      <c r="N354" t="str">
        <f>IF(J354="Goat",IF(COUNTIF(lists!$J$2:$J$258, K354) &gt; 0,"indigenous",IF(COUNTIF(lists!$I$2:$I$258, K354) &gt; 0,"cross.bred","not found")),"NA")</f>
        <v>indigenous</v>
      </c>
      <c r="O354" s="9" t="s">
        <v>109</v>
      </c>
      <c r="P354" s="9" t="s">
        <v>106</v>
      </c>
      <c r="Q354" s="9" t="s">
        <v>3804</v>
      </c>
      <c r="S354" s="9" t="s">
        <v>106</v>
      </c>
      <c r="T354" s="9">
        <v>115</v>
      </c>
      <c r="U354" s="9">
        <v>103</v>
      </c>
      <c r="V354" s="9">
        <v>888</v>
      </c>
      <c r="W354" s="9" t="s">
        <v>106</v>
      </c>
      <c r="X354" s="9" t="s">
        <v>106</v>
      </c>
      <c r="Y354" s="9" t="s">
        <v>106</v>
      </c>
      <c r="Z354" s="37"/>
      <c r="AA354" s="37"/>
      <c r="AB354" s="37"/>
      <c r="AE354">
        <v>0</v>
      </c>
    </row>
    <row r="355" spans="1:31" hidden="1">
      <c r="A355" s="9" t="s">
        <v>283</v>
      </c>
      <c r="B355" s="9" t="s">
        <v>287</v>
      </c>
      <c r="C355" s="9" t="s">
        <v>105</v>
      </c>
      <c r="D355" s="9">
        <v>0.52</v>
      </c>
      <c r="E355" s="9">
        <v>13.1</v>
      </c>
      <c r="F355" s="9" t="s">
        <v>106</v>
      </c>
      <c r="G355" s="9" t="s">
        <v>106</v>
      </c>
      <c r="H355" s="9" t="s">
        <v>106</v>
      </c>
      <c r="I355" s="9">
        <v>36</v>
      </c>
      <c r="J355" s="9" t="s">
        <v>116</v>
      </c>
      <c r="K355" s="9" t="s">
        <v>117</v>
      </c>
      <c r="L355" t="str">
        <f>IF(OR(J355="Cattle",J355="Zebu Cattle"),IF(COUNTIF(lists!$M$2:$M$258, K355) &gt; 0,"bos.indicus",IF(COUNTIF(lists!$L$2:$L$258, K355) &gt; 0,"cross.bred","pure.bred.exotic")),"NA")</f>
        <v>NA</v>
      </c>
      <c r="M355" t="str">
        <f>IF(J355="Sheep",IF(COUNTIF(lists!$H$2:$H$258, K355) &gt; 0,"indigenous",IF(COUNTIF(lists!$G$2:$G$258, K355) &gt; 0,"cross.bred","not found")),"NA")</f>
        <v>NA</v>
      </c>
      <c r="N355" t="str">
        <f>IF(J355="Goat",IF(COUNTIF(lists!$J$2:$J$258, K355) &gt; 0,"indigenous",IF(COUNTIF(lists!$I$2:$I$258, K355) &gt; 0,"cross.bred","not found")),"NA")</f>
        <v>indigenous</v>
      </c>
      <c r="O355" s="9" t="s">
        <v>109</v>
      </c>
      <c r="P355" s="9" t="s">
        <v>106</v>
      </c>
      <c r="Q355" s="9" t="s">
        <v>3804</v>
      </c>
      <c r="S355" s="9" t="s">
        <v>106</v>
      </c>
      <c r="T355" s="9">
        <v>88.8</v>
      </c>
      <c r="U355" s="9">
        <v>116</v>
      </c>
      <c r="V355" s="9">
        <v>845</v>
      </c>
      <c r="W355" s="9" t="s">
        <v>106</v>
      </c>
      <c r="X355" s="9" t="s">
        <v>106</v>
      </c>
      <c r="Y355" s="9" t="s">
        <v>106</v>
      </c>
      <c r="Z355" s="37"/>
      <c r="AA355" s="37"/>
      <c r="AB355" s="37"/>
      <c r="AE355">
        <v>0</v>
      </c>
    </row>
    <row r="356" spans="1:31" hidden="1">
      <c r="A356" s="9" t="s">
        <v>283</v>
      </c>
      <c r="B356" s="9" t="s">
        <v>288</v>
      </c>
      <c r="C356" s="9" t="s">
        <v>105</v>
      </c>
      <c r="D356" s="9">
        <v>0.67700000000000005</v>
      </c>
      <c r="E356" s="9">
        <v>13.1</v>
      </c>
      <c r="F356" s="9" t="s">
        <v>106</v>
      </c>
      <c r="G356" s="9" t="s">
        <v>106</v>
      </c>
      <c r="H356" s="9" t="s">
        <v>106</v>
      </c>
      <c r="I356" s="9">
        <v>36</v>
      </c>
      <c r="J356" s="9" t="s">
        <v>116</v>
      </c>
      <c r="K356" s="9" t="s">
        <v>117</v>
      </c>
      <c r="L356" t="str">
        <f>IF(OR(J356="Cattle",J356="Zebu Cattle"),IF(COUNTIF(lists!$M$2:$M$258, K356) &gt; 0,"bos.indicus",IF(COUNTIF(lists!$L$2:$L$258, K356) &gt; 0,"cross.bred","pure.bred.exotic")),"NA")</f>
        <v>NA</v>
      </c>
      <c r="M356" t="str">
        <f>IF(J356="Sheep",IF(COUNTIF(lists!$H$2:$H$258, K356) &gt; 0,"indigenous",IF(COUNTIF(lists!$G$2:$G$258, K356) &gt; 0,"cross.bred","not found")),"NA")</f>
        <v>NA</v>
      </c>
      <c r="N356" t="str">
        <f>IF(J356="Goat",IF(COUNTIF(lists!$J$2:$J$258, K356) &gt; 0,"indigenous",IF(COUNTIF(lists!$I$2:$I$258, K356) &gt; 0,"cross.bred","not found")),"NA")</f>
        <v>indigenous</v>
      </c>
      <c r="O356" s="9" t="s">
        <v>109</v>
      </c>
      <c r="P356" s="9" t="s">
        <v>106</v>
      </c>
      <c r="Q356" s="9" t="s">
        <v>3804</v>
      </c>
      <c r="S356" s="9" t="s">
        <v>106</v>
      </c>
      <c r="T356" s="9">
        <v>110.4</v>
      </c>
      <c r="U356" s="9">
        <v>53.2</v>
      </c>
      <c r="V356" s="9">
        <v>836</v>
      </c>
      <c r="W356" s="9" t="s">
        <v>106</v>
      </c>
      <c r="X356" s="9" t="s">
        <v>106</v>
      </c>
      <c r="Y356" s="9" t="s">
        <v>106</v>
      </c>
      <c r="Z356" s="37"/>
      <c r="AA356" s="37"/>
      <c r="AB356" s="37"/>
      <c r="AE356">
        <v>0</v>
      </c>
    </row>
    <row r="357" spans="1:31" hidden="1">
      <c r="A357" s="9" t="s">
        <v>283</v>
      </c>
      <c r="B357" s="9" t="s">
        <v>289</v>
      </c>
      <c r="C357" s="9" t="s">
        <v>105</v>
      </c>
      <c r="D357" s="9">
        <v>0.66</v>
      </c>
      <c r="E357" s="9">
        <v>13.1</v>
      </c>
      <c r="F357" s="9" t="s">
        <v>106</v>
      </c>
      <c r="G357" s="9" t="s">
        <v>106</v>
      </c>
      <c r="H357" s="9" t="s">
        <v>106</v>
      </c>
      <c r="I357" s="9">
        <v>36</v>
      </c>
      <c r="J357" s="9" t="s">
        <v>116</v>
      </c>
      <c r="K357" s="9" t="s">
        <v>117</v>
      </c>
      <c r="L357" t="str">
        <f>IF(OR(J357="Cattle",J357="Zebu Cattle"),IF(COUNTIF(lists!$M$2:$M$258, K357) &gt; 0,"bos.indicus",IF(COUNTIF(lists!$L$2:$L$258, K357) &gt; 0,"cross.bred","pure.bred.exotic")),"NA")</f>
        <v>NA</v>
      </c>
      <c r="M357" t="str">
        <f>IF(J357="Sheep",IF(COUNTIF(lists!$H$2:$H$258, K357) &gt; 0,"indigenous",IF(COUNTIF(lists!$G$2:$G$258, K357) &gt; 0,"cross.bred","not found")),"NA")</f>
        <v>NA</v>
      </c>
      <c r="N357" t="str">
        <f>IF(J357="Goat",IF(COUNTIF(lists!$J$2:$J$258, K357) &gt; 0,"indigenous",IF(COUNTIF(lists!$I$2:$I$258, K357) &gt; 0,"cross.bred","not found")),"NA")</f>
        <v>indigenous</v>
      </c>
      <c r="O357" s="9" t="s">
        <v>109</v>
      </c>
      <c r="P357" s="9" t="s">
        <v>106</v>
      </c>
      <c r="Q357" s="9" t="s">
        <v>3804</v>
      </c>
      <c r="S357" s="9" t="s">
        <v>106</v>
      </c>
      <c r="T357" s="9">
        <v>95.7</v>
      </c>
      <c r="U357" s="9">
        <v>64.099999999999994</v>
      </c>
      <c r="V357" s="9">
        <v>842</v>
      </c>
      <c r="W357" s="9" t="s">
        <v>106</v>
      </c>
      <c r="X357" s="9" t="s">
        <v>106</v>
      </c>
      <c r="Y357" s="9" t="s">
        <v>106</v>
      </c>
      <c r="Z357" s="37"/>
      <c r="AA357" s="37"/>
      <c r="AB357" s="37"/>
      <c r="AE357">
        <v>0</v>
      </c>
    </row>
    <row r="358" spans="1:31" hidden="1">
      <c r="A358" s="9" t="s">
        <v>331</v>
      </c>
      <c r="B358" s="9" t="s">
        <v>151</v>
      </c>
      <c r="C358" s="9" t="s">
        <v>105</v>
      </c>
      <c r="D358" s="9">
        <v>0.45246999999999998</v>
      </c>
      <c r="E358" s="9">
        <v>2.12</v>
      </c>
      <c r="F358" s="9" t="s">
        <v>106</v>
      </c>
      <c r="G358" s="9" t="s">
        <v>106</v>
      </c>
      <c r="H358" s="9" t="s">
        <v>106</v>
      </c>
      <c r="I358" s="9">
        <v>25</v>
      </c>
      <c r="J358" s="9" t="s">
        <v>116</v>
      </c>
      <c r="K358" s="9" t="s">
        <v>117</v>
      </c>
      <c r="L358" t="str">
        <f>IF(OR(J358="Cattle",J358="Zebu Cattle"),IF(COUNTIF(lists!$M$2:$M$258, K358) &gt; 0,"bos.indicus",IF(COUNTIF(lists!$L$2:$L$258, K358) &gt; 0,"cross.bred","pure.bred.exotic")),"NA")</f>
        <v>NA</v>
      </c>
      <c r="M358" t="str">
        <f>IF(J358="Sheep",IF(COUNTIF(lists!$H$2:$H$258, K358) &gt; 0,"indigenous",IF(COUNTIF(lists!$G$2:$G$258, K358) &gt; 0,"cross.bred","not found")),"NA")</f>
        <v>NA</v>
      </c>
      <c r="N358" t="str">
        <f>IF(J358="Goat",IF(COUNTIF(lists!$J$2:$J$258, K358) &gt; 0,"indigenous",IF(COUNTIF(lists!$I$2:$I$258, K358) &gt; 0,"cross.bred","not found")),"NA")</f>
        <v>indigenous</v>
      </c>
      <c r="O358" s="9" t="s">
        <v>109</v>
      </c>
      <c r="P358" s="9" t="s">
        <v>106</v>
      </c>
      <c r="Q358" s="9" t="s">
        <v>3800</v>
      </c>
      <c r="S358" s="9" t="s">
        <v>106</v>
      </c>
      <c r="T358" s="9" t="s">
        <v>106</v>
      </c>
      <c r="U358" s="9" t="s">
        <v>106</v>
      </c>
      <c r="V358" s="9" t="s">
        <v>106</v>
      </c>
      <c r="W358" s="9" t="s">
        <v>106</v>
      </c>
      <c r="X358" s="9" t="s">
        <v>106</v>
      </c>
      <c r="Y358" s="9" t="s">
        <v>106</v>
      </c>
      <c r="Z358" s="37"/>
      <c r="AA358" s="37"/>
      <c r="AB358" s="37"/>
      <c r="AE358">
        <v>0</v>
      </c>
    </row>
    <row r="359" spans="1:31" hidden="1">
      <c r="A359" s="9" t="s">
        <v>331</v>
      </c>
      <c r="B359" s="9" t="s">
        <v>154</v>
      </c>
      <c r="C359" s="9" t="s">
        <v>105</v>
      </c>
      <c r="D359" s="9">
        <v>0.45568999999999998</v>
      </c>
      <c r="E359" s="9">
        <v>2.12</v>
      </c>
      <c r="F359" s="9" t="s">
        <v>106</v>
      </c>
      <c r="G359" s="9" t="s">
        <v>106</v>
      </c>
      <c r="H359" s="9" t="s">
        <v>106</v>
      </c>
      <c r="I359" s="9">
        <v>25</v>
      </c>
      <c r="J359" s="9" t="s">
        <v>116</v>
      </c>
      <c r="K359" s="9" t="s">
        <v>117</v>
      </c>
      <c r="L359" t="str">
        <f>IF(OR(J359="Cattle",J359="Zebu Cattle"),IF(COUNTIF(lists!$M$2:$M$258, K359) &gt; 0,"bos.indicus",IF(COUNTIF(lists!$L$2:$L$258, K359) &gt; 0,"cross.bred","pure.bred.exotic")),"NA")</f>
        <v>NA</v>
      </c>
      <c r="M359" t="str">
        <f>IF(J359="Sheep",IF(COUNTIF(lists!$H$2:$H$258, K359) &gt; 0,"indigenous",IF(COUNTIF(lists!$G$2:$G$258, K359) &gt; 0,"cross.bred","not found")),"NA")</f>
        <v>NA</v>
      </c>
      <c r="N359" t="str">
        <f>IF(J359="Goat",IF(COUNTIF(lists!$J$2:$J$258, K359) &gt; 0,"indigenous",IF(COUNTIF(lists!$I$2:$I$258, K359) &gt; 0,"cross.bred","not found")),"NA")</f>
        <v>indigenous</v>
      </c>
      <c r="O359" s="9" t="s">
        <v>109</v>
      </c>
      <c r="P359" s="9" t="s">
        <v>106</v>
      </c>
      <c r="Q359" s="9" t="s">
        <v>3800</v>
      </c>
      <c r="S359" s="9" t="s">
        <v>106</v>
      </c>
      <c r="T359" s="9" t="s">
        <v>106</v>
      </c>
      <c r="U359" s="9" t="s">
        <v>106</v>
      </c>
      <c r="V359" s="9" t="s">
        <v>106</v>
      </c>
      <c r="W359" s="9" t="s">
        <v>106</v>
      </c>
      <c r="X359" s="9" t="s">
        <v>106</v>
      </c>
      <c r="Y359" s="9" t="s">
        <v>106</v>
      </c>
      <c r="Z359" s="37"/>
      <c r="AA359" s="37"/>
      <c r="AB359" s="37"/>
      <c r="AE359">
        <v>0</v>
      </c>
    </row>
    <row r="360" spans="1:31" hidden="1">
      <c r="A360" s="9" t="s">
        <v>331</v>
      </c>
      <c r="B360" s="9" t="s">
        <v>155</v>
      </c>
      <c r="C360" s="9" t="s">
        <v>105</v>
      </c>
      <c r="D360" s="9">
        <v>0.46306000000000003</v>
      </c>
      <c r="E360" s="9">
        <v>2.12</v>
      </c>
      <c r="F360" s="9" t="s">
        <v>106</v>
      </c>
      <c r="G360" s="9" t="s">
        <v>106</v>
      </c>
      <c r="H360" s="9" t="s">
        <v>106</v>
      </c>
      <c r="I360" s="9">
        <v>25</v>
      </c>
      <c r="J360" s="9" t="s">
        <v>116</v>
      </c>
      <c r="K360" s="9" t="s">
        <v>117</v>
      </c>
      <c r="L360" t="str">
        <f>IF(OR(J360="Cattle",J360="Zebu Cattle"),IF(COUNTIF(lists!$M$2:$M$258, K360) &gt; 0,"bos.indicus",IF(COUNTIF(lists!$L$2:$L$258, K360) &gt; 0,"cross.bred","pure.bred.exotic")),"NA")</f>
        <v>NA</v>
      </c>
      <c r="M360" t="str">
        <f>IF(J360="Sheep",IF(COUNTIF(lists!$H$2:$H$258, K360) &gt; 0,"indigenous",IF(COUNTIF(lists!$G$2:$G$258, K360) &gt; 0,"cross.bred","not found")),"NA")</f>
        <v>NA</v>
      </c>
      <c r="N360" t="str">
        <f>IF(J360="Goat",IF(COUNTIF(lists!$J$2:$J$258, K360) &gt; 0,"indigenous",IF(COUNTIF(lists!$I$2:$I$258, K360) &gt; 0,"cross.bred","not found")),"NA")</f>
        <v>indigenous</v>
      </c>
      <c r="O360" s="9" t="s">
        <v>109</v>
      </c>
      <c r="P360" s="9" t="s">
        <v>106</v>
      </c>
      <c r="Q360" s="9" t="s">
        <v>3800</v>
      </c>
      <c r="S360" s="9" t="s">
        <v>106</v>
      </c>
      <c r="T360" s="9" t="s">
        <v>106</v>
      </c>
      <c r="U360" s="9" t="s">
        <v>106</v>
      </c>
      <c r="V360" s="9" t="s">
        <v>106</v>
      </c>
      <c r="W360" s="9" t="s">
        <v>106</v>
      </c>
      <c r="X360" s="9" t="s">
        <v>106</v>
      </c>
      <c r="Y360" s="9" t="s">
        <v>106</v>
      </c>
      <c r="Z360" s="37"/>
      <c r="AA360" s="37"/>
      <c r="AB360" s="37"/>
      <c r="AE360">
        <v>0</v>
      </c>
    </row>
    <row r="361" spans="1:31" hidden="1">
      <c r="A361" s="9" t="s">
        <v>331</v>
      </c>
      <c r="B361" s="9" t="s">
        <v>156</v>
      </c>
      <c r="C361" s="9" t="s">
        <v>105</v>
      </c>
      <c r="D361" s="9">
        <v>0.46318999999999999</v>
      </c>
      <c r="E361" s="9">
        <v>2.12</v>
      </c>
      <c r="F361" s="9" t="s">
        <v>106</v>
      </c>
      <c r="G361" s="9" t="s">
        <v>106</v>
      </c>
      <c r="H361" s="9" t="s">
        <v>106</v>
      </c>
      <c r="I361" s="9">
        <v>25</v>
      </c>
      <c r="J361" s="9" t="s">
        <v>116</v>
      </c>
      <c r="K361" s="9" t="s">
        <v>117</v>
      </c>
      <c r="L361" t="str">
        <f>IF(OR(J361="Cattle",J361="Zebu Cattle"),IF(COUNTIF(lists!$M$2:$M$258, K361) &gt; 0,"bos.indicus",IF(COUNTIF(lists!$L$2:$L$258, K361) &gt; 0,"cross.bred","pure.bred.exotic")),"NA")</f>
        <v>NA</v>
      </c>
      <c r="M361" t="str">
        <f>IF(J361="Sheep",IF(COUNTIF(lists!$H$2:$H$258, K361) &gt; 0,"indigenous",IF(COUNTIF(lists!$G$2:$G$258, K361) &gt; 0,"cross.bred","not found")),"NA")</f>
        <v>NA</v>
      </c>
      <c r="N361" t="str">
        <f>IF(J361="Goat",IF(COUNTIF(lists!$J$2:$J$258, K361) &gt; 0,"indigenous",IF(COUNTIF(lists!$I$2:$I$258, K361) &gt; 0,"cross.bred","not found")),"NA")</f>
        <v>indigenous</v>
      </c>
      <c r="O361" s="9" t="s">
        <v>109</v>
      </c>
      <c r="P361" s="9" t="s">
        <v>106</v>
      </c>
      <c r="Q361" s="9" t="s">
        <v>3800</v>
      </c>
      <c r="S361" s="9" t="s">
        <v>106</v>
      </c>
      <c r="T361" s="9" t="s">
        <v>106</v>
      </c>
      <c r="U361" s="9" t="s">
        <v>106</v>
      </c>
      <c r="V361" s="9" t="s">
        <v>106</v>
      </c>
      <c r="W361" s="9" t="s">
        <v>106</v>
      </c>
      <c r="X361" s="9" t="s">
        <v>106</v>
      </c>
      <c r="Y361" s="9" t="s">
        <v>106</v>
      </c>
      <c r="Z361" s="37"/>
      <c r="AA361" s="37"/>
      <c r="AB361" s="37"/>
      <c r="AE361">
        <v>0</v>
      </c>
    </row>
    <row r="362" spans="1:31" hidden="1">
      <c r="A362" s="9" t="s">
        <v>331</v>
      </c>
      <c r="B362" s="9" t="s">
        <v>157</v>
      </c>
      <c r="C362" s="9" t="s">
        <v>105</v>
      </c>
      <c r="D362" s="9">
        <v>0.46688999999999897</v>
      </c>
      <c r="E362" s="9">
        <v>2.12</v>
      </c>
      <c r="F362" s="9" t="s">
        <v>106</v>
      </c>
      <c r="G362" s="9" t="s">
        <v>106</v>
      </c>
      <c r="H362" s="9" t="s">
        <v>106</v>
      </c>
      <c r="I362" s="9">
        <v>25</v>
      </c>
      <c r="J362" s="9" t="s">
        <v>116</v>
      </c>
      <c r="K362" s="9" t="s">
        <v>117</v>
      </c>
      <c r="L362" t="str">
        <f>IF(OR(J362="Cattle",J362="Zebu Cattle"),IF(COUNTIF(lists!$M$2:$M$258, K362) &gt; 0,"bos.indicus",IF(COUNTIF(lists!$L$2:$L$258, K362) &gt; 0,"cross.bred","pure.bred.exotic")),"NA")</f>
        <v>NA</v>
      </c>
      <c r="M362" t="str">
        <f>IF(J362="Sheep",IF(COUNTIF(lists!$H$2:$H$258, K362) &gt; 0,"indigenous",IF(COUNTIF(lists!$G$2:$G$258, K362) &gt; 0,"cross.bred","not found")),"NA")</f>
        <v>NA</v>
      </c>
      <c r="N362" t="str">
        <f>IF(J362="Goat",IF(COUNTIF(lists!$J$2:$J$258, K362) &gt; 0,"indigenous",IF(COUNTIF(lists!$I$2:$I$258, K362) &gt; 0,"cross.bred","not found")),"NA")</f>
        <v>indigenous</v>
      </c>
      <c r="O362" s="9" t="s">
        <v>109</v>
      </c>
      <c r="P362" s="9" t="s">
        <v>106</v>
      </c>
      <c r="Q362" s="9" t="s">
        <v>3800</v>
      </c>
      <c r="S362" s="9" t="s">
        <v>106</v>
      </c>
      <c r="T362" s="9" t="s">
        <v>106</v>
      </c>
      <c r="U362" s="9" t="s">
        <v>106</v>
      </c>
      <c r="V362" s="9" t="s">
        <v>106</v>
      </c>
      <c r="W362" s="9" t="s">
        <v>106</v>
      </c>
      <c r="X362" s="9" t="s">
        <v>106</v>
      </c>
      <c r="Y362" s="9" t="s">
        <v>106</v>
      </c>
      <c r="Z362" s="37"/>
      <c r="AA362" s="37"/>
      <c r="AB362" s="37"/>
      <c r="AE362">
        <v>0</v>
      </c>
    </row>
    <row r="363" spans="1:31" hidden="1">
      <c r="A363" s="9" t="s">
        <v>341</v>
      </c>
      <c r="B363" s="9" t="s">
        <v>342</v>
      </c>
      <c r="C363" s="9" t="s">
        <v>105</v>
      </c>
      <c r="D363" s="9">
        <v>0.24890000000000001</v>
      </c>
      <c r="E363" s="9">
        <v>20</v>
      </c>
      <c r="F363" s="9" t="s">
        <v>106</v>
      </c>
      <c r="G363" s="9" t="s">
        <v>106</v>
      </c>
      <c r="H363" s="9" t="s">
        <v>106</v>
      </c>
      <c r="I363" s="9">
        <v>18</v>
      </c>
      <c r="J363" s="9" t="s">
        <v>116</v>
      </c>
      <c r="K363" s="9" t="s">
        <v>117</v>
      </c>
      <c r="L363" t="str">
        <f>IF(OR(J363="Cattle",J363="Zebu Cattle"),IF(COUNTIF(lists!$M$2:$M$258, K363) &gt; 0,"bos.indicus",IF(COUNTIF(lists!$L$2:$L$258, K363) &gt; 0,"cross.bred","pure.bred.exotic")),"NA")</f>
        <v>NA</v>
      </c>
      <c r="M363" t="str">
        <f>IF(J363="Sheep",IF(COUNTIF(lists!$H$2:$H$258, K363) &gt; 0,"indigenous",IF(COUNTIF(lists!$G$2:$G$258, K363) &gt; 0,"cross.bred","not found")),"NA")</f>
        <v>NA</v>
      </c>
      <c r="N363" t="str">
        <f>IF(J363="Goat",IF(COUNTIF(lists!$J$2:$J$258, K363) &gt; 0,"indigenous",IF(COUNTIF(lists!$I$2:$I$258, K363) &gt; 0,"cross.bred","not found")),"NA")</f>
        <v>indigenous</v>
      </c>
      <c r="O363" s="9" t="s">
        <v>109</v>
      </c>
      <c r="P363" s="9" t="s">
        <v>106</v>
      </c>
      <c r="Q363" s="9" t="s">
        <v>3804</v>
      </c>
      <c r="S363" s="9">
        <v>35.5</v>
      </c>
      <c r="T363" s="9">
        <v>62.1</v>
      </c>
      <c r="U363" s="9">
        <v>209.2</v>
      </c>
      <c r="V363" s="9">
        <v>959.7</v>
      </c>
      <c r="W363" s="9">
        <v>45.6</v>
      </c>
      <c r="X363" s="9">
        <v>55.6</v>
      </c>
      <c r="Y363" s="9" t="s">
        <v>106</v>
      </c>
      <c r="Z363" s="37"/>
      <c r="AA363" s="37"/>
      <c r="AB363" s="37"/>
      <c r="AE363">
        <v>0</v>
      </c>
    </row>
    <row r="364" spans="1:31" hidden="1">
      <c r="A364" s="9" t="s">
        <v>341</v>
      </c>
      <c r="B364" s="9" t="s">
        <v>343</v>
      </c>
      <c r="C364" s="9" t="s">
        <v>105</v>
      </c>
      <c r="D364" s="9">
        <v>0.2432</v>
      </c>
      <c r="E364" s="9">
        <v>20</v>
      </c>
      <c r="F364" s="9" t="s">
        <v>106</v>
      </c>
      <c r="G364" s="9" t="s">
        <v>106</v>
      </c>
      <c r="H364" s="9" t="s">
        <v>106</v>
      </c>
      <c r="I364" s="9">
        <v>18</v>
      </c>
      <c r="J364" s="9" t="s">
        <v>116</v>
      </c>
      <c r="K364" s="9" t="s">
        <v>117</v>
      </c>
      <c r="L364" t="str">
        <f>IF(OR(J364="Cattle",J364="Zebu Cattle"),IF(COUNTIF(lists!$M$2:$M$258, K364) &gt; 0,"bos.indicus",IF(COUNTIF(lists!$L$2:$L$258, K364) &gt; 0,"cross.bred","pure.bred.exotic")),"NA")</f>
        <v>NA</v>
      </c>
      <c r="M364" t="str">
        <f>IF(J364="Sheep",IF(COUNTIF(lists!$H$2:$H$258, K364) &gt; 0,"indigenous",IF(COUNTIF(lists!$G$2:$G$258, K364) &gt; 0,"cross.bred","not found")),"NA")</f>
        <v>NA</v>
      </c>
      <c r="N364" t="str">
        <f>IF(J364="Goat",IF(COUNTIF(lists!$J$2:$J$258, K364) &gt; 0,"indigenous",IF(COUNTIF(lists!$I$2:$I$258, K364) &gt; 0,"cross.bred","not found")),"NA")</f>
        <v>indigenous</v>
      </c>
      <c r="O364" s="9" t="s">
        <v>109</v>
      </c>
      <c r="P364" s="9" t="s">
        <v>106</v>
      </c>
      <c r="Q364" s="9" t="s">
        <v>3804</v>
      </c>
      <c r="S364" s="9">
        <v>37.5</v>
      </c>
      <c r="T364" s="9">
        <v>69.8</v>
      </c>
      <c r="U364" s="9">
        <v>276.60000000000002</v>
      </c>
      <c r="V364" s="9">
        <v>974</v>
      </c>
      <c r="W364" s="9">
        <v>49.6</v>
      </c>
      <c r="X364" s="9">
        <v>65.099999999999994</v>
      </c>
      <c r="Y364" s="9" t="s">
        <v>106</v>
      </c>
      <c r="Z364" s="37"/>
      <c r="AA364" s="37"/>
      <c r="AB364" s="37"/>
      <c r="AE364">
        <v>0</v>
      </c>
    </row>
    <row r="365" spans="1:31" hidden="1">
      <c r="A365" s="9" t="s">
        <v>341</v>
      </c>
      <c r="B365" s="9" t="s">
        <v>344</v>
      </c>
      <c r="C365" s="9" t="s">
        <v>105</v>
      </c>
      <c r="D365" s="9">
        <v>0.2253</v>
      </c>
      <c r="E365" s="9">
        <v>20</v>
      </c>
      <c r="F365" s="9" t="s">
        <v>106</v>
      </c>
      <c r="G365" s="9" t="s">
        <v>106</v>
      </c>
      <c r="H365" s="9" t="s">
        <v>106</v>
      </c>
      <c r="I365" s="9">
        <v>18</v>
      </c>
      <c r="J365" s="9" t="s">
        <v>116</v>
      </c>
      <c r="K365" s="9" t="s">
        <v>117</v>
      </c>
      <c r="L365" t="str">
        <f>IF(OR(J365="Cattle",J365="Zebu Cattle"),IF(COUNTIF(lists!$M$2:$M$258, K365) &gt; 0,"bos.indicus",IF(COUNTIF(lists!$L$2:$L$258, K365) &gt; 0,"cross.bred","pure.bred.exotic")),"NA")</f>
        <v>NA</v>
      </c>
      <c r="M365" t="str">
        <f>IF(J365="Sheep",IF(COUNTIF(lists!$H$2:$H$258, K365) &gt; 0,"indigenous",IF(COUNTIF(lists!$G$2:$G$258, K365) &gt; 0,"cross.bred","not found")),"NA")</f>
        <v>NA</v>
      </c>
      <c r="N365" t="str">
        <f>IF(J365="Goat",IF(COUNTIF(lists!$J$2:$J$258, K365) &gt; 0,"indigenous",IF(COUNTIF(lists!$I$2:$I$258, K365) &gt; 0,"cross.bred","not found")),"NA")</f>
        <v>indigenous</v>
      </c>
      <c r="O365" s="9" t="s">
        <v>109</v>
      </c>
      <c r="P365" s="9" t="s">
        <v>106</v>
      </c>
      <c r="Q365" s="9" t="s">
        <v>3804</v>
      </c>
      <c r="S365" s="9">
        <v>28.4</v>
      </c>
      <c r="T365" s="9">
        <v>58.2</v>
      </c>
      <c r="U365" s="9">
        <v>255.8</v>
      </c>
      <c r="V365" s="9">
        <v>894.4</v>
      </c>
      <c r="W365" s="9">
        <v>38.5</v>
      </c>
      <c r="X365" s="9">
        <v>43.1</v>
      </c>
      <c r="Y365" s="9" t="s">
        <v>106</v>
      </c>
      <c r="Z365" s="37"/>
      <c r="AA365" s="37"/>
      <c r="AB365" s="37"/>
      <c r="AE365">
        <v>0</v>
      </c>
    </row>
    <row r="366" spans="1:31" hidden="1">
      <c r="A366" s="9" t="s">
        <v>345</v>
      </c>
      <c r="B366" s="9" t="s">
        <v>346</v>
      </c>
      <c r="C366" s="9" t="s">
        <v>105</v>
      </c>
      <c r="D366" s="9">
        <v>2.2848099999999998</v>
      </c>
      <c r="E366" s="9" t="s">
        <v>106</v>
      </c>
      <c r="F366" s="9" t="s">
        <v>106</v>
      </c>
      <c r="G366" s="9" t="s">
        <v>106</v>
      </c>
      <c r="H366" s="9" t="s">
        <v>106</v>
      </c>
      <c r="J366" s="9" t="s">
        <v>116</v>
      </c>
      <c r="K366" s="9" t="s">
        <v>228</v>
      </c>
      <c r="L366" t="str">
        <f>IF(OR(J366="Cattle",J366="Zebu Cattle"),IF(COUNTIF(lists!$M$2:$M$258, K366) &gt; 0,"bos.indicus",IF(COUNTIF(lists!$L$2:$L$258, K366) &gt; 0,"cross.bred","pure.bred.exotic")),"NA")</f>
        <v>NA</v>
      </c>
      <c r="M366" t="str">
        <f>IF(J366="Sheep",IF(COUNTIF(lists!$H$2:$H$258, K366) &gt; 0,"indigenous",IF(COUNTIF(lists!$G$2:$G$258, K366) &gt; 0,"cross.bred","not found")),"NA")</f>
        <v>NA</v>
      </c>
      <c r="N366" t="str">
        <f>IF(J366="Goat",IF(COUNTIF(lists!$J$2:$J$258, K366) &gt; 0,"indigenous",IF(COUNTIF(lists!$I$2:$I$258, K366) &gt; 0,"cross.bred","not found")),"NA")</f>
        <v>not found</v>
      </c>
      <c r="O366" s="9" t="s">
        <v>109</v>
      </c>
      <c r="P366" s="9" t="s">
        <v>202</v>
      </c>
      <c r="Q366" s="9" t="s">
        <v>3809</v>
      </c>
      <c r="S366" s="9">
        <v>237.5</v>
      </c>
      <c r="T366" s="9">
        <v>97.4</v>
      </c>
      <c r="U366" s="9">
        <v>184</v>
      </c>
      <c r="V366" s="9">
        <v>919.1</v>
      </c>
      <c r="W366" s="9">
        <v>72.099999999999994</v>
      </c>
      <c r="X366" s="9">
        <v>410.3</v>
      </c>
      <c r="Y366" s="9">
        <v>43.683</v>
      </c>
      <c r="Z366" s="37"/>
      <c r="AA366" s="37"/>
      <c r="AB366" s="37"/>
      <c r="AE366"/>
    </row>
    <row r="367" spans="1:31" hidden="1">
      <c r="A367" s="9" t="s">
        <v>345</v>
      </c>
      <c r="B367" s="9" t="s">
        <v>347</v>
      </c>
      <c r="C367" s="9" t="s">
        <v>105</v>
      </c>
      <c r="D367" s="9">
        <v>2.21062</v>
      </c>
      <c r="E367" s="9" t="s">
        <v>106</v>
      </c>
      <c r="F367" s="9" t="s">
        <v>106</v>
      </c>
      <c r="G367" s="9" t="s">
        <v>106</v>
      </c>
      <c r="H367" s="9" t="s">
        <v>106</v>
      </c>
      <c r="J367" s="9" t="s">
        <v>116</v>
      </c>
      <c r="K367" s="9" t="s">
        <v>228</v>
      </c>
      <c r="L367" t="str">
        <f>IF(OR(J367="Cattle",J367="Zebu Cattle"),IF(COUNTIF(lists!$M$2:$M$258, K367) &gt; 0,"bos.indicus",IF(COUNTIF(lists!$L$2:$L$258, K367) &gt; 0,"cross.bred","pure.bred.exotic")),"NA")</f>
        <v>NA</v>
      </c>
      <c r="M367" t="str">
        <f>IF(J367="Sheep",IF(COUNTIF(lists!$H$2:$H$258, K367) &gt; 0,"indigenous",IF(COUNTIF(lists!$G$2:$G$258, K367) &gt; 0,"cross.bred","not found")),"NA")</f>
        <v>NA</v>
      </c>
      <c r="N367" t="str">
        <f>IF(J367="Goat",IF(COUNTIF(lists!$J$2:$J$258, K367) &gt; 0,"indigenous",IF(COUNTIF(lists!$I$2:$I$258, K367) &gt; 0,"cross.bred","not found")),"NA")</f>
        <v>not found</v>
      </c>
      <c r="O367" s="9" t="s">
        <v>109</v>
      </c>
      <c r="P367" s="9" t="s">
        <v>202</v>
      </c>
      <c r="Q367" s="9" t="s">
        <v>3809</v>
      </c>
      <c r="S367" s="9">
        <v>217.7</v>
      </c>
      <c r="T367" s="9">
        <v>101.2</v>
      </c>
      <c r="U367" s="9">
        <v>203.7</v>
      </c>
      <c r="V367" s="9">
        <v>916.8</v>
      </c>
      <c r="W367" s="9">
        <v>46.1</v>
      </c>
      <c r="X367" s="9">
        <v>393.29999999999899</v>
      </c>
      <c r="Y367" s="9">
        <v>31.92</v>
      </c>
      <c r="Z367" s="37"/>
      <c r="AA367" s="37"/>
      <c r="AB367" s="37"/>
      <c r="AE367"/>
    </row>
    <row r="368" spans="1:31" hidden="1">
      <c r="A368" s="9" t="s">
        <v>345</v>
      </c>
      <c r="B368" s="9" t="s">
        <v>348</v>
      </c>
      <c r="C368" s="9" t="s">
        <v>105</v>
      </c>
      <c r="D368" s="9">
        <v>2.21394</v>
      </c>
      <c r="E368" s="9" t="s">
        <v>106</v>
      </c>
      <c r="F368" s="9" t="s">
        <v>106</v>
      </c>
      <c r="G368" s="9" t="s">
        <v>106</v>
      </c>
      <c r="H368" s="9" t="s">
        <v>106</v>
      </c>
      <c r="J368" s="9" t="s">
        <v>116</v>
      </c>
      <c r="K368" s="9" t="s">
        <v>228</v>
      </c>
      <c r="L368" t="str">
        <f>IF(OR(J368="Cattle",J368="Zebu Cattle"),IF(COUNTIF(lists!$M$2:$M$258, K368) &gt; 0,"bos.indicus",IF(COUNTIF(lists!$L$2:$L$258, K368) &gt; 0,"cross.bred","pure.bred.exotic")),"NA")</f>
        <v>NA</v>
      </c>
      <c r="M368" t="str">
        <f>IF(J368="Sheep",IF(COUNTIF(lists!$H$2:$H$258, K368) &gt; 0,"indigenous",IF(COUNTIF(lists!$G$2:$G$258, K368) &gt; 0,"cross.bred","not found")),"NA")</f>
        <v>NA</v>
      </c>
      <c r="N368" t="str">
        <f>IF(J368="Goat",IF(COUNTIF(lists!$J$2:$J$258, K368) &gt; 0,"indigenous",IF(COUNTIF(lists!$I$2:$I$258, K368) &gt; 0,"cross.bred","not found")),"NA")</f>
        <v>not found</v>
      </c>
      <c r="O368" s="9" t="s">
        <v>109</v>
      </c>
      <c r="P368" s="9" t="s">
        <v>202</v>
      </c>
      <c r="Q368" s="9" t="s">
        <v>3809</v>
      </c>
      <c r="S368" s="9">
        <v>227.6</v>
      </c>
      <c r="T368" s="9">
        <v>99.3</v>
      </c>
      <c r="U368" s="9">
        <v>193.8</v>
      </c>
      <c r="V368" s="9">
        <v>917.9</v>
      </c>
      <c r="W368" s="9">
        <v>59.1</v>
      </c>
      <c r="X368" s="9">
        <v>401.8</v>
      </c>
      <c r="Y368" s="9">
        <v>38.76</v>
      </c>
      <c r="Z368" s="37"/>
      <c r="AA368" s="37"/>
      <c r="AB368" s="37"/>
      <c r="AE368"/>
    </row>
    <row r="369" spans="1:31" hidden="1">
      <c r="A369" s="9" t="s">
        <v>349</v>
      </c>
      <c r="B369" s="9" t="s">
        <v>350</v>
      </c>
      <c r="C369" s="9" t="s">
        <v>105</v>
      </c>
      <c r="D369" s="9">
        <v>0.53500000000000003</v>
      </c>
      <c r="E369" s="9">
        <v>10</v>
      </c>
      <c r="F369" s="9" t="s">
        <v>106</v>
      </c>
      <c r="G369" s="9" t="s">
        <v>106</v>
      </c>
      <c r="H369" s="9" t="s">
        <v>106</v>
      </c>
      <c r="I369" s="9">
        <v>24</v>
      </c>
      <c r="J369" s="9" t="s">
        <v>116</v>
      </c>
      <c r="K369" s="9" t="s">
        <v>351</v>
      </c>
      <c r="L369" t="str">
        <f>IF(OR(J369="Cattle",J369="Zebu Cattle"),IF(COUNTIF(lists!$M$2:$M$258, K369) &gt; 0,"bos.indicus",IF(COUNTIF(lists!$L$2:$L$258, K369) &gt; 0,"cross.bred","pure.bred.exotic")),"NA")</f>
        <v>NA</v>
      </c>
      <c r="M369" t="str">
        <f>IF(J369="Sheep",IF(COUNTIF(lists!$H$2:$H$258, K369) &gt; 0,"indigenous",IF(COUNTIF(lists!$G$2:$G$258, K369) &gt; 0,"cross.bred","not found")),"NA")</f>
        <v>NA</v>
      </c>
      <c r="N369" t="str">
        <f>IF(J369="Goat",IF(COUNTIF(lists!$J$2:$J$258, K369) &gt; 0,"indigenous",IF(COUNTIF(lists!$I$2:$I$258, K369) &gt; 0,"cross.bred","not found")),"NA")</f>
        <v>not found</v>
      </c>
      <c r="O369" s="9" t="s">
        <v>124</v>
      </c>
      <c r="P369" s="9" t="s">
        <v>106</v>
      </c>
      <c r="Q369" s="9" t="s">
        <v>3806</v>
      </c>
      <c r="S369" s="9">
        <v>315</v>
      </c>
      <c r="T369" s="9">
        <v>67</v>
      </c>
      <c r="U369" s="9">
        <v>73</v>
      </c>
      <c r="V369" s="9">
        <v>876</v>
      </c>
      <c r="W369" s="9">
        <v>15</v>
      </c>
      <c r="X369" s="9">
        <v>533</v>
      </c>
      <c r="Y369" s="9" t="s">
        <v>106</v>
      </c>
      <c r="Z369" s="37"/>
      <c r="AA369" s="37"/>
      <c r="AB369" s="37"/>
      <c r="AE369">
        <v>0</v>
      </c>
    </row>
    <row r="370" spans="1:31" hidden="1">
      <c r="A370" s="9" t="s">
        <v>349</v>
      </c>
      <c r="B370" s="9" t="s">
        <v>352</v>
      </c>
      <c r="C370" s="9" t="s">
        <v>105</v>
      </c>
      <c r="D370" s="9">
        <v>0.54900000000000004</v>
      </c>
      <c r="E370" s="9">
        <v>10</v>
      </c>
      <c r="F370" s="9" t="s">
        <v>106</v>
      </c>
      <c r="G370" s="9" t="s">
        <v>106</v>
      </c>
      <c r="H370" s="9" t="s">
        <v>106</v>
      </c>
      <c r="I370" s="9">
        <v>24</v>
      </c>
      <c r="J370" s="9" t="s">
        <v>116</v>
      </c>
      <c r="K370" s="9" t="s">
        <v>351</v>
      </c>
      <c r="L370" t="str">
        <f>IF(OR(J370="Cattle",J370="Zebu Cattle"),IF(COUNTIF(lists!$M$2:$M$258, K370) &gt; 0,"bos.indicus",IF(COUNTIF(lists!$L$2:$L$258, K370) &gt; 0,"cross.bred","pure.bred.exotic")),"NA")</f>
        <v>NA</v>
      </c>
      <c r="M370" t="str">
        <f>IF(J370="Sheep",IF(COUNTIF(lists!$H$2:$H$258, K370) &gt; 0,"indigenous",IF(COUNTIF(lists!$G$2:$G$258, K370) &gt; 0,"cross.bred","not found")),"NA")</f>
        <v>NA</v>
      </c>
      <c r="N370" t="str">
        <f>IF(J370="Goat",IF(COUNTIF(lists!$J$2:$J$258, K370) &gt; 0,"indigenous",IF(COUNTIF(lists!$I$2:$I$258, K370) &gt; 0,"cross.bred","not found")),"NA")</f>
        <v>not found</v>
      </c>
      <c r="O370" s="9" t="s">
        <v>124</v>
      </c>
      <c r="P370" s="9" t="s">
        <v>106</v>
      </c>
      <c r="Q370" s="9" t="s">
        <v>3806</v>
      </c>
      <c r="S370" s="9">
        <v>327</v>
      </c>
      <c r="T370" s="9">
        <v>61</v>
      </c>
      <c r="U370" s="9">
        <v>66</v>
      </c>
      <c r="V370" s="9">
        <v>886</v>
      </c>
      <c r="W370" s="9">
        <v>17</v>
      </c>
      <c r="X370" s="9">
        <v>553</v>
      </c>
      <c r="Y370" s="9" t="s">
        <v>106</v>
      </c>
      <c r="Z370" s="37"/>
      <c r="AA370" s="37"/>
      <c r="AB370" s="37"/>
      <c r="AE370">
        <v>0</v>
      </c>
    </row>
    <row r="371" spans="1:31" hidden="1">
      <c r="A371" s="9" t="s">
        <v>349</v>
      </c>
      <c r="B371" s="9" t="s">
        <v>353</v>
      </c>
      <c r="C371" s="9" t="s">
        <v>105</v>
      </c>
      <c r="D371" s="9">
        <v>0.50770000000000004</v>
      </c>
      <c r="E371" s="9">
        <v>10</v>
      </c>
      <c r="F371" s="9" t="s">
        <v>106</v>
      </c>
      <c r="G371" s="9" t="s">
        <v>106</v>
      </c>
      <c r="H371" s="9" t="s">
        <v>106</v>
      </c>
      <c r="I371" s="9">
        <v>24</v>
      </c>
      <c r="J371" s="9" t="s">
        <v>116</v>
      </c>
      <c r="K371" s="9" t="s">
        <v>351</v>
      </c>
      <c r="L371" t="str">
        <f>IF(OR(J371="Cattle",J371="Zebu Cattle"),IF(COUNTIF(lists!$M$2:$M$258, K371) &gt; 0,"bos.indicus",IF(COUNTIF(lists!$L$2:$L$258, K371) &gt; 0,"cross.bred","pure.bred.exotic")),"NA")</f>
        <v>NA</v>
      </c>
      <c r="M371" t="str">
        <f>IF(J371="Sheep",IF(COUNTIF(lists!$H$2:$H$258, K371) &gt; 0,"indigenous",IF(COUNTIF(lists!$G$2:$G$258, K371) &gt; 0,"cross.bred","not found")),"NA")</f>
        <v>NA</v>
      </c>
      <c r="N371" t="str">
        <f>IF(J371="Goat",IF(COUNTIF(lists!$J$2:$J$258, K371) &gt; 0,"indigenous",IF(COUNTIF(lists!$I$2:$I$258, K371) &gt; 0,"cross.bred","not found")),"NA")</f>
        <v>not found</v>
      </c>
      <c r="O371" s="9" t="s">
        <v>124</v>
      </c>
      <c r="P371" s="9" t="s">
        <v>106</v>
      </c>
      <c r="Q371" s="9" t="s">
        <v>3806</v>
      </c>
      <c r="S371" s="9">
        <v>245</v>
      </c>
      <c r="T371" s="9">
        <v>115</v>
      </c>
      <c r="U371" s="9">
        <v>183</v>
      </c>
      <c r="V371" s="9">
        <v>895</v>
      </c>
      <c r="W371" s="9">
        <v>85</v>
      </c>
      <c r="X371" s="9">
        <v>342</v>
      </c>
      <c r="Y371" s="9" t="s">
        <v>106</v>
      </c>
      <c r="Z371" s="37"/>
      <c r="AA371" s="37"/>
      <c r="AB371" s="37"/>
      <c r="AE371">
        <v>0</v>
      </c>
    </row>
    <row r="372" spans="1:31" hidden="1">
      <c r="A372" s="9" t="s">
        <v>365</v>
      </c>
      <c r="B372" s="9" t="s">
        <v>366</v>
      </c>
      <c r="C372" s="9" t="s">
        <v>105</v>
      </c>
      <c r="D372" s="9">
        <v>0.66179999999999894</v>
      </c>
      <c r="E372" s="9" t="s">
        <v>106</v>
      </c>
      <c r="F372" s="9" t="s">
        <v>106</v>
      </c>
      <c r="G372" s="9" t="s">
        <v>106</v>
      </c>
      <c r="H372" s="9" t="s">
        <v>106</v>
      </c>
      <c r="I372" s="9">
        <v>12</v>
      </c>
      <c r="J372" s="9" t="s">
        <v>116</v>
      </c>
      <c r="K372" s="9" t="s">
        <v>117</v>
      </c>
      <c r="L372" t="str">
        <f>IF(OR(J372="Cattle",J372="Zebu Cattle"),IF(COUNTIF(lists!$M$2:$M$258, K372) &gt; 0,"bos.indicus",IF(COUNTIF(lists!$L$2:$L$258, K372) &gt; 0,"cross.bred","pure.bred.exotic")),"NA")</f>
        <v>NA</v>
      </c>
      <c r="M372" t="str">
        <f>IF(J372="Sheep",IF(COUNTIF(lists!$H$2:$H$258, K372) &gt; 0,"indigenous",IF(COUNTIF(lists!$G$2:$G$258, K372) &gt; 0,"cross.bred","not found")),"NA")</f>
        <v>NA</v>
      </c>
      <c r="N372" t="str">
        <f>IF(J372="Goat",IF(COUNTIF(lists!$J$2:$J$258, K372) &gt; 0,"indigenous",IF(COUNTIF(lists!$I$2:$I$258, K372) &gt; 0,"cross.bred","not found")),"NA")</f>
        <v>indigenous</v>
      </c>
      <c r="O372" s="9" t="s">
        <v>109</v>
      </c>
      <c r="P372" s="9" t="s">
        <v>106</v>
      </c>
      <c r="Q372" s="9" t="s">
        <v>3806</v>
      </c>
      <c r="S372" s="9" t="s">
        <v>106</v>
      </c>
      <c r="T372" s="9">
        <v>86.5</v>
      </c>
      <c r="U372" s="9">
        <v>150.5</v>
      </c>
      <c r="V372" s="9">
        <v>873.19999999999902</v>
      </c>
      <c r="W372" s="9">
        <v>33.6</v>
      </c>
      <c r="X372" s="9" t="s">
        <v>106</v>
      </c>
      <c r="Y372" s="9" t="s">
        <v>106</v>
      </c>
      <c r="Z372" s="37"/>
      <c r="AA372" s="37"/>
      <c r="AB372" s="37"/>
      <c r="AE372">
        <v>0</v>
      </c>
    </row>
    <row r="373" spans="1:31" hidden="1">
      <c r="A373" s="9" t="s">
        <v>365</v>
      </c>
      <c r="B373" s="9" t="s">
        <v>367</v>
      </c>
      <c r="C373" s="9" t="s">
        <v>105</v>
      </c>
      <c r="D373" s="9">
        <v>0.61270000000000002</v>
      </c>
      <c r="E373" s="9" t="s">
        <v>106</v>
      </c>
      <c r="F373" s="9" t="s">
        <v>106</v>
      </c>
      <c r="G373" s="9" t="s">
        <v>106</v>
      </c>
      <c r="H373" s="9" t="s">
        <v>106</v>
      </c>
      <c r="I373" s="9">
        <v>12</v>
      </c>
      <c r="J373" s="9" t="s">
        <v>116</v>
      </c>
      <c r="K373" s="9" t="s">
        <v>117</v>
      </c>
      <c r="L373" t="str">
        <f>IF(OR(J373="Cattle",J373="Zebu Cattle"),IF(COUNTIF(lists!$M$2:$M$258, K373) &gt; 0,"bos.indicus",IF(COUNTIF(lists!$L$2:$L$258, K373) &gt; 0,"cross.bred","pure.bred.exotic")),"NA")</f>
        <v>NA</v>
      </c>
      <c r="M373" t="str">
        <f>IF(J373="Sheep",IF(COUNTIF(lists!$H$2:$H$258, K373) &gt; 0,"indigenous",IF(COUNTIF(lists!$G$2:$G$258, K373) &gt; 0,"cross.bred","not found")),"NA")</f>
        <v>NA</v>
      </c>
      <c r="N373" t="str">
        <f>IF(J373="Goat",IF(COUNTIF(lists!$J$2:$J$258, K373) &gt; 0,"indigenous",IF(COUNTIF(lists!$I$2:$I$258, K373) &gt; 0,"cross.bred","not found")),"NA")</f>
        <v>indigenous</v>
      </c>
      <c r="O373" s="9" t="s">
        <v>109</v>
      </c>
      <c r="P373" s="9" t="s">
        <v>106</v>
      </c>
      <c r="Q373" s="9" t="s">
        <v>3806</v>
      </c>
      <c r="S373" s="9" t="s">
        <v>106</v>
      </c>
      <c r="T373" s="9">
        <v>61.3</v>
      </c>
      <c r="U373" s="9">
        <v>134.9</v>
      </c>
      <c r="V373" s="9">
        <v>876.9</v>
      </c>
      <c r="W373" s="9">
        <v>30.6</v>
      </c>
      <c r="X373" s="9" t="s">
        <v>106</v>
      </c>
      <c r="Y373" s="9" t="s">
        <v>106</v>
      </c>
      <c r="Z373" s="37"/>
      <c r="AA373" s="37"/>
      <c r="AB373" s="37"/>
      <c r="AE373">
        <v>0</v>
      </c>
    </row>
    <row r="374" spans="1:31" hidden="1">
      <c r="A374" s="9" t="s">
        <v>365</v>
      </c>
      <c r="B374" s="9" t="s">
        <v>368</v>
      </c>
      <c r="C374" s="9" t="s">
        <v>105</v>
      </c>
      <c r="D374" s="9">
        <v>0.3387</v>
      </c>
      <c r="E374" s="9" t="s">
        <v>106</v>
      </c>
      <c r="F374" s="9" t="s">
        <v>106</v>
      </c>
      <c r="G374" s="9" t="s">
        <v>106</v>
      </c>
      <c r="H374" s="9" t="s">
        <v>106</v>
      </c>
      <c r="I374" s="9">
        <v>12</v>
      </c>
      <c r="J374" s="9" t="s">
        <v>116</v>
      </c>
      <c r="K374" s="9" t="s">
        <v>117</v>
      </c>
      <c r="L374" t="str">
        <f>IF(OR(J374="Cattle",J374="Zebu Cattle"),IF(COUNTIF(lists!$M$2:$M$258, K374) &gt; 0,"bos.indicus",IF(COUNTIF(lists!$L$2:$L$258, K374) &gt; 0,"cross.bred","pure.bred.exotic")),"NA")</f>
        <v>NA</v>
      </c>
      <c r="M374" t="str">
        <f>IF(J374="Sheep",IF(COUNTIF(lists!$H$2:$H$258, K374) &gt; 0,"indigenous",IF(COUNTIF(lists!$G$2:$G$258, K374) &gt; 0,"cross.bred","not found")),"NA")</f>
        <v>NA</v>
      </c>
      <c r="N374" t="str">
        <f>IF(J374="Goat",IF(COUNTIF(lists!$J$2:$J$258, K374) &gt; 0,"indigenous",IF(COUNTIF(lists!$I$2:$I$258, K374) &gt; 0,"cross.bred","not found")),"NA")</f>
        <v>indigenous</v>
      </c>
      <c r="O374" s="9" t="s">
        <v>109</v>
      </c>
      <c r="P374" s="9" t="s">
        <v>106</v>
      </c>
      <c r="Q374" s="9" t="s">
        <v>3806</v>
      </c>
      <c r="S374" s="9" t="s">
        <v>106</v>
      </c>
      <c r="T374" s="9">
        <v>36</v>
      </c>
      <c r="U374" s="9">
        <v>119.2</v>
      </c>
      <c r="V374" s="9">
        <v>884.7</v>
      </c>
      <c r="W374" s="9">
        <v>27.5</v>
      </c>
      <c r="X374" s="9" t="s">
        <v>106</v>
      </c>
      <c r="Y374" s="9" t="s">
        <v>106</v>
      </c>
      <c r="Z374" s="37"/>
      <c r="AA374" s="37"/>
      <c r="AB374" s="37"/>
      <c r="AE374">
        <v>0</v>
      </c>
    </row>
    <row r="375" spans="1:31" hidden="1">
      <c r="A375" s="9" t="s">
        <v>369</v>
      </c>
      <c r="B375" s="9" t="s">
        <v>151</v>
      </c>
      <c r="C375" s="9" t="s">
        <v>105</v>
      </c>
      <c r="D375" s="9">
        <v>0.21953999999999901</v>
      </c>
      <c r="E375" s="9">
        <v>20.555</v>
      </c>
      <c r="F375" s="9" t="s">
        <v>106</v>
      </c>
      <c r="G375" s="9" t="s">
        <v>106</v>
      </c>
      <c r="H375" s="9" t="s">
        <v>106</v>
      </c>
      <c r="J375" s="9" t="s">
        <v>116</v>
      </c>
      <c r="K375" s="9" t="s">
        <v>117</v>
      </c>
      <c r="L375" t="str">
        <f>IF(OR(J375="Cattle",J375="Zebu Cattle"),IF(COUNTIF(lists!$M$2:$M$258, K375) &gt; 0,"bos.indicus",IF(COUNTIF(lists!$L$2:$L$258, K375) &gt; 0,"cross.bred","pure.bred.exotic")),"NA")</f>
        <v>NA</v>
      </c>
      <c r="M375" t="str">
        <f>IF(J375="Sheep",IF(COUNTIF(lists!$H$2:$H$258, K375) &gt; 0,"indigenous",IF(COUNTIF(lists!$G$2:$G$258, K375) &gt; 0,"cross.bred","not found")),"NA")</f>
        <v>NA</v>
      </c>
      <c r="N375" t="str">
        <f>IF(J375="Goat",IF(COUNTIF(lists!$J$2:$J$258, K375) &gt; 0,"indigenous",IF(COUNTIF(lists!$I$2:$I$258, K375) &gt; 0,"cross.bred","not found")),"NA")</f>
        <v>indigenous</v>
      </c>
      <c r="O375" s="9" t="s">
        <v>109</v>
      </c>
      <c r="P375" s="9" t="s">
        <v>175</v>
      </c>
      <c r="S375" s="9" t="s">
        <v>106</v>
      </c>
      <c r="T375" s="9" t="s">
        <v>106</v>
      </c>
      <c r="U375" s="9" t="s">
        <v>106</v>
      </c>
      <c r="V375" s="9" t="s">
        <v>106</v>
      </c>
      <c r="W375" s="9" t="s">
        <v>106</v>
      </c>
      <c r="X375" s="9" t="s">
        <v>106</v>
      </c>
      <c r="Y375" s="9" t="s">
        <v>106</v>
      </c>
      <c r="Z375" s="37"/>
      <c r="AA375" s="37"/>
      <c r="AB375" s="37"/>
      <c r="AE375"/>
    </row>
    <row r="376" spans="1:31" hidden="1">
      <c r="A376" s="9" t="s">
        <v>369</v>
      </c>
      <c r="B376" s="9" t="s">
        <v>154</v>
      </c>
      <c r="C376" s="9" t="s">
        <v>105</v>
      </c>
      <c r="D376" s="9">
        <v>0.24837999999999999</v>
      </c>
      <c r="E376" s="9">
        <v>20.555</v>
      </c>
      <c r="F376" s="9" t="s">
        <v>106</v>
      </c>
      <c r="G376" s="9" t="s">
        <v>106</v>
      </c>
      <c r="H376" s="9" t="s">
        <v>106</v>
      </c>
      <c r="J376" s="9" t="s">
        <v>116</v>
      </c>
      <c r="K376" s="9" t="s">
        <v>117</v>
      </c>
      <c r="L376" t="str">
        <f>IF(OR(J376="Cattle",J376="Zebu Cattle"),IF(COUNTIF(lists!$M$2:$M$258, K376) &gt; 0,"bos.indicus",IF(COUNTIF(lists!$L$2:$L$258, K376) &gt; 0,"cross.bred","pure.bred.exotic")),"NA")</f>
        <v>NA</v>
      </c>
      <c r="M376" t="str">
        <f>IF(J376="Sheep",IF(COUNTIF(lists!$H$2:$H$258, K376) &gt; 0,"indigenous",IF(COUNTIF(lists!$G$2:$G$258, K376) &gt; 0,"cross.bred","not found")),"NA")</f>
        <v>NA</v>
      </c>
      <c r="N376" t="str">
        <f>IF(J376="Goat",IF(COUNTIF(lists!$J$2:$J$258, K376) &gt; 0,"indigenous",IF(COUNTIF(lists!$I$2:$I$258, K376) &gt; 0,"cross.bred","not found")),"NA")</f>
        <v>indigenous</v>
      </c>
      <c r="O376" s="9" t="s">
        <v>109</v>
      </c>
      <c r="P376" s="9" t="s">
        <v>175</v>
      </c>
      <c r="S376" s="9" t="s">
        <v>106</v>
      </c>
      <c r="T376" s="9" t="s">
        <v>106</v>
      </c>
      <c r="U376" s="9" t="s">
        <v>106</v>
      </c>
      <c r="V376" s="9" t="s">
        <v>106</v>
      </c>
      <c r="W376" s="9" t="s">
        <v>106</v>
      </c>
      <c r="X376" s="9" t="s">
        <v>106</v>
      </c>
      <c r="Y376" s="9" t="s">
        <v>106</v>
      </c>
      <c r="Z376" s="37"/>
      <c r="AA376" s="37"/>
      <c r="AB376" s="37"/>
      <c r="AE376"/>
    </row>
    <row r="377" spans="1:31" hidden="1">
      <c r="A377" s="9" t="s">
        <v>369</v>
      </c>
      <c r="B377" s="9" t="s">
        <v>155</v>
      </c>
      <c r="C377" s="9" t="s">
        <v>105</v>
      </c>
      <c r="D377" s="9">
        <v>0.21042</v>
      </c>
      <c r="E377" s="9">
        <v>20.555</v>
      </c>
      <c r="F377" s="9" t="s">
        <v>106</v>
      </c>
      <c r="G377" s="9" t="s">
        <v>106</v>
      </c>
      <c r="H377" s="9" t="s">
        <v>106</v>
      </c>
      <c r="J377" s="9" t="s">
        <v>116</v>
      </c>
      <c r="K377" s="9" t="s">
        <v>117</v>
      </c>
      <c r="L377" t="str">
        <f>IF(OR(J377="Cattle",J377="Zebu Cattle"),IF(COUNTIF(lists!$M$2:$M$258, K377) &gt; 0,"bos.indicus",IF(COUNTIF(lists!$L$2:$L$258, K377) &gt; 0,"cross.bred","pure.bred.exotic")),"NA")</f>
        <v>NA</v>
      </c>
      <c r="M377" t="str">
        <f>IF(J377="Sheep",IF(COUNTIF(lists!$H$2:$H$258, K377) &gt; 0,"indigenous",IF(COUNTIF(lists!$G$2:$G$258, K377) &gt; 0,"cross.bred","not found")),"NA")</f>
        <v>NA</v>
      </c>
      <c r="N377" t="str">
        <f>IF(J377="Goat",IF(COUNTIF(lists!$J$2:$J$258, K377) &gt; 0,"indigenous",IF(COUNTIF(lists!$I$2:$I$258, K377) &gt; 0,"cross.bred","not found")),"NA")</f>
        <v>indigenous</v>
      </c>
      <c r="O377" s="9" t="s">
        <v>109</v>
      </c>
      <c r="P377" s="9" t="s">
        <v>175</v>
      </c>
      <c r="S377" s="9" t="s">
        <v>106</v>
      </c>
      <c r="T377" s="9" t="s">
        <v>106</v>
      </c>
      <c r="U377" s="9" t="s">
        <v>106</v>
      </c>
      <c r="V377" s="9" t="s">
        <v>106</v>
      </c>
      <c r="W377" s="9" t="s">
        <v>106</v>
      </c>
      <c r="X377" s="9" t="s">
        <v>106</v>
      </c>
      <c r="Y377" s="9" t="s">
        <v>106</v>
      </c>
      <c r="Z377" s="37"/>
      <c r="AA377" s="37"/>
      <c r="AB377" s="37"/>
      <c r="AE377"/>
    </row>
    <row r="378" spans="1:31" hidden="1">
      <c r="A378" s="9" t="s">
        <v>369</v>
      </c>
      <c r="B378" s="9" t="s">
        <v>156</v>
      </c>
      <c r="C378" s="9" t="s">
        <v>105</v>
      </c>
      <c r="D378" s="9">
        <v>0.23568</v>
      </c>
      <c r="E378" s="9">
        <v>20.555</v>
      </c>
      <c r="F378" s="9" t="s">
        <v>106</v>
      </c>
      <c r="G378" s="9" t="s">
        <v>106</v>
      </c>
      <c r="H378" s="9" t="s">
        <v>106</v>
      </c>
      <c r="J378" s="9" t="s">
        <v>116</v>
      </c>
      <c r="K378" s="9" t="s">
        <v>117</v>
      </c>
      <c r="L378" t="str">
        <f>IF(OR(J378="Cattle",J378="Zebu Cattle"),IF(COUNTIF(lists!$M$2:$M$258, K378) &gt; 0,"bos.indicus",IF(COUNTIF(lists!$L$2:$L$258, K378) &gt; 0,"cross.bred","pure.bred.exotic")),"NA")</f>
        <v>NA</v>
      </c>
      <c r="M378" t="str">
        <f>IF(J378="Sheep",IF(COUNTIF(lists!$H$2:$H$258, K378) &gt; 0,"indigenous",IF(COUNTIF(lists!$G$2:$G$258, K378) &gt; 0,"cross.bred","not found")),"NA")</f>
        <v>NA</v>
      </c>
      <c r="N378" t="str">
        <f>IF(J378="Goat",IF(COUNTIF(lists!$J$2:$J$258, K378) &gt; 0,"indigenous",IF(COUNTIF(lists!$I$2:$I$258, K378) &gt; 0,"cross.bred","not found")),"NA")</f>
        <v>indigenous</v>
      </c>
      <c r="O378" s="9" t="s">
        <v>109</v>
      </c>
      <c r="P378" s="9" t="s">
        <v>175</v>
      </c>
      <c r="S378" s="9" t="s">
        <v>106</v>
      </c>
      <c r="T378" s="9" t="s">
        <v>106</v>
      </c>
      <c r="U378" s="9" t="s">
        <v>106</v>
      </c>
      <c r="V378" s="9" t="s">
        <v>106</v>
      </c>
      <c r="W378" s="9" t="s">
        <v>106</v>
      </c>
      <c r="X378" s="9" t="s">
        <v>106</v>
      </c>
      <c r="Y378" s="9" t="s">
        <v>106</v>
      </c>
      <c r="Z378" s="37"/>
      <c r="AA378" s="37"/>
      <c r="AB378" s="37"/>
      <c r="AE378"/>
    </row>
    <row r="379" spans="1:31" hidden="1">
      <c r="A379" s="9" t="s">
        <v>370</v>
      </c>
      <c r="B379" s="9" t="s">
        <v>371</v>
      </c>
      <c r="C379" s="9" t="s">
        <v>105</v>
      </c>
      <c r="D379" s="9">
        <v>0.49252999999999902</v>
      </c>
      <c r="E379" s="9">
        <v>13.63</v>
      </c>
      <c r="F379" s="9" t="s">
        <v>106</v>
      </c>
      <c r="G379" s="9" t="s">
        <v>106</v>
      </c>
      <c r="H379" s="9" t="s">
        <v>106</v>
      </c>
      <c r="J379" s="9" t="s">
        <v>116</v>
      </c>
      <c r="K379" s="9" t="s">
        <v>372</v>
      </c>
      <c r="L379" t="str">
        <f>IF(OR(J379="Cattle",J379="Zebu Cattle"),IF(COUNTIF(lists!$M$2:$M$258, K379) &gt; 0,"bos.indicus",IF(COUNTIF(lists!$L$2:$L$258, K379) &gt; 0,"cross.bred","pure.bred.exotic")),"NA")</f>
        <v>NA</v>
      </c>
      <c r="M379" t="str">
        <f>IF(J379="Sheep",IF(COUNTIF(lists!$H$2:$H$258, K379) &gt; 0,"indigenous",IF(COUNTIF(lists!$G$2:$G$258, K379) &gt; 0,"cross.bred","not found")),"NA")</f>
        <v>NA</v>
      </c>
      <c r="N379" t="str">
        <f>IF(J379="Goat",IF(COUNTIF(lists!$J$2:$J$258, K379) &gt; 0,"indigenous",IF(COUNTIF(lists!$I$2:$I$258, K379) &gt; 0,"cross.bred","not found")),"NA")</f>
        <v>not found</v>
      </c>
      <c r="O379" s="9" t="s">
        <v>109</v>
      </c>
      <c r="P379" s="9" t="s">
        <v>373</v>
      </c>
      <c r="S379" s="9" t="s">
        <v>106</v>
      </c>
      <c r="T379" s="9">
        <v>199.1</v>
      </c>
      <c r="U379" s="9">
        <v>123.1</v>
      </c>
      <c r="V379" s="9">
        <v>873.1</v>
      </c>
      <c r="W379" s="9">
        <v>34</v>
      </c>
      <c r="X379" s="9" t="s">
        <v>106</v>
      </c>
      <c r="Y379" s="9" t="s">
        <v>106</v>
      </c>
      <c r="Z379" s="37"/>
      <c r="AA379" s="37"/>
      <c r="AB379" s="37"/>
      <c r="AE379"/>
    </row>
    <row r="380" spans="1:31" hidden="1">
      <c r="A380" s="9" t="s">
        <v>370</v>
      </c>
      <c r="B380" s="9" t="s">
        <v>374</v>
      </c>
      <c r="C380" s="9" t="s">
        <v>105</v>
      </c>
      <c r="D380" s="9">
        <v>0.61424999999999996</v>
      </c>
      <c r="E380" s="9">
        <v>13.63</v>
      </c>
      <c r="F380" s="9" t="s">
        <v>106</v>
      </c>
      <c r="G380" s="9" t="s">
        <v>106</v>
      </c>
      <c r="H380" s="9" t="s">
        <v>106</v>
      </c>
      <c r="J380" s="9" t="s">
        <v>116</v>
      </c>
      <c r="K380" s="9" t="s">
        <v>372</v>
      </c>
      <c r="L380" t="str">
        <f>IF(OR(J380="Cattle",J380="Zebu Cattle"),IF(COUNTIF(lists!$M$2:$M$258, K380) &gt; 0,"bos.indicus",IF(COUNTIF(lists!$L$2:$L$258, K380) &gt; 0,"cross.bred","pure.bred.exotic")),"NA")</f>
        <v>NA</v>
      </c>
      <c r="M380" t="str">
        <f>IF(J380="Sheep",IF(COUNTIF(lists!$H$2:$H$258, K380) &gt; 0,"indigenous",IF(COUNTIF(lists!$G$2:$G$258, K380) &gt; 0,"cross.bred","not found")),"NA")</f>
        <v>NA</v>
      </c>
      <c r="N380" t="str">
        <f>IF(J380="Goat",IF(COUNTIF(lists!$J$2:$J$258, K380) &gt; 0,"indigenous",IF(COUNTIF(lists!$I$2:$I$258, K380) &gt; 0,"cross.bred","not found")),"NA")</f>
        <v>not found</v>
      </c>
      <c r="O380" s="9" t="s">
        <v>109</v>
      </c>
      <c r="P380" s="9" t="s">
        <v>373</v>
      </c>
      <c r="S380" s="9" t="s">
        <v>106</v>
      </c>
      <c r="T380" s="9">
        <v>195.9</v>
      </c>
      <c r="U380" s="9">
        <v>128.5</v>
      </c>
      <c r="V380" s="9">
        <v>873.6</v>
      </c>
      <c r="W380" s="9">
        <v>30.1</v>
      </c>
      <c r="X380" s="9" t="s">
        <v>106</v>
      </c>
      <c r="Y380" s="9" t="s">
        <v>106</v>
      </c>
      <c r="Z380" s="37"/>
      <c r="AA380" s="37"/>
      <c r="AB380" s="37"/>
      <c r="AE380"/>
    </row>
    <row r="381" spans="1:31" hidden="1">
      <c r="A381" s="9" t="s">
        <v>370</v>
      </c>
      <c r="B381" s="9" t="s">
        <v>375</v>
      </c>
      <c r="C381" s="9" t="s">
        <v>105</v>
      </c>
      <c r="D381" s="9">
        <v>0.53939000000000004</v>
      </c>
      <c r="E381" s="9">
        <v>13.63</v>
      </c>
      <c r="F381" s="9" t="s">
        <v>106</v>
      </c>
      <c r="G381" s="9" t="s">
        <v>106</v>
      </c>
      <c r="H381" s="9" t="s">
        <v>106</v>
      </c>
      <c r="J381" s="9" t="s">
        <v>116</v>
      </c>
      <c r="K381" s="9" t="s">
        <v>372</v>
      </c>
      <c r="L381" t="str">
        <f>IF(OR(J381="Cattle",J381="Zebu Cattle"),IF(COUNTIF(lists!$M$2:$M$258, K381) &gt; 0,"bos.indicus",IF(COUNTIF(lists!$L$2:$L$258, K381) &gt; 0,"cross.bred","pure.bred.exotic")),"NA")</f>
        <v>NA</v>
      </c>
      <c r="M381" t="str">
        <f>IF(J381="Sheep",IF(COUNTIF(lists!$H$2:$H$258, K381) &gt; 0,"indigenous",IF(COUNTIF(lists!$G$2:$G$258, K381) &gt; 0,"cross.bred","not found")),"NA")</f>
        <v>NA</v>
      </c>
      <c r="N381" t="str">
        <f>IF(J381="Goat",IF(COUNTIF(lists!$J$2:$J$258, K381) &gt; 0,"indigenous",IF(COUNTIF(lists!$I$2:$I$258, K381) &gt; 0,"cross.bred","not found")),"NA")</f>
        <v>not found</v>
      </c>
      <c r="O381" s="9" t="s">
        <v>109</v>
      </c>
      <c r="P381" s="9" t="s">
        <v>373</v>
      </c>
      <c r="S381" s="9" t="s">
        <v>106</v>
      </c>
      <c r="T381" s="9">
        <v>194.5</v>
      </c>
      <c r="U381" s="9">
        <v>132.5</v>
      </c>
      <c r="V381" s="9">
        <v>861.7</v>
      </c>
      <c r="W381" s="9">
        <v>23</v>
      </c>
      <c r="X381" s="9" t="s">
        <v>106</v>
      </c>
      <c r="Y381" s="9" t="s">
        <v>106</v>
      </c>
      <c r="Z381" s="37"/>
      <c r="AA381" s="37"/>
      <c r="AB381" s="37"/>
      <c r="AE381"/>
    </row>
    <row r="382" spans="1:31" hidden="1">
      <c r="A382" s="9" t="s">
        <v>370</v>
      </c>
      <c r="B382" s="9" t="s">
        <v>376</v>
      </c>
      <c r="C382" s="9" t="s">
        <v>105</v>
      </c>
      <c r="D382" s="9">
        <v>0.55708000000000002</v>
      </c>
      <c r="E382" s="9">
        <v>13.63</v>
      </c>
      <c r="F382" s="9" t="s">
        <v>106</v>
      </c>
      <c r="G382" s="9" t="s">
        <v>106</v>
      </c>
      <c r="H382" s="9" t="s">
        <v>106</v>
      </c>
      <c r="J382" s="9" t="s">
        <v>116</v>
      </c>
      <c r="K382" s="9" t="s">
        <v>372</v>
      </c>
      <c r="L382" t="str">
        <f>IF(OR(J382="Cattle",J382="Zebu Cattle"),IF(COUNTIF(lists!$M$2:$M$258, K382) &gt; 0,"bos.indicus",IF(COUNTIF(lists!$L$2:$L$258, K382) &gt; 0,"cross.bred","pure.bred.exotic")),"NA")</f>
        <v>NA</v>
      </c>
      <c r="M382" t="str">
        <f>IF(J382="Sheep",IF(COUNTIF(lists!$H$2:$H$258, K382) &gt; 0,"indigenous",IF(COUNTIF(lists!$G$2:$G$258, K382) &gt; 0,"cross.bred","not found")),"NA")</f>
        <v>NA</v>
      </c>
      <c r="N382" t="str">
        <f>IF(J382="Goat",IF(COUNTIF(lists!$J$2:$J$258, K382) &gt; 0,"indigenous",IF(COUNTIF(lists!$I$2:$I$258, K382) &gt; 0,"cross.bred","not found")),"NA")</f>
        <v>not found</v>
      </c>
      <c r="O382" s="9" t="s">
        <v>109</v>
      </c>
      <c r="P382" s="9" t="s">
        <v>373</v>
      </c>
      <c r="S382" s="9" t="s">
        <v>106</v>
      </c>
      <c r="T382" s="9">
        <v>151.19999999999999</v>
      </c>
      <c r="U382" s="9">
        <v>137</v>
      </c>
      <c r="V382" s="9">
        <v>870.19999999999902</v>
      </c>
      <c r="W382" s="9">
        <v>29</v>
      </c>
      <c r="X382" s="9" t="s">
        <v>106</v>
      </c>
      <c r="Y382" s="9" t="s">
        <v>106</v>
      </c>
      <c r="Z382" s="37"/>
      <c r="AA382" s="37"/>
      <c r="AB382" s="37"/>
      <c r="AE382"/>
    </row>
    <row r="383" spans="1:31" hidden="1">
      <c r="A383" s="9" t="s">
        <v>402</v>
      </c>
      <c r="B383" s="9" t="s">
        <v>403</v>
      </c>
      <c r="C383" s="9" t="s">
        <v>105</v>
      </c>
      <c r="D383" s="9">
        <v>0.91061999999999999</v>
      </c>
      <c r="E383" s="9">
        <v>30.11</v>
      </c>
      <c r="F383" s="9" t="s">
        <v>106</v>
      </c>
      <c r="G383" s="9" t="s">
        <v>106</v>
      </c>
      <c r="H383" s="9" t="s">
        <v>106</v>
      </c>
      <c r="I383" s="9">
        <v>16</v>
      </c>
      <c r="J383" s="9" t="s">
        <v>116</v>
      </c>
      <c r="K383" s="9" t="s">
        <v>117</v>
      </c>
      <c r="L383" t="str">
        <f>IF(OR(J383="Cattle",J383="Zebu Cattle"),IF(COUNTIF(lists!$M$2:$M$258, K383) &gt; 0,"bos.indicus",IF(COUNTIF(lists!$L$2:$L$258, K383) &gt; 0,"cross.bred","pure.bred.exotic")),"NA")</f>
        <v>NA</v>
      </c>
      <c r="M383" t="str">
        <f>IF(J383="Sheep",IF(COUNTIF(lists!$H$2:$H$258, K383) &gt; 0,"indigenous",IF(COUNTIF(lists!$G$2:$G$258, K383) &gt; 0,"cross.bred","not found")),"NA")</f>
        <v>NA</v>
      </c>
      <c r="N383" t="str">
        <f>IF(J383="Goat",IF(COUNTIF(lists!$J$2:$J$258, K383) &gt; 0,"indigenous",IF(COUNTIF(lists!$I$2:$I$258, K383) &gt; 0,"cross.bred","not found")),"NA")</f>
        <v>indigenous</v>
      </c>
      <c r="O383" s="9" t="s">
        <v>109</v>
      </c>
      <c r="P383" s="9" t="s">
        <v>106</v>
      </c>
      <c r="Q383" s="9" t="s">
        <v>3804</v>
      </c>
      <c r="S383" s="9">
        <v>484.5</v>
      </c>
      <c r="T383" s="9">
        <v>40.799999999999997</v>
      </c>
      <c r="U383" s="9">
        <v>110.2</v>
      </c>
      <c r="V383" s="9">
        <v>872.4</v>
      </c>
      <c r="W383" s="9">
        <v>26.9</v>
      </c>
      <c r="X383" s="9">
        <v>744.2</v>
      </c>
      <c r="Y383" s="9">
        <v>66.099999999999994</v>
      </c>
      <c r="Z383" s="37"/>
      <c r="AA383" s="37"/>
      <c r="AB383" s="37"/>
      <c r="AE383">
        <v>0</v>
      </c>
    </row>
    <row r="384" spans="1:31" hidden="1">
      <c r="A384" s="9" t="s">
        <v>402</v>
      </c>
      <c r="B384" s="9" t="s">
        <v>404</v>
      </c>
      <c r="C384" s="9" t="s">
        <v>105</v>
      </c>
      <c r="D384" s="9">
        <v>0.86639999999999995</v>
      </c>
      <c r="E384" s="9">
        <v>30.11</v>
      </c>
      <c r="F384" s="9" t="s">
        <v>106</v>
      </c>
      <c r="G384" s="9" t="s">
        <v>106</v>
      </c>
      <c r="H384" s="9" t="s">
        <v>106</v>
      </c>
      <c r="I384" s="9">
        <v>16</v>
      </c>
      <c r="J384" s="9" t="s">
        <v>116</v>
      </c>
      <c r="K384" s="9" t="s">
        <v>117</v>
      </c>
      <c r="L384" t="str">
        <f>IF(OR(J384="Cattle",J384="Zebu Cattle"),IF(COUNTIF(lists!$M$2:$M$258, K384) &gt; 0,"bos.indicus",IF(COUNTIF(lists!$L$2:$L$258, K384) &gt; 0,"cross.bred","pure.bred.exotic")),"NA")</f>
        <v>NA</v>
      </c>
      <c r="M384" t="str">
        <f>IF(J384="Sheep",IF(COUNTIF(lists!$H$2:$H$258, K384) &gt; 0,"indigenous",IF(COUNTIF(lists!$G$2:$G$258, K384) &gt; 0,"cross.bred","not found")),"NA")</f>
        <v>NA</v>
      </c>
      <c r="N384" t="str">
        <f>IF(J384="Goat",IF(COUNTIF(lists!$J$2:$J$258, K384) &gt; 0,"indigenous",IF(COUNTIF(lists!$I$2:$I$258, K384) &gt; 0,"cross.bred","not found")),"NA")</f>
        <v>indigenous</v>
      </c>
      <c r="O384" s="9" t="s">
        <v>109</v>
      </c>
      <c r="P384" s="9" t="s">
        <v>106</v>
      </c>
      <c r="Q384" s="9" t="s">
        <v>3804</v>
      </c>
      <c r="S384" s="9">
        <v>507.4</v>
      </c>
      <c r="T384" s="9">
        <v>57</v>
      </c>
      <c r="U384" s="9">
        <v>118.7</v>
      </c>
      <c r="V384" s="9">
        <v>867.4</v>
      </c>
      <c r="W384" s="9">
        <v>25.9</v>
      </c>
      <c r="X384" s="9">
        <v>785.4</v>
      </c>
      <c r="Y384" s="9">
        <v>60.17</v>
      </c>
      <c r="Z384" s="37"/>
      <c r="AA384" s="37"/>
      <c r="AB384" s="37"/>
      <c r="AE384">
        <v>0</v>
      </c>
    </row>
    <row r="385" spans="1:31" hidden="1">
      <c r="A385" s="9" t="s">
        <v>402</v>
      </c>
      <c r="B385" s="9" t="s">
        <v>405</v>
      </c>
      <c r="C385" s="9" t="s">
        <v>105</v>
      </c>
      <c r="D385" s="9">
        <v>0.97919999999999996</v>
      </c>
      <c r="E385" s="9">
        <v>30.11</v>
      </c>
      <c r="F385" s="9" t="s">
        <v>106</v>
      </c>
      <c r="G385" s="9" t="s">
        <v>106</v>
      </c>
      <c r="H385" s="9" t="s">
        <v>106</v>
      </c>
      <c r="I385" s="9">
        <v>16</v>
      </c>
      <c r="J385" s="9" t="s">
        <v>116</v>
      </c>
      <c r="K385" s="9" t="s">
        <v>117</v>
      </c>
      <c r="L385" t="str">
        <f>IF(OR(J385="Cattle",J385="Zebu Cattle"),IF(COUNTIF(lists!$M$2:$M$258, K385) &gt; 0,"bos.indicus",IF(COUNTIF(lists!$L$2:$L$258, K385) &gt; 0,"cross.bred","pure.bred.exotic")),"NA")</f>
        <v>NA</v>
      </c>
      <c r="M385" t="str">
        <f>IF(J385="Sheep",IF(COUNTIF(lists!$H$2:$H$258, K385) &gt; 0,"indigenous",IF(COUNTIF(lists!$G$2:$G$258, K385) &gt; 0,"cross.bred","not found")),"NA")</f>
        <v>NA</v>
      </c>
      <c r="N385" t="str">
        <f>IF(J385="Goat",IF(COUNTIF(lists!$J$2:$J$258, K385) &gt; 0,"indigenous",IF(COUNTIF(lists!$I$2:$I$258, K385) &gt; 0,"cross.bred","not found")),"NA")</f>
        <v>indigenous</v>
      </c>
      <c r="O385" s="9" t="s">
        <v>109</v>
      </c>
      <c r="P385" s="9" t="s">
        <v>106</v>
      </c>
      <c r="Q385" s="9" t="s">
        <v>3804</v>
      </c>
      <c r="S385" s="9">
        <v>491.3</v>
      </c>
      <c r="T385" s="9">
        <v>48</v>
      </c>
      <c r="U385" s="9">
        <v>114</v>
      </c>
      <c r="V385" s="9">
        <v>882.5</v>
      </c>
      <c r="W385" s="9">
        <v>29.7</v>
      </c>
      <c r="X385" s="9">
        <v>757</v>
      </c>
      <c r="Y385" s="9">
        <v>76.989999999999995</v>
      </c>
      <c r="Z385" s="37"/>
      <c r="AA385" s="37"/>
      <c r="AB385" s="37"/>
      <c r="AE385">
        <v>0</v>
      </c>
    </row>
    <row r="386" spans="1:31" hidden="1">
      <c r="A386" s="9" t="s">
        <v>402</v>
      </c>
      <c r="B386" s="9" t="s">
        <v>406</v>
      </c>
      <c r="C386" s="9" t="s">
        <v>105</v>
      </c>
      <c r="D386" s="9">
        <v>0.94720000000000004</v>
      </c>
      <c r="E386" s="9">
        <v>30.11</v>
      </c>
      <c r="F386" s="9" t="s">
        <v>106</v>
      </c>
      <c r="G386" s="9" t="s">
        <v>106</v>
      </c>
      <c r="H386" s="9" t="s">
        <v>106</v>
      </c>
      <c r="I386" s="9">
        <v>16</v>
      </c>
      <c r="J386" s="9" t="s">
        <v>116</v>
      </c>
      <c r="K386" s="9" t="s">
        <v>117</v>
      </c>
      <c r="L386" t="str">
        <f>IF(OR(J386="Cattle",J386="Zebu Cattle"),IF(COUNTIF(lists!$M$2:$M$258, K386) &gt; 0,"bos.indicus",IF(COUNTIF(lists!$L$2:$L$258, K386) &gt; 0,"cross.bred","pure.bred.exotic")),"NA")</f>
        <v>NA</v>
      </c>
      <c r="M386" t="str">
        <f>IF(J386="Sheep",IF(COUNTIF(lists!$H$2:$H$258, K386) &gt; 0,"indigenous",IF(COUNTIF(lists!$G$2:$G$258, K386) &gt; 0,"cross.bred","not found")),"NA")</f>
        <v>NA</v>
      </c>
      <c r="N386" t="str">
        <f>IF(J386="Goat",IF(COUNTIF(lists!$J$2:$J$258, K386) &gt; 0,"indigenous",IF(COUNTIF(lists!$I$2:$I$258, K386) &gt; 0,"cross.bred","not found")),"NA")</f>
        <v>indigenous</v>
      </c>
      <c r="O386" s="9" t="s">
        <v>109</v>
      </c>
      <c r="P386" s="9" t="s">
        <v>106</v>
      </c>
      <c r="Q386" s="9" t="s">
        <v>3804</v>
      </c>
      <c r="S386" s="9">
        <v>501.3</v>
      </c>
      <c r="T386" s="9">
        <v>51.4</v>
      </c>
      <c r="U386" s="9">
        <v>117.5</v>
      </c>
      <c r="V386" s="9">
        <v>872.2</v>
      </c>
      <c r="W386" s="9">
        <v>28.4</v>
      </c>
      <c r="X386" s="9">
        <v>731.1</v>
      </c>
      <c r="Y386" s="9">
        <v>78.8</v>
      </c>
      <c r="Z386" s="37"/>
      <c r="AA386" s="37"/>
      <c r="AB386" s="37"/>
      <c r="AE386">
        <v>0</v>
      </c>
    </row>
    <row r="387" spans="1:31" hidden="1">
      <c r="A387" s="9" t="s">
        <v>407</v>
      </c>
      <c r="B387" s="9" t="s">
        <v>408</v>
      </c>
      <c r="C387" s="9" t="s">
        <v>105</v>
      </c>
      <c r="D387" s="9">
        <v>0.45637</v>
      </c>
      <c r="E387" s="9" t="s">
        <v>106</v>
      </c>
      <c r="F387" s="9" t="s">
        <v>106</v>
      </c>
      <c r="G387" s="9" t="s">
        <v>106</v>
      </c>
      <c r="H387" s="9" t="s">
        <v>106</v>
      </c>
      <c r="I387" s="9">
        <v>20</v>
      </c>
      <c r="J387" s="9" t="s">
        <v>116</v>
      </c>
      <c r="K387" s="9" t="s">
        <v>117</v>
      </c>
      <c r="L387" t="str">
        <f>IF(OR(J387="Cattle",J387="Zebu Cattle"),IF(COUNTIF(lists!$M$2:$M$258, K387) &gt; 0,"bos.indicus",IF(COUNTIF(lists!$L$2:$L$258, K387) &gt; 0,"cross.bred","pure.bred.exotic")),"NA")</f>
        <v>NA</v>
      </c>
      <c r="M387" t="str">
        <f>IF(J387="Sheep",IF(COUNTIF(lists!$H$2:$H$258, K387) &gt; 0,"indigenous",IF(COUNTIF(lists!$G$2:$G$258, K387) &gt; 0,"cross.bred","not found")),"NA")</f>
        <v>NA</v>
      </c>
      <c r="N387" t="str">
        <f>IF(J387="Goat",IF(COUNTIF(lists!$J$2:$J$258, K387) &gt; 0,"indigenous",IF(COUNTIF(lists!$I$2:$I$258, K387) &gt; 0,"cross.bred","not found")),"NA")</f>
        <v>indigenous</v>
      </c>
      <c r="O387" s="9" t="s">
        <v>109</v>
      </c>
      <c r="P387" s="9" t="s">
        <v>106</v>
      </c>
      <c r="Q387" s="9" t="s">
        <v>3804</v>
      </c>
      <c r="S387" s="9">
        <v>348.1</v>
      </c>
      <c r="T387" s="9">
        <v>73.400000000000006</v>
      </c>
      <c r="U387" s="9">
        <v>71.599999999999994</v>
      </c>
      <c r="V387" s="9">
        <v>744.9</v>
      </c>
      <c r="W387" s="9">
        <v>39.4</v>
      </c>
      <c r="X387" s="9">
        <v>526.9</v>
      </c>
      <c r="Y387" s="9" t="s">
        <v>106</v>
      </c>
      <c r="Z387" s="37"/>
      <c r="AA387" s="37"/>
      <c r="AB387" s="37"/>
      <c r="AE387">
        <v>0</v>
      </c>
    </row>
    <row r="388" spans="1:31" hidden="1">
      <c r="A388" s="9" t="s">
        <v>407</v>
      </c>
      <c r="B388" s="9" t="s">
        <v>409</v>
      </c>
      <c r="C388" s="9" t="s">
        <v>105</v>
      </c>
      <c r="D388" s="9">
        <v>0.29457</v>
      </c>
      <c r="E388" s="9" t="s">
        <v>106</v>
      </c>
      <c r="F388" s="9" t="s">
        <v>106</v>
      </c>
      <c r="G388" s="9" t="s">
        <v>106</v>
      </c>
      <c r="H388" s="9" t="s">
        <v>106</v>
      </c>
      <c r="I388" s="9">
        <v>20</v>
      </c>
      <c r="J388" s="9" t="s">
        <v>116</v>
      </c>
      <c r="K388" s="9" t="s">
        <v>117</v>
      </c>
      <c r="L388" t="str">
        <f>IF(OR(J388="Cattle",J388="Zebu Cattle"),IF(COUNTIF(lists!$M$2:$M$258, K388) &gt; 0,"bos.indicus",IF(COUNTIF(lists!$L$2:$L$258, K388) &gt; 0,"cross.bred","pure.bred.exotic")),"NA")</f>
        <v>NA</v>
      </c>
      <c r="M388" t="str">
        <f>IF(J388="Sheep",IF(COUNTIF(lists!$H$2:$H$258, K388) &gt; 0,"indigenous",IF(COUNTIF(lists!$G$2:$G$258, K388) &gt; 0,"cross.bred","not found")),"NA")</f>
        <v>NA</v>
      </c>
      <c r="N388" t="str">
        <f>IF(J388="Goat",IF(COUNTIF(lists!$J$2:$J$258, K388) &gt; 0,"indigenous",IF(COUNTIF(lists!$I$2:$I$258, K388) &gt; 0,"cross.bred","not found")),"NA")</f>
        <v>indigenous</v>
      </c>
      <c r="O388" s="9" t="s">
        <v>109</v>
      </c>
      <c r="P388" s="9" t="s">
        <v>106</v>
      </c>
      <c r="Q388" s="9" t="s">
        <v>3804</v>
      </c>
      <c r="S388" s="9">
        <v>249</v>
      </c>
      <c r="T388" s="9">
        <v>72.5</v>
      </c>
      <c r="U388" s="9">
        <v>78.400000000000006</v>
      </c>
      <c r="V388" s="9">
        <v>766.599999999999</v>
      </c>
      <c r="W388" s="9">
        <v>37.5</v>
      </c>
      <c r="X388" s="9">
        <v>570.29999999999995</v>
      </c>
      <c r="Y388" s="9" t="s">
        <v>106</v>
      </c>
      <c r="Z388" s="37"/>
      <c r="AA388" s="37"/>
      <c r="AB388" s="37"/>
      <c r="AE388">
        <v>0</v>
      </c>
    </row>
    <row r="389" spans="1:31" hidden="1">
      <c r="A389" s="9" t="s">
        <v>407</v>
      </c>
      <c r="B389" s="9" t="s">
        <v>410</v>
      </c>
      <c r="C389" s="9" t="s">
        <v>105</v>
      </c>
      <c r="D389" s="9">
        <v>0.20768999999999899</v>
      </c>
      <c r="E389" s="9" t="s">
        <v>106</v>
      </c>
      <c r="F389" s="9" t="s">
        <v>106</v>
      </c>
      <c r="G389" s="9" t="s">
        <v>106</v>
      </c>
      <c r="H389" s="9" t="s">
        <v>106</v>
      </c>
      <c r="I389" s="9">
        <v>20</v>
      </c>
      <c r="J389" s="9" t="s">
        <v>116</v>
      </c>
      <c r="K389" s="9" t="s">
        <v>117</v>
      </c>
      <c r="L389" t="str">
        <f>IF(OR(J389="Cattle",J389="Zebu Cattle"),IF(COUNTIF(lists!$M$2:$M$258, K389) &gt; 0,"bos.indicus",IF(COUNTIF(lists!$L$2:$L$258, K389) &gt; 0,"cross.bred","pure.bred.exotic")),"NA")</f>
        <v>NA</v>
      </c>
      <c r="M389" t="str">
        <f>IF(J389="Sheep",IF(COUNTIF(lists!$H$2:$H$258, K389) &gt; 0,"indigenous",IF(COUNTIF(lists!$G$2:$G$258, K389) &gt; 0,"cross.bred","not found")),"NA")</f>
        <v>NA</v>
      </c>
      <c r="N389" t="str">
        <f>IF(J389="Goat",IF(COUNTIF(lists!$J$2:$J$258, K389) &gt; 0,"indigenous",IF(COUNTIF(lists!$I$2:$I$258, K389) &gt; 0,"cross.bred","not found")),"NA")</f>
        <v>indigenous</v>
      </c>
      <c r="O389" s="9" t="s">
        <v>109</v>
      </c>
      <c r="P389" s="9" t="s">
        <v>106</v>
      </c>
      <c r="Q389" s="9" t="s">
        <v>3804</v>
      </c>
      <c r="S389" s="9">
        <v>275.2</v>
      </c>
      <c r="T389" s="9">
        <v>70.099999999999994</v>
      </c>
      <c r="U389" s="9">
        <v>78.899999999999906</v>
      </c>
      <c r="V389" s="9">
        <v>828.7</v>
      </c>
      <c r="W389" s="9">
        <v>37</v>
      </c>
      <c r="X389" s="9">
        <v>570.29999999999995</v>
      </c>
      <c r="Y389" s="9" t="s">
        <v>106</v>
      </c>
      <c r="Z389" s="37"/>
      <c r="AA389" s="37"/>
      <c r="AB389" s="37"/>
      <c r="AE389">
        <v>0</v>
      </c>
    </row>
    <row r="390" spans="1:31" hidden="1">
      <c r="A390" s="9" t="s">
        <v>407</v>
      </c>
      <c r="B390" s="9" t="s">
        <v>411</v>
      </c>
      <c r="C390" s="9" t="s">
        <v>105</v>
      </c>
      <c r="D390" s="9">
        <v>0.40216000000000002</v>
      </c>
      <c r="E390" s="9" t="s">
        <v>106</v>
      </c>
      <c r="F390" s="9" t="s">
        <v>106</v>
      </c>
      <c r="G390" s="9" t="s">
        <v>106</v>
      </c>
      <c r="H390" s="9" t="s">
        <v>106</v>
      </c>
      <c r="I390" s="9">
        <v>20</v>
      </c>
      <c r="J390" s="9" t="s">
        <v>116</v>
      </c>
      <c r="K390" s="9" t="s">
        <v>117</v>
      </c>
      <c r="L390" t="str">
        <f>IF(OR(J390="Cattle",J390="Zebu Cattle"),IF(COUNTIF(lists!$M$2:$M$258, K390) &gt; 0,"bos.indicus",IF(COUNTIF(lists!$L$2:$L$258, K390) &gt; 0,"cross.bred","pure.bred.exotic")),"NA")</f>
        <v>NA</v>
      </c>
      <c r="M390" t="str">
        <f>IF(J390="Sheep",IF(COUNTIF(lists!$H$2:$H$258, K390) &gt; 0,"indigenous",IF(COUNTIF(lists!$G$2:$G$258, K390) &gt; 0,"cross.bred","not found")),"NA")</f>
        <v>NA</v>
      </c>
      <c r="N390" t="str">
        <f>IF(J390="Goat",IF(COUNTIF(lists!$J$2:$J$258, K390) &gt; 0,"indigenous",IF(COUNTIF(lists!$I$2:$I$258, K390) &gt; 0,"cross.bred","not found")),"NA")</f>
        <v>indigenous</v>
      </c>
      <c r="O390" s="9" t="s">
        <v>109</v>
      </c>
      <c r="P390" s="9" t="s">
        <v>106</v>
      </c>
      <c r="Q390" s="9" t="s">
        <v>3804</v>
      </c>
      <c r="S390" s="9">
        <v>296.60000000000002</v>
      </c>
      <c r="T390" s="9">
        <v>72.8</v>
      </c>
      <c r="U390" s="9">
        <v>73.5</v>
      </c>
      <c r="V390" s="9">
        <v>758.6</v>
      </c>
      <c r="W390" s="9">
        <v>37.9</v>
      </c>
      <c r="X390" s="9">
        <v>471.6</v>
      </c>
      <c r="Y390" s="9" t="s">
        <v>106</v>
      </c>
      <c r="Z390" s="37"/>
      <c r="AA390" s="37"/>
      <c r="AB390" s="37"/>
      <c r="AE390">
        <v>0</v>
      </c>
    </row>
    <row r="391" spans="1:31" hidden="1">
      <c r="A391" s="9" t="s">
        <v>412</v>
      </c>
      <c r="B391" s="9" t="s">
        <v>413</v>
      </c>
      <c r="C391" s="9" t="s">
        <v>105</v>
      </c>
      <c r="D391" s="9">
        <v>0.49608999999999998</v>
      </c>
      <c r="E391" s="9">
        <v>22.37</v>
      </c>
      <c r="F391" s="9" t="s">
        <v>106</v>
      </c>
      <c r="G391" s="9" t="s">
        <v>106</v>
      </c>
      <c r="H391" s="9" t="s">
        <v>106</v>
      </c>
      <c r="I391" s="9">
        <v>4</v>
      </c>
      <c r="J391" s="9" t="s">
        <v>116</v>
      </c>
      <c r="K391" s="9" t="s">
        <v>117</v>
      </c>
      <c r="L391" t="str">
        <f>IF(OR(J391="Cattle",J391="Zebu Cattle"),IF(COUNTIF(lists!$M$2:$M$258, K391) &gt; 0,"bos.indicus",IF(COUNTIF(lists!$L$2:$L$258, K391) &gt; 0,"cross.bred","pure.bred.exotic")),"NA")</f>
        <v>NA</v>
      </c>
      <c r="M391" t="str">
        <f>IF(J391="Sheep",IF(COUNTIF(lists!$H$2:$H$258, K391) &gt; 0,"indigenous",IF(COUNTIF(lists!$G$2:$G$258, K391) &gt; 0,"cross.bred","not found")),"NA")</f>
        <v>NA</v>
      </c>
      <c r="N391" t="str">
        <f>IF(J391="Goat",IF(COUNTIF(lists!$J$2:$J$258, K391) &gt; 0,"indigenous",IF(COUNTIF(lists!$I$2:$I$258, K391) &gt; 0,"cross.bred","not found")),"NA")</f>
        <v>indigenous</v>
      </c>
      <c r="O391" s="9" t="s">
        <v>109</v>
      </c>
      <c r="P391" s="9" t="s">
        <v>106</v>
      </c>
      <c r="Q391" s="9" t="s">
        <v>3804</v>
      </c>
      <c r="S391" s="9" t="s">
        <v>106</v>
      </c>
      <c r="T391" s="9">
        <v>191.2</v>
      </c>
      <c r="U391" s="9">
        <v>178.5</v>
      </c>
      <c r="V391" s="9">
        <v>923</v>
      </c>
      <c r="W391" s="9">
        <v>64.2</v>
      </c>
      <c r="X391" s="9" t="s">
        <v>106</v>
      </c>
      <c r="Y391" s="9" t="s">
        <v>106</v>
      </c>
      <c r="Z391" s="37"/>
      <c r="AA391" s="37"/>
      <c r="AB391" s="37"/>
      <c r="AE391">
        <v>0</v>
      </c>
    </row>
    <row r="392" spans="1:31" hidden="1">
      <c r="A392" s="9" t="s">
        <v>412</v>
      </c>
      <c r="B392" s="9" t="s">
        <v>414</v>
      </c>
      <c r="C392" s="9" t="s">
        <v>105</v>
      </c>
      <c r="D392" s="9">
        <v>0.58099000000000001</v>
      </c>
      <c r="E392" s="9">
        <v>22.37</v>
      </c>
      <c r="F392" s="9" t="s">
        <v>106</v>
      </c>
      <c r="G392" s="9" t="s">
        <v>106</v>
      </c>
      <c r="H392" s="9" t="s">
        <v>106</v>
      </c>
      <c r="I392" s="9">
        <v>4</v>
      </c>
      <c r="J392" s="9" t="s">
        <v>116</v>
      </c>
      <c r="K392" s="9" t="s">
        <v>117</v>
      </c>
      <c r="L392" t="str">
        <f>IF(OR(J392="Cattle",J392="Zebu Cattle"),IF(COUNTIF(lists!$M$2:$M$258, K392) &gt; 0,"bos.indicus",IF(COUNTIF(lists!$L$2:$L$258, K392) &gt; 0,"cross.bred","pure.bred.exotic")),"NA")</f>
        <v>NA</v>
      </c>
      <c r="M392" t="str">
        <f>IF(J392="Sheep",IF(COUNTIF(lists!$H$2:$H$258, K392) &gt; 0,"indigenous",IF(COUNTIF(lists!$G$2:$G$258, K392) &gt; 0,"cross.bred","not found")),"NA")</f>
        <v>NA</v>
      </c>
      <c r="N392" t="str">
        <f>IF(J392="Goat",IF(COUNTIF(lists!$J$2:$J$258, K392) &gt; 0,"indigenous",IF(COUNTIF(lists!$I$2:$I$258, K392) &gt; 0,"cross.bred","not found")),"NA")</f>
        <v>indigenous</v>
      </c>
      <c r="O392" s="9" t="s">
        <v>109</v>
      </c>
      <c r="P392" s="9" t="s">
        <v>106</v>
      </c>
      <c r="Q392" s="9" t="s">
        <v>3804</v>
      </c>
      <c r="S392" s="9" t="s">
        <v>106</v>
      </c>
      <c r="T392" s="9">
        <v>174.4</v>
      </c>
      <c r="U392" s="9">
        <v>148</v>
      </c>
      <c r="V392" s="9">
        <v>922.2</v>
      </c>
      <c r="W392" s="9">
        <v>52.5</v>
      </c>
      <c r="X392" s="9" t="s">
        <v>106</v>
      </c>
      <c r="Y392" s="9" t="s">
        <v>106</v>
      </c>
      <c r="Z392" s="37"/>
      <c r="AA392" s="37"/>
      <c r="AB392" s="37"/>
      <c r="AE392">
        <v>0</v>
      </c>
    </row>
    <row r="393" spans="1:31" hidden="1">
      <c r="A393" s="9" t="s">
        <v>412</v>
      </c>
      <c r="B393" s="9" t="s">
        <v>415</v>
      </c>
      <c r="C393" s="9" t="s">
        <v>105</v>
      </c>
      <c r="D393" s="9">
        <v>0.55677999999999905</v>
      </c>
      <c r="E393" s="9">
        <v>22.37</v>
      </c>
      <c r="F393" s="9" t="s">
        <v>106</v>
      </c>
      <c r="G393" s="9" t="s">
        <v>106</v>
      </c>
      <c r="H393" s="9" t="s">
        <v>106</v>
      </c>
      <c r="I393" s="9">
        <v>4</v>
      </c>
      <c r="J393" s="9" t="s">
        <v>116</v>
      </c>
      <c r="K393" s="9" t="s">
        <v>117</v>
      </c>
      <c r="L393" t="str">
        <f>IF(OR(J393="Cattle",J393="Zebu Cattle"),IF(COUNTIF(lists!$M$2:$M$258, K393) &gt; 0,"bos.indicus",IF(COUNTIF(lists!$L$2:$L$258, K393) &gt; 0,"cross.bred","pure.bred.exotic")),"NA")</f>
        <v>NA</v>
      </c>
      <c r="M393" t="str">
        <f>IF(J393="Sheep",IF(COUNTIF(lists!$H$2:$H$258, K393) &gt; 0,"indigenous",IF(COUNTIF(lists!$G$2:$G$258, K393) &gt; 0,"cross.bred","not found")),"NA")</f>
        <v>NA</v>
      </c>
      <c r="N393" t="str">
        <f>IF(J393="Goat",IF(COUNTIF(lists!$J$2:$J$258, K393) &gt; 0,"indigenous",IF(COUNTIF(lists!$I$2:$I$258, K393) &gt; 0,"cross.bred","not found")),"NA")</f>
        <v>indigenous</v>
      </c>
      <c r="O393" s="9" t="s">
        <v>109</v>
      </c>
      <c r="P393" s="9" t="s">
        <v>106</v>
      </c>
      <c r="Q393" s="9" t="s">
        <v>3804</v>
      </c>
      <c r="S393" s="9" t="s">
        <v>106</v>
      </c>
      <c r="T393" s="9">
        <v>176.2</v>
      </c>
      <c r="U393" s="9">
        <v>157.5</v>
      </c>
      <c r="V393" s="9">
        <v>923</v>
      </c>
      <c r="W393" s="9">
        <v>56.5</v>
      </c>
      <c r="X393" s="9" t="s">
        <v>106</v>
      </c>
      <c r="Y393" s="9" t="s">
        <v>106</v>
      </c>
      <c r="Z393" s="37"/>
      <c r="AA393" s="37"/>
      <c r="AB393" s="37"/>
      <c r="AE393">
        <v>0</v>
      </c>
    </row>
    <row r="394" spans="1:31" hidden="1">
      <c r="A394" s="9" t="s">
        <v>412</v>
      </c>
      <c r="B394" s="9" t="s">
        <v>416</v>
      </c>
      <c r="C394" s="9" t="s">
        <v>105</v>
      </c>
      <c r="D394" s="9">
        <v>0.38890999999999998</v>
      </c>
      <c r="E394" s="9">
        <v>22.37</v>
      </c>
      <c r="F394" s="9" t="s">
        <v>106</v>
      </c>
      <c r="G394" s="9" t="s">
        <v>106</v>
      </c>
      <c r="H394" s="9" t="s">
        <v>106</v>
      </c>
      <c r="I394" s="9">
        <v>4</v>
      </c>
      <c r="J394" s="9" t="s">
        <v>116</v>
      </c>
      <c r="K394" s="9" t="s">
        <v>117</v>
      </c>
      <c r="L394" t="str">
        <f>IF(OR(J394="Cattle",J394="Zebu Cattle"),IF(COUNTIF(lists!$M$2:$M$258, K394) &gt; 0,"bos.indicus",IF(COUNTIF(lists!$L$2:$L$258, K394) &gt; 0,"cross.bred","pure.bred.exotic")),"NA")</f>
        <v>NA</v>
      </c>
      <c r="M394" t="str">
        <f>IF(J394="Sheep",IF(COUNTIF(lists!$H$2:$H$258, K394) &gt; 0,"indigenous",IF(COUNTIF(lists!$G$2:$G$258, K394) &gt; 0,"cross.bred","not found")),"NA")</f>
        <v>NA</v>
      </c>
      <c r="N394" t="str">
        <f>IF(J394="Goat",IF(COUNTIF(lists!$J$2:$J$258, K394) &gt; 0,"indigenous",IF(COUNTIF(lists!$I$2:$I$258, K394) &gt; 0,"cross.bred","not found")),"NA")</f>
        <v>indigenous</v>
      </c>
      <c r="O394" s="9" t="s">
        <v>109</v>
      </c>
      <c r="P394" s="9" t="s">
        <v>106</v>
      </c>
      <c r="Q394" s="9" t="s">
        <v>3804</v>
      </c>
      <c r="S394" s="9" t="s">
        <v>106</v>
      </c>
      <c r="T394" s="9">
        <v>175.3</v>
      </c>
      <c r="U394" s="9">
        <v>147</v>
      </c>
      <c r="V394" s="9">
        <v>921.8</v>
      </c>
      <c r="W394" s="9">
        <v>52.5</v>
      </c>
      <c r="X394" s="9" t="s">
        <v>106</v>
      </c>
      <c r="Y394" s="9" t="s">
        <v>106</v>
      </c>
      <c r="Z394" s="37"/>
      <c r="AA394" s="37"/>
      <c r="AB394" s="37"/>
      <c r="AE394">
        <v>0</v>
      </c>
    </row>
    <row r="395" spans="1:31" hidden="1">
      <c r="A395" s="9" t="s">
        <v>423</v>
      </c>
      <c r="B395" s="9" t="s">
        <v>424</v>
      </c>
      <c r="C395" s="9" t="s">
        <v>105</v>
      </c>
      <c r="D395" s="9">
        <v>0.43789999999999901</v>
      </c>
      <c r="E395" s="9">
        <v>7.55</v>
      </c>
      <c r="F395" s="9" t="s">
        <v>106</v>
      </c>
      <c r="G395" s="9" t="s">
        <v>106</v>
      </c>
      <c r="H395" s="9" t="s">
        <v>106</v>
      </c>
      <c r="J395" s="9" t="s">
        <v>116</v>
      </c>
      <c r="K395" s="9" t="s">
        <v>117</v>
      </c>
      <c r="L395" t="str">
        <f>IF(OR(J395="Cattle",J395="Zebu Cattle"),IF(COUNTIF(lists!$M$2:$M$258, K395) &gt; 0,"bos.indicus",IF(COUNTIF(lists!$L$2:$L$258, K395) &gt; 0,"cross.bred","pure.bred.exotic")),"NA")</f>
        <v>NA</v>
      </c>
      <c r="M395" t="str">
        <f>IF(J395="Sheep",IF(COUNTIF(lists!$H$2:$H$258, K395) &gt; 0,"indigenous",IF(COUNTIF(lists!$G$2:$G$258, K395) &gt; 0,"cross.bred","not found")),"NA")</f>
        <v>NA</v>
      </c>
      <c r="N395" t="str">
        <f>IF(J395="Goat",IF(COUNTIF(lists!$J$2:$J$258, K395) &gt; 0,"indigenous",IF(COUNTIF(lists!$I$2:$I$258, K395) &gt; 0,"cross.bred","not found")),"NA")</f>
        <v>indigenous</v>
      </c>
      <c r="O395" s="9" t="s">
        <v>109</v>
      </c>
      <c r="P395" s="9" t="s">
        <v>170</v>
      </c>
      <c r="S395" s="9" t="s">
        <v>106</v>
      </c>
      <c r="T395" s="9">
        <v>34.299999999999997</v>
      </c>
      <c r="U395" s="9">
        <v>176.9</v>
      </c>
      <c r="V395" s="9">
        <v>906.6</v>
      </c>
      <c r="W395" s="9">
        <v>44.8</v>
      </c>
      <c r="X395" s="9" t="s">
        <v>106</v>
      </c>
      <c r="Y395" s="9" t="s">
        <v>106</v>
      </c>
      <c r="Z395" s="37"/>
      <c r="AA395" s="37"/>
      <c r="AB395" s="37"/>
      <c r="AE395"/>
    </row>
    <row r="396" spans="1:31" hidden="1">
      <c r="A396" s="9" t="s">
        <v>423</v>
      </c>
      <c r="B396" s="9" t="s">
        <v>425</v>
      </c>
      <c r="C396" s="9" t="s">
        <v>105</v>
      </c>
      <c r="D396" s="9">
        <v>0.4234</v>
      </c>
      <c r="E396" s="9">
        <v>7.55</v>
      </c>
      <c r="F396" s="9" t="s">
        <v>106</v>
      </c>
      <c r="G396" s="9" t="s">
        <v>106</v>
      </c>
      <c r="H396" s="9" t="s">
        <v>106</v>
      </c>
      <c r="J396" s="9" t="s">
        <v>116</v>
      </c>
      <c r="K396" s="9" t="s">
        <v>117</v>
      </c>
      <c r="L396" t="str">
        <f>IF(OR(J396="Cattle",J396="Zebu Cattle"),IF(COUNTIF(lists!$M$2:$M$258, K396) &gt; 0,"bos.indicus",IF(COUNTIF(lists!$L$2:$L$258, K396) &gt; 0,"cross.bred","pure.bred.exotic")),"NA")</f>
        <v>NA</v>
      </c>
      <c r="M396" t="str">
        <f>IF(J396="Sheep",IF(COUNTIF(lists!$H$2:$H$258, K396) &gt; 0,"indigenous",IF(COUNTIF(lists!$G$2:$G$258, K396) &gt; 0,"cross.bred","not found")),"NA")</f>
        <v>NA</v>
      </c>
      <c r="N396" t="str">
        <f>IF(J396="Goat",IF(COUNTIF(lists!$J$2:$J$258, K396) &gt; 0,"indigenous",IF(COUNTIF(lists!$I$2:$I$258, K396) &gt; 0,"cross.bred","not found")),"NA")</f>
        <v>indigenous</v>
      </c>
      <c r="O396" s="9" t="s">
        <v>109</v>
      </c>
      <c r="P396" s="9" t="s">
        <v>170</v>
      </c>
      <c r="S396" s="9" t="s">
        <v>106</v>
      </c>
      <c r="T396" s="9">
        <v>32.799999999999997</v>
      </c>
      <c r="U396" s="9">
        <v>175.6</v>
      </c>
      <c r="V396" s="9">
        <v>905.9</v>
      </c>
      <c r="W396" s="9">
        <v>108.4</v>
      </c>
      <c r="X396" s="9" t="s">
        <v>106</v>
      </c>
      <c r="Y396" s="9" t="s">
        <v>106</v>
      </c>
      <c r="Z396" s="37"/>
      <c r="AA396" s="37"/>
      <c r="AB396" s="37"/>
      <c r="AE396"/>
    </row>
    <row r="397" spans="1:31" hidden="1">
      <c r="A397" s="9" t="s">
        <v>423</v>
      </c>
      <c r="B397" s="9" t="s">
        <v>426</v>
      </c>
      <c r="C397" s="9" t="s">
        <v>105</v>
      </c>
      <c r="D397" s="9">
        <v>0.44316</v>
      </c>
      <c r="E397" s="9">
        <v>7.55</v>
      </c>
      <c r="F397" s="9" t="s">
        <v>106</v>
      </c>
      <c r="G397" s="9" t="s">
        <v>106</v>
      </c>
      <c r="H397" s="9" t="s">
        <v>106</v>
      </c>
      <c r="J397" s="9" t="s">
        <v>116</v>
      </c>
      <c r="K397" s="9" t="s">
        <v>117</v>
      </c>
      <c r="L397" t="str">
        <f>IF(OR(J397="Cattle",J397="Zebu Cattle"),IF(COUNTIF(lists!$M$2:$M$258, K397) &gt; 0,"bos.indicus",IF(COUNTIF(lists!$L$2:$L$258, K397) &gt; 0,"cross.bred","pure.bred.exotic")),"NA")</f>
        <v>NA</v>
      </c>
      <c r="M397" t="str">
        <f>IF(J397="Sheep",IF(COUNTIF(lists!$H$2:$H$258, K397) &gt; 0,"indigenous",IF(COUNTIF(lists!$G$2:$G$258, K397) &gt; 0,"cross.bred","not found")),"NA")</f>
        <v>NA</v>
      </c>
      <c r="N397" t="str">
        <f>IF(J397="Goat",IF(COUNTIF(lists!$J$2:$J$258, K397) &gt; 0,"indigenous",IF(COUNTIF(lists!$I$2:$I$258, K397) &gt; 0,"cross.bred","not found")),"NA")</f>
        <v>indigenous</v>
      </c>
      <c r="O397" s="9" t="s">
        <v>109</v>
      </c>
      <c r="P397" s="9" t="s">
        <v>170</v>
      </c>
      <c r="S397" s="9" t="s">
        <v>106</v>
      </c>
      <c r="T397" s="9">
        <v>32.9</v>
      </c>
      <c r="U397" s="9">
        <v>171.7</v>
      </c>
      <c r="V397" s="9">
        <v>909.7</v>
      </c>
      <c r="W397" s="9">
        <v>120.4</v>
      </c>
      <c r="X397" s="9" t="s">
        <v>106</v>
      </c>
      <c r="Y397" s="9" t="s">
        <v>106</v>
      </c>
      <c r="Z397" s="37"/>
      <c r="AA397" s="37"/>
      <c r="AB397" s="37"/>
      <c r="AE397"/>
    </row>
    <row r="398" spans="1:31" hidden="1">
      <c r="A398" s="9" t="s">
        <v>423</v>
      </c>
      <c r="B398" s="9" t="s">
        <v>427</v>
      </c>
      <c r="C398" s="9" t="s">
        <v>105</v>
      </c>
      <c r="D398" s="9">
        <v>0.45169999999999999</v>
      </c>
      <c r="E398" s="9">
        <v>7.55</v>
      </c>
      <c r="F398" s="9" t="s">
        <v>106</v>
      </c>
      <c r="G398" s="9" t="s">
        <v>106</v>
      </c>
      <c r="H398" s="9" t="s">
        <v>106</v>
      </c>
      <c r="J398" s="9" t="s">
        <v>116</v>
      </c>
      <c r="K398" s="9" t="s">
        <v>117</v>
      </c>
      <c r="L398" t="str">
        <f>IF(OR(J398="Cattle",J398="Zebu Cattle"),IF(COUNTIF(lists!$M$2:$M$258, K398) &gt; 0,"bos.indicus",IF(COUNTIF(lists!$L$2:$L$258, K398) &gt; 0,"cross.bred","pure.bred.exotic")),"NA")</f>
        <v>NA</v>
      </c>
      <c r="M398" t="str">
        <f>IF(J398="Sheep",IF(COUNTIF(lists!$H$2:$H$258, K398) &gt; 0,"indigenous",IF(COUNTIF(lists!$G$2:$G$258, K398) &gt; 0,"cross.bred","not found")),"NA")</f>
        <v>NA</v>
      </c>
      <c r="N398" t="str">
        <f>IF(J398="Goat",IF(COUNTIF(lists!$J$2:$J$258, K398) &gt; 0,"indigenous",IF(COUNTIF(lists!$I$2:$I$258, K398) &gt; 0,"cross.bred","not found")),"NA")</f>
        <v>indigenous</v>
      </c>
      <c r="O398" s="9" t="s">
        <v>109</v>
      </c>
      <c r="P398" s="9" t="s">
        <v>170</v>
      </c>
      <c r="S398" s="9" t="s">
        <v>106</v>
      </c>
      <c r="T398" s="9">
        <v>31</v>
      </c>
      <c r="U398" s="9">
        <v>173.2</v>
      </c>
      <c r="V398" s="9">
        <v>901.8</v>
      </c>
      <c r="W398" s="9">
        <v>149.9</v>
      </c>
      <c r="X398" s="9" t="s">
        <v>106</v>
      </c>
      <c r="Y398" s="9" t="s">
        <v>106</v>
      </c>
      <c r="Z398" s="37"/>
      <c r="AA398" s="37"/>
      <c r="AB398" s="37"/>
      <c r="AE398"/>
    </row>
    <row r="399" spans="1:31" hidden="1">
      <c r="A399" s="9" t="s">
        <v>428</v>
      </c>
      <c r="B399" s="9" t="s">
        <v>429</v>
      </c>
      <c r="C399" s="9" t="s">
        <v>105</v>
      </c>
      <c r="D399" s="9">
        <v>0.67700000000000005</v>
      </c>
      <c r="E399" s="9">
        <v>1.4</v>
      </c>
      <c r="F399" s="9" t="s">
        <v>106</v>
      </c>
      <c r="G399" s="9" t="s">
        <v>106</v>
      </c>
      <c r="H399" s="9" t="s">
        <v>106</v>
      </c>
      <c r="J399" s="9" t="s">
        <v>116</v>
      </c>
      <c r="K399" s="9" t="s">
        <v>336</v>
      </c>
      <c r="L399" t="str">
        <f>IF(OR(J399="Cattle",J399="Zebu Cattle"),IF(COUNTIF(lists!$M$2:$M$258, K399) &gt; 0,"bos.indicus",IF(COUNTIF(lists!$L$2:$L$258, K399) &gt; 0,"cross.bred","pure.bred.exotic")),"NA")</f>
        <v>NA</v>
      </c>
      <c r="M399" t="str">
        <f>IF(J399="Sheep",IF(COUNTIF(lists!$H$2:$H$258, K399) &gt; 0,"indigenous",IF(COUNTIF(lists!$G$2:$G$258, K399) &gt; 0,"cross.bred","not found")),"NA")</f>
        <v>NA</v>
      </c>
      <c r="N399" t="str">
        <f>IF(J399="Goat",IF(COUNTIF(lists!$J$2:$J$258, K399) &gt; 0,"indigenous",IF(COUNTIF(lists!$I$2:$I$258, K399) &gt; 0,"cross.bred","not found")),"NA")</f>
        <v>not found</v>
      </c>
      <c r="O399" s="9" t="s">
        <v>180</v>
      </c>
      <c r="P399" s="9" t="s">
        <v>187</v>
      </c>
      <c r="S399" s="9" t="s">
        <v>106</v>
      </c>
      <c r="T399" s="9" t="s">
        <v>106</v>
      </c>
      <c r="U399" s="9" t="s">
        <v>106</v>
      </c>
      <c r="V399" s="9" t="s">
        <v>106</v>
      </c>
      <c r="W399" s="9" t="s">
        <v>106</v>
      </c>
      <c r="X399" s="9" t="s">
        <v>106</v>
      </c>
      <c r="Y399" s="9" t="s">
        <v>106</v>
      </c>
      <c r="Z399" s="37"/>
      <c r="AA399" s="37"/>
      <c r="AB399" s="37"/>
      <c r="AE399"/>
    </row>
    <row r="400" spans="1:31" hidden="1">
      <c r="A400" s="9" t="s">
        <v>428</v>
      </c>
      <c r="B400" s="9" t="s">
        <v>430</v>
      </c>
      <c r="C400" s="9" t="s">
        <v>105</v>
      </c>
      <c r="D400" s="9">
        <v>0.69799999999999995</v>
      </c>
      <c r="E400" s="9">
        <v>1.4</v>
      </c>
      <c r="F400" s="9" t="s">
        <v>106</v>
      </c>
      <c r="G400" s="9" t="s">
        <v>106</v>
      </c>
      <c r="H400" s="9" t="s">
        <v>106</v>
      </c>
      <c r="J400" s="9" t="s">
        <v>116</v>
      </c>
      <c r="K400" s="9" t="s">
        <v>336</v>
      </c>
      <c r="L400" t="str">
        <f>IF(OR(J400="Cattle",J400="Zebu Cattle"),IF(COUNTIF(lists!$M$2:$M$258, K400) &gt; 0,"bos.indicus",IF(COUNTIF(lists!$L$2:$L$258, K400) &gt; 0,"cross.bred","pure.bred.exotic")),"NA")</f>
        <v>NA</v>
      </c>
      <c r="M400" t="str">
        <f>IF(J400="Sheep",IF(COUNTIF(lists!$H$2:$H$258, K400) &gt; 0,"indigenous",IF(COUNTIF(lists!$G$2:$G$258, K400) &gt; 0,"cross.bred","not found")),"NA")</f>
        <v>NA</v>
      </c>
      <c r="N400" t="str">
        <f>IF(J400="Goat",IF(COUNTIF(lists!$J$2:$J$258, K400) &gt; 0,"indigenous",IF(COUNTIF(lists!$I$2:$I$258, K400) &gt; 0,"cross.bred","not found")),"NA")</f>
        <v>not found</v>
      </c>
      <c r="O400" s="9" t="s">
        <v>180</v>
      </c>
      <c r="P400" s="9" t="s">
        <v>187</v>
      </c>
      <c r="S400" s="9" t="s">
        <v>106</v>
      </c>
      <c r="T400" s="9" t="s">
        <v>106</v>
      </c>
      <c r="U400" s="9" t="s">
        <v>106</v>
      </c>
      <c r="V400" s="9" t="s">
        <v>106</v>
      </c>
      <c r="W400" s="9" t="s">
        <v>106</v>
      </c>
      <c r="X400" s="9" t="s">
        <v>106</v>
      </c>
      <c r="Y400" s="9" t="s">
        <v>106</v>
      </c>
      <c r="Z400" s="37"/>
      <c r="AA400" s="37"/>
      <c r="AB400" s="37"/>
      <c r="AE400"/>
    </row>
    <row r="401" spans="1:31" hidden="1">
      <c r="A401" s="9" t="s">
        <v>428</v>
      </c>
      <c r="B401" s="9" t="s">
        <v>431</v>
      </c>
      <c r="C401" s="9" t="s">
        <v>105</v>
      </c>
      <c r="D401" s="9">
        <v>0.73</v>
      </c>
      <c r="E401" s="9">
        <v>1.4</v>
      </c>
      <c r="F401" s="9" t="s">
        <v>106</v>
      </c>
      <c r="G401" s="9" t="s">
        <v>106</v>
      </c>
      <c r="H401" s="9" t="s">
        <v>106</v>
      </c>
      <c r="J401" s="9" t="s">
        <v>116</v>
      </c>
      <c r="K401" s="9" t="s">
        <v>336</v>
      </c>
      <c r="L401" t="str">
        <f>IF(OR(J401="Cattle",J401="Zebu Cattle"),IF(COUNTIF(lists!$M$2:$M$258, K401) &gt; 0,"bos.indicus",IF(COUNTIF(lists!$L$2:$L$258, K401) &gt; 0,"cross.bred","pure.bred.exotic")),"NA")</f>
        <v>NA</v>
      </c>
      <c r="M401" t="str">
        <f>IF(J401="Sheep",IF(COUNTIF(lists!$H$2:$H$258, K401) &gt; 0,"indigenous",IF(COUNTIF(lists!$G$2:$G$258, K401) &gt; 0,"cross.bred","not found")),"NA")</f>
        <v>NA</v>
      </c>
      <c r="N401" t="str">
        <f>IF(J401="Goat",IF(COUNTIF(lists!$J$2:$J$258, K401) &gt; 0,"indigenous",IF(COUNTIF(lists!$I$2:$I$258, K401) &gt; 0,"cross.bred","not found")),"NA")</f>
        <v>not found</v>
      </c>
      <c r="O401" s="9" t="s">
        <v>180</v>
      </c>
      <c r="P401" s="9" t="s">
        <v>187</v>
      </c>
      <c r="S401" s="9" t="s">
        <v>106</v>
      </c>
      <c r="T401" s="9" t="s">
        <v>106</v>
      </c>
      <c r="U401" s="9" t="s">
        <v>106</v>
      </c>
      <c r="V401" s="9" t="s">
        <v>106</v>
      </c>
      <c r="W401" s="9" t="s">
        <v>106</v>
      </c>
      <c r="X401" s="9" t="s">
        <v>106</v>
      </c>
      <c r="Y401" s="9" t="s">
        <v>106</v>
      </c>
      <c r="Z401" s="37"/>
      <c r="AA401" s="37"/>
      <c r="AB401" s="37"/>
      <c r="AE401"/>
    </row>
    <row r="402" spans="1:31" hidden="1">
      <c r="A402" s="9" t="s">
        <v>428</v>
      </c>
      <c r="B402" s="9" t="s">
        <v>432</v>
      </c>
      <c r="C402" s="9" t="s">
        <v>105</v>
      </c>
      <c r="D402" s="9">
        <v>0.73499999999999999</v>
      </c>
      <c r="E402" s="9">
        <v>1.4</v>
      </c>
      <c r="F402" s="9" t="s">
        <v>106</v>
      </c>
      <c r="G402" s="9" t="s">
        <v>106</v>
      </c>
      <c r="H402" s="9" t="s">
        <v>106</v>
      </c>
      <c r="J402" s="9" t="s">
        <v>116</v>
      </c>
      <c r="K402" s="9" t="s">
        <v>336</v>
      </c>
      <c r="L402" t="str">
        <f>IF(OR(J402="Cattle",J402="Zebu Cattle"),IF(COUNTIF(lists!$M$2:$M$258, K402) &gt; 0,"bos.indicus",IF(COUNTIF(lists!$L$2:$L$258, K402) &gt; 0,"cross.bred","pure.bred.exotic")),"NA")</f>
        <v>NA</v>
      </c>
      <c r="M402" t="str">
        <f>IF(J402="Sheep",IF(COUNTIF(lists!$H$2:$H$258, K402) &gt; 0,"indigenous",IF(COUNTIF(lists!$G$2:$G$258, K402) &gt; 0,"cross.bred","not found")),"NA")</f>
        <v>NA</v>
      </c>
      <c r="N402" t="str">
        <f>IF(J402="Goat",IF(COUNTIF(lists!$J$2:$J$258, K402) &gt; 0,"indigenous",IF(COUNTIF(lists!$I$2:$I$258, K402) &gt; 0,"cross.bred","not found")),"NA")</f>
        <v>not found</v>
      </c>
      <c r="O402" s="9" t="s">
        <v>180</v>
      </c>
      <c r="P402" s="9" t="s">
        <v>187</v>
      </c>
      <c r="S402" s="9" t="s">
        <v>106</v>
      </c>
      <c r="T402" s="9" t="s">
        <v>106</v>
      </c>
      <c r="U402" s="9" t="s">
        <v>106</v>
      </c>
      <c r="V402" s="9" t="s">
        <v>106</v>
      </c>
      <c r="W402" s="9" t="s">
        <v>106</v>
      </c>
      <c r="X402" s="9" t="s">
        <v>106</v>
      </c>
      <c r="Y402" s="9" t="s">
        <v>106</v>
      </c>
      <c r="Z402" s="37"/>
      <c r="AA402" s="37"/>
      <c r="AB402" s="37"/>
      <c r="AE402"/>
    </row>
    <row r="403" spans="1:31" hidden="1">
      <c r="A403" s="9" t="s">
        <v>457</v>
      </c>
      <c r="B403" s="9" t="s">
        <v>129</v>
      </c>
      <c r="C403" s="9" t="s">
        <v>105</v>
      </c>
      <c r="D403" s="9">
        <v>0.38600000000000001</v>
      </c>
      <c r="E403" s="9">
        <v>22</v>
      </c>
      <c r="F403" s="9" t="s">
        <v>106</v>
      </c>
      <c r="G403" s="9" t="s">
        <v>106</v>
      </c>
      <c r="H403" s="9" t="s">
        <v>106</v>
      </c>
      <c r="J403" s="9" t="s">
        <v>116</v>
      </c>
      <c r="K403" s="9" t="s">
        <v>117</v>
      </c>
      <c r="L403" t="str">
        <f>IF(OR(J403="Cattle",J403="Zebu Cattle"),IF(COUNTIF(lists!$M$2:$M$258, K403) &gt; 0,"bos.indicus",IF(COUNTIF(lists!$L$2:$L$258, K403) &gt; 0,"cross.bred","pure.bred.exotic")),"NA")</f>
        <v>NA</v>
      </c>
      <c r="M403" t="str">
        <f>IF(J403="Sheep",IF(COUNTIF(lists!$H$2:$H$258, K403) &gt; 0,"indigenous",IF(COUNTIF(lists!$G$2:$G$258, K403) &gt; 0,"cross.bred","not found")),"NA")</f>
        <v>NA</v>
      </c>
      <c r="N403" t="str">
        <f>IF(J403="Goat",IF(COUNTIF(lists!$J$2:$J$258, K403) &gt; 0,"indigenous",IF(COUNTIF(lists!$I$2:$I$258, K403) &gt; 0,"cross.bred","not found")),"NA")</f>
        <v>indigenous</v>
      </c>
      <c r="O403" s="9" t="s">
        <v>109</v>
      </c>
      <c r="P403" s="9" t="s">
        <v>170</v>
      </c>
      <c r="S403" s="9" t="s">
        <v>106</v>
      </c>
      <c r="T403" s="9" t="s">
        <v>106</v>
      </c>
      <c r="U403" s="9" t="s">
        <v>106</v>
      </c>
      <c r="V403" s="9" t="s">
        <v>106</v>
      </c>
      <c r="W403" s="9" t="s">
        <v>106</v>
      </c>
      <c r="X403" s="9" t="s">
        <v>106</v>
      </c>
      <c r="Y403" s="9" t="s">
        <v>106</v>
      </c>
      <c r="Z403" s="37"/>
      <c r="AA403" s="37"/>
      <c r="AB403" s="37"/>
      <c r="AE403"/>
    </row>
    <row r="404" spans="1:31" hidden="1">
      <c r="A404" s="9" t="s">
        <v>457</v>
      </c>
      <c r="B404" s="9" t="s">
        <v>130</v>
      </c>
      <c r="C404" s="9" t="s">
        <v>105</v>
      </c>
      <c r="D404" s="9">
        <v>0.2525</v>
      </c>
      <c r="E404" s="9">
        <v>22</v>
      </c>
      <c r="F404" s="9" t="s">
        <v>106</v>
      </c>
      <c r="G404" s="9" t="s">
        <v>106</v>
      </c>
      <c r="H404" s="9" t="s">
        <v>106</v>
      </c>
      <c r="J404" s="9" t="s">
        <v>116</v>
      </c>
      <c r="K404" s="9" t="s">
        <v>117</v>
      </c>
      <c r="L404" t="str">
        <f>IF(OR(J404="Cattle",J404="Zebu Cattle"),IF(COUNTIF(lists!$M$2:$M$258, K404) &gt; 0,"bos.indicus",IF(COUNTIF(lists!$L$2:$L$258, K404) &gt; 0,"cross.bred","pure.bred.exotic")),"NA")</f>
        <v>NA</v>
      </c>
      <c r="M404" t="str">
        <f>IF(J404="Sheep",IF(COUNTIF(lists!$H$2:$H$258, K404) &gt; 0,"indigenous",IF(COUNTIF(lists!$G$2:$G$258, K404) &gt; 0,"cross.bred","not found")),"NA")</f>
        <v>NA</v>
      </c>
      <c r="N404" t="str">
        <f>IF(J404="Goat",IF(COUNTIF(lists!$J$2:$J$258, K404) &gt; 0,"indigenous",IF(COUNTIF(lists!$I$2:$I$258, K404) &gt; 0,"cross.bred","not found")),"NA")</f>
        <v>indigenous</v>
      </c>
      <c r="O404" s="9" t="s">
        <v>109</v>
      </c>
      <c r="P404" s="9" t="s">
        <v>170</v>
      </c>
      <c r="S404" s="9" t="s">
        <v>106</v>
      </c>
      <c r="T404" s="9" t="s">
        <v>106</v>
      </c>
      <c r="U404" s="9" t="s">
        <v>106</v>
      </c>
      <c r="V404" s="9" t="s">
        <v>106</v>
      </c>
      <c r="W404" s="9" t="s">
        <v>106</v>
      </c>
      <c r="X404" s="9" t="s">
        <v>106</v>
      </c>
      <c r="Y404" s="9" t="s">
        <v>106</v>
      </c>
      <c r="Z404" s="37"/>
      <c r="AA404" s="37"/>
      <c r="AB404" s="37"/>
      <c r="AE404"/>
    </row>
    <row r="405" spans="1:31" hidden="1">
      <c r="A405" s="9" t="s">
        <v>457</v>
      </c>
      <c r="B405" s="9" t="s">
        <v>131</v>
      </c>
      <c r="C405" s="9" t="s">
        <v>105</v>
      </c>
      <c r="D405" s="9">
        <v>0.29549999999999998</v>
      </c>
      <c r="E405" s="9">
        <v>22</v>
      </c>
      <c r="F405" s="9" t="s">
        <v>106</v>
      </c>
      <c r="G405" s="9" t="s">
        <v>106</v>
      </c>
      <c r="H405" s="9" t="s">
        <v>106</v>
      </c>
      <c r="J405" s="9" t="s">
        <v>116</v>
      </c>
      <c r="K405" s="9" t="s">
        <v>117</v>
      </c>
      <c r="L405" t="str">
        <f>IF(OR(J405="Cattle",J405="Zebu Cattle"),IF(COUNTIF(lists!$M$2:$M$258, K405) &gt; 0,"bos.indicus",IF(COUNTIF(lists!$L$2:$L$258, K405) &gt; 0,"cross.bred","pure.bred.exotic")),"NA")</f>
        <v>NA</v>
      </c>
      <c r="M405" t="str">
        <f>IF(J405="Sheep",IF(COUNTIF(lists!$H$2:$H$258, K405) &gt; 0,"indigenous",IF(COUNTIF(lists!$G$2:$G$258, K405) &gt; 0,"cross.bred","not found")),"NA")</f>
        <v>NA</v>
      </c>
      <c r="N405" t="str">
        <f>IF(J405="Goat",IF(COUNTIF(lists!$J$2:$J$258, K405) &gt; 0,"indigenous",IF(COUNTIF(lists!$I$2:$I$258, K405) &gt; 0,"cross.bred","not found")),"NA")</f>
        <v>indigenous</v>
      </c>
      <c r="O405" s="9" t="s">
        <v>109</v>
      </c>
      <c r="P405" s="9" t="s">
        <v>170</v>
      </c>
      <c r="S405" s="9" t="s">
        <v>106</v>
      </c>
      <c r="T405" s="9" t="s">
        <v>106</v>
      </c>
      <c r="U405" s="9" t="s">
        <v>106</v>
      </c>
      <c r="V405" s="9" t="s">
        <v>106</v>
      </c>
      <c r="W405" s="9" t="s">
        <v>106</v>
      </c>
      <c r="X405" s="9" t="s">
        <v>106</v>
      </c>
      <c r="Y405" s="9" t="s">
        <v>106</v>
      </c>
      <c r="Z405" s="37"/>
      <c r="AA405" s="37"/>
      <c r="AB405" s="37"/>
      <c r="AE405"/>
    </row>
    <row r="406" spans="1:31" hidden="1">
      <c r="A406" s="9" t="s">
        <v>457</v>
      </c>
      <c r="B406" s="9" t="s">
        <v>132</v>
      </c>
      <c r="C406" s="9" t="s">
        <v>105</v>
      </c>
      <c r="D406" s="9">
        <v>0.28899999999999998</v>
      </c>
      <c r="E406" s="9">
        <v>22</v>
      </c>
      <c r="F406" s="9" t="s">
        <v>106</v>
      </c>
      <c r="G406" s="9" t="s">
        <v>106</v>
      </c>
      <c r="H406" s="9" t="s">
        <v>106</v>
      </c>
      <c r="J406" s="9" t="s">
        <v>116</v>
      </c>
      <c r="K406" s="9" t="s">
        <v>117</v>
      </c>
      <c r="L406" t="str">
        <f>IF(OR(J406="Cattle",J406="Zebu Cattle"),IF(COUNTIF(lists!$M$2:$M$258, K406) &gt; 0,"bos.indicus",IF(COUNTIF(lists!$L$2:$L$258, K406) &gt; 0,"cross.bred","pure.bred.exotic")),"NA")</f>
        <v>NA</v>
      </c>
      <c r="M406" t="str">
        <f>IF(J406="Sheep",IF(COUNTIF(lists!$H$2:$H$258, K406) &gt; 0,"indigenous",IF(COUNTIF(lists!$G$2:$G$258, K406) &gt; 0,"cross.bred","not found")),"NA")</f>
        <v>NA</v>
      </c>
      <c r="N406" t="str">
        <f>IF(J406="Goat",IF(COUNTIF(lists!$J$2:$J$258, K406) &gt; 0,"indigenous",IF(COUNTIF(lists!$I$2:$I$258, K406) &gt; 0,"cross.bred","not found")),"NA")</f>
        <v>indigenous</v>
      </c>
      <c r="O406" s="9" t="s">
        <v>109</v>
      </c>
      <c r="P406" s="9" t="s">
        <v>170</v>
      </c>
      <c r="S406" s="9" t="s">
        <v>106</v>
      </c>
      <c r="T406" s="9" t="s">
        <v>106</v>
      </c>
      <c r="U406" s="9" t="s">
        <v>106</v>
      </c>
      <c r="V406" s="9" t="s">
        <v>106</v>
      </c>
      <c r="W406" s="9" t="s">
        <v>106</v>
      </c>
      <c r="X406" s="9" t="s">
        <v>106</v>
      </c>
      <c r="Y406" s="9" t="s">
        <v>106</v>
      </c>
      <c r="Z406" s="37"/>
      <c r="AA406" s="37"/>
      <c r="AB406" s="37"/>
      <c r="AE406"/>
    </row>
    <row r="407" spans="1:31" hidden="1">
      <c r="A407" s="9" t="s">
        <v>458</v>
      </c>
      <c r="B407" s="9" t="s">
        <v>129</v>
      </c>
      <c r="C407" s="9" t="s">
        <v>105</v>
      </c>
      <c r="D407" s="9">
        <v>0.74295999999999995</v>
      </c>
      <c r="E407" s="9" t="s">
        <v>106</v>
      </c>
      <c r="F407" s="9" t="s">
        <v>106</v>
      </c>
      <c r="G407" s="9" t="s">
        <v>106</v>
      </c>
      <c r="H407" s="9" t="s">
        <v>106</v>
      </c>
      <c r="J407" s="9" t="s">
        <v>116</v>
      </c>
      <c r="K407" s="9" t="s">
        <v>117</v>
      </c>
      <c r="L407" t="str">
        <f>IF(OR(J407="Cattle",J407="Zebu Cattle"),IF(COUNTIF(lists!$M$2:$M$258, K407) &gt; 0,"bos.indicus",IF(COUNTIF(lists!$L$2:$L$258, K407) &gt; 0,"cross.bred","pure.bred.exotic")),"NA")</f>
        <v>NA</v>
      </c>
      <c r="M407" t="str">
        <f>IF(J407="Sheep",IF(COUNTIF(lists!$H$2:$H$258, K407) &gt; 0,"indigenous",IF(COUNTIF(lists!$G$2:$G$258, K407) &gt; 0,"cross.bred","not found")),"NA")</f>
        <v>NA</v>
      </c>
      <c r="N407" t="str">
        <f>IF(J407="Goat",IF(COUNTIF(lists!$J$2:$J$258, K407) &gt; 0,"indigenous",IF(COUNTIF(lists!$I$2:$I$258, K407) &gt; 0,"cross.bred","not found")),"NA")</f>
        <v>indigenous</v>
      </c>
      <c r="O407" s="9" t="s">
        <v>109</v>
      </c>
      <c r="P407" s="9" t="s">
        <v>373</v>
      </c>
      <c r="S407" s="9" t="s">
        <v>106</v>
      </c>
      <c r="T407" s="9">
        <v>65.199999999999903</v>
      </c>
      <c r="U407" s="9">
        <v>131</v>
      </c>
      <c r="V407" s="9">
        <v>524.79999999999995</v>
      </c>
      <c r="W407" s="9">
        <v>46</v>
      </c>
      <c r="X407" s="9" t="s">
        <v>106</v>
      </c>
      <c r="Y407" s="9" t="s">
        <v>106</v>
      </c>
      <c r="Z407" s="37"/>
      <c r="AA407" s="37"/>
      <c r="AB407" s="37"/>
      <c r="AE407"/>
    </row>
    <row r="408" spans="1:31" hidden="1">
      <c r="A408" s="9" t="s">
        <v>458</v>
      </c>
      <c r="B408" s="9" t="s">
        <v>130</v>
      </c>
      <c r="C408" s="9" t="s">
        <v>105</v>
      </c>
      <c r="D408" s="9">
        <v>0.75979999999999903</v>
      </c>
      <c r="E408" s="9" t="s">
        <v>106</v>
      </c>
      <c r="F408" s="9" t="s">
        <v>106</v>
      </c>
      <c r="G408" s="9" t="s">
        <v>106</v>
      </c>
      <c r="H408" s="9" t="s">
        <v>106</v>
      </c>
      <c r="J408" s="9" t="s">
        <v>116</v>
      </c>
      <c r="K408" s="9" t="s">
        <v>117</v>
      </c>
      <c r="L408" t="str">
        <f>IF(OR(J408="Cattle",J408="Zebu Cattle"),IF(COUNTIF(lists!$M$2:$M$258, K408) &gt; 0,"bos.indicus",IF(COUNTIF(lists!$L$2:$L$258, K408) &gt; 0,"cross.bred","pure.bred.exotic")),"NA")</f>
        <v>NA</v>
      </c>
      <c r="M408" t="str">
        <f>IF(J408="Sheep",IF(COUNTIF(lists!$H$2:$H$258, K408) &gt; 0,"indigenous",IF(COUNTIF(lists!$G$2:$G$258, K408) &gt; 0,"cross.bred","not found")),"NA")</f>
        <v>NA</v>
      </c>
      <c r="N408" t="str">
        <f>IF(J408="Goat",IF(COUNTIF(lists!$J$2:$J$258, K408) &gt; 0,"indigenous",IF(COUNTIF(lists!$I$2:$I$258, K408) &gt; 0,"cross.bred","not found")),"NA")</f>
        <v>indigenous</v>
      </c>
      <c r="O408" s="9" t="s">
        <v>109</v>
      </c>
      <c r="P408" s="9" t="s">
        <v>373</v>
      </c>
      <c r="S408" s="9" t="s">
        <v>106</v>
      </c>
      <c r="T408" s="9">
        <v>73.400000000000006</v>
      </c>
      <c r="U408" s="9">
        <v>138.1</v>
      </c>
      <c r="V408" s="9">
        <v>304</v>
      </c>
      <c r="W408" s="9">
        <v>52.4</v>
      </c>
      <c r="X408" s="9" t="s">
        <v>106</v>
      </c>
      <c r="Y408" s="9" t="s">
        <v>106</v>
      </c>
      <c r="Z408" s="37"/>
      <c r="AA408" s="37"/>
      <c r="AB408" s="37"/>
      <c r="AE408"/>
    </row>
    <row r="409" spans="1:31" hidden="1">
      <c r="A409" s="9" t="s">
        <v>458</v>
      </c>
      <c r="B409" s="9" t="s">
        <v>131</v>
      </c>
      <c r="C409" s="9" t="s">
        <v>105</v>
      </c>
      <c r="D409" s="9">
        <v>0.56428</v>
      </c>
      <c r="E409" s="9" t="s">
        <v>106</v>
      </c>
      <c r="F409" s="9" t="s">
        <v>106</v>
      </c>
      <c r="G409" s="9" t="s">
        <v>106</v>
      </c>
      <c r="H409" s="9" t="s">
        <v>106</v>
      </c>
      <c r="J409" s="9" t="s">
        <v>116</v>
      </c>
      <c r="K409" s="9" t="s">
        <v>117</v>
      </c>
      <c r="L409" t="str">
        <f>IF(OR(J409="Cattle",J409="Zebu Cattle"),IF(COUNTIF(lists!$M$2:$M$258, K409) &gt; 0,"bos.indicus",IF(COUNTIF(lists!$L$2:$L$258, K409) &gt; 0,"cross.bred","pure.bred.exotic")),"NA")</f>
        <v>NA</v>
      </c>
      <c r="M409" t="str">
        <f>IF(J409="Sheep",IF(COUNTIF(lists!$H$2:$H$258, K409) &gt; 0,"indigenous",IF(COUNTIF(lists!$G$2:$G$258, K409) &gt; 0,"cross.bred","not found")),"NA")</f>
        <v>NA</v>
      </c>
      <c r="N409" t="str">
        <f>IF(J409="Goat",IF(COUNTIF(lists!$J$2:$J$258, K409) &gt; 0,"indigenous",IF(COUNTIF(lists!$I$2:$I$258, K409) &gt; 0,"cross.bred","not found")),"NA")</f>
        <v>indigenous</v>
      </c>
      <c r="O409" s="9" t="s">
        <v>109</v>
      </c>
      <c r="P409" s="9" t="s">
        <v>373</v>
      </c>
      <c r="S409" s="9" t="s">
        <v>106</v>
      </c>
      <c r="T409" s="9">
        <v>64.3</v>
      </c>
      <c r="U409" s="9">
        <v>123.1</v>
      </c>
      <c r="V409" s="9">
        <v>234.5</v>
      </c>
      <c r="W409" s="9">
        <v>44.4</v>
      </c>
      <c r="X409" s="9" t="s">
        <v>106</v>
      </c>
      <c r="Y409" s="9" t="s">
        <v>106</v>
      </c>
      <c r="Z409" s="37"/>
      <c r="AA409" s="37"/>
      <c r="AB409" s="37"/>
      <c r="AE409"/>
    </row>
    <row r="410" spans="1:31" hidden="1">
      <c r="A410" s="9" t="s">
        <v>458</v>
      </c>
      <c r="B410" s="9" t="s">
        <v>132</v>
      </c>
      <c r="C410" s="9" t="s">
        <v>105</v>
      </c>
      <c r="D410" s="9">
        <v>0.48447000000000001</v>
      </c>
      <c r="E410" s="9" t="s">
        <v>106</v>
      </c>
      <c r="F410" s="9" t="s">
        <v>106</v>
      </c>
      <c r="G410" s="9" t="s">
        <v>106</v>
      </c>
      <c r="H410" s="9" t="s">
        <v>106</v>
      </c>
      <c r="J410" s="9" t="s">
        <v>116</v>
      </c>
      <c r="K410" s="9" t="s">
        <v>117</v>
      </c>
      <c r="L410" t="str">
        <f>IF(OR(J410="Cattle",J410="Zebu Cattle"),IF(COUNTIF(lists!$M$2:$M$258, K410) &gt; 0,"bos.indicus",IF(COUNTIF(lists!$L$2:$L$258, K410) &gt; 0,"cross.bred","pure.bred.exotic")),"NA")</f>
        <v>NA</v>
      </c>
      <c r="M410" t="str">
        <f>IF(J410="Sheep",IF(COUNTIF(lists!$H$2:$H$258, K410) &gt; 0,"indigenous",IF(COUNTIF(lists!$G$2:$G$258, K410) &gt; 0,"cross.bred","not found")),"NA")</f>
        <v>NA</v>
      </c>
      <c r="N410" t="str">
        <f>IF(J410="Goat",IF(COUNTIF(lists!$J$2:$J$258, K410) &gt; 0,"indigenous",IF(COUNTIF(lists!$I$2:$I$258, K410) &gt; 0,"cross.bred","not found")),"NA")</f>
        <v>indigenous</v>
      </c>
      <c r="O410" s="9" t="s">
        <v>109</v>
      </c>
      <c r="P410" s="9" t="s">
        <v>373</v>
      </c>
      <c r="S410" s="9" t="s">
        <v>106</v>
      </c>
      <c r="T410" s="9">
        <v>68.2</v>
      </c>
      <c r="U410" s="9">
        <v>113.8</v>
      </c>
      <c r="V410" s="9">
        <v>958.6</v>
      </c>
      <c r="W410" s="9">
        <v>14.6</v>
      </c>
      <c r="X410" s="9" t="s">
        <v>106</v>
      </c>
      <c r="Y410" s="9" t="s">
        <v>106</v>
      </c>
      <c r="Z410" s="37"/>
      <c r="AA410" s="37"/>
      <c r="AB410" s="37"/>
      <c r="AE410"/>
    </row>
    <row r="411" spans="1:31" hidden="1">
      <c r="A411" s="9" t="s">
        <v>465</v>
      </c>
      <c r="B411" s="9" t="s">
        <v>466</v>
      </c>
      <c r="C411" s="9" t="s">
        <v>105</v>
      </c>
      <c r="D411" s="9">
        <v>0.33987000000000001</v>
      </c>
      <c r="E411" s="9">
        <v>18.559999999999999</v>
      </c>
      <c r="F411" s="9" t="s">
        <v>106</v>
      </c>
      <c r="G411" s="9" t="s">
        <v>106</v>
      </c>
      <c r="H411" s="9" t="s">
        <v>106</v>
      </c>
      <c r="J411" s="9" t="s">
        <v>116</v>
      </c>
      <c r="K411" s="9" t="s">
        <v>117</v>
      </c>
      <c r="L411" t="str">
        <f>IF(OR(J411="Cattle",J411="Zebu Cattle"),IF(COUNTIF(lists!$M$2:$M$258, K411) &gt; 0,"bos.indicus",IF(COUNTIF(lists!$L$2:$L$258, K411) &gt; 0,"cross.bred","pure.bred.exotic")),"NA")</f>
        <v>NA</v>
      </c>
      <c r="M411" t="str">
        <f>IF(J411="Sheep",IF(COUNTIF(lists!$H$2:$H$258, K411) &gt; 0,"indigenous",IF(COUNTIF(lists!$G$2:$G$258, K411) &gt; 0,"cross.bred","not found")),"NA")</f>
        <v>NA</v>
      </c>
      <c r="N411" t="str">
        <f>IF(J411="Goat",IF(COUNTIF(lists!$J$2:$J$258, K411) &gt; 0,"indigenous",IF(COUNTIF(lists!$I$2:$I$258, K411) &gt; 0,"cross.bred","not found")),"NA")</f>
        <v>indigenous</v>
      </c>
      <c r="O411" s="9" t="s">
        <v>109</v>
      </c>
      <c r="P411" s="9" t="s">
        <v>373</v>
      </c>
      <c r="S411" s="9" t="s">
        <v>106</v>
      </c>
      <c r="T411" s="9" t="s">
        <v>106</v>
      </c>
      <c r="U411" s="9" t="s">
        <v>106</v>
      </c>
      <c r="V411" s="9" t="s">
        <v>106</v>
      </c>
      <c r="W411" s="9" t="s">
        <v>106</v>
      </c>
      <c r="X411" s="9" t="s">
        <v>106</v>
      </c>
      <c r="Y411" s="9" t="s">
        <v>106</v>
      </c>
      <c r="Z411" s="37"/>
      <c r="AA411" s="37"/>
      <c r="AB411" s="37"/>
      <c r="AE411"/>
    </row>
    <row r="412" spans="1:31" hidden="1">
      <c r="A412" s="9" t="s">
        <v>465</v>
      </c>
      <c r="B412" s="9" t="s">
        <v>467</v>
      </c>
      <c r="C412" s="9" t="s">
        <v>105</v>
      </c>
      <c r="D412" s="9">
        <v>0.22553000000000001</v>
      </c>
      <c r="E412" s="9">
        <v>18.559999999999999</v>
      </c>
      <c r="F412" s="9" t="s">
        <v>106</v>
      </c>
      <c r="G412" s="9" t="s">
        <v>106</v>
      </c>
      <c r="H412" s="9" t="s">
        <v>106</v>
      </c>
      <c r="J412" s="9" t="s">
        <v>116</v>
      </c>
      <c r="K412" s="9" t="s">
        <v>117</v>
      </c>
      <c r="L412" t="str">
        <f>IF(OR(J412="Cattle",J412="Zebu Cattle"),IF(COUNTIF(lists!$M$2:$M$258, K412) &gt; 0,"bos.indicus",IF(COUNTIF(lists!$L$2:$L$258, K412) &gt; 0,"cross.bred","pure.bred.exotic")),"NA")</f>
        <v>NA</v>
      </c>
      <c r="M412" t="str">
        <f>IF(J412="Sheep",IF(COUNTIF(lists!$H$2:$H$258, K412) &gt; 0,"indigenous",IF(COUNTIF(lists!$G$2:$G$258, K412) &gt; 0,"cross.bred","not found")),"NA")</f>
        <v>NA</v>
      </c>
      <c r="N412" t="str">
        <f>IF(J412="Goat",IF(COUNTIF(lists!$J$2:$J$258, K412) &gt; 0,"indigenous",IF(COUNTIF(lists!$I$2:$I$258, K412) &gt; 0,"cross.bred","not found")),"NA")</f>
        <v>indigenous</v>
      </c>
      <c r="O412" s="9" t="s">
        <v>109</v>
      </c>
      <c r="P412" s="9" t="s">
        <v>373</v>
      </c>
      <c r="S412" s="9" t="s">
        <v>106</v>
      </c>
      <c r="T412" s="9" t="s">
        <v>106</v>
      </c>
      <c r="U412" s="9" t="s">
        <v>106</v>
      </c>
      <c r="V412" s="9" t="s">
        <v>106</v>
      </c>
      <c r="W412" s="9" t="s">
        <v>106</v>
      </c>
      <c r="X412" s="9" t="s">
        <v>106</v>
      </c>
      <c r="Y412" s="9" t="s">
        <v>106</v>
      </c>
      <c r="Z412" s="37"/>
      <c r="AA412" s="37"/>
      <c r="AB412" s="37"/>
      <c r="AE412"/>
    </row>
    <row r="413" spans="1:31" hidden="1">
      <c r="A413" s="9" t="s">
        <v>465</v>
      </c>
      <c r="B413" s="9" t="s">
        <v>468</v>
      </c>
      <c r="C413" s="9" t="s">
        <v>105</v>
      </c>
      <c r="D413" s="9">
        <v>0.25575999999999999</v>
      </c>
      <c r="E413" s="9">
        <v>18.559999999999999</v>
      </c>
      <c r="F413" s="9" t="s">
        <v>106</v>
      </c>
      <c r="G413" s="9" t="s">
        <v>106</v>
      </c>
      <c r="H413" s="9" t="s">
        <v>106</v>
      </c>
      <c r="J413" s="9" t="s">
        <v>116</v>
      </c>
      <c r="K413" s="9" t="s">
        <v>117</v>
      </c>
      <c r="L413" t="str">
        <f>IF(OR(J413="Cattle",J413="Zebu Cattle"),IF(COUNTIF(lists!$M$2:$M$258, K413) &gt; 0,"bos.indicus",IF(COUNTIF(lists!$L$2:$L$258, K413) &gt; 0,"cross.bred","pure.bred.exotic")),"NA")</f>
        <v>NA</v>
      </c>
      <c r="M413" t="str">
        <f>IF(J413="Sheep",IF(COUNTIF(lists!$H$2:$H$258, K413) &gt; 0,"indigenous",IF(COUNTIF(lists!$G$2:$G$258, K413) &gt; 0,"cross.bred","not found")),"NA")</f>
        <v>NA</v>
      </c>
      <c r="N413" t="str">
        <f>IF(J413="Goat",IF(COUNTIF(lists!$J$2:$J$258, K413) &gt; 0,"indigenous",IF(COUNTIF(lists!$I$2:$I$258, K413) &gt; 0,"cross.bred","not found")),"NA")</f>
        <v>indigenous</v>
      </c>
      <c r="O413" s="9" t="s">
        <v>109</v>
      </c>
      <c r="P413" s="9" t="s">
        <v>373</v>
      </c>
      <c r="S413" s="9" t="s">
        <v>106</v>
      </c>
      <c r="T413" s="9" t="s">
        <v>106</v>
      </c>
      <c r="U413" s="9" t="s">
        <v>106</v>
      </c>
      <c r="V413" s="9" t="s">
        <v>106</v>
      </c>
      <c r="W413" s="9" t="s">
        <v>106</v>
      </c>
      <c r="X413" s="9" t="s">
        <v>106</v>
      </c>
      <c r="Y413" s="9" t="s">
        <v>106</v>
      </c>
      <c r="Z413" s="37"/>
      <c r="AA413" s="37"/>
      <c r="AB413" s="37"/>
      <c r="AE413"/>
    </row>
    <row r="414" spans="1:31" hidden="1">
      <c r="A414" s="9" t="s">
        <v>465</v>
      </c>
      <c r="B414" s="9" t="s">
        <v>469</v>
      </c>
      <c r="C414" s="9" t="s">
        <v>105</v>
      </c>
      <c r="D414" s="9">
        <v>0.25762999999999903</v>
      </c>
      <c r="E414" s="9">
        <v>18.559999999999999</v>
      </c>
      <c r="F414" s="9" t="s">
        <v>106</v>
      </c>
      <c r="G414" s="9" t="s">
        <v>106</v>
      </c>
      <c r="H414" s="9" t="s">
        <v>106</v>
      </c>
      <c r="J414" s="9" t="s">
        <v>116</v>
      </c>
      <c r="K414" s="9" t="s">
        <v>117</v>
      </c>
      <c r="L414" t="str">
        <f>IF(OR(J414="Cattle",J414="Zebu Cattle"),IF(COUNTIF(lists!$M$2:$M$258, K414) &gt; 0,"bos.indicus",IF(COUNTIF(lists!$L$2:$L$258, K414) &gt; 0,"cross.bred","pure.bred.exotic")),"NA")</f>
        <v>NA</v>
      </c>
      <c r="M414" t="str">
        <f>IF(J414="Sheep",IF(COUNTIF(lists!$H$2:$H$258, K414) &gt; 0,"indigenous",IF(COUNTIF(lists!$G$2:$G$258, K414) &gt; 0,"cross.bred","not found")),"NA")</f>
        <v>NA</v>
      </c>
      <c r="N414" t="str">
        <f>IF(J414="Goat",IF(COUNTIF(lists!$J$2:$J$258, K414) &gt; 0,"indigenous",IF(COUNTIF(lists!$I$2:$I$258, K414) &gt; 0,"cross.bred","not found")),"NA")</f>
        <v>indigenous</v>
      </c>
      <c r="O414" s="9" t="s">
        <v>109</v>
      </c>
      <c r="P414" s="9" t="s">
        <v>373</v>
      </c>
      <c r="S414" s="9" t="s">
        <v>106</v>
      </c>
      <c r="T414" s="9" t="s">
        <v>106</v>
      </c>
      <c r="U414" s="9" t="s">
        <v>106</v>
      </c>
      <c r="V414" s="9" t="s">
        <v>106</v>
      </c>
      <c r="W414" s="9" t="s">
        <v>106</v>
      </c>
      <c r="X414" s="9" t="s">
        <v>106</v>
      </c>
      <c r="Y414" s="9" t="s">
        <v>106</v>
      </c>
      <c r="Z414" s="37"/>
      <c r="AA414" s="37"/>
      <c r="AB414" s="37"/>
      <c r="AE414"/>
    </row>
    <row r="415" spans="1:31" hidden="1">
      <c r="A415" s="9" t="s">
        <v>470</v>
      </c>
      <c r="B415" s="9" t="s">
        <v>471</v>
      </c>
      <c r="C415" s="9" t="s">
        <v>105</v>
      </c>
      <c r="D415" s="9">
        <v>1.147</v>
      </c>
      <c r="E415" s="9" t="s">
        <v>106</v>
      </c>
      <c r="F415" s="9" t="s">
        <v>106</v>
      </c>
      <c r="G415" s="9" t="s">
        <v>106</v>
      </c>
      <c r="H415" s="9">
        <v>1.23</v>
      </c>
      <c r="J415" s="9" t="s">
        <v>116</v>
      </c>
      <c r="K415" s="9" t="s">
        <v>372</v>
      </c>
      <c r="L415" t="str">
        <f>IF(OR(J415="Cattle",J415="Zebu Cattle"),IF(COUNTIF(lists!$M$2:$M$258, K415) &gt; 0,"bos.indicus",IF(COUNTIF(lists!$L$2:$L$258, K415) &gt; 0,"cross.bred","pure.bred.exotic")),"NA")</f>
        <v>NA</v>
      </c>
      <c r="M415" t="str">
        <f>IF(J415="Sheep",IF(COUNTIF(lists!$H$2:$H$258, K415) &gt; 0,"indigenous",IF(COUNTIF(lists!$G$2:$G$258, K415) &gt; 0,"cross.bred","not found")),"NA")</f>
        <v>NA</v>
      </c>
      <c r="N415" t="str">
        <f>IF(J415="Goat",IF(COUNTIF(lists!$J$2:$J$258, K415) &gt; 0,"indigenous",IF(COUNTIF(lists!$I$2:$I$258, K415) &gt; 0,"cross.bred","not found")),"NA")</f>
        <v>not found</v>
      </c>
      <c r="O415" s="9" t="s">
        <v>109</v>
      </c>
      <c r="P415" s="9" t="s">
        <v>202</v>
      </c>
      <c r="S415" s="9" t="s">
        <v>106</v>
      </c>
      <c r="T415" s="9" t="s">
        <v>106</v>
      </c>
      <c r="U415" s="9" t="s">
        <v>106</v>
      </c>
      <c r="V415" s="9" t="s">
        <v>106</v>
      </c>
      <c r="W415" s="9" t="s">
        <v>106</v>
      </c>
      <c r="X415" s="9" t="s">
        <v>106</v>
      </c>
      <c r="Y415" s="9" t="s">
        <v>106</v>
      </c>
      <c r="Z415" s="37"/>
      <c r="AA415" s="37"/>
      <c r="AB415" s="37"/>
      <c r="AE415"/>
    </row>
    <row r="416" spans="1:31" hidden="1">
      <c r="A416" s="9" t="s">
        <v>470</v>
      </c>
      <c r="B416" s="9" t="s">
        <v>472</v>
      </c>
      <c r="C416" s="9" t="s">
        <v>105</v>
      </c>
      <c r="D416" s="9">
        <v>1.135</v>
      </c>
      <c r="E416" s="9" t="s">
        <v>106</v>
      </c>
      <c r="F416" s="9" t="s">
        <v>106</v>
      </c>
      <c r="G416" s="9" t="s">
        <v>106</v>
      </c>
      <c r="H416" s="9">
        <v>1.3149999999999999</v>
      </c>
      <c r="J416" s="9" t="s">
        <v>116</v>
      </c>
      <c r="K416" s="9" t="s">
        <v>372</v>
      </c>
      <c r="L416" t="str">
        <f>IF(OR(J416="Cattle",J416="Zebu Cattle"),IF(COUNTIF(lists!$M$2:$M$258, K416) &gt; 0,"bos.indicus",IF(COUNTIF(lists!$L$2:$L$258, K416) &gt; 0,"cross.bred","pure.bred.exotic")),"NA")</f>
        <v>NA</v>
      </c>
      <c r="M416" t="str">
        <f>IF(J416="Sheep",IF(COUNTIF(lists!$H$2:$H$258, K416) &gt; 0,"indigenous",IF(COUNTIF(lists!$G$2:$G$258, K416) &gt; 0,"cross.bred","not found")),"NA")</f>
        <v>NA</v>
      </c>
      <c r="N416" t="str">
        <f>IF(J416="Goat",IF(COUNTIF(lists!$J$2:$J$258, K416) &gt; 0,"indigenous",IF(COUNTIF(lists!$I$2:$I$258, K416) &gt; 0,"cross.bred","not found")),"NA")</f>
        <v>not found</v>
      </c>
      <c r="O416" s="9" t="s">
        <v>109</v>
      </c>
      <c r="P416" s="9" t="s">
        <v>202</v>
      </c>
      <c r="S416" s="9" t="s">
        <v>106</v>
      </c>
      <c r="T416" s="9" t="s">
        <v>106</v>
      </c>
      <c r="U416" s="9" t="s">
        <v>106</v>
      </c>
      <c r="V416" s="9" t="s">
        <v>106</v>
      </c>
      <c r="W416" s="9" t="s">
        <v>106</v>
      </c>
      <c r="X416" s="9" t="s">
        <v>106</v>
      </c>
      <c r="Y416" s="9" t="s">
        <v>106</v>
      </c>
      <c r="Z416" s="37"/>
      <c r="AA416" s="37"/>
      <c r="AB416" s="37"/>
      <c r="AE416"/>
    </row>
    <row r="417" spans="1:31" hidden="1">
      <c r="A417" s="9" t="s">
        <v>470</v>
      </c>
      <c r="B417" s="9" t="s">
        <v>473</v>
      </c>
      <c r="C417" s="9" t="s">
        <v>105</v>
      </c>
      <c r="D417" s="9">
        <v>1.1120000000000001</v>
      </c>
      <c r="E417" s="9" t="s">
        <v>106</v>
      </c>
      <c r="F417" s="9" t="s">
        <v>106</v>
      </c>
      <c r="G417" s="9" t="s">
        <v>106</v>
      </c>
      <c r="H417" s="9">
        <v>1.355</v>
      </c>
      <c r="J417" s="9" t="s">
        <v>116</v>
      </c>
      <c r="K417" s="9" t="s">
        <v>372</v>
      </c>
      <c r="L417" t="str">
        <f>IF(OR(J417="Cattle",J417="Zebu Cattle"),IF(COUNTIF(lists!$M$2:$M$258, K417) &gt; 0,"bos.indicus",IF(COUNTIF(lists!$L$2:$L$258, K417) &gt; 0,"cross.bred","pure.bred.exotic")),"NA")</f>
        <v>NA</v>
      </c>
      <c r="M417" t="str">
        <f>IF(J417="Sheep",IF(COUNTIF(lists!$H$2:$H$258, K417) &gt; 0,"indigenous",IF(COUNTIF(lists!$G$2:$G$258, K417) &gt; 0,"cross.bred","not found")),"NA")</f>
        <v>NA</v>
      </c>
      <c r="N417" t="str">
        <f>IF(J417="Goat",IF(COUNTIF(lists!$J$2:$J$258, K417) &gt; 0,"indigenous",IF(COUNTIF(lists!$I$2:$I$258, K417) &gt; 0,"cross.bred","not found")),"NA")</f>
        <v>not found</v>
      </c>
      <c r="O417" s="9" t="s">
        <v>109</v>
      </c>
      <c r="P417" s="9" t="s">
        <v>202</v>
      </c>
      <c r="S417" s="9" t="s">
        <v>106</v>
      </c>
      <c r="T417" s="9" t="s">
        <v>106</v>
      </c>
      <c r="U417" s="9" t="s">
        <v>106</v>
      </c>
      <c r="V417" s="9" t="s">
        <v>106</v>
      </c>
      <c r="W417" s="9" t="s">
        <v>106</v>
      </c>
      <c r="X417" s="9" t="s">
        <v>106</v>
      </c>
      <c r="Y417" s="9" t="s">
        <v>106</v>
      </c>
      <c r="Z417" s="37"/>
      <c r="AA417" s="37"/>
      <c r="AB417" s="37"/>
      <c r="AE417"/>
    </row>
    <row r="418" spans="1:31" hidden="1">
      <c r="A418" s="9" t="s">
        <v>474</v>
      </c>
      <c r="B418" s="9" t="s">
        <v>475</v>
      </c>
      <c r="C418" s="9" t="s">
        <v>105</v>
      </c>
      <c r="D418" s="9">
        <v>1.4437500000000001</v>
      </c>
      <c r="E418" s="9">
        <v>34.479999999999997</v>
      </c>
      <c r="F418" s="9" t="s">
        <v>106</v>
      </c>
      <c r="G418" s="9" t="s">
        <v>106</v>
      </c>
      <c r="H418" s="9" t="s">
        <v>106</v>
      </c>
      <c r="J418" s="9" t="s">
        <v>116</v>
      </c>
      <c r="K418" s="9" t="s">
        <v>228</v>
      </c>
      <c r="L418" t="str">
        <f>IF(OR(J418="Cattle",J418="Zebu Cattle"),IF(COUNTIF(lists!$M$2:$M$258, K418) &gt; 0,"bos.indicus",IF(COUNTIF(lists!$L$2:$L$258, K418) &gt; 0,"cross.bred","pure.bred.exotic")),"NA")</f>
        <v>NA</v>
      </c>
      <c r="M418" t="str">
        <f>IF(J418="Sheep",IF(COUNTIF(lists!$H$2:$H$258, K418) &gt; 0,"indigenous",IF(COUNTIF(lists!$G$2:$G$258, K418) &gt; 0,"cross.bred","not found")),"NA")</f>
        <v>NA</v>
      </c>
      <c r="N418" t="str">
        <f>IF(J418="Goat",IF(COUNTIF(lists!$J$2:$J$258, K418) &gt; 0,"indigenous",IF(COUNTIF(lists!$I$2:$I$258, K418) &gt; 0,"cross.bred","not found")),"NA")</f>
        <v>not found</v>
      </c>
      <c r="O418" s="9" t="s">
        <v>109</v>
      </c>
      <c r="P418" s="9" t="s">
        <v>170</v>
      </c>
      <c r="S418" s="9" t="s">
        <v>106</v>
      </c>
      <c r="T418" s="9">
        <v>79.7</v>
      </c>
      <c r="U418" s="9">
        <v>122.5</v>
      </c>
      <c r="V418" s="9">
        <v>882.5</v>
      </c>
      <c r="W418" s="9">
        <v>21.299999999999901</v>
      </c>
      <c r="X418" s="9" t="s">
        <v>106</v>
      </c>
      <c r="Y418" s="9" t="s">
        <v>106</v>
      </c>
      <c r="Z418" s="37"/>
      <c r="AA418" s="37"/>
      <c r="AB418" s="37"/>
      <c r="AE418"/>
    </row>
    <row r="419" spans="1:31" hidden="1">
      <c r="A419" s="9" t="s">
        <v>474</v>
      </c>
      <c r="B419" s="9" t="s">
        <v>165</v>
      </c>
      <c r="C419" s="9" t="s">
        <v>105</v>
      </c>
      <c r="D419" s="9">
        <v>1.4624999999999999</v>
      </c>
      <c r="E419" s="9">
        <v>34.479999999999997</v>
      </c>
      <c r="F419" s="9" t="s">
        <v>106</v>
      </c>
      <c r="G419" s="9" t="s">
        <v>106</v>
      </c>
      <c r="H419" s="9" t="s">
        <v>106</v>
      </c>
      <c r="J419" s="9" t="s">
        <v>116</v>
      </c>
      <c r="K419" s="9" t="s">
        <v>228</v>
      </c>
      <c r="L419" t="str">
        <f>IF(OR(J419="Cattle",J419="Zebu Cattle"),IF(COUNTIF(lists!$M$2:$M$258, K419) &gt; 0,"bos.indicus",IF(COUNTIF(lists!$L$2:$L$258, K419) &gt; 0,"cross.bred","pure.bred.exotic")),"NA")</f>
        <v>NA</v>
      </c>
      <c r="M419" t="str">
        <f>IF(J419="Sheep",IF(COUNTIF(lists!$H$2:$H$258, K419) &gt; 0,"indigenous",IF(COUNTIF(lists!$G$2:$G$258, K419) &gt; 0,"cross.bred","not found")),"NA")</f>
        <v>NA</v>
      </c>
      <c r="N419" t="str">
        <f>IF(J419="Goat",IF(COUNTIF(lists!$J$2:$J$258, K419) &gt; 0,"indigenous",IF(COUNTIF(lists!$I$2:$I$258, K419) &gt; 0,"cross.bred","not found")),"NA")</f>
        <v>not found</v>
      </c>
      <c r="O419" s="9" t="s">
        <v>109</v>
      </c>
      <c r="P419" s="9" t="s">
        <v>170</v>
      </c>
      <c r="S419" s="9" t="s">
        <v>106</v>
      </c>
      <c r="T419" s="9">
        <v>87</v>
      </c>
      <c r="U419" s="9">
        <v>125.8</v>
      </c>
      <c r="V419" s="9">
        <v>890.4</v>
      </c>
      <c r="W419" s="9">
        <v>34.799999999999997</v>
      </c>
      <c r="X419" s="9" t="s">
        <v>106</v>
      </c>
      <c r="Y419" s="9" t="s">
        <v>106</v>
      </c>
      <c r="Z419" s="37"/>
      <c r="AA419" s="37"/>
      <c r="AB419" s="37"/>
      <c r="AE419"/>
    </row>
    <row r="420" spans="1:31" hidden="1">
      <c r="A420" s="9" t="s">
        <v>474</v>
      </c>
      <c r="B420" s="9" t="s">
        <v>476</v>
      </c>
      <c r="C420" s="9" t="s">
        <v>105</v>
      </c>
      <c r="D420" s="9">
        <v>1.45875</v>
      </c>
      <c r="E420" s="9">
        <v>34.479999999999997</v>
      </c>
      <c r="F420" s="9" t="s">
        <v>106</v>
      </c>
      <c r="G420" s="9" t="s">
        <v>106</v>
      </c>
      <c r="H420" s="9" t="s">
        <v>106</v>
      </c>
      <c r="J420" s="9" t="s">
        <v>116</v>
      </c>
      <c r="K420" s="9" t="s">
        <v>228</v>
      </c>
      <c r="L420" t="str">
        <f>IF(OR(J420="Cattle",J420="Zebu Cattle"),IF(COUNTIF(lists!$M$2:$M$258, K420) &gt; 0,"bos.indicus",IF(COUNTIF(lists!$L$2:$L$258, K420) &gt; 0,"cross.bred","pure.bred.exotic")),"NA")</f>
        <v>NA</v>
      </c>
      <c r="M420" t="str">
        <f>IF(J420="Sheep",IF(COUNTIF(lists!$H$2:$H$258, K420) &gt; 0,"indigenous",IF(COUNTIF(lists!$G$2:$G$258, K420) &gt; 0,"cross.bred","not found")),"NA")</f>
        <v>NA</v>
      </c>
      <c r="N420" t="str">
        <f>IF(J420="Goat",IF(COUNTIF(lists!$J$2:$J$258, K420) &gt; 0,"indigenous",IF(COUNTIF(lists!$I$2:$I$258, K420) &gt; 0,"cross.bred","not found")),"NA")</f>
        <v>not found</v>
      </c>
      <c r="O420" s="9" t="s">
        <v>109</v>
      </c>
      <c r="P420" s="9" t="s">
        <v>170</v>
      </c>
      <c r="S420" s="9" t="s">
        <v>106</v>
      </c>
      <c r="T420" s="9">
        <v>70.099999999999994</v>
      </c>
      <c r="U420" s="9">
        <v>128.9</v>
      </c>
      <c r="V420" s="9">
        <v>886.2</v>
      </c>
      <c r="W420" s="9">
        <v>39.799999999999997</v>
      </c>
      <c r="X420" s="9" t="s">
        <v>106</v>
      </c>
      <c r="Y420" s="9" t="s">
        <v>106</v>
      </c>
      <c r="Z420" s="37"/>
      <c r="AA420" s="37"/>
      <c r="AB420" s="37"/>
      <c r="AE420"/>
    </row>
    <row r="421" spans="1:31" hidden="1">
      <c r="A421" s="9" t="s">
        <v>477</v>
      </c>
      <c r="B421" s="9" t="s">
        <v>478</v>
      </c>
      <c r="C421" s="9" t="s">
        <v>105</v>
      </c>
      <c r="D421" s="9">
        <v>0.37175000000000002</v>
      </c>
      <c r="E421" s="9" t="s">
        <v>106</v>
      </c>
      <c r="F421" s="9" t="s">
        <v>106</v>
      </c>
      <c r="G421" s="9" t="s">
        <v>106</v>
      </c>
      <c r="H421" s="9" t="s">
        <v>106</v>
      </c>
      <c r="J421" s="9" t="s">
        <v>116</v>
      </c>
      <c r="K421" s="9" t="s">
        <v>117</v>
      </c>
      <c r="L421" t="str">
        <f>IF(OR(J421="Cattle",J421="Zebu Cattle"),IF(COUNTIF(lists!$M$2:$M$258, K421) &gt; 0,"bos.indicus",IF(COUNTIF(lists!$L$2:$L$258, K421) &gt; 0,"cross.bred","pure.bred.exotic")),"NA")</f>
        <v>NA</v>
      </c>
      <c r="M421" t="str">
        <f>IF(J421="Sheep",IF(COUNTIF(lists!$H$2:$H$258, K421) &gt; 0,"indigenous",IF(COUNTIF(lists!$G$2:$G$258, K421) &gt; 0,"cross.bred","not found")),"NA")</f>
        <v>NA</v>
      </c>
      <c r="N421" t="str">
        <f>IF(J421="Goat",IF(COUNTIF(lists!$J$2:$J$258, K421) &gt; 0,"indigenous",IF(COUNTIF(lists!$I$2:$I$258, K421) &gt; 0,"cross.bred","not found")),"NA")</f>
        <v>indigenous</v>
      </c>
      <c r="O421" s="9" t="s">
        <v>109</v>
      </c>
      <c r="P421" s="9" t="s">
        <v>479</v>
      </c>
      <c r="S421" s="9" t="s">
        <v>106</v>
      </c>
      <c r="T421" s="9" t="s">
        <v>106</v>
      </c>
      <c r="U421" s="9" t="s">
        <v>106</v>
      </c>
      <c r="V421" s="9" t="s">
        <v>106</v>
      </c>
      <c r="W421" s="9" t="s">
        <v>106</v>
      </c>
      <c r="X421" s="9" t="s">
        <v>106</v>
      </c>
      <c r="Y421" s="9" t="s">
        <v>106</v>
      </c>
      <c r="Z421" s="37"/>
      <c r="AA421" s="37"/>
      <c r="AB421" s="37"/>
      <c r="AE421"/>
    </row>
    <row r="422" spans="1:31" hidden="1">
      <c r="A422" s="9" t="s">
        <v>477</v>
      </c>
      <c r="B422" s="9" t="s">
        <v>480</v>
      </c>
      <c r="C422" s="9" t="s">
        <v>105</v>
      </c>
      <c r="D422" s="9">
        <v>0.30407999999999902</v>
      </c>
      <c r="E422" s="9" t="s">
        <v>106</v>
      </c>
      <c r="F422" s="9" t="s">
        <v>106</v>
      </c>
      <c r="G422" s="9" t="s">
        <v>106</v>
      </c>
      <c r="H422" s="9" t="s">
        <v>106</v>
      </c>
      <c r="J422" s="9" t="s">
        <v>116</v>
      </c>
      <c r="K422" s="9" t="s">
        <v>117</v>
      </c>
      <c r="L422" t="str">
        <f>IF(OR(J422="Cattle",J422="Zebu Cattle"),IF(COUNTIF(lists!$M$2:$M$258, K422) &gt; 0,"bos.indicus",IF(COUNTIF(lists!$L$2:$L$258, K422) &gt; 0,"cross.bred","pure.bred.exotic")),"NA")</f>
        <v>NA</v>
      </c>
      <c r="M422" t="str">
        <f>IF(J422="Sheep",IF(COUNTIF(lists!$H$2:$H$258, K422) &gt; 0,"indigenous",IF(COUNTIF(lists!$G$2:$G$258, K422) &gt; 0,"cross.bred","not found")),"NA")</f>
        <v>NA</v>
      </c>
      <c r="N422" t="str">
        <f>IF(J422="Goat",IF(COUNTIF(lists!$J$2:$J$258, K422) &gt; 0,"indigenous",IF(COUNTIF(lists!$I$2:$I$258, K422) &gt; 0,"cross.bred","not found")),"NA")</f>
        <v>indigenous</v>
      </c>
      <c r="O422" s="9" t="s">
        <v>109</v>
      </c>
      <c r="P422" s="9" t="s">
        <v>479</v>
      </c>
      <c r="S422" s="9" t="s">
        <v>106</v>
      </c>
      <c r="T422" s="9" t="s">
        <v>106</v>
      </c>
      <c r="U422" s="9" t="s">
        <v>106</v>
      </c>
      <c r="V422" s="9" t="s">
        <v>106</v>
      </c>
      <c r="W422" s="9" t="s">
        <v>106</v>
      </c>
      <c r="X422" s="9" t="s">
        <v>106</v>
      </c>
      <c r="Y422" s="9" t="s">
        <v>106</v>
      </c>
      <c r="Z422" s="37"/>
      <c r="AA422" s="37"/>
      <c r="AB422" s="37"/>
      <c r="AE422"/>
    </row>
    <row r="423" spans="1:31" hidden="1">
      <c r="A423" s="9" t="s">
        <v>477</v>
      </c>
      <c r="B423" s="9" t="s">
        <v>481</v>
      </c>
      <c r="C423" s="9" t="s">
        <v>105</v>
      </c>
      <c r="D423" s="9">
        <v>0.30959999999999999</v>
      </c>
      <c r="E423" s="9" t="s">
        <v>106</v>
      </c>
      <c r="F423" s="9" t="s">
        <v>106</v>
      </c>
      <c r="G423" s="9" t="s">
        <v>106</v>
      </c>
      <c r="H423" s="9" t="s">
        <v>106</v>
      </c>
      <c r="J423" s="9" t="s">
        <v>116</v>
      </c>
      <c r="K423" s="9" t="s">
        <v>117</v>
      </c>
      <c r="L423" t="str">
        <f>IF(OR(J423="Cattle",J423="Zebu Cattle"),IF(COUNTIF(lists!$M$2:$M$258, K423) &gt; 0,"bos.indicus",IF(COUNTIF(lists!$L$2:$L$258, K423) &gt; 0,"cross.bred","pure.bred.exotic")),"NA")</f>
        <v>NA</v>
      </c>
      <c r="M423" t="str">
        <f>IF(J423="Sheep",IF(COUNTIF(lists!$H$2:$H$258, K423) &gt; 0,"indigenous",IF(COUNTIF(lists!$G$2:$G$258, K423) &gt; 0,"cross.bred","not found")),"NA")</f>
        <v>NA</v>
      </c>
      <c r="N423" t="str">
        <f>IF(J423="Goat",IF(COUNTIF(lists!$J$2:$J$258, K423) &gt; 0,"indigenous",IF(COUNTIF(lists!$I$2:$I$258, K423) &gt; 0,"cross.bred","not found")),"NA")</f>
        <v>indigenous</v>
      </c>
      <c r="O423" s="9" t="s">
        <v>109</v>
      </c>
      <c r="P423" s="9" t="s">
        <v>479</v>
      </c>
      <c r="S423" s="9" t="s">
        <v>106</v>
      </c>
      <c r="T423" s="9" t="s">
        <v>106</v>
      </c>
      <c r="U423" s="9" t="s">
        <v>106</v>
      </c>
      <c r="V423" s="9" t="s">
        <v>106</v>
      </c>
      <c r="W423" s="9" t="s">
        <v>106</v>
      </c>
      <c r="X423" s="9" t="s">
        <v>106</v>
      </c>
      <c r="Y423" s="9" t="s">
        <v>106</v>
      </c>
      <c r="Z423" s="37"/>
      <c r="AA423" s="37"/>
      <c r="AB423" s="37"/>
      <c r="AE423"/>
    </row>
    <row r="424" spans="1:31" hidden="1">
      <c r="A424" s="9" t="s">
        <v>482</v>
      </c>
      <c r="B424" s="9" t="s">
        <v>483</v>
      </c>
      <c r="C424" s="9" t="s">
        <v>105</v>
      </c>
      <c r="D424" s="9">
        <v>1.421</v>
      </c>
      <c r="E424" s="9" t="s">
        <v>106</v>
      </c>
      <c r="F424" s="9" t="s">
        <v>106</v>
      </c>
      <c r="G424" s="9" t="s">
        <v>106</v>
      </c>
      <c r="H424" s="9" t="s">
        <v>106</v>
      </c>
      <c r="I424" s="9">
        <v>16</v>
      </c>
      <c r="J424" s="9" t="s">
        <v>116</v>
      </c>
      <c r="K424" s="9" t="s">
        <v>117</v>
      </c>
      <c r="L424" t="str">
        <f>IF(OR(J424="Cattle",J424="Zebu Cattle"),IF(COUNTIF(lists!$M$2:$M$258, K424) &gt; 0,"bos.indicus",IF(COUNTIF(lists!$L$2:$L$258, K424) &gt; 0,"cross.bred","pure.bred.exotic")),"NA")</f>
        <v>NA</v>
      </c>
      <c r="M424" t="str">
        <f>IF(J424="Sheep",IF(COUNTIF(lists!$H$2:$H$258, K424) &gt; 0,"indigenous",IF(COUNTIF(lists!$G$2:$G$258, K424) &gt; 0,"cross.bred","not found")),"NA")</f>
        <v>NA</v>
      </c>
      <c r="N424" t="str">
        <f>IF(J424="Goat",IF(COUNTIF(lists!$J$2:$J$258, K424) &gt; 0,"indigenous",IF(COUNTIF(lists!$I$2:$I$258, K424) &gt; 0,"cross.bred","not found")),"NA")</f>
        <v>indigenous</v>
      </c>
      <c r="O424" s="9" t="s">
        <v>109</v>
      </c>
      <c r="P424" s="9" t="s">
        <v>106</v>
      </c>
      <c r="Q424" s="9" t="s">
        <v>3806</v>
      </c>
      <c r="S424" s="9" t="s">
        <v>106</v>
      </c>
      <c r="T424" s="9" t="s">
        <v>106</v>
      </c>
      <c r="U424" s="9" t="s">
        <v>106</v>
      </c>
      <c r="V424" s="9" t="s">
        <v>106</v>
      </c>
      <c r="W424" s="9" t="s">
        <v>106</v>
      </c>
      <c r="X424" s="9" t="s">
        <v>106</v>
      </c>
      <c r="Y424" s="9" t="s">
        <v>106</v>
      </c>
      <c r="Z424" s="37"/>
      <c r="AA424" s="37"/>
      <c r="AB424" s="37"/>
      <c r="AE424">
        <v>0</v>
      </c>
    </row>
    <row r="425" spans="1:31" hidden="1">
      <c r="A425" s="9" t="s">
        <v>482</v>
      </c>
      <c r="B425" s="9" t="s">
        <v>484</v>
      </c>
      <c r="C425" s="9" t="s">
        <v>105</v>
      </c>
      <c r="D425" s="9">
        <v>1.472</v>
      </c>
      <c r="E425" s="9" t="s">
        <v>106</v>
      </c>
      <c r="F425" s="9" t="s">
        <v>106</v>
      </c>
      <c r="G425" s="9" t="s">
        <v>106</v>
      </c>
      <c r="H425" s="9" t="s">
        <v>106</v>
      </c>
      <c r="I425" s="9">
        <v>16</v>
      </c>
      <c r="J425" s="9" t="s">
        <v>116</v>
      </c>
      <c r="K425" s="9" t="s">
        <v>117</v>
      </c>
      <c r="L425" t="str">
        <f>IF(OR(J425="Cattle",J425="Zebu Cattle"),IF(COUNTIF(lists!$M$2:$M$258, K425) &gt; 0,"bos.indicus",IF(COUNTIF(lists!$L$2:$L$258, K425) &gt; 0,"cross.bred","pure.bred.exotic")),"NA")</f>
        <v>NA</v>
      </c>
      <c r="M425" t="str">
        <f>IF(J425="Sheep",IF(COUNTIF(lists!$H$2:$H$258, K425) &gt; 0,"indigenous",IF(COUNTIF(lists!$G$2:$G$258, K425) &gt; 0,"cross.bred","not found")),"NA")</f>
        <v>NA</v>
      </c>
      <c r="N425" t="str">
        <f>IF(J425="Goat",IF(COUNTIF(lists!$J$2:$J$258, K425) &gt; 0,"indigenous",IF(COUNTIF(lists!$I$2:$I$258, K425) &gt; 0,"cross.bred","not found")),"NA")</f>
        <v>indigenous</v>
      </c>
      <c r="O425" s="9" t="s">
        <v>109</v>
      </c>
      <c r="P425" s="9" t="s">
        <v>106</v>
      </c>
      <c r="Q425" s="9" t="s">
        <v>3806</v>
      </c>
      <c r="S425" s="9" t="s">
        <v>106</v>
      </c>
      <c r="T425" s="9" t="s">
        <v>106</v>
      </c>
      <c r="U425" s="9" t="s">
        <v>106</v>
      </c>
      <c r="V425" s="9" t="s">
        <v>106</v>
      </c>
      <c r="W425" s="9" t="s">
        <v>106</v>
      </c>
      <c r="X425" s="9" t="s">
        <v>106</v>
      </c>
      <c r="Y425" s="9" t="s">
        <v>106</v>
      </c>
      <c r="Z425" s="37"/>
      <c r="AA425" s="37"/>
      <c r="AB425" s="37"/>
      <c r="AE425">
        <v>0</v>
      </c>
    </row>
    <row r="426" spans="1:31" hidden="1">
      <c r="A426" s="9" t="s">
        <v>482</v>
      </c>
      <c r="B426" s="9" t="s">
        <v>485</v>
      </c>
      <c r="C426" s="9" t="s">
        <v>105</v>
      </c>
      <c r="D426" s="9">
        <v>2.0219999999999998</v>
      </c>
      <c r="E426" s="9" t="s">
        <v>106</v>
      </c>
      <c r="F426" s="9" t="s">
        <v>106</v>
      </c>
      <c r="G426" s="9" t="s">
        <v>106</v>
      </c>
      <c r="H426" s="9" t="s">
        <v>106</v>
      </c>
      <c r="I426" s="9">
        <v>16</v>
      </c>
      <c r="J426" s="9" t="s">
        <v>116</v>
      </c>
      <c r="K426" s="9" t="s">
        <v>117</v>
      </c>
      <c r="L426" t="str">
        <f>IF(OR(J426="Cattle",J426="Zebu Cattle"),IF(COUNTIF(lists!$M$2:$M$258, K426) &gt; 0,"bos.indicus",IF(COUNTIF(lists!$L$2:$L$258, K426) &gt; 0,"cross.bred","pure.bred.exotic")),"NA")</f>
        <v>NA</v>
      </c>
      <c r="M426" t="str">
        <f>IF(J426="Sheep",IF(COUNTIF(lists!$H$2:$H$258, K426) &gt; 0,"indigenous",IF(COUNTIF(lists!$G$2:$G$258, K426) &gt; 0,"cross.bred","not found")),"NA")</f>
        <v>NA</v>
      </c>
      <c r="N426" t="str">
        <f>IF(J426="Goat",IF(COUNTIF(lists!$J$2:$J$258, K426) &gt; 0,"indigenous",IF(COUNTIF(lists!$I$2:$I$258, K426) &gt; 0,"cross.bred","not found")),"NA")</f>
        <v>indigenous</v>
      </c>
      <c r="O426" s="9" t="s">
        <v>109</v>
      </c>
      <c r="P426" s="9" t="s">
        <v>106</v>
      </c>
      <c r="Q426" s="9" t="s">
        <v>3806</v>
      </c>
      <c r="S426" s="9" t="s">
        <v>106</v>
      </c>
      <c r="T426" s="9" t="s">
        <v>106</v>
      </c>
      <c r="U426" s="9" t="s">
        <v>106</v>
      </c>
      <c r="V426" s="9" t="s">
        <v>106</v>
      </c>
      <c r="W426" s="9" t="s">
        <v>106</v>
      </c>
      <c r="X426" s="9" t="s">
        <v>106</v>
      </c>
      <c r="Y426" s="9" t="s">
        <v>106</v>
      </c>
      <c r="Z426" s="37"/>
      <c r="AA426" s="37"/>
      <c r="AB426" s="37"/>
      <c r="AE426">
        <v>0</v>
      </c>
    </row>
    <row r="427" spans="1:31" hidden="1">
      <c r="A427" s="9" t="s">
        <v>482</v>
      </c>
      <c r="B427" s="9" t="s">
        <v>486</v>
      </c>
      <c r="C427" s="9" t="s">
        <v>105</v>
      </c>
      <c r="D427" s="9">
        <v>1.788</v>
      </c>
      <c r="E427" s="9" t="s">
        <v>106</v>
      </c>
      <c r="F427" s="9" t="s">
        <v>106</v>
      </c>
      <c r="G427" s="9" t="s">
        <v>106</v>
      </c>
      <c r="H427" s="9" t="s">
        <v>106</v>
      </c>
      <c r="I427" s="9">
        <v>16</v>
      </c>
      <c r="J427" s="9" t="s">
        <v>116</v>
      </c>
      <c r="K427" s="9" t="s">
        <v>117</v>
      </c>
      <c r="L427" t="str">
        <f>IF(OR(J427="Cattle",J427="Zebu Cattle"),IF(COUNTIF(lists!$M$2:$M$258, K427) &gt; 0,"bos.indicus",IF(COUNTIF(lists!$L$2:$L$258, K427) &gt; 0,"cross.bred","pure.bred.exotic")),"NA")</f>
        <v>NA</v>
      </c>
      <c r="M427" t="str">
        <f>IF(J427="Sheep",IF(COUNTIF(lists!$H$2:$H$258, K427) &gt; 0,"indigenous",IF(COUNTIF(lists!$G$2:$G$258, K427) &gt; 0,"cross.bred","not found")),"NA")</f>
        <v>NA</v>
      </c>
      <c r="N427" t="str">
        <f>IF(J427="Goat",IF(COUNTIF(lists!$J$2:$J$258, K427) &gt; 0,"indigenous",IF(COUNTIF(lists!$I$2:$I$258, K427) &gt; 0,"cross.bred","not found")),"NA")</f>
        <v>indigenous</v>
      </c>
      <c r="O427" s="9" t="s">
        <v>109</v>
      </c>
      <c r="P427" s="9" t="s">
        <v>106</v>
      </c>
      <c r="Q427" s="9" t="s">
        <v>3806</v>
      </c>
      <c r="S427" s="9" t="s">
        <v>106</v>
      </c>
      <c r="T427" s="9" t="s">
        <v>106</v>
      </c>
      <c r="U427" s="9" t="s">
        <v>106</v>
      </c>
      <c r="V427" s="9" t="s">
        <v>106</v>
      </c>
      <c r="W427" s="9" t="s">
        <v>106</v>
      </c>
      <c r="X427" s="9" t="s">
        <v>106</v>
      </c>
      <c r="Y427" s="9" t="s">
        <v>106</v>
      </c>
      <c r="Z427" s="37"/>
      <c r="AA427" s="37"/>
      <c r="AB427" s="37"/>
      <c r="AE427">
        <v>0</v>
      </c>
    </row>
    <row r="428" spans="1:31" hidden="1">
      <c r="A428" s="9" t="s">
        <v>487</v>
      </c>
      <c r="B428" s="9" t="s">
        <v>488</v>
      </c>
      <c r="C428" s="9" t="s">
        <v>105</v>
      </c>
      <c r="D428" s="9">
        <v>0.69510000000000005</v>
      </c>
      <c r="E428" s="9">
        <v>20.83</v>
      </c>
      <c r="F428" s="9" t="s">
        <v>106</v>
      </c>
      <c r="G428" s="9" t="s">
        <v>106</v>
      </c>
      <c r="H428" s="9" t="s">
        <v>106</v>
      </c>
      <c r="J428" s="9" t="s">
        <v>116</v>
      </c>
      <c r="K428" s="9" t="s">
        <v>489</v>
      </c>
      <c r="L428" t="str">
        <f>IF(OR(J428="Cattle",J428="Zebu Cattle"),IF(COUNTIF(lists!$M$2:$M$258, K428) &gt; 0,"bos.indicus",IF(COUNTIF(lists!$L$2:$L$258, K428) &gt; 0,"cross.bred","pure.bred.exotic")),"NA")</f>
        <v>NA</v>
      </c>
      <c r="M428" t="str">
        <f>IF(J428="Sheep",IF(COUNTIF(lists!$H$2:$H$258, K428) &gt; 0,"indigenous",IF(COUNTIF(lists!$G$2:$G$258, K428) &gt; 0,"cross.bred","not found")),"NA")</f>
        <v>NA</v>
      </c>
      <c r="N428" t="str">
        <f>IF(J428="Goat",IF(COUNTIF(lists!$J$2:$J$258, K428) &gt; 0,"indigenous",IF(COUNTIF(lists!$I$2:$I$258, K428) &gt; 0,"cross.bred","not found")),"NA")</f>
        <v>not found</v>
      </c>
      <c r="O428" s="9" t="s">
        <v>109</v>
      </c>
      <c r="P428" s="9" t="s">
        <v>187</v>
      </c>
      <c r="S428" s="9">
        <v>223.6</v>
      </c>
      <c r="T428" s="9">
        <v>43.9</v>
      </c>
      <c r="U428" s="9">
        <v>188</v>
      </c>
      <c r="V428" s="9">
        <v>905.9</v>
      </c>
      <c r="W428" s="9" t="s">
        <v>106</v>
      </c>
      <c r="X428" s="9">
        <v>318.2</v>
      </c>
      <c r="Y428" s="9">
        <v>48.5</v>
      </c>
      <c r="Z428" s="37"/>
      <c r="AA428" s="37"/>
      <c r="AB428" s="37"/>
      <c r="AE428"/>
    </row>
    <row r="429" spans="1:31" hidden="1">
      <c r="A429" s="9" t="s">
        <v>487</v>
      </c>
      <c r="B429" s="9" t="s">
        <v>490</v>
      </c>
      <c r="C429" s="9" t="s">
        <v>105</v>
      </c>
      <c r="D429" s="9">
        <v>0.69838</v>
      </c>
      <c r="E429" s="9">
        <v>20.83</v>
      </c>
      <c r="F429" s="9" t="s">
        <v>106</v>
      </c>
      <c r="G429" s="9" t="s">
        <v>106</v>
      </c>
      <c r="H429" s="9" t="s">
        <v>106</v>
      </c>
      <c r="J429" s="9" t="s">
        <v>116</v>
      </c>
      <c r="K429" s="9" t="s">
        <v>489</v>
      </c>
      <c r="L429" t="str">
        <f>IF(OR(J429="Cattle",J429="Zebu Cattle"),IF(COUNTIF(lists!$M$2:$M$258, K429) &gt; 0,"bos.indicus",IF(COUNTIF(lists!$L$2:$L$258, K429) &gt; 0,"cross.bred","pure.bred.exotic")),"NA")</f>
        <v>NA</v>
      </c>
      <c r="M429" t="str">
        <f>IF(J429="Sheep",IF(COUNTIF(lists!$H$2:$H$258, K429) &gt; 0,"indigenous",IF(COUNTIF(lists!$G$2:$G$258, K429) &gt; 0,"cross.bred","not found")),"NA")</f>
        <v>NA</v>
      </c>
      <c r="N429" t="str">
        <f>IF(J429="Goat",IF(COUNTIF(lists!$J$2:$J$258, K429) &gt; 0,"indigenous",IF(COUNTIF(lists!$I$2:$I$258, K429) &gt; 0,"cross.bred","not found")),"NA")</f>
        <v>not found</v>
      </c>
      <c r="O429" s="9" t="s">
        <v>109</v>
      </c>
      <c r="P429" s="9" t="s">
        <v>187</v>
      </c>
      <c r="S429" s="9">
        <v>222</v>
      </c>
      <c r="T429" s="9">
        <v>65.5</v>
      </c>
      <c r="U429" s="9">
        <v>209.1</v>
      </c>
      <c r="V429" s="9">
        <v>909.4</v>
      </c>
      <c r="W429" s="9" t="s">
        <v>106</v>
      </c>
      <c r="X429" s="9">
        <v>315</v>
      </c>
      <c r="Y429" s="9">
        <v>49</v>
      </c>
      <c r="Z429" s="37"/>
      <c r="AA429" s="37"/>
      <c r="AB429" s="37"/>
      <c r="AE429"/>
    </row>
    <row r="430" spans="1:31" hidden="1">
      <c r="A430" s="9" t="s">
        <v>487</v>
      </c>
      <c r="B430" s="9" t="s">
        <v>491</v>
      </c>
      <c r="C430" s="9" t="s">
        <v>105</v>
      </c>
      <c r="D430" s="9">
        <v>0.70926999999999996</v>
      </c>
      <c r="E430" s="9">
        <v>20.83</v>
      </c>
      <c r="F430" s="9" t="s">
        <v>106</v>
      </c>
      <c r="G430" s="9" t="s">
        <v>106</v>
      </c>
      <c r="H430" s="9" t="s">
        <v>106</v>
      </c>
      <c r="J430" s="9" t="s">
        <v>116</v>
      </c>
      <c r="K430" s="9" t="s">
        <v>489</v>
      </c>
      <c r="L430" t="str">
        <f>IF(OR(J430="Cattle",J430="Zebu Cattle"),IF(COUNTIF(lists!$M$2:$M$258, K430) &gt; 0,"bos.indicus",IF(COUNTIF(lists!$L$2:$L$258, K430) &gt; 0,"cross.bred","pure.bred.exotic")),"NA")</f>
        <v>NA</v>
      </c>
      <c r="M430" t="str">
        <f>IF(J430="Sheep",IF(COUNTIF(lists!$H$2:$H$258, K430) &gt; 0,"indigenous",IF(COUNTIF(lists!$G$2:$G$258, K430) &gt; 0,"cross.bred","not found")),"NA")</f>
        <v>NA</v>
      </c>
      <c r="N430" t="str">
        <f>IF(J430="Goat",IF(COUNTIF(lists!$J$2:$J$258, K430) &gt; 0,"indigenous",IF(COUNTIF(lists!$I$2:$I$258, K430) &gt; 0,"cross.bred","not found")),"NA")</f>
        <v>not found</v>
      </c>
      <c r="O430" s="9" t="s">
        <v>109</v>
      </c>
      <c r="P430" s="9" t="s">
        <v>187</v>
      </c>
      <c r="S430" s="9">
        <v>220.5</v>
      </c>
      <c r="T430" s="9">
        <v>87.1</v>
      </c>
      <c r="U430" s="9">
        <v>230.3</v>
      </c>
      <c r="V430" s="9">
        <v>913</v>
      </c>
      <c r="W430" s="9" t="s">
        <v>106</v>
      </c>
      <c r="X430" s="9">
        <v>318.60000000000002</v>
      </c>
      <c r="Y430" s="9">
        <v>55.7</v>
      </c>
      <c r="Z430" s="37"/>
      <c r="AA430" s="37"/>
      <c r="AB430" s="37"/>
      <c r="AE430"/>
    </row>
    <row r="431" spans="1:31" hidden="1">
      <c r="A431" s="9" t="s">
        <v>487</v>
      </c>
      <c r="B431" s="9" t="s">
        <v>492</v>
      </c>
      <c r="C431" s="9" t="s">
        <v>105</v>
      </c>
      <c r="D431" s="9">
        <v>0.71150999999999998</v>
      </c>
      <c r="E431" s="9">
        <v>20.83</v>
      </c>
      <c r="F431" s="9" t="s">
        <v>106</v>
      </c>
      <c r="G431" s="9" t="s">
        <v>106</v>
      </c>
      <c r="H431" s="9" t="s">
        <v>106</v>
      </c>
      <c r="J431" s="9" t="s">
        <v>116</v>
      </c>
      <c r="K431" s="9" t="s">
        <v>489</v>
      </c>
      <c r="L431" t="str">
        <f>IF(OR(J431="Cattle",J431="Zebu Cattle"),IF(COUNTIF(lists!$M$2:$M$258, K431) &gt; 0,"bos.indicus",IF(COUNTIF(lists!$L$2:$L$258, K431) &gt; 0,"cross.bred","pure.bred.exotic")),"NA")</f>
        <v>NA</v>
      </c>
      <c r="M431" t="str">
        <f>IF(J431="Sheep",IF(COUNTIF(lists!$H$2:$H$258, K431) &gt; 0,"indigenous",IF(COUNTIF(lists!$G$2:$G$258, K431) &gt; 0,"cross.bred","not found")),"NA")</f>
        <v>NA</v>
      </c>
      <c r="N431" t="str">
        <f>IF(J431="Goat",IF(COUNTIF(lists!$J$2:$J$258, K431) &gt; 0,"indigenous",IF(COUNTIF(lists!$I$2:$I$258, K431) &gt; 0,"cross.bred","not found")),"NA")</f>
        <v>not found</v>
      </c>
      <c r="O431" s="9" t="s">
        <v>109</v>
      </c>
      <c r="P431" s="9" t="s">
        <v>187</v>
      </c>
      <c r="S431" s="9">
        <v>218.9</v>
      </c>
      <c r="T431" s="9">
        <v>108.7</v>
      </c>
      <c r="U431" s="9">
        <v>251.4</v>
      </c>
      <c r="V431" s="9">
        <v>916.5</v>
      </c>
      <c r="W431" s="9" t="s">
        <v>106</v>
      </c>
      <c r="X431" s="9">
        <v>308.60000000000002</v>
      </c>
      <c r="Y431" s="9">
        <v>50.8</v>
      </c>
      <c r="Z431" s="37"/>
      <c r="AA431" s="37"/>
      <c r="AB431" s="37"/>
      <c r="AE431"/>
    </row>
    <row r="432" spans="1:31" hidden="1">
      <c r="A432" s="9" t="s">
        <v>487</v>
      </c>
      <c r="B432" s="9" t="s">
        <v>493</v>
      </c>
      <c r="C432" s="9" t="s">
        <v>105</v>
      </c>
      <c r="D432" s="9">
        <v>0.70609</v>
      </c>
      <c r="E432" s="9">
        <v>20.83</v>
      </c>
      <c r="F432" s="9" t="s">
        <v>106</v>
      </c>
      <c r="G432" s="9" t="s">
        <v>106</v>
      </c>
      <c r="H432" s="9" t="s">
        <v>106</v>
      </c>
      <c r="J432" s="9" t="s">
        <v>116</v>
      </c>
      <c r="K432" s="9" t="s">
        <v>489</v>
      </c>
      <c r="L432" t="str">
        <f>IF(OR(J432="Cattle",J432="Zebu Cattle"),IF(COUNTIF(lists!$M$2:$M$258, K432) &gt; 0,"bos.indicus",IF(COUNTIF(lists!$L$2:$L$258, K432) &gt; 0,"cross.bred","pure.bred.exotic")),"NA")</f>
        <v>NA</v>
      </c>
      <c r="M432" t="str">
        <f>IF(J432="Sheep",IF(COUNTIF(lists!$H$2:$H$258, K432) &gt; 0,"indigenous",IF(COUNTIF(lists!$G$2:$G$258, K432) &gt; 0,"cross.bred","not found")),"NA")</f>
        <v>NA</v>
      </c>
      <c r="N432" t="str">
        <f>IF(J432="Goat",IF(COUNTIF(lists!$J$2:$J$258, K432) &gt; 0,"indigenous",IF(COUNTIF(lists!$I$2:$I$258, K432) &gt; 0,"cross.bred","not found")),"NA")</f>
        <v>not found</v>
      </c>
      <c r="O432" s="9" t="s">
        <v>109</v>
      </c>
      <c r="P432" s="9" t="s">
        <v>187</v>
      </c>
      <c r="S432" s="9">
        <v>217.3</v>
      </c>
      <c r="T432" s="9">
        <v>130.39999999999901</v>
      </c>
      <c r="U432" s="9">
        <v>272.5</v>
      </c>
      <c r="V432" s="9">
        <v>920</v>
      </c>
      <c r="W432" s="9" t="s">
        <v>106</v>
      </c>
      <c r="X432" s="9">
        <v>305.39999999999998</v>
      </c>
      <c r="Y432" s="9">
        <v>50.2</v>
      </c>
      <c r="Z432" s="37"/>
      <c r="AA432" s="37"/>
      <c r="AB432" s="37"/>
      <c r="AE432"/>
    </row>
    <row r="433" spans="1:31" hidden="1">
      <c r="A433" s="9" t="s">
        <v>499</v>
      </c>
      <c r="B433" s="9" t="s">
        <v>500</v>
      </c>
      <c r="C433" s="9" t="s">
        <v>105</v>
      </c>
      <c r="D433" s="9">
        <v>0.5</v>
      </c>
      <c r="E433" s="9">
        <v>50.59</v>
      </c>
      <c r="F433" s="9" t="s">
        <v>106</v>
      </c>
      <c r="G433" s="9" t="s">
        <v>106</v>
      </c>
      <c r="H433" s="9" t="s">
        <v>106</v>
      </c>
      <c r="J433" s="9" t="s">
        <v>116</v>
      </c>
      <c r="K433" s="9" t="s">
        <v>501</v>
      </c>
      <c r="L433" t="str">
        <f>IF(OR(J433="Cattle",J433="Zebu Cattle"),IF(COUNTIF(lists!$M$2:$M$258, K433) &gt; 0,"bos.indicus",IF(COUNTIF(lists!$L$2:$L$258, K433) &gt; 0,"cross.bred","pure.bred.exotic")),"NA")</f>
        <v>NA</v>
      </c>
      <c r="M433" t="str">
        <f>IF(J433="Sheep",IF(COUNTIF(lists!$H$2:$H$258, K433) &gt; 0,"indigenous",IF(COUNTIF(lists!$G$2:$G$258, K433) &gt; 0,"cross.bred","not found")),"NA")</f>
        <v>NA</v>
      </c>
      <c r="N433" t="str">
        <f>IF(J433="Goat",IF(COUNTIF(lists!$J$2:$J$258, K433) &gt; 0,"indigenous",IF(COUNTIF(lists!$I$2:$I$258, K433) &gt; 0,"cross.bred","not found")),"NA")</f>
        <v>not found</v>
      </c>
      <c r="O433" s="9" t="s">
        <v>109</v>
      </c>
      <c r="P433" s="9" t="s">
        <v>170</v>
      </c>
      <c r="S433" s="9" t="s">
        <v>106</v>
      </c>
      <c r="T433" s="9" t="s">
        <v>106</v>
      </c>
      <c r="U433" s="9" t="s">
        <v>106</v>
      </c>
      <c r="V433" s="9" t="s">
        <v>106</v>
      </c>
      <c r="W433" s="9" t="s">
        <v>106</v>
      </c>
      <c r="X433" s="9" t="s">
        <v>106</v>
      </c>
      <c r="Y433" s="9">
        <v>0.62</v>
      </c>
      <c r="Z433" s="37"/>
      <c r="AA433" s="37"/>
      <c r="AB433" s="37"/>
      <c r="AE433"/>
    </row>
    <row r="434" spans="1:31" hidden="1">
      <c r="A434" s="9" t="s">
        <v>499</v>
      </c>
      <c r="B434" s="9" t="s">
        <v>502</v>
      </c>
      <c r="C434" s="9" t="s">
        <v>105</v>
      </c>
      <c r="D434" s="9">
        <v>0.47599999999999998</v>
      </c>
      <c r="E434" s="9">
        <v>50.59</v>
      </c>
      <c r="F434" s="9" t="s">
        <v>106</v>
      </c>
      <c r="G434" s="9" t="s">
        <v>106</v>
      </c>
      <c r="H434" s="9" t="s">
        <v>106</v>
      </c>
      <c r="J434" s="9" t="s">
        <v>116</v>
      </c>
      <c r="K434" s="9" t="s">
        <v>501</v>
      </c>
      <c r="L434" t="str">
        <f>IF(OR(J434="Cattle",J434="Zebu Cattle"),IF(COUNTIF(lists!$M$2:$M$258, K434) &gt; 0,"bos.indicus",IF(COUNTIF(lists!$L$2:$L$258, K434) &gt; 0,"cross.bred","pure.bred.exotic")),"NA")</f>
        <v>NA</v>
      </c>
      <c r="M434" t="str">
        <f>IF(J434="Sheep",IF(COUNTIF(lists!$H$2:$H$258, K434) &gt; 0,"indigenous",IF(COUNTIF(lists!$G$2:$G$258, K434) &gt; 0,"cross.bred","not found")),"NA")</f>
        <v>NA</v>
      </c>
      <c r="N434" t="str">
        <f>IF(J434="Goat",IF(COUNTIF(lists!$J$2:$J$258, K434) &gt; 0,"indigenous",IF(COUNTIF(lists!$I$2:$I$258, K434) &gt; 0,"cross.bred","not found")),"NA")</f>
        <v>not found</v>
      </c>
      <c r="O434" s="9" t="s">
        <v>109</v>
      </c>
      <c r="P434" s="9" t="s">
        <v>170</v>
      </c>
      <c r="S434" s="9" t="s">
        <v>106</v>
      </c>
      <c r="T434" s="9" t="s">
        <v>106</v>
      </c>
      <c r="U434" s="9" t="s">
        <v>106</v>
      </c>
      <c r="V434" s="9" t="s">
        <v>106</v>
      </c>
      <c r="W434" s="9" t="s">
        <v>106</v>
      </c>
      <c r="X434" s="9" t="s">
        <v>106</v>
      </c>
      <c r="Y434" s="9">
        <v>0.66</v>
      </c>
      <c r="Z434" s="37"/>
      <c r="AA434" s="37"/>
      <c r="AB434" s="37"/>
      <c r="AE434"/>
    </row>
    <row r="435" spans="1:31" hidden="1">
      <c r="A435" s="9" t="s">
        <v>499</v>
      </c>
      <c r="B435" s="9" t="s">
        <v>503</v>
      </c>
      <c r="C435" s="9" t="s">
        <v>105</v>
      </c>
      <c r="D435" s="9">
        <v>0.46899999999999997</v>
      </c>
      <c r="E435" s="9">
        <v>50.59</v>
      </c>
      <c r="F435" s="9" t="s">
        <v>106</v>
      </c>
      <c r="G435" s="9" t="s">
        <v>106</v>
      </c>
      <c r="H435" s="9" t="s">
        <v>106</v>
      </c>
      <c r="J435" s="9" t="s">
        <v>116</v>
      </c>
      <c r="K435" s="9" t="s">
        <v>501</v>
      </c>
      <c r="L435" t="str">
        <f>IF(OR(J435="Cattle",J435="Zebu Cattle"),IF(COUNTIF(lists!$M$2:$M$258, K435) &gt; 0,"bos.indicus",IF(COUNTIF(lists!$L$2:$L$258, K435) &gt; 0,"cross.bred","pure.bred.exotic")),"NA")</f>
        <v>NA</v>
      </c>
      <c r="M435" t="str">
        <f>IF(J435="Sheep",IF(COUNTIF(lists!$H$2:$H$258, K435) &gt; 0,"indigenous",IF(COUNTIF(lists!$G$2:$G$258, K435) &gt; 0,"cross.bred","not found")),"NA")</f>
        <v>NA</v>
      </c>
      <c r="N435" t="str">
        <f>IF(J435="Goat",IF(COUNTIF(lists!$J$2:$J$258, K435) &gt; 0,"indigenous",IF(COUNTIF(lists!$I$2:$I$258, K435) &gt; 0,"cross.bred","not found")),"NA")</f>
        <v>not found</v>
      </c>
      <c r="O435" s="9" t="s">
        <v>109</v>
      </c>
      <c r="P435" s="9" t="s">
        <v>170</v>
      </c>
      <c r="S435" s="9" t="s">
        <v>106</v>
      </c>
      <c r="T435" s="9" t="s">
        <v>106</v>
      </c>
      <c r="U435" s="9" t="s">
        <v>106</v>
      </c>
      <c r="V435" s="9" t="s">
        <v>106</v>
      </c>
      <c r="W435" s="9" t="s">
        <v>106</v>
      </c>
      <c r="X435" s="9" t="s">
        <v>106</v>
      </c>
      <c r="Y435" s="9">
        <v>0.59</v>
      </c>
      <c r="Z435" s="37"/>
      <c r="AA435" s="37"/>
      <c r="AB435" s="37"/>
      <c r="AE435"/>
    </row>
    <row r="436" spans="1:31" hidden="1">
      <c r="A436" s="9" t="s">
        <v>499</v>
      </c>
      <c r="B436" s="9" t="s">
        <v>504</v>
      </c>
      <c r="C436" s="9" t="s">
        <v>105</v>
      </c>
      <c r="D436" s="9">
        <v>0.51100000000000001</v>
      </c>
      <c r="E436" s="9">
        <v>50.59</v>
      </c>
      <c r="F436" s="9" t="s">
        <v>106</v>
      </c>
      <c r="G436" s="9" t="s">
        <v>106</v>
      </c>
      <c r="H436" s="9" t="s">
        <v>106</v>
      </c>
      <c r="J436" s="9" t="s">
        <v>116</v>
      </c>
      <c r="K436" s="9" t="s">
        <v>501</v>
      </c>
      <c r="L436" t="str">
        <f>IF(OR(J436="Cattle",J436="Zebu Cattle"),IF(COUNTIF(lists!$M$2:$M$258, K436) &gt; 0,"bos.indicus",IF(COUNTIF(lists!$L$2:$L$258, K436) &gt; 0,"cross.bred","pure.bred.exotic")),"NA")</f>
        <v>NA</v>
      </c>
      <c r="M436" t="str">
        <f>IF(J436="Sheep",IF(COUNTIF(lists!$H$2:$H$258, K436) &gt; 0,"indigenous",IF(COUNTIF(lists!$G$2:$G$258, K436) &gt; 0,"cross.bred","not found")),"NA")</f>
        <v>NA</v>
      </c>
      <c r="N436" t="str">
        <f>IF(J436="Goat",IF(COUNTIF(lists!$J$2:$J$258, K436) &gt; 0,"indigenous",IF(COUNTIF(lists!$I$2:$I$258, K436) &gt; 0,"cross.bred","not found")),"NA")</f>
        <v>not found</v>
      </c>
      <c r="O436" s="9" t="s">
        <v>109</v>
      </c>
      <c r="P436" s="9" t="s">
        <v>170</v>
      </c>
      <c r="S436" s="9" t="s">
        <v>106</v>
      </c>
      <c r="T436" s="9" t="s">
        <v>106</v>
      </c>
      <c r="U436" s="9" t="s">
        <v>106</v>
      </c>
      <c r="V436" s="9" t="s">
        <v>106</v>
      </c>
      <c r="W436" s="9" t="s">
        <v>106</v>
      </c>
      <c r="X436" s="9" t="s">
        <v>106</v>
      </c>
      <c r="Y436" s="9">
        <v>0.69</v>
      </c>
      <c r="Z436" s="37"/>
      <c r="AA436" s="37"/>
      <c r="AB436" s="37"/>
      <c r="AE436"/>
    </row>
    <row r="437" spans="1:31" hidden="1">
      <c r="A437" s="9" t="s">
        <v>499</v>
      </c>
      <c r="B437" s="9" t="s">
        <v>505</v>
      </c>
      <c r="C437" s="9" t="s">
        <v>105</v>
      </c>
      <c r="D437" s="9">
        <v>0.37</v>
      </c>
      <c r="E437" s="9">
        <v>50.59</v>
      </c>
      <c r="F437" s="9" t="s">
        <v>106</v>
      </c>
      <c r="G437" s="9" t="s">
        <v>106</v>
      </c>
      <c r="H437" s="9" t="s">
        <v>106</v>
      </c>
      <c r="J437" s="9" t="s">
        <v>116</v>
      </c>
      <c r="K437" s="9" t="s">
        <v>501</v>
      </c>
      <c r="L437" t="str">
        <f>IF(OR(J437="Cattle",J437="Zebu Cattle"),IF(COUNTIF(lists!$M$2:$M$258, K437) &gt; 0,"bos.indicus",IF(COUNTIF(lists!$L$2:$L$258, K437) &gt; 0,"cross.bred","pure.bred.exotic")),"NA")</f>
        <v>NA</v>
      </c>
      <c r="M437" t="str">
        <f>IF(J437="Sheep",IF(COUNTIF(lists!$H$2:$H$258, K437) &gt; 0,"indigenous",IF(COUNTIF(lists!$G$2:$G$258, K437) &gt; 0,"cross.bred","not found")),"NA")</f>
        <v>NA</v>
      </c>
      <c r="N437" t="str">
        <f>IF(J437="Goat",IF(COUNTIF(lists!$J$2:$J$258, K437) &gt; 0,"indigenous",IF(COUNTIF(lists!$I$2:$I$258, K437) &gt; 0,"cross.bred","not found")),"NA")</f>
        <v>not found</v>
      </c>
      <c r="O437" s="9" t="s">
        <v>109</v>
      </c>
      <c r="P437" s="9" t="s">
        <v>170</v>
      </c>
      <c r="S437" s="9" t="s">
        <v>106</v>
      </c>
      <c r="T437" s="9" t="s">
        <v>106</v>
      </c>
      <c r="U437" s="9" t="s">
        <v>106</v>
      </c>
      <c r="V437" s="9" t="s">
        <v>106</v>
      </c>
      <c r="W437" s="9" t="s">
        <v>106</v>
      </c>
      <c r="X437" s="9" t="s">
        <v>106</v>
      </c>
      <c r="Y437" s="9">
        <v>0.65</v>
      </c>
      <c r="Z437" s="37"/>
      <c r="AA437" s="37"/>
      <c r="AB437" s="37"/>
      <c r="AE437"/>
    </row>
    <row r="438" spans="1:31" hidden="1">
      <c r="A438" s="9" t="s">
        <v>506</v>
      </c>
      <c r="B438" s="9" t="s">
        <v>507</v>
      </c>
      <c r="C438" s="9" t="s">
        <v>105</v>
      </c>
      <c r="D438" s="9">
        <v>0.53900000000000003</v>
      </c>
      <c r="E438" s="9">
        <v>55.63</v>
      </c>
      <c r="F438" s="9" t="s">
        <v>106</v>
      </c>
      <c r="G438" s="9" t="s">
        <v>106</v>
      </c>
      <c r="H438" s="9" t="s">
        <v>106</v>
      </c>
      <c r="J438" s="9" t="s">
        <v>116</v>
      </c>
      <c r="K438" s="9" t="s">
        <v>501</v>
      </c>
      <c r="L438" t="str">
        <f>IF(OR(J438="Cattle",J438="Zebu Cattle"),IF(COUNTIF(lists!$M$2:$M$258, K438) &gt; 0,"bos.indicus",IF(COUNTIF(lists!$L$2:$L$258, K438) &gt; 0,"cross.bred","pure.bred.exotic")),"NA")</f>
        <v>NA</v>
      </c>
      <c r="M438" t="str">
        <f>IF(J438="Sheep",IF(COUNTIF(lists!$H$2:$H$258, K438) &gt; 0,"indigenous",IF(COUNTIF(lists!$G$2:$G$258, K438) &gt; 0,"cross.bred","not found")),"NA")</f>
        <v>NA</v>
      </c>
      <c r="N438" t="str">
        <f>IF(J438="Goat",IF(COUNTIF(lists!$J$2:$J$258, K438) &gt; 0,"indigenous",IF(COUNTIF(lists!$I$2:$I$258, K438) &gt; 0,"cross.bred","not found")),"NA")</f>
        <v>not found</v>
      </c>
      <c r="O438" s="9" t="s">
        <v>109</v>
      </c>
      <c r="P438" s="9" t="s">
        <v>170</v>
      </c>
      <c r="S438" s="9" t="s">
        <v>106</v>
      </c>
      <c r="T438" s="9" t="s">
        <v>106</v>
      </c>
      <c r="U438" s="9" t="s">
        <v>106</v>
      </c>
      <c r="V438" s="9" t="s">
        <v>106</v>
      </c>
      <c r="W438" s="9" t="s">
        <v>106</v>
      </c>
      <c r="X438" s="9" t="s">
        <v>106</v>
      </c>
      <c r="Y438" s="9">
        <v>0.71</v>
      </c>
      <c r="Z438" s="37"/>
      <c r="AA438" s="37"/>
      <c r="AB438" s="37"/>
      <c r="AE438"/>
    </row>
    <row r="439" spans="1:31" hidden="1">
      <c r="A439" s="9" t="s">
        <v>506</v>
      </c>
      <c r="B439" s="9" t="s">
        <v>508</v>
      </c>
      <c r="C439" s="9" t="s">
        <v>105</v>
      </c>
      <c r="D439" s="9">
        <v>0.56499999999999995</v>
      </c>
      <c r="E439" s="9">
        <v>55.63</v>
      </c>
      <c r="F439" s="9" t="s">
        <v>106</v>
      </c>
      <c r="G439" s="9" t="s">
        <v>106</v>
      </c>
      <c r="H439" s="9" t="s">
        <v>106</v>
      </c>
      <c r="J439" s="9" t="s">
        <v>116</v>
      </c>
      <c r="K439" s="9" t="s">
        <v>501</v>
      </c>
      <c r="L439" t="str">
        <f>IF(OR(J439="Cattle",J439="Zebu Cattle"),IF(COUNTIF(lists!$M$2:$M$258, K439) &gt; 0,"bos.indicus",IF(COUNTIF(lists!$L$2:$L$258, K439) &gt; 0,"cross.bred","pure.bred.exotic")),"NA")</f>
        <v>NA</v>
      </c>
      <c r="M439" t="str">
        <f>IF(J439="Sheep",IF(COUNTIF(lists!$H$2:$H$258, K439) &gt; 0,"indigenous",IF(COUNTIF(lists!$G$2:$G$258, K439) &gt; 0,"cross.bred","not found")),"NA")</f>
        <v>NA</v>
      </c>
      <c r="N439" t="str">
        <f>IF(J439="Goat",IF(COUNTIF(lists!$J$2:$J$258, K439) &gt; 0,"indigenous",IF(COUNTIF(lists!$I$2:$I$258, K439) &gt; 0,"cross.bred","not found")),"NA")</f>
        <v>not found</v>
      </c>
      <c r="O439" s="9" t="s">
        <v>109</v>
      </c>
      <c r="P439" s="9" t="s">
        <v>170</v>
      </c>
      <c r="S439" s="9" t="s">
        <v>106</v>
      </c>
      <c r="T439" s="9" t="s">
        <v>106</v>
      </c>
      <c r="U439" s="9" t="s">
        <v>106</v>
      </c>
      <c r="V439" s="9" t="s">
        <v>106</v>
      </c>
      <c r="W439" s="9" t="s">
        <v>106</v>
      </c>
      <c r="X439" s="9" t="s">
        <v>106</v>
      </c>
      <c r="Y439" s="9">
        <v>0.73</v>
      </c>
      <c r="Z439" s="37"/>
      <c r="AA439" s="37"/>
      <c r="AB439" s="37"/>
      <c r="AE439"/>
    </row>
    <row r="440" spans="1:31" hidden="1">
      <c r="A440" s="9" t="s">
        <v>506</v>
      </c>
      <c r="B440" s="9" t="s">
        <v>509</v>
      </c>
      <c r="C440" s="9" t="s">
        <v>105</v>
      </c>
      <c r="D440" s="9">
        <v>0.58299999999999996</v>
      </c>
      <c r="E440" s="9">
        <v>55.63</v>
      </c>
      <c r="F440" s="9" t="s">
        <v>106</v>
      </c>
      <c r="G440" s="9" t="s">
        <v>106</v>
      </c>
      <c r="H440" s="9" t="s">
        <v>106</v>
      </c>
      <c r="J440" s="9" t="s">
        <v>116</v>
      </c>
      <c r="K440" s="9" t="s">
        <v>501</v>
      </c>
      <c r="L440" t="str">
        <f>IF(OR(J440="Cattle",J440="Zebu Cattle"),IF(COUNTIF(lists!$M$2:$M$258, K440) &gt; 0,"bos.indicus",IF(COUNTIF(lists!$L$2:$L$258, K440) &gt; 0,"cross.bred","pure.bred.exotic")),"NA")</f>
        <v>NA</v>
      </c>
      <c r="M440" t="str">
        <f>IF(J440="Sheep",IF(COUNTIF(lists!$H$2:$H$258, K440) &gt; 0,"indigenous",IF(COUNTIF(lists!$G$2:$G$258, K440) &gt; 0,"cross.bred","not found")),"NA")</f>
        <v>NA</v>
      </c>
      <c r="N440" t="str">
        <f>IF(J440="Goat",IF(COUNTIF(lists!$J$2:$J$258, K440) &gt; 0,"indigenous",IF(COUNTIF(lists!$I$2:$I$258, K440) &gt; 0,"cross.bred","not found")),"NA")</f>
        <v>not found</v>
      </c>
      <c r="O440" s="9" t="s">
        <v>109</v>
      </c>
      <c r="P440" s="9" t="s">
        <v>170</v>
      </c>
      <c r="S440" s="9" t="s">
        <v>106</v>
      </c>
      <c r="T440" s="9" t="s">
        <v>106</v>
      </c>
      <c r="U440" s="9" t="s">
        <v>106</v>
      </c>
      <c r="V440" s="9" t="s">
        <v>106</v>
      </c>
      <c r="W440" s="9" t="s">
        <v>106</v>
      </c>
      <c r="X440" s="9" t="s">
        <v>106</v>
      </c>
      <c r="Y440" s="9">
        <v>0.78</v>
      </c>
      <c r="Z440" s="37"/>
      <c r="AA440" s="37"/>
      <c r="AB440" s="37"/>
      <c r="AE440"/>
    </row>
    <row r="441" spans="1:31" hidden="1">
      <c r="A441" s="9" t="s">
        <v>506</v>
      </c>
      <c r="B441" s="9" t="s">
        <v>510</v>
      </c>
      <c r="C441" s="9" t="s">
        <v>105</v>
      </c>
      <c r="D441" s="9">
        <v>0.55200000000000005</v>
      </c>
      <c r="E441" s="9">
        <v>55.63</v>
      </c>
      <c r="F441" s="9" t="s">
        <v>106</v>
      </c>
      <c r="G441" s="9" t="s">
        <v>106</v>
      </c>
      <c r="H441" s="9" t="s">
        <v>106</v>
      </c>
      <c r="J441" s="9" t="s">
        <v>116</v>
      </c>
      <c r="K441" s="9" t="s">
        <v>501</v>
      </c>
      <c r="L441" t="str">
        <f>IF(OR(J441="Cattle",J441="Zebu Cattle"),IF(COUNTIF(lists!$M$2:$M$258, K441) &gt; 0,"bos.indicus",IF(COUNTIF(lists!$L$2:$L$258, K441) &gt; 0,"cross.bred","pure.bred.exotic")),"NA")</f>
        <v>NA</v>
      </c>
      <c r="M441" t="str">
        <f>IF(J441="Sheep",IF(COUNTIF(lists!$H$2:$H$258, K441) &gt; 0,"indigenous",IF(COUNTIF(lists!$G$2:$G$258, K441) &gt; 0,"cross.bred","not found")),"NA")</f>
        <v>NA</v>
      </c>
      <c r="N441" t="str">
        <f>IF(J441="Goat",IF(COUNTIF(lists!$J$2:$J$258, K441) &gt; 0,"indigenous",IF(COUNTIF(lists!$I$2:$I$258, K441) &gt; 0,"cross.bred","not found")),"NA")</f>
        <v>not found</v>
      </c>
      <c r="O441" s="9" t="s">
        <v>109</v>
      </c>
      <c r="P441" s="9" t="s">
        <v>170</v>
      </c>
      <c r="S441" s="9" t="s">
        <v>106</v>
      </c>
      <c r="T441" s="9" t="s">
        <v>106</v>
      </c>
      <c r="U441" s="9" t="s">
        <v>106</v>
      </c>
      <c r="V441" s="9" t="s">
        <v>106</v>
      </c>
      <c r="W441" s="9" t="s">
        <v>106</v>
      </c>
      <c r="X441" s="9" t="s">
        <v>106</v>
      </c>
      <c r="Y441" s="9">
        <v>0.71</v>
      </c>
      <c r="Z441" s="37"/>
      <c r="AA441" s="37"/>
      <c r="AB441" s="37"/>
      <c r="AE441"/>
    </row>
    <row r="442" spans="1:31" hidden="1">
      <c r="A442" s="9" t="s">
        <v>506</v>
      </c>
      <c r="B442" s="9" t="s">
        <v>511</v>
      </c>
      <c r="C442" s="9" t="s">
        <v>105</v>
      </c>
      <c r="D442" s="9">
        <v>0.51700000000000002</v>
      </c>
      <c r="E442" s="9">
        <v>55.63</v>
      </c>
      <c r="F442" s="9" t="s">
        <v>106</v>
      </c>
      <c r="G442" s="9" t="s">
        <v>106</v>
      </c>
      <c r="H442" s="9" t="s">
        <v>106</v>
      </c>
      <c r="J442" s="9" t="s">
        <v>116</v>
      </c>
      <c r="K442" s="9" t="s">
        <v>501</v>
      </c>
      <c r="L442" t="str">
        <f>IF(OR(J442="Cattle",J442="Zebu Cattle"),IF(COUNTIF(lists!$M$2:$M$258, K442) &gt; 0,"bos.indicus",IF(COUNTIF(lists!$L$2:$L$258, K442) &gt; 0,"cross.bred","pure.bred.exotic")),"NA")</f>
        <v>NA</v>
      </c>
      <c r="M442" t="str">
        <f>IF(J442="Sheep",IF(COUNTIF(lists!$H$2:$H$258, K442) &gt; 0,"indigenous",IF(COUNTIF(lists!$G$2:$G$258, K442) &gt; 0,"cross.bred","not found")),"NA")</f>
        <v>NA</v>
      </c>
      <c r="N442" t="str">
        <f>IF(J442="Goat",IF(COUNTIF(lists!$J$2:$J$258, K442) &gt; 0,"indigenous",IF(COUNTIF(lists!$I$2:$I$258, K442) &gt; 0,"cross.bred","not found")),"NA")</f>
        <v>not found</v>
      </c>
      <c r="O442" s="9" t="s">
        <v>109</v>
      </c>
      <c r="P442" s="9" t="s">
        <v>170</v>
      </c>
      <c r="S442" s="9" t="s">
        <v>106</v>
      </c>
      <c r="T442" s="9" t="s">
        <v>106</v>
      </c>
      <c r="U442" s="9" t="s">
        <v>106</v>
      </c>
      <c r="V442" s="9" t="s">
        <v>106</v>
      </c>
      <c r="W442" s="9" t="s">
        <v>106</v>
      </c>
      <c r="X442" s="9" t="s">
        <v>106</v>
      </c>
      <c r="Y442" s="9">
        <v>0.74</v>
      </c>
      <c r="Z442" s="37"/>
      <c r="AA442" s="37"/>
      <c r="AB442" s="37"/>
      <c r="AE442"/>
    </row>
    <row r="443" spans="1:31" hidden="1">
      <c r="A443" s="9" t="s">
        <v>512</v>
      </c>
      <c r="B443" s="9" t="s">
        <v>513</v>
      </c>
      <c r="C443" s="9" t="s">
        <v>105</v>
      </c>
      <c r="D443" s="9">
        <v>0.55000000000000004</v>
      </c>
      <c r="E443" s="9">
        <v>41.11</v>
      </c>
      <c r="F443" s="9" t="s">
        <v>106</v>
      </c>
      <c r="G443" s="9" t="s">
        <v>106</v>
      </c>
      <c r="H443" s="9" t="s">
        <v>106</v>
      </c>
      <c r="J443" s="9" t="s">
        <v>116</v>
      </c>
      <c r="K443" s="9" t="s">
        <v>501</v>
      </c>
      <c r="L443" t="str">
        <f>IF(OR(J443="Cattle",J443="Zebu Cattle"),IF(COUNTIF(lists!$M$2:$M$258, K443) &gt; 0,"bos.indicus",IF(COUNTIF(lists!$L$2:$L$258, K443) &gt; 0,"cross.bred","pure.bred.exotic")),"NA")</f>
        <v>NA</v>
      </c>
      <c r="M443" t="str">
        <f>IF(J443="Sheep",IF(COUNTIF(lists!$H$2:$H$258, K443) &gt; 0,"indigenous",IF(COUNTIF(lists!$G$2:$G$258, K443) &gt; 0,"cross.bred","not found")),"NA")</f>
        <v>NA</v>
      </c>
      <c r="N443" t="str">
        <f>IF(J443="Goat",IF(COUNTIF(lists!$J$2:$J$258, K443) &gt; 0,"indigenous",IF(COUNTIF(lists!$I$2:$I$258, K443) &gt; 0,"cross.bred","not found")),"NA")</f>
        <v>not found</v>
      </c>
      <c r="O443" s="9" t="s">
        <v>109</v>
      </c>
      <c r="P443" s="9" t="s">
        <v>170</v>
      </c>
      <c r="S443" s="9" t="s">
        <v>106</v>
      </c>
      <c r="T443" s="9" t="s">
        <v>106</v>
      </c>
      <c r="U443" s="9" t="s">
        <v>106</v>
      </c>
      <c r="V443" s="9" t="s">
        <v>106</v>
      </c>
      <c r="W443" s="9" t="s">
        <v>106</v>
      </c>
      <c r="X443" s="9" t="s">
        <v>106</v>
      </c>
      <c r="Y443" s="9">
        <v>0.67</v>
      </c>
      <c r="Z443" s="37"/>
      <c r="AA443" s="37"/>
      <c r="AB443" s="37"/>
      <c r="AE443"/>
    </row>
    <row r="444" spans="1:31" hidden="1">
      <c r="A444" s="9" t="s">
        <v>512</v>
      </c>
      <c r="B444" s="9" t="s">
        <v>514</v>
      </c>
      <c r="C444" s="9" t="s">
        <v>105</v>
      </c>
      <c r="D444" s="9">
        <v>0.49199999999999999</v>
      </c>
      <c r="E444" s="9">
        <v>41.11</v>
      </c>
      <c r="F444" s="9" t="s">
        <v>106</v>
      </c>
      <c r="G444" s="9" t="s">
        <v>106</v>
      </c>
      <c r="H444" s="9" t="s">
        <v>106</v>
      </c>
      <c r="J444" s="9" t="s">
        <v>116</v>
      </c>
      <c r="K444" s="9" t="s">
        <v>501</v>
      </c>
      <c r="L444" t="str">
        <f>IF(OR(J444="Cattle",J444="Zebu Cattle"),IF(COUNTIF(lists!$M$2:$M$258, K444) &gt; 0,"bos.indicus",IF(COUNTIF(lists!$L$2:$L$258, K444) &gt; 0,"cross.bred","pure.bred.exotic")),"NA")</f>
        <v>NA</v>
      </c>
      <c r="M444" t="str">
        <f>IF(J444="Sheep",IF(COUNTIF(lists!$H$2:$H$258, K444) &gt; 0,"indigenous",IF(COUNTIF(lists!$G$2:$G$258, K444) &gt; 0,"cross.bred","not found")),"NA")</f>
        <v>NA</v>
      </c>
      <c r="N444" t="str">
        <f>IF(J444="Goat",IF(COUNTIF(lists!$J$2:$J$258, K444) &gt; 0,"indigenous",IF(COUNTIF(lists!$I$2:$I$258, K444) &gt; 0,"cross.bred","not found")),"NA")</f>
        <v>not found</v>
      </c>
      <c r="O444" s="9" t="s">
        <v>109</v>
      </c>
      <c r="P444" s="9" t="s">
        <v>170</v>
      </c>
      <c r="S444" s="9" t="s">
        <v>106</v>
      </c>
      <c r="T444" s="9" t="s">
        <v>106</v>
      </c>
      <c r="U444" s="9" t="s">
        <v>106</v>
      </c>
      <c r="V444" s="9" t="s">
        <v>106</v>
      </c>
      <c r="W444" s="9" t="s">
        <v>106</v>
      </c>
      <c r="X444" s="9" t="s">
        <v>106</v>
      </c>
      <c r="Y444" s="9">
        <v>0.65</v>
      </c>
      <c r="Z444" s="37"/>
      <c r="AA444" s="37"/>
      <c r="AB444" s="37"/>
      <c r="AE444"/>
    </row>
    <row r="445" spans="1:31" hidden="1">
      <c r="A445" s="9" t="s">
        <v>512</v>
      </c>
      <c r="B445" s="9" t="s">
        <v>515</v>
      </c>
      <c r="C445" s="9" t="s">
        <v>105</v>
      </c>
      <c r="D445" s="9">
        <v>0.44700000000000001</v>
      </c>
      <c r="E445" s="9">
        <v>41.11</v>
      </c>
      <c r="F445" s="9" t="s">
        <v>106</v>
      </c>
      <c r="G445" s="9" t="s">
        <v>106</v>
      </c>
      <c r="H445" s="9" t="s">
        <v>106</v>
      </c>
      <c r="J445" s="9" t="s">
        <v>116</v>
      </c>
      <c r="K445" s="9" t="s">
        <v>501</v>
      </c>
      <c r="L445" t="str">
        <f>IF(OR(J445="Cattle",J445="Zebu Cattle"),IF(COUNTIF(lists!$M$2:$M$258, K445) &gt; 0,"bos.indicus",IF(COUNTIF(lists!$L$2:$L$258, K445) &gt; 0,"cross.bred","pure.bred.exotic")),"NA")</f>
        <v>NA</v>
      </c>
      <c r="M445" t="str">
        <f>IF(J445="Sheep",IF(COUNTIF(lists!$H$2:$H$258, K445) &gt; 0,"indigenous",IF(COUNTIF(lists!$G$2:$G$258, K445) &gt; 0,"cross.bred","not found")),"NA")</f>
        <v>NA</v>
      </c>
      <c r="N445" t="str">
        <f>IF(J445="Goat",IF(COUNTIF(lists!$J$2:$J$258, K445) &gt; 0,"indigenous",IF(COUNTIF(lists!$I$2:$I$258, K445) &gt; 0,"cross.bred","not found")),"NA")</f>
        <v>not found</v>
      </c>
      <c r="O445" s="9" t="s">
        <v>109</v>
      </c>
      <c r="P445" s="9" t="s">
        <v>170</v>
      </c>
      <c r="S445" s="9" t="s">
        <v>106</v>
      </c>
      <c r="T445" s="9" t="s">
        <v>106</v>
      </c>
      <c r="U445" s="9" t="s">
        <v>106</v>
      </c>
      <c r="V445" s="9" t="s">
        <v>106</v>
      </c>
      <c r="W445" s="9" t="s">
        <v>106</v>
      </c>
      <c r="X445" s="9" t="s">
        <v>106</v>
      </c>
      <c r="Y445" s="9">
        <v>0.48</v>
      </c>
      <c r="Z445" s="37"/>
      <c r="AA445" s="37"/>
      <c r="AB445" s="37"/>
      <c r="AE445"/>
    </row>
    <row r="446" spans="1:31" hidden="1">
      <c r="A446" s="9" t="s">
        <v>512</v>
      </c>
      <c r="B446" s="9" t="s">
        <v>516</v>
      </c>
      <c r="C446" s="9" t="s">
        <v>105</v>
      </c>
      <c r="D446" s="9">
        <v>0.46</v>
      </c>
      <c r="E446" s="9">
        <v>41.11</v>
      </c>
      <c r="F446" s="9" t="s">
        <v>106</v>
      </c>
      <c r="G446" s="9" t="s">
        <v>106</v>
      </c>
      <c r="H446" s="9" t="s">
        <v>106</v>
      </c>
      <c r="J446" s="9" t="s">
        <v>116</v>
      </c>
      <c r="K446" s="9" t="s">
        <v>501</v>
      </c>
      <c r="L446" t="str">
        <f>IF(OR(J446="Cattle",J446="Zebu Cattle"),IF(COUNTIF(lists!$M$2:$M$258, K446) &gt; 0,"bos.indicus",IF(COUNTIF(lists!$L$2:$L$258, K446) &gt; 0,"cross.bred","pure.bred.exotic")),"NA")</f>
        <v>NA</v>
      </c>
      <c r="M446" t="str">
        <f>IF(J446="Sheep",IF(COUNTIF(lists!$H$2:$H$258, K446) &gt; 0,"indigenous",IF(COUNTIF(lists!$G$2:$G$258, K446) &gt; 0,"cross.bred","not found")),"NA")</f>
        <v>NA</v>
      </c>
      <c r="N446" t="str">
        <f>IF(J446="Goat",IF(COUNTIF(lists!$J$2:$J$258, K446) &gt; 0,"indigenous",IF(COUNTIF(lists!$I$2:$I$258, K446) &gt; 0,"cross.bred","not found")),"NA")</f>
        <v>not found</v>
      </c>
      <c r="O446" s="9" t="s">
        <v>109</v>
      </c>
      <c r="P446" s="9" t="s">
        <v>170</v>
      </c>
      <c r="S446" s="9" t="s">
        <v>106</v>
      </c>
      <c r="T446" s="9" t="s">
        <v>106</v>
      </c>
      <c r="U446" s="9" t="s">
        <v>106</v>
      </c>
      <c r="V446" s="9" t="s">
        <v>106</v>
      </c>
      <c r="W446" s="9" t="s">
        <v>106</v>
      </c>
      <c r="X446" s="9" t="s">
        <v>106</v>
      </c>
      <c r="Y446" s="9">
        <v>0.63</v>
      </c>
      <c r="Z446" s="37"/>
      <c r="AA446" s="37"/>
      <c r="AB446" s="37"/>
      <c r="AE446"/>
    </row>
    <row r="447" spans="1:31" hidden="1">
      <c r="A447" s="9" t="s">
        <v>512</v>
      </c>
      <c r="B447" s="9" t="s">
        <v>517</v>
      </c>
      <c r="C447" s="9" t="s">
        <v>105</v>
      </c>
      <c r="D447" s="9">
        <v>0.46800000000000003</v>
      </c>
      <c r="E447" s="9">
        <v>41.11</v>
      </c>
      <c r="F447" s="9" t="s">
        <v>106</v>
      </c>
      <c r="G447" s="9" t="s">
        <v>106</v>
      </c>
      <c r="H447" s="9" t="s">
        <v>106</v>
      </c>
      <c r="J447" s="9" t="s">
        <v>116</v>
      </c>
      <c r="K447" s="9" t="s">
        <v>501</v>
      </c>
      <c r="L447" t="str">
        <f>IF(OR(J447="Cattle",J447="Zebu Cattle"),IF(COUNTIF(lists!$M$2:$M$258, K447) &gt; 0,"bos.indicus",IF(COUNTIF(lists!$L$2:$L$258, K447) &gt; 0,"cross.bred","pure.bred.exotic")),"NA")</f>
        <v>NA</v>
      </c>
      <c r="M447" t="str">
        <f>IF(J447="Sheep",IF(COUNTIF(lists!$H$2:$H$258, K447) &gt; 0,"indigenous",IF(COUNTIF(lists!$G$2:$G$258, K447) &gt; 0,"cross.bred","not found")),"NA")</f>
        <v>NA</v>
      </c>
      <c r="N447" t="str">
        <f>IF(J447="Goat",IF(COUNTIF(lists!$J$2:$J$258, K447) &gt; 0,"indigenous",IF(COUNTIF(lists!$I$2:$I$258, K447) &gt; 0,"cross.bred","not found")),"NA")</f>
        <v>not found</v>
      </c>
      <c r="O447" s="9" t="s">
        <v>109</v>
      </c>
      <c r="P447" s="9" t="s">
        <v>170</v>
      </c>
      <c r="S447" s="9" t="s">
        <v>106</v>
      </c>
      <c r="T447" s="9" t="s">
        <v>106</v>
      </c>
      <c r="U447" s="9" t="s">
        <v>106</v>
      </c>
      <c r="V447" s="9" t="s">
        <v>106</v>
      </c>
      <c r="W447" s="9" t="s">
        <v>106</v>
      </c>
      <c r="X447" s="9" t="s">
        <v>106</v>
      </c>
      <c r="Y447" s="9">
        <v>0.67</v>
      </c>
      <c r="Z447" s="37"/>
      <c r="AA447" s="37"/>
      <c r="AB447" s="37"/>
      <c r="AE447"/>
    </row>
    <row r="448" spans="1:31" hidden="1">
      <c r="A448" s="9" t="s">
        <v>518</v>
      </c>
      <c r="B448" s="9" t="s">
        <v>519</v>
      </c>
      <c r="C448" s="9" t="s">
        <v>105</v>
      </c>
      <c r="D448" s="9">
        <v>0.52100000000000002</v>
      </c>
      <c r="E448" s="9">
        <v>58.02</v>
      </c>
      <c r="F448" s="9" t="s">
        <v>106</v>
      </c>
      <c r="G448" s="9" t="s">
        <v>106</v>
      </c>
      <c r="H448" s="9" t="s">
        <v>106</v>
      </c>
      <c r="J448" s="9" t="s">
        <v>116</v>
      </c>
      <c r="K448" s="9" t="s">
        <v>501</v>
      </c>
      <c r="L448" t="str">
        <f>IF(OR(J448="Cattle",J448="Zebu Cattle"),IF(COUNTIF(lists!$M$2:$M$258, K448) &gt; 0,"bos.indicus",IF(COUNTIF(lists!$L$2:$L$258, K448) &gt; 0,"cross.bred","pure.bred.exotic")),"NA")</f>
        <v>NA</v>
      </c>
      <c r="M448" t="str">
        <f>IF(J448="Sheep",IF(COUNTIF(lists!$H$2:$H$258, K448) &gt; 0,"indigenous",IF(COUNTIF(lists!$G$2:$G$258, K448) &gt; 0,"cross.bred","not found")),"NA")</f>
        <v>NA</v>
      </c>
      <c r="N448" t="str">
        <f>IF(J448="Goat",IF(COUNTIF(lists!$J$2:$J$258, K448) &gt; 0,"indigenous",IF(COUNTIF(lists!$I$2:$I$258, K448) &gt; 0,"cross.bred","not found")),"NA")</f>
        <v>not found</v>
      </c>
      <c r="O448" s="9" t="s">
        <v>109</v>
      </c>
      <c r="P448" s="9" t="s">
        <v>170</v>
      </c>
      <c r="S448" s="9" t="s">
        <v>106</v>
      </c>
      <c r="T448" s="9" t="s">
        <v>106</v>
      </c>
      <c r="U448" s="9" t="s">
        <v>106</v>
      </c>
      <c r="V448" s="9" t="s">
        <v>106</v>
      </c>
      <c r="W448" s="9" t="s">
        <v>106</v>
      </c>
      <c r="X448" s="9" t="s">
        <v>106</v>
      </c>
      <c r="Y448" s="9">
        <v>0.39</v>
      </c>
      <c r="Z448" s="37"/>
      <c r="AA448" s="37"/>
      <c r="AB448" s="37"/>
      <c r="AE448"/>
    </row>
    <row r="449" spans="1:31" hidden="1">
      <c r="A449" s="9" t="s">
        <v>518</v>
      </c>
      <c r="B449" s="9" t="s">
        <v>520</v>
      </c>
      <c r="C449" s="9" t="s">
        <v>105</v>
      </c>
      <c r="D449" s="9">
        <v>0.52700000000000002</v>
      </c>
      <c r="E449" s="9">
        <v>58.02</v>
      </c>
      <c r="F449" s="9" t="s">
        <v>106</v>
      </c>
      <c r="G449" s="9" t="s">
        <v>106</v>
      </c>
      <c r="H449" s="9" t="s">
        <v>106</v>
      </c>
      <c r="J449" s="9" t="s">
        <v>116</v>
      </c>
      <c r="K449" s="9" t="s">
        <v>501</v>
      </c>
      <c r="L449" t="str">
        <f>IF(OR(J449="Cattle",J449="Zebu Cattle"),IF(COUNTIF(lists!$M$2:$M$258, K449) &gt; 0,"bos.indicus",IF(COUNTIF(lists!$L$2:$L$258, K449) &gt; 0,"cross.bred","pure.bred.exotic")),"NA")</f>
        <v>NA</v>
      </c>
      <c r="M449" t="str">
        <f>IF(J449="Sheep",IF(COUNTIF(lists!$H$2:$H$258, K449) &gt; 0,"indigenous",IF(COUNTIF(lists!$G$2:$G$258, K449) &gt; 0,"cross.bred","not found")),"NA")</f>
        <v>NA</v>
      </c>
      <c r="N449" t="str">
        <f>IF(J449="Goat",IF(COUNTIF(lists!$J$2:$J$258, K449) &gt; 0,"indigenous",IF(COUNTIF(lists!$I$2:$I$258, K449) &gt; 0,"cross.bred","not found")),"NA")</f>
        <v>not found</v>
      </c>
      <c r="O449" s="9" t="s">
        <v>109</v>
      </c>
      <c r="P449" s="9" t="s">
        <v>170</v>
      </c>
      <c r="S449" s="9" t="s">
        <v>106</v>
      </c>
      <c r="T449" s="9" t="s">
        <v>106</v>
      </c>
      <c r="U449" s="9" t="s">
        <v>106</v>
      </c>
      <c r="V449" s="9" t="s">
        <v>106</v>
      </c>
      <c r="W449" s="9" t="s">
        <v>106</v>
      </c>
      <c r="X449" s="9" t="s">
        <v>106</v>
      </c>
      <c r="Y449" s="9">
        <v>0.12</v>
      </c>
      <c r="Z449" s="37"/>
      <c r="AA449" s="37"/>
      <c r="AB449" s="37"/>
      <c r="AE449"/>
    </row>
    <row r="450" spans="1:31" hidden="1">
      <c r="A450" s="9" t="s">
        <v>518</v>
      </c>
      <c r="B450" s="9" t="s">
        <v>521</v>
      </c>
      <c r="C450" s="9" t="s">
        <v>105</v>
      </c>
      <c r="D450" s="9">
        <v>0.499</v>
      </c>
      <c r="E450" s="9">
        <v>58.02</v>
      </c>
      <c r="F450" s="9" t="s">
        <v>106</v>
      </c>
      <c r="G450" s="9" t="s">
        <v>106</v>
      </c>
      <c r="H450" s="9" t="s">
        <v>106</v>
      </c>
      <c r="J450" s="9" t="s">
        <v>116</v>
      </c>
      <c r="K450" s="9" t="s">
        <v>501</v>
      </c>
      <c r="L450" t="str">
        <f>IF(OR(J450="Cattle",J450="Zebu Cattle"),IF(COUNTIF(lists!$M$2:$M$258, K450) &gt; 0,"bos.indicus",IF(COUNTIF(lists!$L$2:$L$258, K450) &gt; 0,"cross.bred","pure.bred.exotic")),"NA")</f>
        <v>NA</v>
      </c>
      <c r="M450" t="str">
        <f>IF(J450="Sheep",IF(COUNTIF(lists!$H$2:$H$258, K450) &gt; 0,"indigenous",IF(COUNTIF(lists!$G$2:$G$258, K450) &gt; 0,"cross.bred","not found")),"NA")</f>
        <v>NA</v>
      </c>
      <c r="N450" t="str">
        <f>IF(J450="Goat",IF(COUNTIF(lists!$J$2:$J$258, K450) &gt; 0,"indigenous",IF(COUNTIF(lists!$I$2:$I$258, K450) &gt; 0,"cross.bred","not found")),"NA")</f>
        <v>not found</v>
      </c>
      <c r="O450" s="9" t="s">
        <v>109</v>
      </c>
      <c r="P450" s="9" t="s">
        <v>170</v>
      </c>
      <c r="S450" s="9" t="s">
        <v>106</v>
      </c>
      <c r="T450" s="9" t="s">
        <v>106</v>
      </c>
      <c r="U450" s="9" t="s">
        <v>106</v>
      </c>
      <c r="V450" s="9" t="s">
        <v>106</v>
      </c>
      <c r="W450" s="9" t="s">
        <v>106</v>
      </c>
      <c r="X450" s="9" t="s">
        <v>106</v>
      </c>
      <c r="Y450" s="9">
        <v>0.19</v>
      </c>
      <c r="Z450" s="37"/>
      <c r="AA450" s="37"/>
      <c r="AB450" s="37"/>
      <c r="AE450"/>
    </row>
    <row r="451" spans="1:31" hidden="1">
      <c r="A451" s="9" t="s">
        <v>522</v>
      </c>
      <c r="B451" s="9" t="s">
        <v>523</v>
      </c>
      <c r="C451" s="9" t="s">
        <v>105</v>
      </c>
      <c r="D451" s="9">
        <v>0.43180000000000002</v>
      </c>
      <c r="E451" s="9">
        <v>3.4609999999999999</v>
      </c>
      <c r="F451" s="9" t="s">
        <v>106</v>
      </c>
      <c r="G451" s="9" t="s">
        <v>106</v>
      </c>
      <c r="H451" s="9" t="s">
        <v>106</v>
      </c>
      <c r="J451" s="9" t="s">
        <v>116</v>
      </c>
      <c r="K451" s="9" t="s">
        <v>524</v>
      </c>
      <c r="L451" t="str">
        <f>IF(OR(J451="Cattle",J451="Zebu Cattle"),IF(COUNTIF(lists!$M$2:$M$258, K451) &gt; 0,"bos.indicus",IF(COUNTIF(lists!$L$2:$L$258, K451) &gt; 0,"cross.bred","pure.bred.exotic")),"NA")</f>
        <v>NA</v>
      </c>
      <c r="M451" t="str">
        <f>IF(J451="Sheep",IF(COUNTIF(lists!$H$2:$H$258, K451) &gt; 0,"indigenous",IF(COUNTIF(lists!$G$2:$G$258, K451) &gt; 0,"cross.bred","not found")),"NA")</f>
        <v>NA</v>
      </c>
      <c r="N451" t="str">
        <f>IF(J451="Goat",IF(COUNTIF(lists!$J$2:$J$258, K451) &gt; 0,"indigenous",IF(COUNTIF(lists!$I$2:$I$258, K451) &gt; 0,"cross.bred","not found")),"NA")</f>
        <v>not found</v>
      </c>
      <c r="O451" s="9" t="s">
        <v>109</v>
      </c>
      <c r="P451" s="9" t="s">
        <v>479</v>
      </c>
      <c r="S451" s="9">
        <v>113.1</v>
      </c>
      <c r="T451" s="9" t="s">
        <v>106</v>
      </c>
      <c r="U451" s="9">
        <v>188.1</v>
      </c>
      <c r="V451" s="9" t="s">
        <v>106</v>
      </c>
      <c r="W451" s="9">
        <v>33.200000000000003</v>
      </c>
      <c r="X451" s="9">
        <v>188</v>
      </c>
      <c r="Y451" s="9">
        <v>178.7</v>
      </c>
      <c r="Z451" s="37"/>
      <c r="AA451" s="37"/>
      <c r="AB451" s="37"/>
      <c r="AE451"/>
    </row>
    <row r="452" spans="1:31" hidden="1">
      <c r="A452" s="9" t="s">
        <v>522</v>
      </c>
      <c r="B452" s="9" t="s">
        <v>525</v>
      </c>
      <c r="C452" s="9" t="s">
        <v>105</v>
      </c>
      <c r="D452" s="9">
        <v>0.43180000000000002</v>
      </c>
      <c r="E452" s="9">
        <v>3.4609999999999999</v>
      </c>
      <c r="F452" s="9" t="s">
        <v>106</v>
      </c>
      <c r="G452" s="9" t="s">
        <v>106</v>
      </c>
      <c r="H452" s="9" t="s">
        <v>106</v>
      </c>
      <c r="J452" s="9" t="s">
        <v>116</v>
      </c>
      <c r="K452" s="9" t="s">
        <v>524</v>
      </c>
      <c r="L452" t="str">
        <f>IF(OR(J452="Cattle",J452="Zebu Cattle"),IF(COUNTIF(lists!$M$2:$M$258, K452) &gt; 0,"bos.indicus",IF(COUNTIF(lists!$L$2:$L$258, K452) &gt; 0,"cross.bred","pure.bred.exotic")),"NA")</f>
        <v>NA</v>
      </c>
      <c r="M452" t="str">
        <f>IF(J452="Sheep",IF(COUNTIF(lists!$H$2:$H$258, K452) &gt; 0,"indigenous",IF(COUNTIF(lists!$G$2:$G$258, K452) &gt; 0,"cross.bred","not found")),"NA")</f>
        <v>NA</v>
      </c>
      <c r="N452" t="str">
        <f>IF(J452="Goat",IF(COUNTIF(lists!$J$2:$J$258, K452) &gt; 0,"indigenous",IF(COUNTIF(lists!$I$2:$I$258, K452) &gt; 0,"cross.bred","not found")),"NA")</f>
        <v>not found</v>
      </c>
      <c r="O452" s="9" t="s">
        <v>109</v>
      </c>
      <c r="P452" s="9" t="s">
        <v>479</v>
      </c>
      <c r="S452" s="9">
        <v>97.8</v>
      </c>
      <c r="T452" s="9" t="s">
        <v>106</v>
      </c>
      <c r="U452" s="9">
        <v>185.6</v>
      </c>
      <c r="V452" s="9" t="s">
        <v>106</v>
      </c>
      <c r="W452" s="9">
        <v>55.6</v>
      </c>
      <c r="X452" s="9">
        <v>164.8</v>
      </c>
      <c r="Y452" s="9">
        <v>153.4</v>
      </c>
      <c r="Z452" s="37"/>
      <c r="AA452" s="37"/>
      <c r="AB452" s="37"/>
      <c r="AE452"/>
    </row>
    <row r="453" spans="1:31" hidden="1">
      <c r="A453" s="9" t="s">
        <v>522</v>
      </c>
      <c r="B453" s="9" t="s">
        <v>526</v>
      </c>
      <c r="C453" s="9" t="s">
        <v>105</v>
      </c>
      <c r="D453" s="9">
        <v>0.43559999999999999</v>
      </c>
      <c r="E453" s="9">
        <v>3.4609999999999999</v>
      </c>
      <c r="F453" s="9" t="s">
        <v>106</v>
      </c>
      <c r="G453" s="9" t="s">
        <v>106</v>
      </c>
      <c r="H453" s="9" t="s">
        <v>106</v>
      </c>
      <c r="J453" s="9" t="s">
        <v>116</v>
      </c>
      <c r="K453" s="9" t="s">
        <v>524</v>
      </c>
      <c r="L453" t="str">
        <f>IF(OR(J453="Cattle",J453="Zebu Cattle"),IF(COUNTIF(lists!$M$2:$M$258, K453) &gt; 0,"bos.indicus",IF(COUNTIF(lists!$L$2:$L$258, K453) &gt; 0,"cross.bred","pure.bred.exotic")),"NA")</f>
        <v>NA</v>
      </c>
      <c r="M453" t="str">
        <f>IF(J453="Sheep",IF(COUNTIF(lists!$H$2:$H$258, K453) &gt; 0,"indigenous",IF(COUNTIF(lists!$G$2:$G$258, K453) &gt; 0,"cross.bred","not found")),"NA")</f>
        <v>NA</v>
      </c>
      <c r="N453" t="str">
        <f>IF(J453="Goat",IF(COUNTIF(lists!$J$2:$J$258, K453) &gt; 0,"indigenous",IF(COUNTIF(lists!$I$2:$I$258, K453) &gt; 0,"cross.bred","not found")),"NA")</f>
        <v>not found</v>
      </c>
      <c r="O453" s="9" t="s">
        <v>109</v>
      </c>
      <c r="P453" s="9" t="s">
        <v>479</v>
      </c>
      <c r="S453" s="9">
        <v>111.1</v>
      </c>
      <c r="T453" s="9" t="s">
        <v>106</v>
      </c>
      <c r="U453" s="9">
        <v>184</v>
      </c>
      <c r="V453" s="9" t="s">
        <v>106</v>
      </c>
      <c r="W453" s="9">
        <v>48.1</v>
      </c>
      <c r="X453" s="9">
        <v>148.5</v>
      </c>
      <c r="Y453" s="9">
        <v>141.30000000000001</v>
      </c>
      <c r="Z453" s="37"/>
      <c r="AA453" s="37"/>
      <c r="AB453" s="37"/>
      <c r="AE453"/>
    </row>
    <row r="454" spans="1:31" hidden="1">
      <c r="A454" s="9" t="s">
        <v>522</v>
      </c>
      <c r="B454" s="9" t="s">
        <v>527</v>
      </c>
      <c r="C454" s="9" t="s">
        <v>105</v>
      </c>
      <c r="D454" s="9">
        <v>0.38619999999999999</v>
      </c>
      <c r="E454" s="9">
        <v>3.4609999999999999</v>
      </c>
      <c r="F454" s="9" t="s">
        <v>106</v>
      </c>
      <c r="G454" s="9" t="s">
        <v>106</v>
      </c>
      <c r="H454" s="9" t="s">
        <v>106</v>
      </c>
      <c r="J454" s="9" t="s">
        <v>116</v>
      </c>
      <c r="K454" s="9" t="s">
        <v>524</v>
      </c>
      <c r="L454" t="str">
        <f>IF(OR(J454="Cattle",J454="Zebu Cattle"),IF(COUNTIF(lists!$M$2:$M$258, K454) &gt; 0,"bos.indicus",IF(COUNTIF(lists!$L$2:$L$258, K454) &gt; 0,"cross.bred","pure.bred.exotic")),"NA")</f>
        <v>NA</v>
      </c>
      <c r="M454" t="str">
        <f>IF(J454="Sheep",IF(COUNTIF(lists!$H$2:$H$258, K454) &gt; 0,"indigenous",IF(COUNTIF(lists!$G$2:$G$258, K454) &gt; 0,"cross.bred","not found")),"NA")</f>
        <v>NA</v>
      </c>
      <c r="N454" t="str">
        <f>IF(J454="Goat",IF(COUNTIF(lists!$J$2:$J$258, K454) &gt; 0,"indigenous",IF(COUNTIF(lists!$I$2:$I$258, K454) &gt; 0,"cross.bred","not found")),"NA")</f>
        <v>not found</v>
      </c>
      <c r="O454" s="9" t="s">
        <v>109</v>
      </c>
      <c r="P454" s="9" t="s">
        <v>479</v>
      </c>
      <c r="S454" s="9">
        <v>104</v>
      </c>
      <c r="T454" s="9" t="s">
        <v>106</v>
      </c>
      <c r="U454" s="9">
        <v>194</v>
      </c>
      <c r="V454" s="9" t="s">
        <v>106</v>
      </c>
      <c r="W454" s="9">
        <v>29.6</v>
      </c>
      <c r="X454" s="9">
        <v>151</v>
      </c>
      <c r="Y454" s="9">
        <v>143.9</v>
      </c>
      <c r="Z454" s="37"/>
      <c r="AA454" s="37"/>
      <c r="AB454" s="37"/>
      <c r="AE454"/>
    </row>
    <row r="455" spans="1:31" hidden="1">
      <c r="A455" s="9" t="s">
        <v>522</v>
      </c>
      <c r="B455" s="9" t="s">
        <v>528</v>
      </c>
      <c r="C455" s="9" t="s">
        <v>105</v>
      </c>
      <c r="D455" s="9">
        <v>0.42369999999999902</v>
      </c>
      <c r="E455" s="9">
        <v>3.4609999999999999</v>
      </c>
      <c r="F455" s="9" t="s">
        <v>106</v>
      </c>
      <c r="G455" s="9" t="s">
        <v>106</v>
      </c>
      <c r="H455" s="9" t="s">
        <v>106</v>
      </c>
      <c r="J455" s="9" t="s">
        <v>116</v>
      </c>
      <c r="K455" s="9" t="s">
        <v>524</v>
      </c>
      <c r="L455" t="str">
        <f>IF(OR(J455="Cattle",J455="Zebu Cattle"),IF(COUNTIF(lists!$M$2:$M$258, K455) &gt; 0,"bos.indicus",IF(COUNTIF(lists!$L$2:$L$258, K455) &gt; 0,"cross.bred","pure.bred.exotic")),"NA")</f>
        <v>NA</v>
      </c>
      <c r="M455" t="str">
        <f>IF(J455="Sheep",IF(COUNTIF(lists!$H$2:$H$258, K455) &gt; 0,"indigenous",IF(COUNTIF(lists!$G$2:$G$258, K455) &gt; 0,"cross.bred","not found")),"NA")</f>
        <v>NA</v>
      </c>
      <c r="N455" t="str">
        <f>IF(J455="Goat",IF(COUNTIF(lists!$J$2:$J$258, K455) &gt; 0,"indigenous",IF(COUNTIF(lists!$I$2:$I$258, K455) &gt; 0,"cross.bred","not found")),"NA")</f>
        <v>not found</v>
      </c>
      <c r="O455" s="9" t="s">
        <v>109</v>
      </c>
      <c r="P455" s="9" t="s">
        <v>479</v>
      </c>
      <c r="S455" s="9">
        <v>79.900000000000006</v>
      </c>
      <c r="T455" s="9" t="s">
        <v>106</v>
      </c>
      <c r="U455" s="9">
        <v>193.3</v>
      </c>
      <c r="V455" s="9" t="s">
        <v>106</v>
      </c>
      <c r="W455" s="9">
        <v>25.1</v>
      </c>
      <c r="X455" s="9">
        <v>125.9</v>
      </c>
      <c r="Y455" s="9">
        <v>123.2</v>
      </c>
      <c r="Z455" s="37"/>
      <c r="AA455" s="37"/>
      <c r="AB455" s="37"/>
      <c r="AE455"/>
    </row>
    <row r="456" spans="1:31" hidden="1">
      <c r="A456" s="9" t="s">
        <v>522</v>
      </c>
      <c r="B456" s="9" t="s">
        <v>529</v>
      </c>
      <c r="C456" s="9" t="s">
        <v>105</v>
      </c>
      <c r="D456" s="9">
        <v>0.40810000000000002</v>
      </c>
      <c r="E456" s="9">
        <v>3.4609999999999999</v>
      </c>
      <c r="F456" s="9" t="s">
        <v>106</v>
      </c>
      <c r="G456" s="9" t="s">
        <v>106</v>
      </c>
      <c r="H456" s="9" t="s">
        <v>106</v>
      </c>
      <c r="J456" s="9" t="s">
        <v>116</v>
      </c>
      <c r="K456" s="9" t="s">
        <v>524</v>
      </c>
      <c r="L456" t="str">
        <f>IF(OR(J456="Cattle",J456="Zebu Cattle"),IF(COUNTIF(lists!$M$2:$M$258, K456) &gt; 0,"bos.indicus",IF(COUNTIF(lists!$L$2:$L$258, K456) &gt; 0,"cross.bred","pure.bred.exotic")),"NA")</f>
        <v>NA</v>
      </c>
      <c r="M456" t="str">
        <f>IF(J456="Sheep",IF(COUNTIF(lists!$H$2:$H$258, K456) &gt; 0,"indigenous",IF(COUNTIF(lists!$G$2:$G$258, K456) &gt; 0,"cross.bred","not found")),"NA")</f>
        <v>NA</v>
      </c>
      <c r="N456" t="str">
        <f>IF(J456="Goat",IF(COUNTIF(lists!$J$2:$J$258, K456) &gt; 0,"indigenous",IF(COUNTIF(lists!$I$2:$I$258, K456) &gt; 0,"cross.bred","not found")),"NA")</f>
        <v>not found</v>
      </c>
      <c r="O456" s="9" t="s">
        <v>109</v>
      </c>
      <c r="P456" s="9" t="s">
        <v>479</v>
      </c>
      <c r="S456" s="9">
        <v>90.1</v>
      </c>
      <c r="T456" s="9" t="s">
        <v>106</v>
      </c>
      <c r="U456" s="9">
        <v>189.7</v>
      </c>
      <c r="V456" s="9" t="s">
        <v>106</v>
      </c>
      <c r="W456" s="9">
        <v>18.899999999999999</v>
      </c>
      <c r="X456" s="9">
        <v>134.9</v>
      </c>
      <c r="Y456" s="9">
        <v>125.5</v>
      </c>
      <c r="Z456" s="37"/>
      <c r="AA456" s="37"/>
      <c r="AB456" s="37"/>
      <c r="AE456"/>
    </row>
    <row r="457" spans="1:31" hidden="1">
      <c r="A457" s="9" t="s">
        <v>530</v>
      </c>
      <c r="B457" s="9" t="s">
        <v>531</v>
      </c>
      <c r="C457" s="9" t="s">
        <v>105</v>
      </c>
      <c r="D457" s="9">
        <v>0.83799999999999997</v>
      </c>
      <c r="E457" s="9" t="s">
        <v>106</v>
      </c>
      <c r="F457" s="9" t="s">
        <v>106</v>
      </c>
      <c r="G457" s="9" t="s">
        <v>106</v>
      </c>
      <c r="H457" s="9">
        <v>0.91</v>
      </c>
      <c r="J457" s="9" t="s">
        <v>116</v>
      </c>
      <c r="K457" s="9" t="s">
        <v>532</v>
      </c>
      <c r="L457" t="str">
        <f>IF(OR(J457="Cattle",J457="Zebu Cattle"),IF(COUNTIF(lists!$M$2:$M$258, K457) &gt; 0,"bos.indicus",IF(COUNTIF(lists!$L$2:$L$258, K457) &gt; 0,"cross.bred","pure.bred.exotic")),"NA")</f>
        <v>NA</v>
      </c>
      <c r="M457" t="str">
        <f>IF(J457="Sheep",IF(COUNTIF(lists!$H$2:$H$258, K457) &gt; 0,"indigenous",IF(COUNTIF(lists!$G$2:$G$258, K457) &gt; 0,"cross.bred","not found")),"NA")</f>
        <v>NA</v>
      </c>
      <c r="N457" t="str">
        <f>IF(J457="Goat",IF(COUNTIF(lists!$J$2:$J$258, K457) &gt; 0,"indigenous",IF(COUNTIF(lists!$I$2:$I$258, K457) &gt; 0,"cross.bred","not found")),"NA")</f>
        <v>not found</v>
      </c>
      <c r="O457" s="9" t="s">
        <v>109</v>
      </c>
      <c r="P457" s="9" t="s">
        <v>202</v>
      </c>
      <c r="S457" s="9" t="s">
        <v>106</v>
      </c>
      <c r="T457" s="9" t="s">
        <v>106</v>
      </c>
      <c r="U457" s="9" t="s">
        <v>106</v>
      </c>
      <c r="V457" s="9" t="s">
        <v>106</v>
      </c>
      <c r="W457" s="9" t="s">
        <v>106</v>
      </c>
      <c r="X457" s="9" t="s">
        <v>106</v>
      </c>
      <c r="Y457" s="9" t="s">
        <v>106</v>
      </c>
      <c r="Z457" s="37"/>
      <c r="AA457" s="37"/>
      <c r="AB457" s="37"/>
      <c r="AE457"/>
    </row>
    <row r="458" spans="1:31" hidden="1">
      <c r="A458" s="9" t="s">
        <v>530</v>
      </c>
      <c r="B458" s="9" t="s">
        <v>533</v>
      </c>
      <c r="C458" s="9" t="s">
        <v>105</v>
      </c>
      <c r="D458" s="9">
        <v>0.83299999999999996</v>
      </c>
      <c r="E458" s="9" t="s">
        <v>106</v>
      </c>
      <c r="F458" s="9" t="s">
        <v>106</v>
      </c>
      <c r="G458" s="9" t="s">
        <v>106</v>
      </c>
      <c r="H458" s="9">
        <v>0.82</v>
      </c>
      <c r="J458" s="9" t="s">
        <v>116</v>
      </c>
      <c r="K458" s="9" t="s">
        <v>532</v>
      </c>
      <c r="L458" t="str">
        <f>IF(OR(J458="Cattle",J458="Zebu Cattle"),IF(COUNTIF(lists!$M$2:$M$258, K458) &gt; 0,"bos.indicus",IF(COUNTIF(lists!$L$2:$L$258, K458) &gt; 0,"cross.bred","pure.bred.exotic")),"NA")</f>
        <v>NA</v>
      </c>
      <c r="M458" t="str">
        <f>IF(J458="Sheep",IF(COUNTIF(lists!$H$2:$H$258, K458) &gt; 0,"indigenous",IF(COUNTIF(lists!$G$2:$G$258, K458) &gt; 0,"cross.bred","not found")),"NA")</f>
        <v>NA</v>
      </c>
      <c r="N458" t="str">
        <f>IF(J458="Goat",IF(COUNTIF(lists!$J$2:$J$258, K458) &gt; 0,"indigenous",IF(COUNTIF(lists!$I$2:$I$258, K458) &gt; 0,"cross.bred","not found")),"NA")</f>
        <v>not found</v>
      </c>
      <c r="O458" s="9" t="s">
        <v>109</v>
      </c>
      <c r="P458" s="9" t="s">
        <v>202</v>
      </c>
      <c r="S458" s="9" t="s">
        <v>106</v>
      </c>
      <c r="T458" s="9" t="s">
        <v>106</v>
      </c>
      <c r="U458" s="9" t="s">
        <v>106</v>
      </c>
      <c r="V458" s="9" t="s">
        <v>106</v>
      </c>
      <c r="W458" s="9" t="s">
        <v>106</v>
      </c>
      <c r="X458" s="9" t="s">
        <v>106</v>
      </c>
      <c r="Y458" s="9" t="s">
        <v>106</v>
      </c>
      <c r="Z458" s="37"/>
      <c r="AA458" s="37"/>
      <c r="AB458" s="37"/>
      <c r="AE458"/>
    </row>
    <row r="459" spans="1:31" hidden="1">
      <c r="A459" s="9" t="s">
        <v>530</v>
      </c>
      <c r="B459" s="9" t="s">
        <v>534</v>
      </c>
      <c r="C459" s="9" t="s">
        <v>105</v>
      </c>
      <c r="D459" s="9">
        <v>0.82799999999999996</v>
      </c>
      <c r="E459" s="9" t="s">
        <v>106</v>
      </c>
      <c r="F459" s="9" t="s">
        <v>106</v>
      </c>
      <c r="G459" s="9" t="s">
        <v>106</v>
      </c>
      <c r="H459" s="9">
        <v>0.84</v>
      </c>
      <c r="J459" s="9" t="s">
        <v>116</v>
      </c>
      <c r="K459" s="9" t="s">
        <v>532</v>
      </c>
      <c r="L459" t="str">
        <f>IF(OR(J459="Cattle",J459="Zebu Cattle"),IF(COUNTIF(lists!$M$2:$M$258, K459) &gt; 0,"bos.indicus",IF(COUNTIF(lists!$L$2:$L$258, K459) &gt; 0,"cross.bred","pure.bred.exotic")),"NA")</f>
        <v>NA</v>
      </c>
      <c r="M459" t="str">
        <f>IF(J459="Sheep",IF(COUNTIF(lists!$H$2:$H$258, K459) &gt; 0,"indigenous",IF(COUNTIF(lists!$G$2:$G$258, K459) &gt; 0,"cross.bred","not found")),"NA")</f>
        <v>NA</v>
      </c>
      <c r="N459" t="str">
        <f>IF(J459="Goat",IF(COUNTIF(lists!$J$2:$J$258, K459) &gt; 0,"indigenous",IF(COUNTIF(lists!$I$2:$I$258, K459) &gt; 0,"cross.bred","not found")),"NA")</f>
        <v>not found</v>
      </c>
      <c r="O459" s="9" t="s">
        <v>109</v>
      </c>
      <c r="P459" s="9" t="s">
        <v>202</v>
      </c>
      <c r="S459" s="9" t="s">
        <v>106</v>
      </c>
      <c r="T459" s="9" t="s">
        <v>106</v>
      </c>
      <c r="U459" s="9" t="s">
        <v>106</v>
      </c>
      <c r="V459" s="9" t="s">
        <v>106</v>
      </c>
      <c r="W459" s="9" t="s">
        <v>106</v>
      </c>
      <c r="X459" s="9" t="s">
        <v>106</v>
      </c>
      <c r="Y459" s="9" t="s">
        <v>106</v>
      </c>
      <c r="Z459" s="37"/>
      <c r="AA459" s="37"/>
      <c r="AB459" s="37"/>
      <c r="AE459"/>
    </row>
    <row r="460" spans="1:31" hidden="1">
      <c r="A460" s="9" t="s">
        <v>562</v>
      </c>
      <c r="B460" s="9" t="s">
        <v>488</v>
      </c>
      <c r="C460" s="9" t="s">
        <v>105</v>
      </c>
      <c r="D460" s="9">
        <v>4.0999999999999996</v>
      </c>
      <c r="E460" s="9">
        <v>0.26</v>
      </c>
      <c r="F460" s="9" t="s">
        <v>106</v>
      </c>
      <c r="G460" s="9" t="s">
        <v>106</v>
      </c>
      <c r="H460" s="9" t="s">
        <v>106</v>
      </c>
      <c r="J460" s="9" t="s">
        <v>116</v>
      </c>
      <c r="K460" s="9" t="s">
        <v>489</v>
      </c>
      <c r="L460" t="str">
        <f>IF(OR(J460="Cattle",J460="Zebu Cattle"),IF(COUNTIF(lists!$M$2:$M$258, K460) &gt; 0,"bos.indicus",IF(COUNTIF(lists!$L$2:$L$258, K460) &gt; 0,"cross.bred","pure.bred.exotic")),"NA")</f>
        <v>NA</v>
      </c>
      <c r="M460" t="str">
        <f>IF(J460="Sheep",IF(COUNTIF(lists!$H$2:$H$258, K460) &gt; 0,"indigenous",IF(COUNTIF(lists!$G$2:$G$258, K460) &gt; 0,"cross.bred","not found")),"NA")</f>
        <v>NA</v>
      </c>
      <c r="N460" t="str">
        <f>IF(J460="Goat",IF(COUNTIF(lists!$J$2:$J$258, K460) &gt; 0,"indigenous",IF(COUNTIF(lists!$I$2:$I$258, K460) &gt; 0,"cross.bred","not found")),"NA")</f>
        <v>not found</v>
      </c>
      <c r="O460" s="9" t="s">
        <v>109</v>
      </c>
      <c r="P460" s="9" t="s">
        <v>170</v>
      </c>
      <c r="S460" s="9" t="s">
        <v>106</v>
      </c>
      <c r="T460" s="9" t="s">
        <v>106</v>
      </c>
      <c r="U460" s="9" t="s">
        <v>106</v>
      </c>
      <c r="V460" s="9" t="s">
        <v>106</v>
      </c>
      <c r="W460" s="9" t="s">
        <v>106</v>
      </c>
      <c r="X460" s="9" t="s">
        <v>106</v>
      </c>
      <c r="Y460" s="9" t="s">
        <v>106</v>
      </c>
      <c r="Z460" s="37"/>
      <c r="AA460" s="37"/>
      <c r="AB460" s="37"/>
      <c r="AE460"/>
    </row>
    <row r="461" spans="1:31" hidden="1">
      <c r="A461" s="9" t="s">
        <v>562</v>
      </c>
      <c r="B461" s="9" t="s">
        <v>563</v>
      </c>
      <c r="C461" s="9" t="s">
        <v>105</v>
      </c>
      <c r="D461" s="9">
        <v>3.3</v>
      </c>
      <c r="E461" s="9">
        <v>0.26</v>
      </c>
      <c r="F461" s="9" t="s">
        <v>106</v>
      </c>
      <c r="G461" s="9" t="s">
        <v>106</v>
      </c>
      <c r="H461" s="9" t="s">
        <v>106</v>
      </c>
      <c r="J461" s="9" t="s">
        <v>116</v>
      </c>
      <c r="K461" s="9" t="s">
        <v>489</v>
      </c>
      <c r="L461" t="str">
        <f>IF(OR(J461="Cattle",J461="Zebu Cattle"),IF(COUNTIF(lists!$M$2:$M$258, K461) &gt; 0,"bos.indicus",IF(COUNTIF(lists!$L$2:$L$258, K461) &gt; 0,"cross.bred","pure.bred.exotic")),"NA")</f>
        <v>NA</v>
      </c>
      <c r="M461" t="str">
        <f>IF(J461="Sheep",IF(COUNTIF(lists!$H$2:$H$258, K461) &gt; 0,"indigenous",IF(COUNTIF(lists!$G$2:$G$258, K461) &gt; 0,"cross.bred","not found")),"NA")</f>
        <v>NA</v>
      </c>
      <c r="N461" t="str">
        <f>IF(J461="Goat",IF(COUNTIF(lists!$J$2:$J$258, K461) &gt; 0,"indigenous",IF(COUNTIF(lists!$I$2:$I$258, K461) &gt; 0,"cross.bred","not found")),"NA")</f>
        <v>not found</v>
      </c>
      <c r="O461" s="9" t="s">
        <v>109</v>
      </c>
      <c r="P461" s="9" t="s">
        <v>170</v>
      </c>
      <c r="S461" s="9" t="s">
        <v>106</v>
      </c>
      <c r="T461" s="9" t="s">
        <v>106</v>
      </c>
      <c r="U461" s="9" t="s">
        <v>106</v>
      </c>
      <c r="V461" s="9" t="s">
        <v>106</v>
      </c>
      <c r="W461" s="9" t="s">
        <v>106</v>
      </c>
      <c r="X461" s="9" t="s">
        <v>106</v>
      </c>
      <c r="Y461" s="9" t="s">
        <v>106</v>
      </c>
      <c r="Z461" s="37"/>
      <c r="AA461" s="37"/>
      <c r="AB461" s="37"/>
      <c r="AE461"/>
    </row>
    <row r="462" spans="1:31" hidden="1">
      <c r="A462" s="9" t="s">
        <v>562</v>
      </c>
      <c r="B462" s="9" t="s">
        <v>564</v>
      </c>
      <c r="C462" s="9" t="s">
        <v>105</v>
      </c>
      <c r="D462" s="9">
        <v>3</v>
      </c>
      <c r="E462" s="9">
        <v>0.26</v>
      </c>
      <c r="F462" s="9" t="s">
        <v>106</v>
      </c>
      <c r="G462" s="9" t="s">
        <v>106</v>
      </c>
      <c r="H462" s="9" t="s">
        <v>106</v>
      </c>
      <c r="J462" s="9" t="s">
        <v>116</v>
      </c>
      <c r="K462" s="9" t="s">
        <v>489</v>
      </c>
      <c r="L462" t="str">
        <f>IF(OR(J462="Cattle",J462="Zebu Cattle"),IF(COUNTIF(lists!$M$2:$M$258, K462) &gt; 0,"bos.indicus",IF(COUNTIF(lists!$L$2:$L$258, K462) &gt; 0,"cross.bred","pure.bred.exotic")),"NA")</f>
        <v>NA</v>
      </c>
      <c r="M462" t="str">
        <f>IF(J462="Sheep",IF(COUNTIF(lists!$H$2:$H$258, K462) &gt; 0,"indigenous",IF(COUNTIF(lists!$G$2:$G$258, K462) &gt; 0,"cross.bred","not found")),"NA")</f>
        <v>NA</v>
      </c>
      <c r="N462" t="str">
        <f>IF(J462="Goat",IF(COUNTIF(lists!$J$2:$J$258, K462) &gt; 0,"indigenous",IF(COUNTIF(lists!$I$2:$I$258, K462) &gt; 0,"cross.bred","not found")),"NA")</f>
        <v>not found</v>
      </c>
      <c r="O462" s="9" t="s">
        <v>109</v>
      </c>
      <c r="P462" s="9" t="s">
        <v>170</v>
      </c>
      <c r="S462" s="9" t="s">
        <v>106</v>
      </c>
      <c r="T462" s="9" t="s">
        <v>106</v>
      </c>
      <c r="U462" s="9" t="s">
        <v>106</v>
      </c>
      <c r="V462" s="9" t="s">
        <v>106</v>
      </c>
      <c r="W462" s="9" t="s">
        <v>106</v>
      </c>
      <c r="X462" s="9" t="s">
        <v>106</v>
      </c>
      <c r="Y462" s="9" t="s">
        <v>106</v>
      </c>
      <c r="Z462" s="37"/>
      <c r="AA462" s="37"/>
      <c r="AB462" s="37"/>
      <c r="AE462"/>
    </row>
    <row r="463" spans="1:31" hidden="1">
      <c r="A463" s="9" t="s">
        <v>562</v>
      </c>
      <c r="B463" s="9" t="s">
        <v>565</v>
      </c>
      <c r="C463" s="9" t="s">
        <v>105</v>
      </c>
      <c r="D463" s="9">
        <v>3.5</v>
      </c>
      <c r="E463" s="9">
        <v>0.26</v>
      </c>
      <c r="F463" s="9" t="s">
        <v>106</v>
      </c>
      <c r="G463" s="9" t="s">
        <v>106</v>
      </c>
      <c r="H463" s="9" t="s">
        <v>106</v>
      </c>
      <c r="J463" s="9" t="s">
        <v>116</v>
      </c>
      <c r="K463" s="9" t="s">
        <v>489</v>
      </c>
      <c r="L463" t="str">
        <f>IF(OR(J463="Cattle",J463="Zebu Cattle"),IF(COUNTIF(lists!$M$2:$M$258, K463) &gt; 0,"bos.indicus",IF(COUNTIF(lists!$L$2:$L$258, K463) &gt; 0,"cross.bred","pure.bred.exotic")),"NA")</f>
        <v>NA</v>
      </c>
      <c r="M463" t="str">
        <f>IF(J463="Sheep",IF(COUNTIF(lists!$H$2:$H$258, K463) &gt; 0,"indigenous",IF(COUNTIF(lists!$G$2:$G$258, K463) &gt; 0,"cross.bred","not found")),"NA")</f>
        <v>NA</v>
      </c>
      <c r="N463" t="str">
        <f>IF(J463="Goat",IF(COUNTIF(lists!$J$2:$J$258, K463) &gt; 0,"indigenous",IF(COUNTIF(lists!$I$2:$I$258, K463) &gt; 0,"cross.bred","not found")),"NA")</f>
        <v>not found</v>
      </c>
      <c r="O463" s="9" t="s">
        <v>109</v>
      </c>
      <c r="P463" s="9" t="s">
        <v>170</v>
      </c>
      <c r="S463" s="9" t="s">
        <v>106</v>
      </c>
      <c r="T463" s="9" t="s">
        <v>106</v>
      </c>
      <c r="U463" s="9" t="s">
        <v>106</v>
      </c>
      <c r="V463" s="9" t="s">
        <v>106</v>
      </c>
      <c r="W463" s="9" t="s">
        <v>106</v>
      </c>
      <c r="X463" s="9" t="s">
        <v>106</v>
      </c>
      <c r="Y463" s="9" t="s">
        <v>106</v>
      </c>
      <c r="Z463" s="37"/>
      <c r="AA463" s="37"/>
      <c r="AB463" s="37"/>
      <c r="AE463"/>
    </row>
    <row r="464" spans="1:31" hidden="1">
      <c r="A464" s="9" t="s">
        <v>562</v>
      </c>
      <c r="B464" s="9" t="s">
        <v>566</v>
      </c>
      <c r="C464" s="9" t="s">
        <v>105</v>
      </c>
      <c r="D464" s="9">
        <v>3.7</v>
      </c>
      <c r="E464" s="9">
        <v>0.26</v>
      </c>
      <c r="F464" s="9" t="s">
        <v>106</v>
      </c>
      <c r="G464" s="9" t="s">
        <v>106</v>
      </c>
      <c r="H464" s="9" t="s">
        <v>106</v>
      </c>
      <c r="J464" s="9" t="s">
        <v>116</v>
      </c>
      <c r="K464" s="9" t="s">
        <v>489</v>
      </c>
      <c r="L464" t="str">
        <f>IF(OR(J464="Cattle",J464="Zebu Cattle"),IF(COUNTIF(lists!$M$2:$M$258, K464) &gt; 0,"bos.indicus",IF(COUNTIF(lists!$L$2:$L$258, K464) &gt; 0,"cross.bred","pure.bred.exotic")),"NA")</f>
        <v>NA</v>
      </c>
      <c r="M464" t="str">
        <f>IF(J464="Sheep",IF(COUNTIF(lists!$H$2:$H$258, K464) &gt; 0,"indigenous",IF(COUNTIF(lists!$G$2:$G$258, K464) &gt; 0,"cross.bred","not found")),"NA")</f>
        <v>NA</v>
      </c>
      <c r="N464" t="str">
        <f>IF(J464="Goat",IF(COUNTIF(lists!$J$2:$J$258, K464) &gt; 0,"indigenous",IF(COUNTIF(lists!$I$2:$I$258, K464) &gt; 0,"cross.bred","not found")),"NA")</f>
        <v>not found</v>
      </c>
      <c r="O464" s="9" t="s">
        <v>109</v>
      </c>
      <c r="P464" s="9" t="s">
        <v>170</v>
      </c>
      <c r="S464" s="9" t="s">
        <v>106</v>
      </c>
      <c r="T464" s="9" t="s">
        <v>106</v>
      </c>
      <c r="U464" s="9" t="s">
        <v>106</v>
      </c>
      <c r="V464" s="9" t="s">
        <v>106</v>
      </c>
      <c r="W464" s="9" t="s">
        <v>106</v>
      </c>
      <c r="X464" s="9" t="s">
        <v>106</v>
      </c>
      <c r="Y464" s="9" t="s">
        <v>106</v>
      </c>
      <c r="Z464" s="37"/>
      <c r="AA464" s="37"/>
      <c r="AB464" s="37"/>
      <c r="AE464"/>
    </row>
    <row r="465" spans="1:31" hidden="1">
      <c r="A465" s="9" t="s">
        <v>567</v>
      </c>
      <c r="B465" s="9" t="s">
        <v>568</v>
      </c>
      <c r="C465" s="9" t="s">
        <v>105</v>
      </c>
      <c r="D465" s="9">
        <v>0.31206</v>
      </c>
      <c r="E465" s="9">
        <v>1.62</v>
      </c>
      <c r="F465" s="9" t="s">
        <v>106</v>
      </c>
      <c r="G465" s="9" t="s">
        <v>106</v>
      </c>
      <c r="H465" s="9" t="s">
        <v>106</v>
      </c>
      <c r="J465" s="9" t="s">
        <v>116</v>
      </c>
      <c r="K465" s="9" t="s">
        <v>117</v>
      </c>
      <c r="L465" t="str">
        <f>IF(OR(J465="Cattle",J465="Zebu Cattle"),IF(COUNTIF(lists!$M$2:$M$258, K465) &gt; 0,"bos.indicus",IF(COUNTIF(lists!$L$2:$L$258, K465) &gt; 0,"cross.bred","pure.bred.exotic")),"NA")</f>
        <v>NA</v>
      </c>
      <c r="M465" t="str">
        <f>IF(J465="Sheep",IF(COUNTIF(lists!$H$2:$H$258, K465) &gt; 0,"indigenous",IF(COUNTIF(lists!$G$2:$G$258, K465) &gt; 0,"cross.bred","not found")),"NA")</f>
        <v>NA</v>
      </c>
      <c r="N465" t="str">
        <f>IF(J465="Goat",IF(COUNTIF(lists!$J$2:$J$258, K465) &gt; 0,"indigenous",IF(COUNTIF(lists!$I$2:$I$258, K465) &gt; 0,"cross.bred","not found")),"NA")</f>
        <v>indigenous</v>
      </c>
      <c r="O465" s="9" t="s">
        <v>109</v>
      </c>
      <c r="P465" s="9" t="s">
        <v>479</v>
      </c>
      <c r="S465" s="9" t="s">
        <v>106</v>
      </c>
      <c r="T465" s="9" t="s">
        <v>106</v>
      </c>
      <c r="U465" s="9" t="s">
        <v>106</v>
      </c>
      <c r="V465" s="9" t="s">
        <v>106</v>
      </c>
      <c r="W465" s="9" t="s">
        <v>106</v>
      </c>
      <c r="X465" s="9" t="s">
        <v>106</v>
      </c>
      <c r="Y465" s="9" t="s">
        <v>106</v>
      </c>
      <c r="Z465" s="37"/>
      <c r="AA465" s="37"/>
      <c r="AB465" s="37"/>
      <c r="AE465"/>
    </row>
    <row r="466" spans="1:31" hidden="1">
      <c r="A466" s="9" t="s">
        <v>567</v>
      </c>
      <c r="B466" s="9" t="s">
        <v>569</v>
      </c>
      <c r="C466" s="9" t="s">
        <v>105</v>
      </c>
      <c r="D466" s="9">
        <v>0.32394000000000001</v>
      </c>
      <c r="E466" s="9">
        <v>1.62</v>
      </c>
      <c r="F466" s="9" t="s">
        <v>106</v>
      </c>
      <c r="G466" s="9" t="s">
        <v>106</v>
      </c>
      <c r="H466" s="9" t="s">
        <v>106</v>
      </c>
      <c r="J466" s="9" t="s">
        <v>116</v>
      </c>
      <c r="K466" s="9" t="s">
        <v>117</v>
      </c>
      <c r="L466" t="str">
        <f>IF(OR(J466="Cattle",J466="Zebu Cattle"),IF(COUNTIF(lists!$M$2:$M$258, K466) &gt; 0,"bos.indicus",IF(COUNTIF(lists!$L$2:$L$258, K466) &gt; 0,"cross.bred","pure.bred.exotic")),"NA")</f>
        <v>NA</v>
      </c>
      <c r="M466" t="str">
        <f>IF(J466="Sheep",IF(COUNTIF(lists!$H$2:$H$258, K466) &gt; 0,"indigenous",IF(COUNTIF(lists!$G$2:$G$258, K466) &gt; 0,"cross.bred","not found")),"NA")</f>
        <v>NA</v>
      </c>
      <c r="N466" t="str">
        <f>IF(J466="Goat",IF(COUNTIF(lists!$J$2:$J$258, K466) &gt; 0,"indigenous",IF(COUNTIF(lists!$I$2:$I$258, K466) &gt; 0,"cross.bred","not found")),"NA")</f>
        <v>indigenous</v>
      </c>
      <c r="O466" s="9" t="s">
        <v>109</v>
      </c>
      <c r="P466" s="9" t="s">
        <v>479</v>
      </c>
      <c r="S466" s="9" t="s">
        <v>106</v>
      </c>
      <c r="T466" s="9" t="s">
        <v>106</v>
      </c>
      <c r="U466" s="9" t="s">
        <v>106</v>
      </c>
      <c r="V466" s="9" t="s">
        <v>106</v>
      </c>
      <c r="W466" s="9" t="s">
        <v>106</v>
      </c>
      <c r="X466" s="9" t="s">
        <v>106</v>
      </c>
      <c r="Y466" s="9" t="s">
        <v>106</v>
      </c>
      <c r="Z466" s="37"/>
      <c r="AA466" s="37"/>
      <c r="AB466" s="37"/>
      <c r="AE466"/>
    </row>
    <row r="467" spans="1:31" hidden="1">
      <c r="A467" s="9" t="s">
        <v>567</v>
      </c>
      <c r="B467" s="9" t="s">
        <v>570</v>
      </c>
      <c r="C467" s="9" t="s">
        <v>105</v>
      </c>
      <c r="D467" s="9">
        <v>0.33278999999999997</v>
      </c>
      <c r="E467" s="9">
        <v>1.62</v>
      </c>
      <c r="F467" s="9" t="s">
        <v>106</v>
      </c>
      <c r="G467" s="9" t="s">
        <v>106</v>
      </c>
      <c r="H467" s="9" t="s">
        <v>106</v>
      </c>
      <c r="J467" s="9" t="s">
        <v>116</v>
      </c>
      <c r="K467" s="9" t="s">
        <v>117</v>
      </c>
      <c r="L467" t="str">
        <f>IF(OR(J467="Cattle",J467="Zebu Cattle"),IF(COUNTIF(lists!$M$2:$M$258, K467) &gt; 0,"bos.indicus",IF(COUNTIF(lists!$L$2:$L$258, K467) &gt; 0,"cross.bred","pure.bred.exotic")),"NA")</f>
        <v>NA</v>
      </c>
      <c r="M467" t="str">
        <f>IF(J467="Sheep",IF(COUNTIF(lists!$H$2:$H$258, K467) &gt; 0,"indigenous",IF(COUNTIF(lists!$G$2:$G$258, K467) &gt; 0,"cross.bred","not found")),"NA")</f>
        <v>NA</v>
      </c>
      <c r="N467" t="str">
        <f>IF(J467="Goat",IF(COUNTIF(lists!$J$2:$J$258, K467) &gt; 0,"indigenous",IF(COUNTIF(lists!$I$2:$I$258, K467) &gt; 0,"cross.bred","not found")),"NA")</f>
        <v>indigenous</v>
      </c>
      <c r="O467" s="9" t="s">
        <v>109</v>
      </c>
      <c r="P467" s="9" t="s">
        <v>479</v>
      </c>
      <c r="S467" s="9" t="s">
        <v>106</v>
      </c>
      <c r="T467" s="9" t="s">
        <v>106</v>
      </c>
      <c r="U467" s="9" t="s">
        <v>106</v>
      </c>
      <c r="V467" s="9" t="s">
        <v>106</v>
      </c>
      <c r="W467" s="9" t="s">
        <v>106</v>
      </c>
      <c r="X467" s="9" t="s">
        <v>106</v>
      </c>
      <c r="Y467" s="9" t="s">
        <v>106</v>
      </c>
      <c r="Z467" s="37"/>
      <c r="AA467" s="37"/>
      <c r="AB467" s="37"/>
      <c r="AE467"/>
    </row>
    <row r="468" spans="1:31" hidden="1">
      <c r="A468" s="9" t="s">
        <v>567</v>
      </c>
      <c r="B468" s="9" t="s">
        <v>571</v>
      </c>
      <c r="C468" s="9" t="s">
        <v>105</v>
      </c>
      <c r="D468" s="9">
        <v>0.34825</v>
      </c>
      <c r="E468" s="9">
        <v>1.62</v>
      </c>
      <c r="F468" s="9" t="s">
        <v>106</v>
      </c>
      <c r="G468" s="9" t="s">
        <v>106</v>
      </c>
      <c r="H468" s="9" t="s">
        <v>106</v>
      </c>
      <c r="J468" s="9" t="s">
        <v>116</v>
      </c>
      <c r="K468" s="9" t="s">
        <v>117</v>
      </c>
      <c r="L468" t="str">
        <f>IF(OR(J468="Cattle",J468="Zebu Cattle"),IF(COUNTIF(lists!$M$2:$M$258, K468) &gt; 0,"bos.indicus",IF(COUNTIF(lists!$L$2:$L$258, K468) &gt; 0,"cross.bred","pure.bred.exotic")),"NA")</f>
        <v>NA</v>
      </c>
      <c r="M468" t="str">
        <f>IF(J468="Sheep",IF(COUNTIF(lists!$H$2:$H$258, K468) &gt; 0,"indigenous",IF(COUNTIF(lists!$G$2:$G$258, K468) &gt; 0,"cross.bred","not found")),"NA")</f>
        <v>NA</v>
      </c>
      <c r="N468" t="str">
        <f>IF(J468="Goat",IF(COUNTIF(lists!$J$2:$J$258, K468) &gt; 0,"indigenous",IF(COUNTIF(lists!$I$2:$I$258, K468) &gt; 0,"cross.bred","not found")),"NA")</f>
        <v>indigenous</v>
      </c>
      <c r="O468" s="9" t="s">
        <v>109</v>
      </c>
      <c r="P468" s="9" t="s">
        <v>479</v>
      </c>
      <c r="S468" s="9" t="s">
        <v>106</v>
      </c>
      <c r="T468" s="9" t="s">
        <v>106</v>
      </c>
      <c r="U468" s="9" t="s">
        <v>106</v>
      </c>
      <c r="V468" s="9" t="s">
        <v>106</v>
      </c>
      <c r="W468" s="9" t="s">
        <v>106</v>
      </c>
      <c r="X468" s="9" t="s">
        <v>106</v>
      </c>
      <c r="Y468" s="9" t="s">
        <v>106</v>
      </c>
      <c r="Z468" s="37"/>
      <c r="AA468" s="37"/>
      <c r="AB468" s="37"/>
      <c r="AE468"/>
    </row>
    <row r="469" spans="1:31" hidden="1">
      <c r="A469" s="9" t="s">
        <v>572</v>
      </c>
      <c r="B469" s="9" t="s">
        <v>573</v>
      </c>
      <c r="C469" s="9" t="s">
        <v>105</v>
      </c>
      <c r="D469" s="9">
        <v>3.15</v>
      </c>
      <c r="E469" s="9" t="s">
        <v>106</v>
      </c>
      <c r="F469" s="9" t="s">
        <v>106</v>
      </c>
      <c r="G469" s="9" t="s">
        <v>106</v>
      </c>
      <c r="H469" s="9" t="s">
        <v>106</v>
      </c>
      <c r="J469" s="9" t="s">
        <v>116</v>
      </c>
      <c r="K469" s="9" t="s">
        <v>336</v>
      </c>
      <c r="L469" t="str">
        <f>IF(OR(J469="Cattle",J469="Zebu Cattle"),IF(COUNTIF(lists!$M$2:$M$258, K469) &gt; 0,"bos.indicus",IF(COUNTIF(lists!$L$2:$L$258, K469) &gt; 0,"cross.bred","pure.bred.exotic")),"NA")</f>
        <v>NA</v>
      </c>
      <c r="M469" t="str">
        <f>IF(J469="Sheep",IF(COUNTIF(lists!$H$2:$H$258, K469) &gt; 0,"indigenous",IF(COUNTIF(lists!$G$2:$G$258, K469) &gt; 0,"cross.bred","not found")),"NA")</f>
        <v>NA</v>
      </c>
      <c r="N469" t="str">
        <f>IF(J469="Goat",IF(COUNTIF(lists!$J$2:$J$258, K469) &gt; 0,"indigenous",IF(COUNTIF(lists!$I$2:$I$258, K469) &gt; 0,"cross.bred","not found")),"NA")</f>
        <v>not found</v>
      </c>
      <c r="O469" s="9" t="s">
        <v>109</v>
      </c>
      <c r="P469" s="9" t="s">
        <v>170</v>
      </c>
      <c r="S469" s="9" t="s">
        <v>106</v>
      </c>
      <c r="T469" s="9" t="s">
        <v>106</v>
      </c>
      <c r="U469" s="9" t="s">
        <v>106</v>
      </c>
      <c r="V469" s="9" t="s">
        <v>106</v>
      </c>
      <c r="W469" s="9" t="s">
        <v>106</v>
      </c>
      <c r="X469" s="9" t="s">
        <v>106</v>
      </c>
      <c r="Y469" s="9" t="s">
        <v>106</v>
      </c>
      <c r="Z469" s="37"/>
      <c r="AA469" s="37"/>
      <c r="AB469" s="37"/>
      <c r="AE469"/>
    </row>
    <row r="470" spans="1:31" hidden="1">
      <c r="A470" s="9" t="s">
        <v>572</v>
      </c>
      <c r="B470" s="9" t="s">
        <v>574</v>
      </c>
      <c r="C470" s="9" t="s">
        <v>105</v>
      </c>
      <c r="D470" s="9">
        <v>3.28</v>
      </c>
      <c r="E470" s="9" t="s">
        <v>106</v>
      </c>
      <c r="F470" s="9" t="s">
        <v>106</v>
      </c>
      <c r="G470" s="9" t="s">
        <v>106</v>
      </c>
      <c r="H470" s="9" t="s">
        <v>106</v>
      </c>
      <c r="J470" s="9" t="s">
        <v>116</v>
      </c>
      <c r="K470" s="9" t="s">
        <v>336</v>
      </c>
      <c r="L470" t="str">
        <f>IF(OR(J470="Cattle",J470="Zebu Cattle"),IF(COUNTIF(lists!$M$2:$M$258, K470) &gt; 0,"bos.indicus",IF(COUNTIF(lists!$L$2:$L$258, K470) &gt; 0,"cross.bred","pure.bred.exotic")),"NA")</f>
        <v>NA</v>
      </c>
      <c r="M470" t="str">
        <f>IF(J470="Sheep",IF(COUNTIF(lists!$H$2:$H$258, K470) &gt; 0,"indigenous",IF(COUNTIF(lists!$G$2:$G$258, K470) &gt; 0,"cross.bred","not found")),"NA")</f>
        <v>NA</v>
      </c>
      <c r="N470" t="str">
        <f>IF(J470="Goat",IF(COUNTIF(lists!$J$2:$J$258, K470) &gt; 0,"indigenous",IF(COUNTIF(lists!$I$2:$I$258, K470) &gt; 0,"cross.bred","not found")),"NA")</f>
        <v>not found</v>
      </c>
      <c r="O470" s="9" t="s">
        <v>109</v>
      </c>
      <c r="P470" s="9" t="s">
        <v>170</v>
      </c>
      <c r="S470" s="9" t="s">
        <v>106</v>
      </c>
      <c r="T470" s="9" t="s">
        <v>106</v>
      </c>
      <c r="U470" s="9" t="s">
        <v>106</v>
      </c>
      <c r="V470" s="9" t="s">
        <v>106</v>
      </c>
      <c r="W470" s="9" t="s">
        <v>106</v>
      </c>
      <c r="X470" s="9" t="s">
        <v>106</v>
      </c>
      <c r="Y470" s="9" t="s">
        <v>106</v>
      </c>
      <c r="Z470" s="37"/>
      <c r="AA470" s="37"/>
      <c r="AB470" s="37"/>
      <c r="AE470"/>
    </row>
    <row r="471" spans="1:31" hidden="1">
      <c r="A471" s="9" t="s">
        <v>572</v>
      </c>
      <c r="B471" s="9" t="s">
        <v>575</v>
      </c>
      <c r="C471" s="9" t="s">
        <v>105</v>
      </c>
      <c r="D471" s="9">
        <v>3.42</v>
      </c>
      <c r="E471" s="9" t="s">
        <v>106</v>
      </c>
      <c r="F471" s="9" t="s">
        <v>106</v>
      </c>
      <c r="G471" s="9" t="s">
        <v>106</v>
      </c>
      <c r="H471" s="9" t="s">
        <v>106</v>
      </c>
      <c r="J471" s="9" t="s">
        <v>116</v>
      </c>
      <c r="K471" s="9" t="s">
        <v>336</v>
      </c>
      <c r="L471" t="str">
        <f>IF(OR(J471="Cattle",J471="Zebu Cattle"),IF(COUNTIF(lists!$M$2:$M$258, K471) &gt; 0,"bos.indicus",IF(COUNTIF(lists!$L$2:$L$258, K471) &gt; 0,"cross.bred","pure.bred.exotic")),"NA")</f>
        <v>NA</v>
      </c>
      <c r="M471" t="str">
        <f>IF(J471="Sheep",IF(COUNTIF(lists!$H$2:$H$258, K471) &gt; 0,"indigenous",IF(COUNTIF(lists!$G$2:$G$258, K471) &gt; 0,"cross.bred","not found")),"NA")</f>
        <v>NA</v>
      </c>
      <c r="N471" t="str">
        <f>IF(J471="Goat",IF(COUNTIF(lists!$J$2:$J$258, K471) &gt; 0,"indigenous",IF(COUNTIF(lists!$I$2:$I$258, K471) &gt; 0,"cross.bred","not found")),"NA")</f>
        <v>not found</v>
      </c>
      <c r="O471" s="9" t="s">
        <v>109</v>
      </c>
      <c r="P471" s="9" t="s">
        <v>170</v>
      </c>
      <c r="S471" s="9" t="s">
        <v>106</v>
      </c>
      <c r="T471" s="9" t="s">
        <v>106</v>
      </c>
      <c r="U471" s="9" t="s">
        <v>106</v>
      </c>
      <c r="V471" s="9" t="s">
        <v>106</v>
      </c>
      <c r="W471" s="9" t="s">
        <v>106</v>
      </c>
      <c r="X471" s="9" t="s">
        <v>106</v>
      </c>
      <c r="Y471" s="9" t="s">
        <v>106</v>
      </c>
      <c r="Z471" s="37"/>
      <c r="AA471" s="37"/>
      <c r="AB471" s="37"/>
      <c r="AE471"/>
    </row>
    <row r="472" spans="1:31" hidden="1">
      <c r="A472" s="9" t="s">
        <v>572</v>
      </c>
      <c r="B472" s="9" t="s">
        <v>576</v>
      </c>
      <c r="C472" s="9" t="s">
        <v>105</v>
      </c>
      <c r="D472" s="9">
        <v>3.76</v>
      </c>
      <c r="E472" s="9" t="s">
        <v>106</v>
      </c>
      <c r="F472" s="9" t="s">
        <v>106</v>
      </c>
      <c r="G472" s="9" t="s">
        <v>106</v>
      </c>
      <c r="H472" s="9" t="s">
        <v>106</v>
      </c>
      <c r="J472" s="9" t="s">
        <v>116</v>
      </c>
      <c r="K472" s="9" t="s">
        <v>336</v>
      </c>
      <c r="L472" t="str">
        <f>IF(OR(J472="Cattle",J472="Zebu Cattle"),IF(COUNTIF(lists!$M$2:$M$258, K472) &gt; 0,"bos.indicus",IF(COUNTIF(lists!$L$2:$L$258, K472) &gt; 0,"cross.bred","pure.bred.exotic")),"NA")</f>
        <v>NA</v>
      </c>
      <c r="M472" t="str">
        <f>IF(J472="Sheep",IF(COUNTIF(lists!$H$2:$H$258, K472) &gt; 0,"indigenous",IF(COUNTIF(lists!$G$2:$G$258, K472) &gt; 0,"cross.bred","not found")),"NA")</f>
        <v>NA</v>
      </c>
      <c r="N472" t="str">
        <f>IF(J472="Goat",IF(COUNTIF(lists!$J$2:$J$258, K472) &gt; 0,"indigenous",IF(COUNTIF(lists!$I$2:$I$258, K472) &gt; 0,"cross.bred","not found")),"NA")</f>
        <v>not found</v>
      </c>
      <c r="O472" s="9" t="s">
        <v>109</v>
      </c>
      <c r="P472" s="9" t="s">
        <v>170</v>
      </c>
      <c r="S472" s="9" t="s">
        <v>106</v>
      </c>
      <c r="T472" s="9" t="s">
        <v>106</v>
      </c>
      <c r="U472" s="9" t="s">
        <v>106</v>
      </c>
      <c r="V472" s="9" t="s">
        <v>106</v>
      </c>
      <c r="W472" s="9" t="s">
        <v>106</v>
      </c>
      <c r="X472" s="9" t="s">
        <v>106</v>
      </c>
      <c r="Y472" s="9" t="s">
        <v>106</v>
      </c>
      <c r="Z472" s="37"/>
      <c r="AA472" s="37"/>
      <c r="AB472" s="37"/>
      <c r="AE472"/>
    </row>
    <row r="473" spans="1:31" hidden="1">
      <c r="A473" s="9" t="s">
        <v>597</v>
      </c>
      <c r="B473" s="9" t="s">
        <v>598</v>
      </c>
      <c r="C473" s="9" t="s">
        <v>105</v>
      </c>
      <c r="D473" s="9">
        <v>1.39</v>
      </c>
      <c r="E473" s="9">
        <v>0.08</v>
      </c>
      <c r="F473" s="9" t="s">
        <v>106</v>
      </c>
      <c r="G473" s="9" t="s">
        <v>106</v>
      </c>
      <c r="H473" s="9" t="s">
        <v>106</v>
      </c>
      <c r="J473" s="9" t="s">
        <v>116</v>
      </c>
      <c r="K473" s="9" t="s">
        <v>599</v>
      </c>
      <c r="L473" t="str">
        <f>IF(OR(J473="Cattle",J473="Zebu Cattle"),IF(COUNTIF(lists!$M$2:$M$258, K473) &gt; 0,"bos.indicus",IF(COUNTIF(lists!$L$2:$L$258, K473) &gt; 0,"cross.bred","pure.bred.exotic")),"NA")</f>
        <v>NA</v>
      </c>
      <c r="M473" t="str">
        <f>IF(J473="Sheep",IF(COUNTIF(lists!$H$2:$H$258, K473) &gt; 0,"indigenous",IF(COUNTIF(lists!$G$2:$G$258, K473) &gt; 0,"cross.bred","not found")),"NA")</f>
        <v>NA</v>
      </c>
      <c r="N473" t="str">
        <f>IF(J473="Goat",IF(COUNTIF(lists!$J$2:$J$258, K473) &gt; 0,"indigenous",IF(COUNTIF(lists!$I$2:$I$258, K473) &gt; 0,"cross.bred","not found")),"NA")</f>
        <v>not found</v>
      </c>
      <c r="O473" s="9" t="s">
        <v>124</v>
      </c>
      <c r="P473" s="9" t="s">
        <v>170</v>
      </c>
      <c r="S473" s="9" t="s">
        <v>106</v>
      </c>
      <c r="T473" s="9" t="s">
        <v>106</v>
      </c>
      <c r="U473" s="9" t="s">
        <v>106</v>
      </c>
      <c r="V473" s="9" t="s">
        <v>106</v>
      </c>
      <c r="W473" s="9" t="s">
        <v>106</v>
      </c>
      <c r="X473" s="9" t="s">
        <v>106</v>
      </c>
      <c r="Y473" s="9" t="s">
        <v>106</v>
      </c>
      <c r="Z473" s="37"/>
      <c r="AA473" s="37"/>
      <c r="AB473" s="37"/>
      <c r="AE473"/>
    </row>
    <row r="474" spans="1:31" hidden="1">
      <c r="A474" s="9" t="s">
        <v>597</v>
      </c>
      <c r="B474" s="9" t="s">
        <v>600</v>
      </c>
      <c r="C474" s="9" t="s">
        <v>105</v>
      </c>
      <c r="D474" s="9">
        <v>1.74</v>
      </c>
      <c r="E474" s="9">
        <v>0.08</v>
      </c>
      <c r="F474" s="9" t="s">
        <v>106</v>
      </c>
      <c r="G474" s="9" t="s">
        <v>106</v>
      </c>
      <c r="H474" s="9" t="s">
        <v>106</v>
      </c>
      <c r="J474" s="9" t="s">
        <v>116</v>
      </c>
      <c r="K474" s="9" t="s">
        <v>599</v>
      </c>
      <c r="L474" t="str">
        <f>IF(OR(J474="Cattle",J474="Zebu Cattle"),IF(COUNTIF(lists!$M$2:$M$258, K474) &gt; 0,"bos.indicus",IF(COUNTIF(lists!$L$2:$L$258, K474) &gt; 0,"cross.bred","pure.bred.exotic")),"NA")</f>
        <v>NA</v>
      </c>
      <c r="M474" t="str">
        <f>IF(J474="Sheep",IF(COUNTIF(lists!$H$2:$H$258, K474) &gt; 0,"indigenous",IF(COUNTIF(lists!$G$2:$G$258, K474) &gt; 0,"cross.bred","not found")),"NA")</f>
        <v>NA</v>
      </c>
      <c r="N474" t="str">
        <f>IF(J474="Goat",IF(COUNTIF(lists!$J$2:$J$258, K474) &gt; 0,"indigenous",IF(COUNTIF(lists!$I$2:$I$258, K474) &gt; 0,"cross.bred","not found")),"NA")</f>
        <v>not found</v>
      </c>
      <c r="O474" s="9" t="s">
        <v>124</v>
      </c>
      <c r="P474" s="9" t="s">
        <v>170</v>
      </c>
      <c r="S474" s="9" t="s">
        <v>106</v>
      </c>
      <c r="T474" s="9" t="s">
        <v>106</v>
      </c>
      <c r="U474" s="9" t="s">
        <v>106</v>
      </c>
      <c r="V474" s="9" t="s">
        <v>106</v>
      </c>
      <c r="W474" s="9" t="s">
        <v>106</v>
      </c>
      <c r="X474" s="9" t="s">
        <v>106</v>
      </c>
      <c r="Y474" s="9" t="s">
        <v>106</v>
      </c>
      <c r="Z474" s="37"/>
      <c r="AA474" s="37"/>
      <c r="AB474" s="37"/>
      <c r="AE474"/>
    </row>
    <row r="475" spans="1:31" hidden="1">
      <c r="A475" s="9" t="s">
        <v>623</v>
      </c>
      <c r="B475" s="9" t="s">
        <v>624</v>
      </c>
      <c r="C475" s="9" t="s">
        <v>105</v>
      </c>
      <c r="D475" s="9">
        <v>0.56455999999999995</v>
      </c>
      <c r="E475" s="9">
        <v>31.347999999999999</v>
      </c>
      <c r="F475" s="9" t="s">
        <v>106</v>
      </c>
      <c r="G475" s="9" t="s">
        <v>106</v>
      </c>
      <c r="H475" s="9" t="s">
        <v>106</v>
      </c>
      <c r="J475" s="9" t="s">
        <v>116</v>
      </c>
      <c r="K475" s="9" t="s">
        <v>489</v>
      </c>
      <c r="L475" t="str">
        <f>IF(OR(J475="Cattle",J475="Zebu Cattle"),IF(COUNTIF(lists!$M$2:$M$258, K475) &gt; 0,"bos.indicus",IF(COUNTIF(lists!$L$2:$L$258, K475) &gt; 0,"cross.bred","pure.bred.exotic")),"NA")</f>
        <v>NA</v>
      </c>
      <c r="M475" t="str">
        <f>IF(J475="Sheep",IF(COUNTIF(lists!$H$2:$H$258, K475) &gt; 0,"indigenous",IF(COUNTIF(lists!$G$2:$G$258, K475) &gt; 0,"cross.bred","not found")),"NA")</f>
        <v>NA</v>
      </c>
      <c r="N475" t="str">
        <f>IF(J475="Goat",IF(COUNTIF(lists!$J$2:$J$258, K475) &gt; 0,"indigenous",IF(COUNTIF(lists!$I$2:$I$258, K475) &gt; 0,"cross.bred","not found")),"NA")</f>
        <v>not found</v>
      </c>
      <c r="O475" s="9" t="s">
        <v>109</v>
      </c>
      <c r="P475" s="9" t="s">
        <v>187</v>
      </c>
      <c r="S475" s="9" t="s">
        <v>106</v>
      </c>
      <c r="T475" s="9" t="s">
        <v>106</v>
      </c>
      <c r="U475" s="9" t="s">
        <v>106</v>
      </c>
      <c r="V475" s="9" t="s">
        <v>106</v>
      </c>
      <c r="W475" s="9" t="s">
        <v>106</v>
      </c>
      <c r="X475" s="9" t="s">
        <v>106</v>
      </c>
      <c r="Y475" s="9" t="s">
        <v>106</v>
      </c>
      <c r="Z475" s="37"/>
      <c r="AA475" s="37"/>
      <c r="AB475" s="37"/>
      <c r="AE475"/>
    </row>
    <row r="476" spans="1:31" hidden="1">
      <c r="A476" s="9" t="s">
        <v>623</v>
      </c>
      <c r="B476" s="9" t="s">
        <v>625</v>
      </c>
      <c r="C476" s="9" t="s">
        <v>105</v>
      </c>
      <c r="D476" s="9">
        <v>0.81026999999999905</v>
      </c>
      <c r="E476" s="9">
        <v>31.347999999999999</v>
      </c>
      <c r="F476" s="9" t="s">
        <v>106</v>
      </c>
      <c r="G476" s="9" t="s">
        <v>106</v>
      </c>
      <c r="H476" s="9" t="s">
        <v>106</v>
      </c>
      <c r="J476" s="9" t="s">
        <v>116</v>
      </c>
      <c r="K476" s="9" t="s">
        <v>489</v>
      </c>
      <c r="L476" t="str">
        <f>IF(OR(J476="Cattle",J476="Zebu Cattle"),IF(COUNTIF(lists!$M$2:$M$258, K476) &gt; 0,"bos.indicus",IF(COUNTIF(lists!$L$2:$L$258, K476) &gt; 0,"cross.bred","pure.bred.exotic")),"NA")</f>
        <v>NA</v>
      </c>
      <c r="M476" t="str">
        <f>IF(J476="Sheep",IF(COUNTIF(lists!$H$2:$H$258, K476) &gt; 0,"indigenous",IF(COUNTIF(lists!$G$2:$G$258, K476) &gt; 0,"cross.bred","not found")),"NA")</f>
        <v>NA</v>
      </c>
      <c r="N476" t="str">
        <f>IF(J476="Goat",IF(COUNTIF(lists!$J$2:$J$258, K476) &gt; 0,"indigenous",IF(COUNTIF(lists!$I$2:$I$258, K476) &gt; 0,"cross.bred","not found")),"NA")</f>
        <v>not found</v>
      </c>
      <c r="O476" s="9" t="s">
        <v>109</v>
      </c>
      <c r="P476" s="9" t="s">
        <v>187</v>
      </c>
      <c r="S476" s="9" t="s">
        <v>106</v>
      </c>
      <c r="T476" s="9" t="s">
        <v>106</v>
      </c>
      <c r="U476" s="9" t="s">
        <v>106</v>
      </c>
      <c r="V476" s="9" t="s">
        <v>106</v>
      </c>
      <c r="W476" s="9" t="s">
        <v>106</v>
      </c>
      <c r="X476" s="9" t="s">
        <v>106</v>
      </c>
      <c r="Y476" s="9" t="s">
        <v>106</v>
      </c>
      <c r="Z476" s="37"/>
      <c r="AA476" s="37"/>
      <c r="AB476" s="37"/>
      <c r="AE476"/>
    </row>
    <row r="477" spans="1:31" hidden="1">
      <c r="A477" s="9" t="s">
        <v>623</v>
      </c>
      <c r="B477" s="9" t="s">
        <v>626</v>
      </c>
      <c r="C477" s="9" t="s">
        <v>105</v>
      </c>
      <c r="D477" s="9">
        <v>0.85036500000000004</v>
      </c>
      <c r="E477" s="9">
        <v>31.347999999999999</v>
      </c>
      <c r="F477" s="9" t="s">
        <v>106</v>
      </c>
      <c r="G477" s="9" t="s">
        <v>106</v>
      </c>
      <c r="H477" s="9" t="s">
        <v>106</v>
      </c>
      <c r="J477" s="9" t="s">
        <v>116</v>
      </c>
      <c r="K477" s="9" t="s">
        <v>489</v>
      </c>
      <c r="L477" t="str">
        <f>IF(OR(J477="Cattle",J477="Zebu Cattle"),IF(COUNTIF(lists!$M$2:$M$258, K477) &gt; 0,"bos.indicus",IF(COUNTIF(lists!$L$2:$L$258, K477) &gt; 0,"cross.bred","pure.bred.exotic")),"NA")</f>
        <v>NA</v>
      </c>
      <c r="M477" t="str">
        <f>IF(J477="Sheep",IF(COUNTIF(lists!$H$2:$H$258, K477) &gt; 0,"indigenous",IF(COUNTIF(lists!$G$2:$G$258, K477) &gt; 0,"cross.bred","not found")),"NA")</f>
        <v>NA</v>
      </c>
      <c r="N477" t="str">
        <f>IF(J477="Goat",IF(COUNTIF(lists!$J$2:$J$258, K477) &gt; 0,"indigenous",IF(COUNTIF(lists!$I$2:$I$258, K477) &gt; 0,"cross.bred","not found")),"NA")</f>
        <v>not found</v>
      </c>
      <c r="O477" s="9" t="s">
        <v>109</v>
      </c>
      <c r="P477" s="9" t="s">
        <v>187</v>
      </c>
      <c r="S477" s="9" t="s">
        <v>106</v>
      </c>
      <c r="T477" s="9" t="s">
        <v>106</v>
      </c>
      <c r="U477" s="9" t="s">
        <v>106</v>
      </c>
      <c r="V477" s="9" t="s">
        <v>106</v>
      </c>
      <c r="W477" s="9" t="s">
        <v>106</v>
      </c>
      <c r="X477" s="9" t="s">
        <v>106</v>
      </c>
      <c r="Y477" s="9" t="s">
        <v>106</v>
      </c>
      <c r="Z477" s="37"/>
      <c r="AA477" s="37"/>
      <c r="AB477" s="37"/>
      <c r="AE477"/>
    </row>
    <row r="478" spans="1:31" hidden="1">
      <c r="A478" s="9" t="s">
        <v>623</v>
      </c>
      <c r="B478" s="9" t="s">
        <v>627</v>
      </c>
      <c r="C478" s="9" t="s">
        <v>105</v>
      </c>
      <c r="D478" s="9">
        <v>0.94584999999999997</v>
      </c>
      <c r="E478" s="9">
        <v>31.347999999999999</v>
      </c>
      <c r="F478" s="9" t="s">
        <v>106</v>
      </c>
      <c r="G478" s="9" t="s">
        <v>106</v>
      </c>
      <c r="H478" s="9" t="s">
        <v>106</v>
      </c>
      <c r="J478" s="9" t="s">
        <v>116</v>
      </c>
      <c r="K478" s="9" t="s">
        <v>489</v>
      </c>
      <c r="L478" t="str">
        <f>IF(OR(J478="Cattle",J478="Zebu Cattle"),IF(COUNTIF(lists!$M$2:$M$258, K478) &gt; 0,"bos.indicus",IF(COUNTIF(lists!$L$2:$L$258, K478) &gt; 0,"cross.bred","pure.bred.exotic")),"NA")</f>
        <v>NA</v>
      </c>
      <c r="M478" t="str">
        <f>IF(J478="Sheep",IF(COUNTIF(lists!$H$2:$H$258, K478) &gt; 0,"indigenous",IF(COUNTIF(lists!$G$2:$G$258, K478) &gt; 0,"cross.bred","not found")),"NA")</f>
        <v>NA</v>
      </c>
      <c r="N478" t="str">
        <f>IF(J478="Goat",IF(COUNTIF(lists!$J$2:$J$258, K478) &gt; 0,"indigenous",IF(COUNTIF(lists!$I$2:$I$258, K478) &gt; 0,"cross.bred","not found")),"NA")</f>
        <v>not found</v>
      </c>
      <c r="O478" s="9" t="s">
        <v>109</v>
      </c>
      <c r="P478" s="9" t="s">
        <v>187</v>
      </c>
      <c r="S478" s="9" t="s">
        <v>106</v>
      </c>
      <c r="T478" s="9" t="s">
        <v>106</v>
      </c>
      <c r="U478" s="9" t="s">
        <v>106</v>
      </c>
      <c r="V478" s="9" t="s">
        <v>106</v>
      </c>
      <c r="W478" s="9" t="s">
        <v>106</v>
      </c>
      <c r="X478" s="9" t="s">
        <v>106</v>
      </c>
      <c r="Y478" s="9" t="s">
        <v>106</v>
      </c>
      <c r="Z478" s="37"/>
      <c r="AA478" s="37"/>
      <c r="AB478" s="37"/>
      <c r="AE478"/>
    </row>
    <row r="479" spans="1:31" hidden="1">
      <c r="A479" s="9" t="s">
        <v>632</v>
      </c>
      <c r="B479" s="9" t="s">
        <v>633</v>
      </c>
      <c r="C479" s="9" t="s">
        <v>105</v>
      </c>
      <c r="D479" s="9">
        <v>0.46284999999999998</v>
      </c>
      <c r="E479" s="9" t="s">
        <v>106</v>
      </c>
      <c r="F479" s="9" t="s">
        <v>106</v>
      </c>
      <c r="G479" s="9" t="s">
        <v>106</v>
      </c>
      <c r="H479" s="9" t="s">
        <v>106</v>
      </c>
      <c r="J479" s="9" t="s">
        <v>116</v>
      </c>
      <c r="K479" s="9" t="s">
        <v>634</v>
      </c>
      <c r="L479" t="str">
        <f>IF(OR(J479="Cattle",J479="Zebu Cattle"),IF(COUNTIF(lists!$M$2:$M$258, K479) &gt; 0,"bos.indicus",IF(COUNTIF(lists!$L$2:$L$258, K479) &gt; 0,"cross.bred","pure.bred.exotic")),"NA")</f>
        <v>NA</v>
      </c>
      <c r="M479" t="str">
        <f>IF(J479="Sheep",IF(COUNTIF(lists!$H$2:$H$258, K479) &gt; 0,"indigenous",IF(COUNTIF(lists!$G$2:$G$258, K479) &gt; 0,"cross.bred","not found")),"NA")</f>
        <v>NA</v>
      </c>
      <c r="N479" t="str">
        <f>IF(J479="Goat",IF(COUNTIF(lists!$J$2:$J$258, K479) &gt; 0,"indigenous",IF(COUNTIF(lists!$I$2:$I$258, K479) &gt; 0,"cross.bred","not found")),"NA")</f>
        <v>indigenous</v>
      </c>
      <c r="O479" s="9" t="s">
        <v>109</v>
      </c>
      <c r="P479" s="9" t="s">
        <v>479</v>
      </c>
      <c r="S479" s="9" t="s">
        <v>106</v>
      </c>
      <c r="T479" s="9" t="s">
        <v>106</v>
      </c>
      <c r="U479" s="9" t="s">
        <v>106</v>
      </c>
      <c r="V479" s="9" t="s">
        <v>106</v>
      </c>
      <c r="W479" s="9" t="s">
        <v>106</v>
      </c>
      <c r="X479" s="9" t="s">
        <v>106</v>
      </c>
      <c r="Y479" s="9" t="s">
        <v>106</v>
      </c>
      <c r="Z479" s="37"/>
      <c r="AA479" s="37"/>
      <c r="AB479" s="37"/>
      <c r="AE479"/>
    </row>
    <row r="480" spans="1:31" hidden="1">
      <c r="A480" s="9" t="s">
        <v>632</v>
      </c>
      <c r="B480" s="9" t="s">
        <v>635</v>
      </c>
      <c r="C480" s="9" t="s">
        <v>105</v>
      </c>
      <c r="D480" s="9">
        <v>0.43683</v>
      </c>
      <c r="E480" s="9" t="s">
        <v>106</v>
      </c>
      <c r="F480" s="9" t="s">
        <v>106</v>
      </c>
      <c r="G480" s="9" t="s">
        <v>106</v>
      </c>
      <c r="H480" s="9" t="s">
        <v>106</v>
      </c>
      <c r="J480" s="9" t="s">
        <v>116</v>
      </c>
      <c r="K480" s="9" t="s">
        <v>634</v>
      </c>
      <c r="L480" t="str">
        <f>IF(OR(J480="Cattle",J480="Zebu Cattle"),IF(COUNTIF(lists!$M$2:$M$258, K480) &gt; 0,"bos.indicus",IF(COUNTIF(lists!$L$2:$L$258, K480) &gt; 0,"cross.bred","pure.bred.exotic")),"NA")</f>
        <v>NA</v>
      </c>
      <c r="M480" t="str">
        <f>IF(J480="Sheep",IF(COUNTIF(lists!$H$2:$H$258, K480) &gt; 0,"indigenous",IF(COUNTIF(lists!$G$2:$G$258, K480) &gt; 0,"cross.bred","not found")),"NA")</f>
        <v>NA</v>
      </c>
      <c r="N480" t="str">
        <f>IF(J480="Goat",IF(COUNTIF(lists!$J$2:$J$258, K480) &gt; 0,"indigenous",IF(COUNTIF(lists!$I$2:$I$258, K480) &gt; 0,"cross.bred","not found")),"NA")</f>
        <v>indigenous</v>
      </c>
      <c r="O480" s="9" t="s">
        <v>109</v>
      </c>
      <c r="P480" s="9" t="s">
        <v>479</v>
      </c>
      <c r="S480" s="9" t="s">
        <v>106</v>
      </c>
      <c r="T480" s="9" t="s">
        <v>106</v>
      </c>
      <c r="U480" s="9" t="s">
        <v>106</v>
      </c>
      <c r="V480" s="9" t="s">
        <v>106</v>
      </c>
      <c r="W480" s="9" t="s">
        <v>106</v>
      </c>
      <c r="X480" s="9" t="s">
        <v>106</v>
      </c>
      <c r="Y480" s="9" t="s">
        <v>106</v>
      </c>
      <c r="Z480" s="37"/>
      <c r="AA480" s="37"/>
      <c r="AB480" s="37"/>
      <c r="AE480"/>
    </row>
    <row r="481" spans="1:31" hidden="1">
      <c r="A481" s="9" t="s">
        <v>632</v>
      </c>
      <c r="B481" s="9" t="s">
        <v>636</v>
      </c>
      <c r="C481" s="9" t="s">
        <v>105</v>
      </c>
      <c r="D481" s="9">
        <v>0.39646999999999999</v>
      </c>
      <c r="E481" s="9" t="s">
        <v>106</v>
      </c>
      <c r="F481" s="9" t="s">
        <v>106</v>
      </c>
      <c r="G481" s="9" t="s">
        <v>106</v>
      </c>
      <c r="H481" s="9" t="s">
        <v>106</v>
      </c>
      <c r="J481" s="9" t="s">
        <v>116</v>
      </c>
      <c r="K481" s="9" t="s">
        <v>634</v>
      </c>
      <c r="L481" t="str">
        <f>IF(OR(J481="Cattle",J481="Zebu Cattle"),IF(COUNTIF(lists!$M$2:$M$258, K481) &gt; 0,"bos.indicus",IF(COUNTIF(lists!$L$2:$L$258, K481) &gt; 0,"cross.bred","pure.bred.exotic")),"NA")</f>
        <v>NA</v>
      </c>
      <c r="M481" t="str">
        <f>IF(J481="Sheep",IF(COUNTIF(lists!$H$2:$H$258, K481) &gt; 0,"indigenous",IF(COUNTIF(lists!$G$2:$G$258, K481) &gt; 0,"cross.bred","not found")),"NA")</f>
        <v>NA</v>
      </c>
      <c r="N481" t="str">
        <f>IF(J481="Goat",IF(COUNTIF(lists!$J$2:$J$258, K481) &gt; 0,"indigenous",IF(COUNTIF(lists!$I$2:$I$258, K481) &gt; 0,"cross.bred","not found")),"NA")</f>
        <v>indigenous</v>
      </c>
      <c r="O481" s="9" t="s">
        <v>109</v>
      </c>
      <c r="P481" s="9" t="s">
        <v>479</v>
      </c>
      <c r="S481" s="9" t="s">
        <v>106</v>
      </c>
      <c r="T481" s="9" t="s">
        <v>106</v>
      </c>
      <c r="U481" s="9" t="s">
        <v>106</v>
      </c>
      <c r="V481" s="9" t="s">
        <v>106</v>
      </c>
      <c r="W481" s="9" t="s">
        <v>106</v>
      </c>
      <c r="X481" s="9" t="s">
        <v>106</v>
      </c>
      <c r="Y481" s="9" t="s">
        <v>106</v>
      </c>
      <c r="Z481" s="37"/>
      <c r="AA481" s="37"/>
      <c r="AB481" s="37"/>
      <c r="AE481"/>
    </row>
    <row r="482" spans="1:31" hidden="1">
      <c r="A482" s="9" t="s">
        <v>641</v>
      </c>
      <c r="B482" s="9" t="s">
        <v>642</v>
      </c>
      <c r="C482" s="9" t="s">
        <v>105</v>
      </c>
      <c r="D482" s="9">
        <v>0.45831</v>
      </c>
      <c r="E482" s="9">
        <v>16.39</v>
      </c>
      <c r="F482" s="9" t="s">
        <v>106</v>
      </c>
      <c r="G482" s="9" t="s">
        <v>106</v>
      </c>
      <c r="H482" s="9" t="s">
        <v>106</v>
      </c>
      <c r="I482" s="9">
        <v>20</v>
      </c>
      <c r="J482" s="9" t="s">
        <v>116</v>
      </c>
      <c r="K482" s="9" t="s">
        <v>634</v>
      </c>
      <c r="L482" t="str">
        <f>IF(OR(J482="Cattle",J482="Zebu Cattle"),IF(COUNTIF(lists!$M$2:$M$258, K482) &gt; 0,"bos.indicus",IF(COUNTIF(lists!$L$2:$L$258, K482) &gt; 0,"cross.bred","pure.bred.exotic")),"NA")</f>
        <v>NA</v>
      </c>
      <c r="M482" t="str">
        <f>IF(J482="Sheep",IF(COUNTIF(lists!$H$2:$H$258, K482) &gt; 0,"indigenous",IF(COUNTIF(lists!$G$2:$G$258, K482) &gt; 0,"cross.bred","not found")),"NA")</f>
        <v>NA</v>
      </c>
      <c r="N482" t="str">
        <f>IF(J482="Goat",IF(COUNTIF(lists!$J$2:$J$258, K482) &gt; 0,"indigenous",IF(COUNTIF(lists!$I$2:$I$258, K482) &gt; 0,"cross.bred","not found")),"NA")</f>
        <v>indigenous</v>
      </c>
      <c r="O482" s="9" t="s">
        <v>109</v>
      </c>
      <c r="P482" s="9" t="s">
        <v>106</v>
      </c>
      <c r="Q482" s="9" t="s">
        <v>3804</v>
      </c>
      <c r="S482" s="9" t="s">
        <v>106</v>
      </c>
      <c r="T482" s="9">
        <v>45</v>
      </c>
      <c r="U482" s="9">
        <v>149</v>
      </c>
      <c r="V482" s="9">
        <v>955</v>
      </c>
      <c r="W482" s="9">
        <v>17</v>
      </c>
      <c r="X482" s="9" t="s">
        <v>106</v>
      </c>
      <c r="Y482" s="9" t="s">
        <v>106</v>
      </c>
      <c r="Z482" s="37"/>
      <c r="AA482" s="37"/>
      <c r="AB482" s="37"/>
      <c r="AE482">
        <v>0</v>
      </c>
    </row>
    <row r="483" spans="1:31" hidden="1">
      <c r="A483" s="9" t="s">
        <v>641</v>
      </c>
      <c r="B483" s="9" t="s">
        <v>643</v>
      </c>
      <c r="C483" s="9" t="s">
        <v>105</v>
      </c>
      <c r="D483" s="9">
        <v>0.41743000000000002</v>
      </c>
      <c r="E483" s="9">
        <v>16.39</v>
      </c>
      <c r="F483" s="9" t="s">
        <v>106</v>
      </c>
      <c r="G483" s="9" t="s">
        <v>106</v>
      </c>
      <c r="H483" s="9" t="s">
        <v>106</v>
      </c>
      <c r="I483" s="9">
        <v>20</v>
      </c>
      <c r="J483" s="9" t="s">
        <v>116</v>
      </c>
      <c r="K483" s="9" t="s">
        <v>634</v>
      </c>
      <c r="L483" t="str">
        <f>IF(OR(J483="Cattle",J483="Zebu Cattle"),IF(COUNTIF(lists!$M$2:$M$258, K483) &gt; 0,"bos.indicus",IF(COUNTIF(lists!$L$2:$L$258, K483) &gt; 0,"cross.bred","pure.bred.exotic")),"NA")</f>
        <v>NA</v>
      </c>
      <c r="M483" t="str">
        <f>IF(J483="Sheep",IF(COUNTIF(lists!$H$2:$H$258, K483) &gt; 0,"indigenous",IF(COUNTIF(lists!$G$2:$G$258, K483) &gt; 0,"cross.bred","not found")),"NA")</f>
        <v>NA</v>
      </c>
      <c r="N483" t="str">
        <f>IF(J483="Goat",IF(COUNTIF(lists!$J$2:$J$258, K483) &gt; 0,"indigenous",IF(COUNTIF(lists!$I$2:$I$258, K483) &gt; 0,"cross.bred","not found")),"NA")</f>
        <v>indigenous</v>
      </c>
      <c r="O483" s="9" t="s">
        <v>109</v>
      </c>
      <c r="P483" s="9" t="s">
        <v>106</v>
      </c>
      <c r="Q483" s="9" t="s">
        <v>3804</v>
      </c>
      <c r="S483" s="9" t="s">
        <v>106</v>
      </c>
      <c r="T483" s="9">
        <v>46</v>
      </c>
      <c r="U483" s="9">
        <v>131</v>
      </c>
      <c r="V483" s="9">
        <v>970</v>
      </c>
      <c r="W483" s="9">
        <v>16</v>
      </c>
      <c r="X483" s="9" t="s">
        <v>106</v>
      </c>
      <c r="Y483" s="9" t="s">
        <v>106</v>
      </c>
      <c r="Z483" s="37"/>
      <c r="AA483" s="37"/>
      <c r="AB483" s="37"/>
      <c r="AE483">
        <v>0</v>
      </c>
    </row>
    <row r="484" spans="1:31" hidden="1">
      <c r="A484" s="9" t="s">
        <v>641</v>
      </c>
      <c r="B484" s="9" t="s">
        <v>644</v>
      </c>
      <c r="C484" s="9" t="s">
        <v>105</v>
      </c>
      <c r="D484" s="9">
        <v>0.48129</v>
      </c>
      <c r="E484" s="9">
        <v>16.39</v>
      </c>
      <c r="F484" s="9" t="s">
        <v>106</v>
      </c>
      <c r="G484" s="9" t="s">
        <v>106</v>
      </c>
      <c r="H484" s="9" t="s">
        <v>106</v>
      </c>
      <c r="I484" s="9">
        <v>20</v>
      </c>
      <c r="J484" s="9" t="s">
        <v>116</v>
      </c>
      <c r="K484" s="9" t="s">
        <v>634</v>
      </c>
      <c r="L484" t="str">
        <f>IF(OR(J484="Cattle",J484="Zebu Cattle"),IF(COUNTIF(lists!$M$2:$M$258, K484) &gt; 0,"bos.indicus",IF(COUNTIF(lists!$L$2:$L$258, K484) &gt; 0,"cross.bred","pure.bred.exotic")),"NA")</f>
        <v>NA</v>
      </c>
      <c r="M484" t="str">
        <f>IF(J484="Sheep",IF(COUNTIF(lists!$H$2:$H$258, K484) &gt; 0,"indigenous",IF(COUNTIF(lists!$G$2:$G$258, K484) &gt; 0,"cross.bred","not found")),"NA")</f>
        <v>NA</v>
      </c>
      <c r="N484" t="str">
        <f>IF(J484="Goat",IF(COUNTIF(lists!$J$2:$J$258, K484) &gt; 0,"indigenous",IF(COUNTIF(lists!$I$2:$I$258, K484) &gt; 0,"cross.bred","not found")),"NA")</f>
        <v>indigenous</v>
      </c>
      <c r="O484" s="9" t="s">
        <v>109</v>
      </c>
      <c r="P484" s="9" t="s">
        <v>106</v>
      </c>
      <c r="Q484" s="9" t="s">
        <v>3804</v>
      </c>
      <c r="S484" s="9" t="s">
        <v>106</v>
      </c>
      <c r="T484" s="9">
        <v>58</v>
      </c>
      <c r="U484" s="9">
        <v>156</v>
      </c>
      <c r="V484" s="9">
        <v>950</v>
      </c>
      <c r="W484" s="9">
        <v>18</v>
      </c>
      <c r="X484" s="9" t="s">
        <v>106</v>
      </c>
      <c r="Y484" s="9" t="s">
        <v>106</v>
      </c>
      <c r="Z484" s="37"/>
      <c r="AA484" s="37"/>
      <c r="AB484" s="37"/>
      <c r="AE484">
        <v>0</v>
      </c>
    </row>
    <row r="485" spans="1:31" hidden="1">
      <c r="A485" s="9" t="s">
        <v>641</v>
      </c>
      <c r="B485" s="9" t="s">
        <v>645</v>
      </c>
      <c r="C485" s="9" t="s">
        <v>105</v>
      </c>
      <c r="D485" s="9">
        <v>0.34114</v>
      </c>
      <c r="E485" s="9">
        <v>16.39</v>
      </c>
      <c r="F485" s="9" t="s">
        <v>106</v>
      </c>
      <c r="G485" s="9" t="s">
        <v>106</v>
      </c>
      <c r="H485" s="9" t="s">
        <v>106</v>
      </c>
      <c r="I485" s="9">
        <v>20</v>
      </c>
      <c r="J485" s="9" t="s">
        <v>116</v>
      </c>
      <c r="K485" s="9" t="s">
        <v>634</v>
      </c>
      <c r="L485" t="str">
        <f>IF(OR(J485="Cattle",J485="Zebu Cattle"),IF(COUNTIF(lists!$M$2:$M$258, K485) &gt; 0,"bos.indicus",IF(COUNTIF(lists!$L$2:$L$258, K485) &gt; 0,"cross.bred","pure.bred.exotic")),"NA")</f>
        <v>NA</v>
      </c>
      <c r="M485" t="str">
        <f>IF(J485="Sheep",IF(COUNTIF(lists!$H$2:$H$258, K485) &gt; 0,"indigenous",IF(COUNTIF(lists!$G$2:$G$258, K485) &gt; 0,"cross.bred","not found")),"NA")</f>
        <v>NA</v>
      </c>
      <c r="N485" t="str">
        <f>IF(J485="Goat",IF(COUNTIF(lists!$J$2:$J$258, K485) &gt; 0,"indigenous",IF(COUNTIF(lists!$I$2:$I$258, K485) &gt; 0,"cross.bred","not found")),"NA")</f>
        <v>indigenous</v>
      </c>
      <c r="O485" s="9" t="s">
        <v>109</v>
      </c>
      <c r="P485" s="9" t="s">
        <v>106</v>
      </c>
      <c r="Q485" s="9" t="s">
        <v>3804</v>
      </c>
      <c r="S485" s="9" t="s">
        <v>106</v>
      </c>
      <c r="T485" s="9">
        <v>59</v>
      </c>
      <c r="U485" s="9">
        <v>175</v>
      </c>
      <c r="V485" s="9">
        <v>960</v>
      </c>
      <c r="W485" s="9">
        <v>19</v>
      </c>
      <c r="X485" s="9" t="s">
        <v>106</v>
      </c>
      <c r="Y485" s="9" t="s">
        <v>106</v>
      </c>
      <c r="Z485" s="37"/>
      <c r="AA485" s="37"/>
      <c r="AB485" s="37"/>
      <c r="AE485">
        <v>0</v>
      </c>
    </row>
    <row r="486" spans="1:31" hidden="1">
      <c r="A486" s="9" t="s">
        <v>641</v>
      </c>
      <c r="B486" s="9" t="s">
        <v>646</v>
      </c>
      <c r="C486" s="9" t="s">
        <v>105</v>
      </c>
      <c r="D486" s="9">
        <v>0.45272000000000001</v>
      </c>
      <c r="E486" s="9">
        <v>16.39</v>
      </c>
      <c r="F486" s="9" t="s">
        <v>106</v>
      </c>
      <c r="G486" s="9" t="s">
        <v>106</v>
      </c>
      <c r="H486" s="9" t="s">
        <v>106</v>
      </c>
      <c r="I486" s="9">
        <v>20</v>
      </c>
      <c r="J486" s="9" t="s">
        <v>116</v>
      </c>
      <c r="K486" s="9" t="s">
        <v>634</v>
      </c>
      <c r="L486" t="str">
        <f>IF(OR(J486="Cattle",J486="Zebu Cattle"),IF(COUNTIF(lists!$M$2:$M$258, K486) &gt; 0,"bos.indicus",IF(COUNTIF(lists!$L$2:$L$258, K486) &gt; 0,"cross.bred","pure.bred.exotic")),"NA")</f>
        <v>NA</v>
      </c>
      <c r="M486" t="str">
        <f>IF(J486="Sheep",IF(COUNTIF(lists!$H$2:$H$258, K486) &gt; 0,"indigenous",IF(COUNTIF(lists!$G$2:$G$258, K486) &gt; 0,"cross.bred","not found")),"NA")</f>
        <v>NA</v>
      </c>
      <c r="N486" t="str">
        <f>IF(J486="Goat",IF(COUNTIF(lists!$J$2:$J$258, K486) &gt; 0,"indigenous",IF(COUNTIF(lists!$I$2:$I$258, K486) &gt; 0,"cross.bred","not found")),"NA")</f>
        <v>indigenous</v>
      </c>
      <c r="O486" s="9" t="s">
        <v>109</v>
      </c>
      <c r="P486" s="9" t="s">
        <v>106</v>
      </c>
      <c r="Q486" s="9" t="s">
        <v>3804</v>
      </c>
      <c r="S486" s="9" t="s">
        <v>106</v>
      </c>
      <c r="T486" s="9">
        <v>48</v>
      </c>
      <c r="U486" s="9">
        <v>181</v>
      </c>
      <c r="V486" s="9">
        <v>950</v>
      </c>
      <c r="W486" s="9">
        <v>18</v>
      </c>
      <c r="X486" s="9" t="s">
        <v>106</v>
      </c>
      <c r="Y486" s="9" t="s">
        <v>106</v>
      </c>
      <c r="Z486" s="37"/>
      <c r="AA486" s="37"/>
      <c r="AB486" s="37"/>
      <c r="AE486">
        <v>0</v>
      </c>
    </row>
    <row r="487" spans="1:31" hidden="1">
      <c r="A487" s="9" t="s">
        <v>660</v>
      </c>
      <c r="B487" s="9" t="s">
        <v>661</v>
      </c>
      <c r="C487" s="9" t="s">
        <v>105</v>
      </c>
      <c r="D487" s="9">
        <v>0.41789999999999999</v>
      </c>
      <c r="E487" s="9">
        <v>19.096</v>
      </c>
      <c r="F487" s="9" t="s">
        <v>106</v>
      </c>
      <c r="G487" s="9" t="s">
        <v>106</v>
      </c>
      <c r="H487" s="9" t="s">
        <v>106</v>
      </c>
      <c r="J487" s="9" t="s">
        <v>116</v>
      </c>
      <c r="K487" s="9" t="s">
        <v>117</v>
      </c>
      <c r="L487" t="str">
        <f>IF(OR(J487="Cattle",J487="Zebu Cattle"),IF(COUNTIF(lists!$M$2:$M$258, K487) &gt; 0,"bos.indicus",IF(COUNTIF(lists!$L$2:$L$258, K487) &gt; 0,"cross.bred","pure.bred.exotic")),"NA")</f>
        <v>NA</v>
      </c>
      <c r="M487" t="str">
        <f>IF(J487="Sheep",IF(COUNTIF(lists!$H$2:$H$258, K487) &gt; 0,"indigenous",IF(COUNTIF(lists!$G$2:$G$258, K487) &gt; 0,"cross.bred","not found")),"NA")</f>
        <v>NA</v>
      </c>
      <c r="N487" t="str">
        <f>IF(J487="Goat",IF(COUNTIF(lists!$J$2:$J$258, K487) &gt; 0,"indigenous",IF(COUNTIF(lists!$I$2:$I$258, K487) &gt; 0,"cross.bred","not found")),"NA")</f>
        <v>indigenous</v>
      </c>
      <c r="O487" s="9" t="s">
        <v>109</v>
      </c>
      <c r="P487" s="9" t="s">
        <v>479</v>
      </c>
      <c r="S487" s="9" t="s">
        <v>106</v>
      </c>
      <c r="T487" s="9" t="s">
        <v>106</v>
      </c>
      <c r="U487" s="9" t="s">
        <v>106</v>
      </c>
      <c r="V487" s="9" t="s">
        <v>106</v>
      </c>
      <c r="W487" s="9" t="s">
        <v>106</v>
      </c>
      <c r="X487" s="9" t="s">
        <v>106</v>
      </c>
      <c r="Y487" s="9" t="s">
        <v>106</v>
      </c>
      <c r="Z487" s="37"/>
      <c r="AA487" s="37"/>
      <c r="AB487" s="37"/>
      <c r="AE487"/>
    </row>
    <row r="488" spans="1:31" hidden="1">
      <c r="A488" s="9" t="s">
        <v>660</v>
      </c>
      <c r="B488" s="9" t="s">
        <v>662</v>
      </c>
      <c r="C488" s="9" t="s">
        <v>105</v>
      </c>
      <c r="D488" s="9">
        <v>0.42892999999999998</v>
      </c>
      <c r="E488" s="9">
        <v>19.096</v>
      </c>
      <c r="F488" s="9" t="s">
        <v>106</v>
      </c>
      <c r="G488" s="9" t="s">
        <v>106</v>
      </c>
      <c r="H488" s="9" t="s">
        <v>106</v>
      </c>
      <c r="J488" s="9" t="s">
        <v>116</v>
      </c>
      <c r="K488" s="9" t="s">
        <v>117</v>
      </c>
      <c r="L488" t="str">
        <f>IF(OR(J488="Cattle",J488="Zebu Cattle"),IF(COUNTIF(lists!$M$2:$M$258, K488) &gt; 0,"bos.indicus",IF(COUNTIF(lists!$L$2:$L$258, K488) &gt; 0,"cross.bred","pure.bred.exotic")),"NA")</f>
        <v>NA</v>
      </c>
      <c r="M488" t="str">
        <f>IF(J488="Sheep",IF(COUNTIF(lists!$H$2:$H$258, K488) &gt; 0,"indigenous",IF(COUNTIF(lists!$G$2:$G$258, K488) &gt; 0,"cross.bred","not found")),"NA")</f>
        <v>NA</v>
      </c>
      <c r="N488" t="str">
        <f>IF(J488="Goat",IF(COUNTIF(lists!$J$2:$J$258, K488) &gt; 0,"indigenous",IF(COUNTIF(lists!$I$2:$I$258, K488) &gt; 0,"cross.bred","not found")),"NA")</f>
        <v>indigenous</v>
      </c>
      <c r="O488" s="9" t="s">
        <v>109</v>
      </c>
      <c r="P488" s="9" t="s">
        <v>479</v>
      </c>
      <c r="S488" s="9" t="s">
        <v>106</v>
      </c>
      <c r="T488" s="9" t="s">
        <v>106</v>
      </c>
      <c r="U488" s="9" t="s">
        <v>106</v>
      </c>
      <c r="V488" s="9" t="s">
        <v>106</v>
      </c>
      <c r="W488" s="9" t="s">
        <v>106</v>
      </c>
      <c r="X488" s="9" t="s">
        <v>106</v>
      </c>
      <c r="Y488" s="9" t="s">
        <v>106</v>
      </c>
      <c r="Z488" s="37"/>
      <c r="AA488" s="37"/>
      <c r="AB488" s="37"/>
      <c r="AE488"/>
    </row>
    <row r="489" spans="1:31" hidden="1">
      <c r="A489" s="9" t="s">
        <v>660</v>
      </c>
      <c r="B489" s="9" t="s">
        <v>663</v>
      </c>
      <c r="C489" s="9" t="s">
        <v>105</v>
      </c>
      <c r="D489" s="9">
        <v>0.32200000000000001</v>
      </c>
      <c r="E489" s="9">
        <v>19.096</v>
      </c>
      <c r="F489" s="9" t="s">
        <v>106</v>
      </c>
      <c r="G489" s="9" t="s">
        <v>106</v>
      </c>
      <c r="H489" s="9" t="s">
        <v>106</v>
      </c>
      <c r="J489" s="9" t="s">
        <v>116</v>
      </c>
      <c r="K489" s="9" t="s">
        <v>117</v>
      </c>
      <c r="L489" t="str">
        <f>IF(OR(J489="Cattle",J489="Zebu Cattle"),IF(COUNTIF(lists!$M$2:$M$258, K489) &gt; 0,"bos.indicus",IF(COUNTIF(lists!$L$2:$L$258, K489) &gt; 0,"cross.bred","pure.bred.exotic")),"NA")</f>
        <v>NA</v>
      </c>
      <c r="M489" t="str">
        <f>IF(J489="Sheep",IF(COUNTIF(lists!$H$2:$H$258, K489) &gt; 0,"indigenous",IF(COUNTIF(lists!$G$2:$G$258, K489) &gt; 0,"cross.bred","not found")),"NA")</f>
        <v>NA</v>
      </c>
      <c r="N489" t="str">
        <f>IF(J489="Goat",IF(COUNTIF(lists!$J$2:$J$258, K489) &gt; 0,"indigenous",IF(COUNTIF(lists!$I$2:$I$258, K489) &gt; 0,"cross.bred","not found")),"NA")</f>
        <v>indigenous</v>
      </c>
      <c r="O489" s="9" t="s">
        <v>109</v>
      </c>
      <c r="P489" s="9" t="s">
        <v>479</v>
      </c>
      <c r="S489" s="9" t="s">
        <v>106</v>
      </c>
      <c r="T489" s="9" t="s">
        <v>106</v>
      </c>
      <c r="U489" s="9" t="s">
        <v>106</v>
      </c>
      <c r="V489" s="9" t="s">
        <v>106</v>
      </c>
      <c r="W489" s="9" t="s">
        <v>106</v>
      </c>
      <c r="X489" s="9" t="s">
        <v>106</v>
      </c>
      <c r="Y489" s="9" t="s">
        <v>106</v>
      </c>
      <c r="Z489" s="37"/>
      <c r="AA489" s="37"/>
      <c r="AB489" s="37"/>
      <c r="AE489"/>
    </row>
    <row r="490" spans="1:31" hidden="1">
      <c r="A490" s="9" t="s">
        <v>660</v>
      </c>
      <c r="B490" s="9" t="s">
        <v>664</v>
      </c>
      <c r="C490" s="9" t="s">
        <v>105</v>
      </c>
      <c r="D490" s="9">
        <v>0.28810000000000002</v>
      </c>
      <c r="E490" s="9">
        <v>19.096</v>
      </c>
      <c r="F490" s="9" t="s">
        <v>106</v>
      </c>
      <c r="G490" s="9" t="s">
        <v>106</v>
      </c>
      <c r="H490" s="9" t="s">
        <v>106</v>
      </c>
      <c r="J490" s="9" t="s">
        <v>116</v>
      </c>
      <c r="K490" s="9" t="s">
        <v>117</v>
      </c>
      <c r="L490" t="str">
        <f>IF(OR(J490="Cattle",J490="Zebu Cattle"),IF(COUNTIF(lists!$M$2:$M$258, K490) &gt; 0,"bos.indicus",IF(COUNTIF(lists!$L$2:$L$258, K490) &gt; 0,"cross.bred","pure.bred.exotic")),"NA")</f>
        <v>NA</v>
      </c>
      <c r="M490" t="str">
        <f>IF(J490="Sheep",IF(COUNTIF(lists!$H$2:$H$258, K490) &gt; 0,"indigenous",IF(COUNTIF(lists!$G$2:$G$258, K490) &gt; 0,"cross.bred","not found")),"NA")</f>
        <v>NA</v>
      </c>
      <c r="N490" t="str">
        <f>IF(J490="Goat",IF(COUNTIF(lists!$J$2:$J$258, K490) &gt; 0,"indigenous",IF(COUNTIF(lists!$I$2:$I$258, K490) &gt; 0,"cross.bred","not found")),"NA")</f>
        <v>indigenous</v>
      </c>
      <c r="O490" s="9" t="s">
        <v>109</v>
      </c>
      <c r="P490" s="9" t="s">
        <v>479</v>
      </c>
      <c r="S490" s="9" t="s">
        <v>106</v>
      </c>
      <c r="T490" s="9" t="s">
        <v>106</v>
      </c>
      <c r="U490" s="9" t="s">
        <v>106</v>
      </c>
      <c r="V490" s="9" t="s">
        <v>106</v>
      </c>
      <c r="W490" s="9" t="s">
        <v>106</v>
      </c>
      <c r="X490" s="9" t="s">
        <v>106</v>
      </c>
      <c r="Y490" s="9" t="s">
        <v>106</v>
      </c>
      <c r="Z490" s="37"/>
      <c r="AA490" s="37"/>
      <c r="AB490" s="37"/>
      <c r="AE490"/>
    </row>
    <row r="491" spans="1:31" hidden="1">
      <c r="A491" s="9" t="s">
        <v>665</v>
      </c>
      <c r="B491" s="9" t="s">
        <v>151</v>
      </c>
      <c r="C491" s="9" t="s">
        <v>105</v>
      </c>
      <c r="D491" s="9">
        <v>0.46270999999999901</v>
      </c>
      <c r="E491" s="9">
        <v>4.04</v>
      </c>
      <c r="F491" s="9" t="s">
        <v>106</v>
      </c>
      <c r="G491" s="9" t="s">
        <v>106</v>
      </c>
      <c r="H491" s="9" t="s">
        <v>106</v>
      </c>
      <c r="J491" s="9" t="s">
        <v>116</v>
      </c>
      <c r="K491" s="9" t="s">
        <v>117</v>
      </c>
      <c r="L491" t="str">
        <f>IF(OR(J491="Cattle",J491="Zebu Cattle"),IF(COUNTIF(lists!$M$2:$M$258, K491) &gt; 0,"bos.indicus",IF(COUNTIF(lists!$L$2:$L$258, K491) &gt; 0,"cross.bred","pure.bred.exotic")),"NA")</f>
        <v>NA</v>
      </c>
      <c r="M491" t="str">
        <f>IF(J491="Sheep",IF(COUNTIF(lists!$H$2:$H$258, K491) &gt; 0,"indigenous",IF(COUNTIF(lists!$G$2:$G$258, K491) &gt; 0,"cross.bred","not found")),"NA")</f>
        <v>NA</v>
      </c>
      <c r="N491" t="str">
        <f>IF(J491="Goat",IF(COUNTIF(lists!$J$2:$J$258, K491) &gt; 0,"indigenous",IF(COUNTIF(lists!$I$2:$I$258, K491) &gt; 0,"cross.bred","not found")),"NA")</f>
        <v>indigenous</v>
      </c>
      <c r="O491" s="9" t="s">
        <v>109</v>
      </c>
      <c r="P491" s="9" t="s">
        <v>549</v>
      </c>
      <c r="S491" s="9" t="s">
        <v>106</v>
      </c>
      <c r="T491" s="9">
        <v>92.5</v>
      </c>
      <c r="U491" s="9">
        <v>89.399999999999906</v>
      </c>
      <c r="V491" s="9">
        <v>929</v>
      </c>
      <c r="W491" s="9">
        <v>41.4</v>
      </c>
      <c r="X491" s="9" t="s">
        <v>106</v>
      </c>
      <c r="Y491" s="9" t="s">
        <v>106</v>
      </c>
      <c r="Z491" s="37"/>
      <c r="AA491" s="37"/>
      <c r="AB491" s="37"/>
      <c r="AE491"/>
    </row>
    <row r="492" spans="1:31" hidden="1">
      <c r="A492" s="9" t="s">
        <v>665</v>
      </c>
      <c r="B492" s="9" t="s">
        <v>154</v>
      </c>
      <c r="C492" s="9" t="s">
        <v>105</v>
      </c>
      <c r="D492" s="9">
        <v>0.46555999999999997</v>
      </c>
      <c r="E492" s="9">
        <v>4.04</v>
      </c>
      <c r="F492" s="9" t="s">
        <v>106</v>
      </c>
      <c r="G492" s="9" t="s">
        <v>106</v>
      </c>
      <c r="H492" s="9" t="s">
        <v>106</v>
      </c>
      <c r="J492" s="9" t="s">
        <v>116</v>
      </c>
      <c r="K492" s="9" t="s">
        <v>117</v>
      </c>
      <c r="L492" t="str">
        <f>IF(OR(J492="Cattle",J492="Zebu Cattle"),IF(COUNTIF(lists!$M$2:$M$258, K492) &gt; 0,"bos.indicus",IF(COUNTIF(lists!$L$2:$L$258, K492) &gt; 0,"cross.bred","pure.bred.exotic")),"NA")</f>
        <v>NA</v>
      </c>
      <c r="M492" t="str">
        <f>IF(J492="Sheep",IF(COUNTIF(lists!$H$2:$H$258, K492) &gt; 0,"indigenous",IF(COUNTIF(lists!$G$2:$G$258, K492) &gt; 0,"cross.bred","not found")),"NA")</f>
        <v>NA</v>
      </c>
      <c r="N492" t="str">
        <f>IF(J492="Goat",IF(COUNTIF(lists!$J$2:$J$258, K492) &gt; 0,"indigenous",IF(COUNTIF(lists!$I$2:$I$258, K492) &gt; 0,"cross.bred","not found")),"NA")</f>
        <v>indigenous</v>
      </c>
      <c r="O492" s="9" t="s">
        <v>109</v>
      </c>
      <c r="P492" s="9" t="s">
        <v>549</v>
      </c>
      <c r="S492" s="9" t="s">
        <v>106</v>
      </c>
      <c r="T492" s="9">
        <v>92.9</v>
      </c>
      <c r="U492" s="9">
        <v>99.9</v>
      </c>
      <c r="V492" s="9">
        <v>926.2</v>
      </c>
      <c r="W492" s="9">
        <v>48.9</v>
      </c>
      <c r="X492" s="9" t="s">
        <v>106</v>
      </c>
      <c r="Y492" s="9" t="s">
        <v>106</v>
      </c>
      <c r="Z492" s="37"/>
      <c r="AA492" s="37"/>
      <c r="AB492" s="37"/>
      <c r="AE492"/>
    </row>
    <row r="493" spans="1:31" hidden="1">
      <c r="A493" s="9" t="s">
        <v>665</v>
      </c>
      <c r="B493" s="9" t="s">
        <v>155</v>
      </c>
      <c r="C493" s="9" t="s">
        <v>105</v>
      </c>
      <c r="D493" s="9">
        <v>0.48636000000000001</v>
      </c>
      <c r="E493" s="9">
        <v>4.04</v>
      </c>
      <c r="F493" s="9" t="s">
        <v>106</v>
      </c>
      <c r="G493" s="9" t="s">
        <v>106</v>
      </c>
      <c r="H493" s="9" t="s">
        <v>106</v>
      </c>
      <c r="J493" s="9" t="s">
        <v>116</v>
      </c>
      <c r="K493" s="9" t="s">
        <v>117</v>
      </c>
      <c r="L493" t="str">
        <f>IF(OR(J493="Cattle",J493="Zebu Cattle"),IF(COUNTIF(lists!$M$2:$M$258, K493) &gt; 0,"bos.indicus",IF(COUNTIF(lists!$L$2:$L$258, K493) &gt; 0,"cross.bred","pure.bred.exotic")),"NA")</f>
        <v>NA</v>
      </c>
      <c r="M493" t="str">
        <f>IF(J493="Sheep",IF(COUNTIF(lists!$H$2:$H$258, K493) &gt; 0,"indigenous",IF(COUNTIF(lists!$G$2:$G$258, K493) &gt; 0,"cross.bred","not found")),"NA")</f>
        <v>NA</v>
      </c>
      <c r="N493" t="str">
        <f>IF(J493="Goat",IF(COUNTIF(lists!$J$2:$J$258, K493) &gt; 0,"indigenous",IF(COUNTIF(lists!$I$2:$I$258, K493) &gt; 0,"cross.bred","not found")),"NA")</f>
        <v>indigenous</v>
      </c>
      <c r="O493" s="9" t="s">
        <v>109</v>
      </c>
      <c r="P493" s="9" t="s">
        <v>549</v>
      </c>
      <c r="S493" s="9" t="s">
        <v>106</v>
      </c>
      <c r="T493" s="9">
        <v>93.3</v>
      </c>
      <c r="U493" s="9">
        <v>113.2</v>
      </c>
      <c r="V493" s="9">
        <v>927.9</v>
      </c>
      <c r="W493" s="9">
        <v>53</v>
      </c>
      <c r="X493" s="9" t="s">
        <v>106</v>
      </c>
      <c r="Y493" s="9" t="s">
        <v>106</v>
      </c>
      <c r="Z493" s="37"/>
      <c r="AA493" s="37"/>
      <c r="AB493" s="37"/>
      <c r="AE493"/>
    </row>
    <row r="494" spans="1:31" hidden="1">
      <c r="A494" s="9" t="s">
        <v>665</v>
      </c>
      <c r="B494" s="9" t="s">
        <v>156</v>
      </c>
      <c r="C494" s="9" t="s">
        <v>105</v>
      </c>
      <c r="D494" s="9">
        <v>0.46738999999999897</v>
      </c>
      <c r="E494" s="9">
        <v>4.04</v>
      </c>
      <c r="F494" s="9" t="s">
        <v>106</v>
      </c>
      <c r="G494" s="9" t="s">
        <v>106</v>
      </c>
      <c r="H494" s="9" t="s">
        <v>106</v>
      </c>
      <c r="J494" s="9" t="s">
        <v>116</v>
      </c>
      <c r="K494" s="9" t="s">
        <v>117</v>
      </c>
      <c r="L494" t="str">
        <f>IF(OR(J494="Cattle",J494="Zebu Cattle"),IF(COUNTIF(lists!$M$2:$M$258, K494) &gt; 0,"bos.indicus",IF(COUNTIF(lists!$L$2:$L$258, K494) &gt; 0,"cross.bred","pure.bred.exotic")),"NA")</f>
        <v>NA</v>
      </c>
      <c r="M494" t="str">
        <f>IF(J494="Sheep",IF(COUNTIF(lists!$H$2:$H$258, K494) &gt; 0,"indigenous",IF(COUNTIF(lists!$G$2:$G$258, K494) &gt; 0,"cross.bred","not found")),"NA")</f>
        <v>NA</v>
      </c>
      <c r="N494" t="str">
        <f>IF(J494="Goat",IF(COUNTIF(lists!$J$2:$J$258, K494) &gt; 0,"indigenous",IF(COUNTIF(lists!$I$2:$I$258, K494) &gt; 0,"cross.bred","not found")),"NA")</f>
        <v>indigenous</v>
      </c>
      <c r="O494" s="9" t="s">
        <v>109</v>
      </c>
      <c r="P494" s="9" t="s">
        <v>549</v>
      </c>
      <c r="S494" s="9" t="s">
        <v>106</v>
      </c>
      <c r="T494" s="9">
        <v>95.4</v>
      </c>
      <c r="U494" s="9">
        <v>86.7</v>
      </c>
      <c r="V494" s="9">
        <v>911.8</v>
      </c>
      <c r="W494" s="9">
        <v>53.7</v>
      </c>
      <c r="X494" s="9" t="s">
        <v>106</v>
      </c>
      <c r="Y494" s="9" t="s">
        <v>106</v>
      </c>
      <c r="Z494" s="37"/>
      <c r="AA494" s="37"/>
      <c r="AB494" s="37"/>
      <c r="AE494"/>
    </row>
    <row r="495" spans="1:31" hidden="1">
      <c r="A495" s="9" t="s">
        <v>665</v>
      </c>
      <c r="B495" s="9" t="s">
        <v>157</v>
      </c>
      <c r="C495" s="9" t="s">
        <v>105</v>
      </c>
      <c r="D495" s="9">
        <v>0.46666000000000002</v>
      </c>
      <c r="E495" s="9">
        <v>4.04</v>
      </c>
      <c r="F495" s="9" t="s">
        <v>106</v>
      </c>
      <c r="G495" s="9" t="s">
        <v>106</v>
      </c>
      <c r="H495" s="9" t="s">
        <v>106</v>
      </c>
      <c r="J495" s="9" t="s">
        <v>116</v>
      </c>
      <c r="K495" s="9" t="s">
        <v>117</v>
      </c>
      <c r="L495" t="str">
        <f>IF(OR(J495="Cattle",J495="Zebu Cattle"),IF(COUNTIF(lists!$M$2:$M$258, K495) &gt; 0,"bos.indicus",IF(COUNTIF(lists!$L$2:$L$258, K495) &gt; 0,"cross.bred","pure.bred.exotic")),"NA")</f>
        <v>NA</v>
      </c>
      <c r="M495" t="str">
        <f>IF(J495="Sheep",IF(COUNTIF(lists!$H$2:$H$258, K495) &gt; 0,"indigenous",IF(COUNTIF(lists!$G$2:$G$258, K495) &gt; 0,"cross.bred","not found")),"NA")</f>
        <v>NA</v>
      </c>
      <c r="N495" t="str">
        <f>IF(J495="Goat",IF(COUNTIF(lists!$J$2:$J$258, K495) &gt; 0,"indigenous",IF(COUNTIF(lists!$I$2:$I$258, K495) &gt; 0,"cross.bred","not found")),"NA")</f>
        <v>indigenous</v>
      </c>
      <c r="O495" s="9" t="s">
        <v>109</v>
      </c>
      <c r="P495" s="9" t="s">
        <v>549</v>
      </c>
      <c r="S495" s="9" t="s">
        <v>106</v>
      </c>
      <c r="T495" s="9">
        <v>98.4</v>
      </c>
      <c r="U495" s="9">
        <v>79.8</v>
      </c>
      <c r="V495" s="9">
        <v>908.9</v>
      </c>
      <c r="W495" s="9">
        <v>56.5</v>
      </c>
      <c r="X495" s="9" t="s">
        <v>106</v>
      </c>
      <c r="Y495" s="9" t="s">
        <v>106</v>
      </c>
      <c r="Z495" s="37"/>
      <c r="AA495" s="37"/>
      <c r="AB495" s="37"/>
      <c r="AE495"/>
    </row>
    <row r="496" spans="1:31" hidden="1">
      <c r="A496" s="9" t="s">
        <v>666</v>
      </c>
      <c r="B496" s="9" t="s">
        <v>633</v>
      </c>
      <c r="C496" s="9" t="s">
        <v>105</v>
      </c>
      <c r="D496" s="9">
        <v>0.2243</v>
      </c>
      <c r="E496" s="9">
        <v>8.7200000000000006</v>
      </c>
      <c r="F496" s="9" t="s">
        <v>106</v>
      </c>
      <c r="G496" s="9" t="s">
        <v>106</v>
      </c>
      <c r="H496" s="9" t="s">
        <v>106</v>
      </c>
      <c r="J496" s="9" t="s">
        <v>116</v>
      </c>
      <c r="K496" s="9" t="s">
        <v>117</v>
      </c>
      <c r="L496" t="str">
        <f>IF(OR(J496="Cattle",J496="Zebu Cattle"),IF(COUNTIF(lists!$M$2:$M$258, K496) &gt; 0,"bos.indicus",IF(COUNTIF(lists!$L$2:$L$258, K496) &gt; 0,"cross.bred","pure.bred.exotic")),"NA")</f>
        <v>NA</v>
      </c>
      <c r="M496" t="str">
        <f>IF(J496="Sheep",IF(COUNTIF(lists!$H$2:$H$258, K496) &gt; 0,"indigenous",IF(COUNTIF(lists!$G$2:$G$258, K496) &gt; 0,"cross.bred","not found")),"NA")</f>
        <v>NA</v>
      </c>
      <c r="N496" t="str">
        <f>IF(J496="Goat",IF(COUNTIF(lists!$J$2:$J$258, K496) &gt; 0,"indigenous",IF(COUNTIF(lists!$I$2:$I$258, K496) &gt; 0,"cross.bred","not found")),"NA")</f>
        <v>indigenous</v>
      </c>
      <c r="O496" s="9" t="s">
        <v>109</v>
      </c>
      <c r="P496" s="9" t="s">
        <v>479</v>
      </c>
      <c r="S496" s="9" t="s">
        <v>106</v>
      </c>
      <c r="T496" s="9">
        <v>71.5</v>
      </c>
      <c r="U496" s="9">
        <v>108.2</v>
      </c>
      <c r="V496" s="9">
        <v>871.8</v>
      </c>
      <c r="W496" s="9">
        <v>81.5</v>
      </c>
      <c r="X496" s="9" t="s">
        <v>106</v>
      </c>
      <c r="Y496" s="9" t="s">
        <v>106</v>
      </c>
      <c r="Z496" s="37"/>
      <c r="AA496" s="37"/>
      <c r="AB496" s="37"/>
      <c r="AE496"/>
    </row>
    <row r="497" spans="1:31" hidden="1">
      <c r="A497" s="9" t="s">
        <v>666</v>
      </c>
      <c r="B497" s="9" t="s">
        <v>635</v>
      </c>
      <c r="C497" s="9" t="s">
        <v>105</v>
      </c>
      <c r="D497" s="9">
        <v>0.21529999999999999</v>
      </c>
      <c r="E497" s="9">
        <v>8.7200000000000006</v>
      </c>
      <c r="F497" s="9" t="s">
        <v>106</v>
      </c>
      <c r="G497" s="9" t="s">
        <v>106</v>
      </c>
      <c r="H497" s="9" t="s">
        <v>106</v>
      </c>
      <c r="J497" s="9" t="s">
        <v>116</v>
      </c>
      <c r="K497" s="9" t="s">
        <v>117</v>
      </c>
      <c r="L497" t="str">
        <f>IF(OR(J497="Cattle",J497="Zebu Cattle"),IF(COUNTIF(lists!$M$2:$M$258, K497) &gt; 0,"bos.indicus",IF(COUNTIF(lists!$L$2:$L$258, K497) &gt; 0,"cross.bred","pure.bred.exotic")),"NA")</f>
        <v>NA</v>
      </c>
      <c r="M497" t="str">
        <f>IF(J497="Sheep",IF(COUNTIF(lists!$H$2:$H$258, K497) &gt; 0,"indigenous",IF(COUNTIF(lists!$G$2:$G$258, K497) &gt; 0,"cross.bred","not found")),"NA")</f>
        <v>NA</v>
      </c>
      <c r="N497" t="str">
        <f>IF(J497="Goat",IF(COUNTIF(lists!$J$2:$J$258, K497) &gt; 0,"indigenous",IF(COUNTIF(lists!$I$2:$I$258, K497) &gt; 0,"cross.bred","not found")),"NA")</f>
        <v>indigenous</v>
      </c>
      <c r="O497" s="9" t="s">
        <v>109</v>
      </c>
      <c r="P497" s="9" t="s">
        <v>479</v>
      </c>
      <c r="S497" s="9" t="s">
        <v>106</v>
      </c>
      <c r="T497" s="9">
        <v>74.3</v>
      </c>
      <c r="U497" s="9">
        <v>138.69999999999999</v>
      </c>
      <c r="V497" s="9">
        <v>893.5</v>
      </c>
      <c r="W497" s="9">
        <v>50.3</v>
      </c>
      <c r="X497" s="9" t="s">
        <v>106</v>
      </c>
      <c r="Y497" s="9" t="s">
        <v>106</v>
      </c>
      <c r="Z497" s="37"/>
      <c r="AA497" s="37"/>
      <c r="AB497" s="37"/>
      <c r="AE497"/>
    </row>
    <row r="498" spans="1:31" hidden="1">
      <c r="A498" s="9" t="s">
        <v>666</v>
      </c>
      <c r="B498" s="9" t="s">
        <v>636</v>
      </c>
      <c r="C498" s="9" t="s">
        <v>105</v>
      </c>
      <c r="D498" s="9">
        <v>0.26389999999999902</v>
      </c>
      <c r="E498" s="9">
        <v>8.7200000000000006</v>
      </c>
      <c r="F498" s="9" t="s">
        <v>106</v>
      </c>
      <c r="G498" s="9" t="s">
        <v>106</v>
      </c>
      <c r="H498" s="9" t="s">
        <v>106</v>
      </c>
      <c r="J498" s="9" t="s">
        <v>116</v>
      </c>
      <c r="K498" s="9" t="s">
        <v>117</v>
      </c>
      <c r="L498" t="str">
        <f>IF(OR(J498="Cattle",J498="Zebu Cattle"),IF(COUNTIF(lists!$M$2:$M$258, K498) &gt; 0,"bos.indicus",IF(COUNTIF(lists!$L$2:$L$258, K498) &gt; 0,"cross.bred","pure.bred.exotic")),"NA")</f>
        <v>NA</v>
      </c>
      <c r="M498" t="str">
        <f>IF(J498="Sheep",IF(COUNTIF(lists!$H$2:$H$258, K498) &gt; 0,"indigenous",IF(COUNTIF(lists!$G$2:$G$258, K498) &gt; 0,"cross.bred","not found")),"NA")</f>
        <v>NA</v>
      </c>
      <c r="N498" t="str">
        <f>IF(J498="Goat",IF(COUNTIF(lists!$J$2:$J$258, K498) &gt; 0,"indigenous",IF(COUNTIF(lists!$I$2:$I$258, K498) &gt; 0,"cross.bred","not found")),"NA")</f>
        <v>indigenous</v>
      </c>
      <c r="O498" s="9" t="s">
        <v>109</v>
      </c>
      <c r="P498" s="9" t="s">
        <v>479</v>
      </c>
      <c r="S498" s="9" t="s">
        <v>106</v>
      </c>
      <c r="T498" s="9">
        <v>73</v>
      </c>
      <c r="U498" s="9">
        <v>170.1</v>
      </c>
      <c r="V498" s="9">
        <v>887.6</v>
      </c>
      <c r="W498" s="9">
        <v>65.900000000000006</v>
      </c>
      <c r="X498" s="9" t="s">
        <v>106</v>
      </c>
      <c r="Y498" s="9" t="s">
        <v>106</v>
      </c>
      <c r="Z498" s="37"/>
      <c r="AA498" s="37"/>
      <c r="AB498" s="37"/>
      <c r="AE498"/>
    </row>
    <row r="499" spans="1:31" hidden="1">
      <c r="A499" s="9" t="s">
        <v>666</v>
      </c>
      <c r="B499" s="9" t="s">
        <v>667</v>
      </c>
      <c r="C499" s="9" t="s">
        <v>105</v>
      </c>
      <c r="D499" s="9">
        <v>0.29025000000000001</v>
      </c>
      <c r="E499" s="9">
        <v>8.7200000000000006</v>
      </c>
      <c r="F499" s="9" t="s">
        <v>106</v>
      </c>
      <c r="G499" s="9" t="s">
        <v>106</v>
      </c>
      <c r="H499" s="9" t="s">
        <v>106</v>
      </c>
      <c r="J499" s="9" t="s">
        <v>116</v>
      </c>
      <c r="K499" s="9" t="s">
        <v>117</v>
      </c>
      <c r="L499" t="str">
        <f>IF(OR(J499="Cattle",J499="Zebu Cattle"),IF(COUNTIF(lists!$M$2:$M$258, K499) &gt; 0,"bos.indicus",IF(COUNTIF(lists!$L$2:$L$258, K499) &gt; 0,"cross.bred","pure.bred.exotic")),"NA")</f>
        <v>NA</v>
      </c>
      <c r="M499" t="str">
        <f>IF(J499="Sheep",IF(COUNTIF(lists!$H$2:$H$258, K499) &gt; 0,"indigenous",IF(COUNTIF(lists!$G$2:$G$258, K499) &gt; 0,"cross.bred","not found")),"NA")</f>
        <v>NA</v>
      </c>
      <c r="N499" t="str">
        <f>IF(J499="Goat",IF(COUNTIF(lists!$J$2:$J$258, K499) &gt; 0,"indigenous",IF(COUNTIF(lists!$I$2:$I$258, K499) &gt; 0,"cross.bred","not found")),"NA")</f>
        <v>indigenous</v>
      </c>
      <c r="O499" s="9" t="s">
        <v>109</v>
      </c>
      <c r="P499" s="9" t="s">
        <v>479</v>
      </c>
      <c r="S499" s="9" t="s">
        <v>106</v>
      </c>
      <c r="T499" s="9">
        <v>78.3</v>
      </c>
      <c r="U499" s="9">
        <v>117.5</v>
      </c>
      <c r="V499" s="9">
        <v>902.2</v>
      </c>
      <c r="W499" s="9">
        <v>88</v>
      </c>
      <c r="X499" s="9" t="s">
        <v>106</v>
      </c>
      <c r="Y499" s="9" t="s">
        <v>106</v>
      </c>
      <c r="Z499" s="37"/>
      <c r="AA499" s="37"/>
      <c r="AB499" s="37"/>
      <c r="AE499"/>
    </row>
    <row r="500" spans="1:31" hidden="1">
      <c r="A500" s="9" t="s">
        <v>674</v>
      </c>
      <c r="B500" s="9" t="s">
        <v>642</v>
      </c>
      <c r="C500" s="9" t="s">
        <v>105</v>
      </c>
      <c r="D500" s="9">
        <v>15.4366666666666</v>
      </c>
      <c r="E500" s="9">
        <v>3.94</v>
      </c>
      <c r="F500" s="9" t="s">
        <v>106</v>
      </c>
      <c r="G500" s="9" t="s">
        <v>106</v>
      </c>
      <c r="H500" s="9" t="s">
        <v>106</v>
      </c>
      <c r="J500" s="9" t="s">
        <v>116</v>
      </c>
      <c r="K500" s="9" t="s">
        <v>634</v>
      </c>
      <c r="L500" t="str">
        <f>IF(OR(J500="Cattle",J500="Zebu Cattle"),IF(COUNTIF(lists!$M$2:$M$258, K500) &gt; 0,"bos.indicus",IF(COUNTIF(lists!$L$2:$L$258, K500) &gt; 0,"cross.bred","pure.bred.exotic")),"NA")</f>
        <v>NA</v>
      </c>
      <c r="M500" t="str">
        <f>IF(J500="Sheep",IF(COUNTIF(lists!$H$2:$H$258, K500) &gt; 0,"indigenous",IF(COUNTIF(lists!$G$2:$G$258, K500) &gt; 0,"cross.bred","not found")),"NA")</f>
        <v>NA</v>
      </c>
      <c r="N500" t="str">
        <f>IF(J500="Goat",IF(COUNTIF(lists!$J$2:$J$258, K500) &gt; 0,"indigenous",IF(COUNTIF(lists!$I$2:$I$258, K500) &gt; 0,"cross.bred","not found")),"NA")</f>
        <v>indigenous</v>
      </c>
      <c r="O500" s="9" t="s">
        <v>109</v>
      </c>
      <c r="P500" s="9" t="s">
        <v>110</v>
      </c>
      <c r="S500" s="9">
        <v>211.1</v>
      </c>
      <c r="T500" s="9">
        <v>61.5</v>
      </c>
      <c r="U500" s="9">
        <v>175</v>
      </c>
      <c r="V500" s="9">
        <v>926.1</v>
      </c>
      <c r="W500" s="9">
        <v>40</v>
      </c>
      <c r="X500" s="9">
        <v>276</v>
      </c>
      <c r="Y500" s="9" t="s">
        <v>106</v>
      </c>
      <c r="Z500" s="37"/>
      <c r="AA500" s="37"/>
      <c r="AB500" s="37"/>
      <c r="AE500"/>
    </row>
    <row r="501" spans="1:31" hidden="1">
      <c r="A501" s="9" t="s">
        <v>674</v>
      </c>
      <c r="B501" s="9" t="s">
        <v>643</v>
      </c>
      <c r="C501" s="9" t="s">
        <v>105</v>
      </c>
      <c r="D501" s="9">
        <v>16.236666666666601</v>
      </c>
      <c r="E501" s="9">
        <v>3.94</v>
      </c>
      <c r="F501" s="9" t="s">
        <v>106</v>
      </c>
      <c r="G501" s="9" t="s">
        <v>106</v>
      </c>
      <c r="H501" s="9" t="s">
        <v>106</v>
      </c>
      <c r="J501" s="9" t="s">
        <v>116</v>
      </c>
      <c r="K501" s="9" t="s">
        <v>634</v>
      </c>
      <c r="L501" t="str">
        <f>IF(OR(J501="Cattle",J501="Zebu Cattle"),IF(COUNTIF(lists!$M$2:$M$258, K501) &gt; 0,"bos.indicus",IF(COUNTIF(lists!$L$2:$L$258, K501) &gt; 0,"cross.bred","pure.bred.exotic")),"NA")</f>
        <v>NA</v>
      </c>
      <c r="M501" t="str">
        <f>IF(J501="Sheep",IF(COUNTIF(lists!$H$2:$H$258, K501) &gt; 0,"indigenous",IF(COUNTIF(lists!$G$2:$G$258, K501) &gt; 0,"cross.bred","not found")),"NA")</f>
        <v>NA</v>
      </c>
      <c r="N501" t="str">
        <f>IF(J501="Goat",IF(COUNTIF(lists!$J$2:$J$258, K501) &gt; 0,"indigenous",IF(COUNTIF(lists!$I$2:$I$258, K501) &gt; 0,"cross.bred","not found")),"NA")</f>
        <v>indigenous</v>
      </c>
      <c r="O501" s="9" t="s">
        <v>109</v>
      </c>
      <c r="P501" s="9" t="s">
        <v>110</v>
      </c>
      <c r="S501" s="9">
        <v>242.1</v>
      </c>
      <c r="T501" s="9">
        <v>53.4</v>
      </c>
      <c r="U501" s="9">
        <v>169.1</v>
      </c>
      <c r="V501" s="9">
        <v>922.1</v>
      </c>
      <c r="W501" s="9">
        <v>41.7</v>
      </c>
      <c r="X501" s="9">
        <v>354</v>
      </c>
      <c r="Y501" s="9" t="s">
        <v>106</v>
      </c>
      <c r="Z501" s="37"/>
      <c r="AA501" s="37"/>
      <c r="AB501" s="37"/>
      <c r="AE501"/>
    </row>
    <row r="502" spans="1:31" hidden="1">
      <c r="A502" s="9" t="s">
        <v>674</v>
      </c>
      <c r="B502" s="9" t="s">
        <v>644</v>
      </c>
      <c r="C502" s="9" t="s">
        <v>105</v>
      </c>
      <c r="D502" s="9">
        <v>16.843333333333302</v>
      </c>
      <c r="E502" s="9">
        <v>3.94</v>
      </c>
      <c r="F502" s="9" t="s">
        <v>106</v>
      </c>
      <c r="G502" s="9" t="s">
        <v>106</v>
      </c>
      <c r="H502" s="9" t="s">
        <v>106</v>
      </c>
      <c r="J502" s="9" t="s">
        <v>116</v>
      </c>
      <c r="K502" s="9" t="s">
        <v>634</v>
      </c>
      <c r="L502" t="str">
        <f>IF(OR(J502="Cattle",J502="Zebu Cattle"),IF(COUNTIF(lists!$M$2:$M$258, K502) &gt; 0,"bos.indicus",IF(COUNTIF(lists!$L$2:$L$258, K502) &gt; 0,"cross.bred","pure.bred.exotic")),"NA")</f>
        <v>NA</v>
      </c>
      <c r="M502" t="str">
        <f>IF(J502="Sheep",IF(COUNTIF(lists!$H$2:$H$258, K502) &gt; 0,"indigenous",IF(COUNTIF(lists!$G$2:$G$258, K502) &gt; 0,"cross.bred","not found")),"NA")</f>
        <v>NA</v>
      </c>
      <c r="N502" t="str">
        <f>IF(J502="Goat",IF(COUNTIF(lists!$J$2:$J$258, K502) &gt; 0,"indigenous",IF(COUNTIF(lists!$I$2:$I$258, K502) &gt; 0,"cross.bred","not found")),"NA")</f>
        <v>indigenous</v>
      </c>
      <c r="O502" s="9" t="s">
        <v>109</v>
      </c>
      <c r="P502" s="9" t="s">
        <v>110</v>
      </c>
      <c r="S502" s="9">
        <v>250</v>
      </c>
      <c r="T502" s="9">
        <v>52.599999999999902</v>
      </c>
      <c r="U502" s="9">
        <v>168.79999999999899</v>
      </c>
      <c r="V502" s="9">
        <v>915.5</v>
      </c>
      <c r="W502" s="9">
        <v>39.1</v>
      </c>
      <c r="X502" s="9">
        <v>366.6</v>
      </c>
      <c r="Y502" s="9" t="s">
        <v>106</v>
      </c>
      <c r="Z502" s="37"/>
      <c r="AA502" s="37"/>
      <c r="AB502" s="37"/>
      <c r="AE502"/>
    </row>
    <row r="503" spans="1:31" hidden="1">
      <c r="A503" s="9" t="s">
        <v>674</v>
      </c>
      <c r="B503" s="9" t="s">
        <v>645</v>
      </c>
      <c r="C503" s="9" t="s">
        <v>105</v>
      </c>
      <c r="D503" s="9">
        <v>16.97</v>
      </c>
      <c r="E503" s="9">
        <v>3.94</v>
      </c>
      <c r="F503" s="9" t="s">
        <v>106</v>
      </c>
      <c r="G503" s="9" t="s">
        <v>106</v>
      </c>
      <c r="H503" s="9" t="s">
        <v>106</v>
      </c>
      <c r="J503" s="9" t="s">
        <v>116</v>
      </c>
      <c r="K503" s="9" t="s">
        <v>634</v>
      </c>
      <c r="L503" t="str">
        <f>IF(OR(J503="Cattle",J503="Zebu Cattle"),IF(COUNTIF(lists!$M$2:$M$258, K503) &gt; 0,"bos.indicus",IF(COUNTIF(lists!$L$2:$L$258, K503) &gt; 0,"cross.bred","pure.bred.exotic")),"NA")</f>
        <v>NA</v>
      </c>
      <c r="M503" t="str">
        <f>IF(J503="Sheep",IF(COUNTIF(lists!$H$2:$H$258, K503) &gt; 0,"indigenous",IF(COUNTIF(lists!$G$2:$G$258, K503) &gt; 0,"cross.bred","not found")),"NA")</f>
        <v>NA</v>
      </c>
      <c r="N503" t="str">
        <f>IF(J503="Goat",IF(COUNTIF(lists!$J$2:$J$258, K503) &gt; 0,"indigenous",IF(COUNTIF(lists!$I$2:$I$258, K503) &gt; 0,"cross.bred","not found")),"NA")</f>
        <v>indigenous</v>
      </c>
      <c r="O503" s="9" t="s">
        <v>109</v>
      </c>
      <c r="P503" s="9" t="s">
        <v>110</v>
      </c>
      <c r="S503" s="9">
        <v>264.3</v>
      </c>
      <c r="T503" s="9">
        <v>57.1</v>
      </c>
      <c r="U503" s="9">
        <v>168.1</v>
      </c>
      <c r="V503" s="9">
        <v>938.1</v>
      </c>
      <c r="W503" s="9">
        <v>40.799999999999997</v>
      </c>
      <c r="X503" s="9">
        <v>371.1</v>
      </c>
      <c r="Y503" s="9" t="s">
        <v>106</v>
      </c>
      <c r="Z503" s="37"/>
      <c r="AA503" s="37"/>
      <c r="AB503" s="37"/>
      <c r="AE503"/>
    </row>
    <row r="504" spans="1:31" hidden="1">
      <c r="A504" s="9" t="s">
        <v>682</v>
      </c>
      <c r="B504" s="9" t="s">
        <v>683</v>
      </c>
      <c r="C504" s="9" t="s">
        <v>105</v>
      </c>
      <c r="D504" s="9">
        <v>0.22308</v>
      </c>
      <c r="E504" s="9">
        <v>1.0900000000000001</v>
      </c>
      <c r="F504" s="9" t="s">
        <v>106</v>
      </c>
      <c r="G504" s="9" t="s">
        <v>106</v>
      </c>
      <c r="H504" s="9" t="s">
        <v>106</v>
      </c>
      <c r="J504" s="9" t="s">
        <v>116</v>
      </c>
      <c r="K504" s="9" t="s">
        <v>117</v>
      </c>
      <c r="L504" t="str">
        <f>IF(OR(J504="Cattle",J504="Zebu Cattle"),IF(COUNTIF(lists!$M$2:$M$258, K504) &gt; 0,"bos.indicus",IF(COUNTIF(lists!$L$2:$L$258, K504) &gt; 0,"cross.bred","pure.bred.exotic")),"NA")</f>
        <v>NA</v>
      </c>
      <c r="M504" t="str">
        <f>IF(J504="Sheep",IF(COUNTIF(lists!$H$2:$H$258, K504) &gt; 0,"indigenous",IF(COUNTIF(lists!$G$2:$G$258, K504) &gt; 0,"cross.bred","not found")),"NA")</f>
        <v>NA</v>
      </c>
      <c r="N504" t="str">
        <f>IF(J504="Goat",IF(COUNTIF(lists!$J$2:$J$258, K504) &gt; 0,"indigenous",IF(COUNTIF(lists!$I$2:$I$258, K504) &gt; 0,"cross.bred","not found")),"NA")</f>
        <v>indigenous</v>
      </c>
      <c r="O504" s="9" t="s">
        <v>109</v>
      </c>
      <c r="P504" s="9" t="s">
        <v>479</v>
      </c>
      <c r="S504" s="9">
        <v>493</v>
      </c>
      <c r="T504" s="9">
        <v>73</v>
      </c>
      <c r="U504" s="9">
        <v>186</v>
      </c>
      <c r="V504" s="9">
        <v>802</v>
      </c>
      <c r="W504" s="9">
        <v>30</v>
      </c>
      <c r="X504" s="9">
        <v>682</v>
      </c>
      <c r="Y504" s="9" t="s">
        <v>106</v>
      </c>
      <c r="Z504" s="37"/>
      <c r="AA504" s="37"/>
      <c r="AB504" s="37"/>
      <c r="AE504"/>
    </row>
    <row r="505" spans="1:31" hidden="1">
      <c r="A505" s="9" t="s">
        <v>682</v>
      </c>
      <c r="B505" s="9" t="s">
        <v>684</v>
      </c>
      <c r="C505" s="9" t="s">
        <v>105</v>
      </c>
      <c r="D505" s="9">
        <v>0.23956</v>
      </c>
      <c r="E505" s="9">
        <v>1.0900000000000001</v>
      </c>
      <c r="F505" s="9" t="s">
        <v>106</v>
      </c>
      <c r="G505" s="9" t="s">
        <v>106</v>
      </c>
      <c r="H505" s="9" t="s">
        <v>106</v>
      </c>
      <c r="J505" s="9" t="s">
        <v>116</v>
      </c>
      <c r="K505" s="9" t="s">
        <v>117</v>
      </c>
      <c r="L505" t="str">
        <f>IF(OR(J505="Cattle",J505="Zebu Cattle"),IF(COUNTIF(lists!$M$2:$M$258, K505) &gt; 0,"bos.indicus",IF(COUNTIF(lists!$L$2:$L$258, K505) &gt; 0,"cross.bred","pure.bred.exotic")),"NA")</f>
        <v>NA</v>
      </c>
      <c r="M505" t="str">
        <f>IF(J505="Sheep",IF(COUNTIF(lists!$H$2:$H$258, K505) &gt; 0,"indigenous",IF(COUNTIF(lists!$G$2:$G$258, K505) &gt; 0,"cross.bred","not found")),"NA")</f>
        <v>NA</v>
      </c>
      <c r="N505" t="str">
        <f>IF(J505="Goat",IF(COUNTIF(lists!$J$2:$J$258, K505) &gt; 0,"indigenous",IF(COUNTIF(lists!$I$2:$I$258, K505) &gt; 0,"cross.bred","not found")),"NA")</f>
        <v>indigenous</v>
      </c>
      <c r="O505" s="9" t="s">
        <v>109</v>
      </c>
      <c r="P505" s="9" t="s">
        <v>479</v>
      </c>
      <c r="S505" s="9">
        <v>486</v>
      </c>
      <c r="T505" s="9">
        <v>71</v>
      </c>
      <c r="U505" s="9">
        <v>187</v>
      </c>
      <c r="V505" s="9">
        <v>802</v>
      </c>
      <c r="W505" s="9">
        <v>36</v>
      </c>
      <c r="X505" s="9">
        <v>678</v>
      </c>
      <c r="Y505" s="9" t="s">
        <v>106</v>
      </c>
      <c r="Z505" s="37"/>
      <c r="AA505" s="37"/>
      <c r="AB505" s="37"/>
      <c r="AE505"/>
    </row>
    <row r="506" spans="1:31" hidden="1">
      <c r="A506" s="9" t="s">
        <v>682</v>
      </c>
      <c r="B506" s="9" t="s">
        <v>685</v>
      </c>
      <c r="C506" s="9" t="s">
        <v>105</v>
      </c>
      <c r="D506" s="9">
        <v>0.30062</v>
      </c>
      <c r="E506" s="9">
        <v>1.0900000000000001</v>
      </c>
      <c r="F506" s="9" t="s">
        <v>106</v>
      </c>
      <c r="G506" s="9" t="s">
        <v>106</v>
      </c>
      <c r="H506" s="9" t="s">
        <v>106</v>
      </c>
      <c r="J506" s="9" t="s">
        <v>116</v>
      </c>
      <c r="K506" s="9" t="s">
        <v>117</v>
      </c>
      <c r="L506" t="str">
        <f>IF(OR(J506="Cattle",J506="Zebu Cattle"),IF(COUNTIF(lists!$M$2:$M$258, K506) &gt; 0,"bos.indicus",IF(COUNTIF(lists!$L$2:$L$258, K506) &gt; 0,"cross.bred","pure.bred.exotic")),"NA")</f>
        <v>NA</v>
      </c>
      <c r="M506" t="str">
        <f>IF(J506="Sheep",IF(COUNTIF(lists!$H$2:$H$258, K506) &gt; 0,"indigenous",IF(COUNTIF(lists!$G$2:$G$258, K506) &gt; 0,"cross.bred","not found")),"NA")</f>
        <v>NA</v>
      </c>
      <c r="N506" t="str">
        <f>IF(J506="Goat",IF(COUNTIF(lists!$J$2:$J$258, K506) &gt; 0,"indigenous",IF(COUNTIF(lists!$I$2:$I$258, K506) &gt; 0,"cross.bred","not found")),"NA")</f>
        <v>indigenous</v>
      </c>
      <c r="O506" s="9" t="s">
        <v>109</v>
      </c>
      <c r="P506" s="9" t="s">
        <v>479</v>
      </c>
      <c r="S506" s="9">
        <v>480</v>
      </c>
      <c r="T506" s="9">
        <v>71</v>
      </c>
      <c r="U506" s="9">
        <v>188</v>
      </c>
      <c r="V506" s="9">
        <v>803</v>
      </c>
      <c r="W506" s="9">
        <v>43</v>
      </c>
      <c r="X506" s="9">
        <v>676</v>
      </c>
      <c r="Y506" s="9" t="s">
        <v>106</v>
      </c>
      <c r="Z506" s="37"/>
      <c r="AA506" s="37"/>
      <c r="AB506" s="37"/>
      <c r="AE506"/>
    </row>
    <row r="507" spans="1:31" hidden="1">
      <c r="A507" s="9" t="s">
        <v>682</v>
      </c>
      <c r="B507" s="9" t="s">
        <v>686</v>
      </c>
      <c r="C507" s="9" t="s">
        <v>105</v>
      </c>
      <c r="D507" s="9">
        <v>0.32562000000000002</v>
      </c>
      <c r="E507" s="9">
        <v>1.0900000000000001</v>
      </c>
      <c r="F507" s="9" t="s">
        <v>106</v>
      </c>
      <c r="G507" s="9" t="s">
        <v>106</v>
      </c>
      <c r="H507" s="9" t="s">
        <v>106</v>
      </c>
      <c r="J507" s="9" t="s">
        <v>116</v>
      </c>
      <c r="K507" s="9" t="s">
        <v>117</v>
      </c>
      <c r="L507" t="str">
        <f>IF(OR(J507="Cattle",J507="Zebu Cattle"),IF(COUNTIF(lists!$M$2:$M$258, K507) &gt; 0,"bos.indicus",IF(COUNTIF(lists!$L$2:$L$258, K507) &gt; 0,"cross.bred","pure.bred.exotic")),"NA")</f>
        <v>NA</v>
      </c>
      <c r="M507" t="str">
        <f>IF(J507="Sheep",IF(COUNTIF(lists!$H$2:$H$258, K507) &gt; 0,"indigenous",IF(COUNTIF(lists!$G$2:$G$258, K507) &gt; 0,"cross.bred","not found")),"NA")</f>
        <v>NA</v>
      </c>
      <c r="N507" t="str">
        <f>IF(J507="Goat",IF(COUNTIF(lists!$J$2:$J$258, K507) &gt; 0,"indigenous",IF(COUNTIF(lists!$I$2:$I$258, K507) &gt; 0,"cross.bred","not found")),"NA")</f>
        <v>indigenous</v>
      </c>
      <c r="O507" s="9" t="s">
        <v>109</v>
      </c>
      <c r="P507" s="9" t="s">
        <v>479</v>
      </c>
      <c r="S507" s="9">
        <v>476</v>
      </c>
      <c r="T507" s="9">
        <v>70</v>
      </c>
      <c r="U507" s="9">
        <v>189</v>
      </c>
      <c r="V507" s="9">
        <v>803</v>
      </c>
      <c r="W507" s="9">
        <v>51</v>
      </c>
      <c r="X507" s="9">
        <v>675</v>
      </c>
      <c r="Y507" s="9" t="s">
        <v>106</v>
      </c>
      <c r="Z507" s="37"/>
      <c r="AA507" s="37"/>
      <c r="AB507" s="37"/>
      <c r="AE507"/>
    </row>
    <row r="508" spans="1:31" hidden="1">
      <c r="A508" s="9" t="s">
        <v>682</v>
      </c>
      <c r="B508" s="9" t="s">
        <v>687</v>
      </c>
      <c r="C508" s="9" t="s">
        <v>105</v>
      </c>
      <c r="D508" s="9">
        <v>0.25857999999999998</v>
      </c>
      <c r="E508" s="9">
        <v>1.0900000000000001</v>
      </c>
      <c r="F508" s="9" t="s">
        <v>106</v>
      </c>
      <c r="G508" s="9" t="s">
        <v>106</v>
      </c>
      <c r="H508" s="9" t="s">
        <v>106</v>
      </c>
      <c r="J508" s="9" t="s">
        <v>116</v>
      </c>
      <c r="K508" s="9" t="s">
        <v>117</v>
      </c>
      <c r="L508" t="str">
        <f>IF(OR(J508="Cattle",J508="Zebu Cattle"),IF(COUNTIF(lists!$M$2:$M$258, K508) &gt; 0,"bos.indicus",IF(COUNTIF(lists!$L$2:$L$258, K508) &gt; 0,"cross.bred","pure.bred.exotic")),"NA")</f>
        <v>NA</v>
      </c>
      <c r="M508" t="str">
        <f>IF(J508="Sheep",IF(COUNTIF(lists!$H$2:$H$258, K508) &gt; 0,"indigenous",IF(COUNTIF(lists!$G$2:$G$258, K508) &gt; 0,"cross.bred","not found")),"NA")</f>
        <v>NA</v>
      </c>
      <c r="N508" t="str">
        <f>IF(J508="Goat",IF(COUNTIF(lists!$J$2:$J$258, K508) &gt; 0,"indigenous",IF(COUNTIF(lists!$I$2:$I$258, K508) &gt; 0,"cross.bred","not found")),"NA")</f>
        <v>indigenous</v>
      </c>
      <c r="O508" s="9" t="s">
        <v>109</v>
      </c>
      <c r="P508" s="9" t="s">
        <v>479</v>
      </c>
      <c r="S508" s="9">
        <v>473</v>
      </c>
      <c r="T508" s="9">
        <v>70</v>
      </c>
      <c r="U508" s="9">
        <v>190</v>
      </c>
      <c r="V508" s="9">
        <v>804</v>
      </c>
      <c r="W508" s="9">
        <v>56</v>
      </c>
      <c r="X508" s="9">
        <v>675</v>
      </c>
      <c r="Y508" s="9" t="s">
        <v>106</v>
      </c>
      <c r="Z508" s="37"/>
      <c r="AA508" s="37"/>
      <c r="AB508" s="37"/>
      <c r="AE508"/>
    </row>
    <row r="509" spans="1:31" hidden="1">
      <c r="A509" s="9" t="s">
        <v>688</v>
      </c>
      <c r="B509" s="9" t="s">
        <v>689</v>
      </c>
      <c r="C509" s="9" t="s">
        <v>105</v>
      </c>
      <c r="D509" s="9">
        <v>0.19986000000000001</v>
      </c>
      <c r="E509" s="9">
        <v>1.34</v>
      </c>
      <c r="F509" s="9" t="s">
        <v>106</v>
      </c>
      <c r="G509" s="9" t="s">
        <v>106</v>
      </c>
      <c r="H509" s="9" t="s">
        <v>106</v>
      </c>
      <c r="I509" s="9">
        <v>24</v>
      </c>
      <c r="J509" s="9" t="s">
        <v>116</v>
      </c>
      <c r="K509" s="9" t="s">
        <v>117</v>
      </c>
      <c r="L509" t="str">
        <f>IF(OR(J509="Cattle",J509="Zebu Cattle"),IF(COUNTIF(lists!$M$2:$M$258, K509) &gt; 0,"bos.indicus",IF(COUNTIF(lists!$L$2:$L$258, K509) &gt; 0,"cross.bred","pure.bred.exotic")),"NA")</f>
        <v>NA</v>
      </c>
      <c r="M509" t="str">
        <f>IF(J509="Sheep",IF(COUNTIF(lists!$H$2:$H$258, K509) &gt; 0,"indigenous",IF(COUNTIF(lists!$G$2:$G$258, K509) &gt; 0,"cross.bred","not found")),"NA")</f>
        <v>NA</v>
      </c>
      <c r="N509" t="str">
        <f>IF(J509="Goat",IF(COUNTIF(lists!$J$2:$J$258, K509) &gt; 0,"indigenous",IF(COUNTIF(lists!$I$2:$I$258, K509) &gt; 0,"cross.bred","not found")),"NA")</f>
        <v>indigenous</v>
      </c>
      <c r="O509" s="9" t="s">
        <v>109</v>
      </c>
      <c r="P509" s="9" t="s">
        <v>106</v>
      </c>
      <c r="Q509" s="9" t="s">
        <v>3804</v>
      </c>
      <c r="S509" s="9">
        <v>315.79999999999899</v>
      </c>
      <c r="T509" s="9">
        <v>60.3</v>
      </c>
      <c r="U509" s="9">
        <v>128.9</v>
      </c>
      <c r="V509" s="9">
        <v>849.3</v>
      </c>
      <c r="W509" s="9">
        <v>56.4</v>
      </c>
      <c r="X509" s="9">
        <v>477.4</v>
      </c>
      <c r="Y509" s="9" t="s">
        <v>106</v>
      </c>
      <c r="Z509" s="37"/>
      <c r="AA509" s="37"/>
      <c r="AB509" s="37"/>
      <c r="AE509">
        <v>0</v>
      </c>
    </row>
    <row r="510" spans="1:31" hidden="1">
      <c r="A510" s="9" t="s">
        <v>688</v>
      </c>
      <c r="B510" s="9" t="s">
        <v>690</v>
      </c>
      <c r="C510" s="9" t="s">
        <v>105</v>
      </c>
      <c r="D510" s="9">
        <v>0.17923</v>
      </c>
      <c r="E510" s="9">
        <v>1.34</v>
      </c>
      <c r="F510" s="9" t="s">
        <v>106</v>
      </c>
      <c r="G510" s="9" t="s">
        <v>106</v>
      </c>
      <c r="H510" s="9" t="s">
        <v>106</v>
      </c>
      <c r="I510" s="9">
        <v>24</v>
      </c>
      <c r="J510" s="9" t="s">
        <v>116</v>
      </c>
      <c r="K510" s="9" t="s">
        <v>117</v>
      </c>
      <c r="L510" t="str">
        <f>IF(OR(J510="Cattle",J510="Zebu Cattle"),IF(COUNTIF(lists!$M$2:$M$258, K510) &gt; 0,"bos.indicus",IF(COUNTIF(lists!$L$2:$L$258, K510) &gt; 0,"cross.bred","pure.bred.exotic")),"NA")</f>
        <v>NA</v>
      </c>
      <c r="M510" t="str">
        <f>IF(J510="Sheep",IF(COUNTIF(lists!$H$2:$H$258, K510) &gt; 0,"indigenous",IF(COUNTIF(lists!$G$2:$G$258, K510) &gt; 0,"cross.bred","not found")),"NA")</f>
        <v>NA</v>
      </c>
      <c r="N510" t="str">
        <f>IF(J510="Goat",IF(COUNTIF(lists!$J$2:$J$258, K510) &gt; 0,"indigenous",IF(COUNTIF(lists!$I$2:$I$258, K510) &gt; 0,"cross.bred","not found")),"NA")</f>
        <v>indigenous</v>
      </c>
      <c r="O510" s="9" t="s">
        <v>109</v>
      </c>
      <c r="P510" s="9" t="s">
        <v>106</v>
      </c>
      <c r="Q510" s="9" t="s">
        <v>3804</v>
      </c>
      <c r="S510" s="9">
        <v>334.3</v>
      </c>
      <c r="T510" s="9">
        <v>64.2</v>
      </c>
      <c r="U510" s="9">
        <v>131.1</v>
      </c>
      <c r="V510" s="9">
        <v>867.5</v>
      </c>
      <c r="W510" s="9">
        <v>59.3</v>
      </c>
      <c r="X510" s="9">
        <v>529.29999999999995</v>
      </c>
      <c r="Y510" s="9" t="s">
        <v>106</v>
      </c>
      <c r="Z510" s="37"/>
      <c r="AA510" s="37"/>
      <c r="AB510" s="37"/>
      <c r="AE510">
        <v>0</v>
      </c>
    </row>
    <row r="511" spans="1:31" hidden="1">
      <c r="A511" s="9" t="s">
        <v>688</v>
      </c>
      <c r="B511" s="9" t="s">
        <v>691</v>
      </c>
      <c r="C511" s="9" t="s">
        <v>105</v>
      </c>
      <c r="D511" s="9">
        <v>0.17029</v>
      </c>
      <c r="E511" s="9">
        <v>1.34</v>
      </c>
      <c r="F511" s="9" t="s">
        <v>106</v>
      </c>
      <c r="G511" s="9" t="s">
        <v>106</v>
      </c>
      <c r="H511" s="9" t="s">
        <v>106</v>
      </c>
      <c r="I511" s="9">
        <v>24</v>
      </c>
      <c r="J511" s="9" t="s">
        <v>116</v>
      </c>
      <c r="K511" s="9" t="s">
        <v>117</v>
      </c>
      <c r="L511" t="str">
        <f>IF(OR(J511="Cattle",J511="Zebu Cattle"),IF(COUNTIF(lists!$M$2:$M$258, K511) &gt; 0,"bos.indicus",IF(COUNTIF(lists!$L$2:$L$258, K511) &gt; 0,"cross.bred","pure.bred.exotic")),"NA")</f>
        <v>NA</v>
      </c>
      <c r="M511" t="str">
        <f>IF(J511="Sheep",IF(COUNTIF(lists!$H$2:$H$258, K511) &gt; 0,"indigenous",IF(COUNTIF(lists!$G$2:$G$258, K511) &gt; 0,"cross.bred","not found")),"NA")</f>
        <v>NA</v>
      </c>
      <c r="N511" t="str">
        <f>IF(J511="Goat",IF(COUNTIF(lists!$J$2:$J$258, K511) &gt; 0,"indigenous",IF(COUNTIF(lists!$I$2:$I$258, K511) &gt; 0,"cross.bred","not found")),"NA")</f>
        <v>indigenous</v>
      </c>
      <c r="O511" s="9" t="s">
        <v>109</v>
      </c>
      <c r="P511" s="9" t="s">
        <v>106</v>
      </c>
      <c r="Q511" s="9" t="s">
        <v>3804</v>
      </c>
      <c r="S511" s="9">
        <v>353.6</v>
      </c>
      <c r="T511" s="9">
        <v>70.5</v>
      </c>
      <c r="U511" s="9">
        <v>134.5</v>
      </c>
      <c r="V511" s="9">
        <v>900.69999999999902</v>
      </c>
      <c r="W511" s="9">
        <v>60.099999999999902</v>
      </c>
      <c r="X511" s="9">
        <v>543.4</v>
      </c>
      <c r="Y511" s="9" t="s">
        <v>106</v>
      </c>
      <c r="Z511" s="37"/>
      <c r="AA511" s="37"/>
      <c r="AB511" s="37"/>
      <c r="AE511">
        <v>0</v>
      </c>
    </row>
    <row r="512" spans="1:31" hidden="1">
      <c r="A512" s="9" t="s">
        <v>688</v>
      </c>
      <c r="B512" s="9" t="s">
        <v>692</v>
      </c>
      <c r="C512" s="9" t="s">
        <v>105</v>
      </c>
      <c r="D512" s="9">
        <v>0.17299</v>
      </c>
      <c r="E512" s="9">
        <v>1.34</v>
      </c>
      <c r="F512" s="9" t="s">
        <v>106</v>
      </c>
      <c r="G512" s="9" t="s">
        <v>106</v>
      </c>
      <c r="H512" s="9" t="s">
        <v>106</v>
      </c>
      <c r="I512" s="9">
        <v>24</v>
      </c>
      <c r="J512" s="9" t="s">
        <v>116</v>
      </c>
      <c r="K512" s="9" t="s">
        <v>117</v>
      </c>
      <c r="L512" t="str">
        <f>IF(OR(J512="Cattle",J512="Zebu Cattle"),IF(COUNTIF(lists!$M$2:$M$258, K512) &gt; 0,"bos.indicus",IF(COUNTIF(lists!$L$2:$L$258, K512) &gt; 0,"cross.bred","pure.bred.exotic")),"NA")</f>
        <v>NA</v>
      </c>
      <c r="M512" t="str">
        <f>IF(J512="Sheep",IF(COUNTIF(lists!$H$2:$H$258, K512) &gt; 0,"indigenous",IF(COUNTIF(lists!$G$2:$G$258, K512) &gt; 0,"cross.bred","not found")),"NA")</f>
        <v>NA</v>
      </c>
      <c r="N512" t="str">
        <f>IF(J512="Goat",IF(COUNTIF(lists!$J$2:$J$258, K512) &gt; 0,"indigenous",IF(COUNTIF(lists!$I$2:$I$258, K512) &gt; 0,"cross.bred","not found")),"NA")</f>
        <v>indigenous</v>
      </c>
      <c r="O512" s="9" t="s">
        <v>109</v>
      </c>
      <c r="P512" s="9" t="s">
        <v>106</v>
      </c>
      <c r="Q512" s="9" t="s">
        <v>3804</v>
      </c>
      <c r="S512" s="9">
        <v>354.79999999999899</v>
      </c>
      <c r="T512" s="9">
        <v>73.5</v>
      </c>
      <c r="U512" s="9">
        <v>139.80000000000001</v>
      </c>
      <c r="V512" s="9">
        <v>920.3</v>
      </c>
      <c r="W512" s="9">
        <v>62.3</v>
      </c>
      <c r="X512" s="9">
        <v>552.79999999999995</v>
      </c>
      <c r="Y512" s="9" t="s">
        <v>106</v>
      </c>
      <c r="Z512" s="37"/>
      <c r="AA512" s="37"/>
      <c r="AB512" s="37"/>
      <c r="AE512">
        <v>0</v>
      </c>
    </row>
    <row r="513" spans="1:31" hidden="1">
      <c r="A513" s="9" t="s">
        <v>693</v>
      </c>
      <c r="B513" s="9" t="s">
        <v>694</v>
      </c>
      <c r="C513" s="9" t="s">
        <v>105</v>
      </c>
      <c r="D513" s="9">
        <v>0.375</v>
      </c>
      <c r="E513" s="9">
        <v>11.82</v>
      </c>
      <c r="F513" s="9" t="s">
        <v>106</v>
      </c>
      <c r="G513" s="9" t="s">
        <v>106</v>
      </c>
      <c r="H513" s="9" t="s">
        <v>106</v>
      </c>
      <c r="J513" s="9" t="s">
        <v>116</v>
      </c>
      <c r="K513" s="9" t="s">
        <v>117</v>
      </c>
      <c r="L513" t="str">
        <f>IF(OR(J513="Cattle",J513="Zebu Cattle"),IF(COUNTIF(lists!$M$2:$M$258, K513) &gt; 0,"bos.indicus",IF(COUNTIF(lists!$L$2:$L$258, K513) &gt; 0,"cross.bred","pure.bred.exotic")),"NA")</f>
        <v>NA</v>
      </c>
      <c r="M513" t="str">
        <f>IF(J513="Sheep",IF(COUNTIF(lists!$H$2:$H$258, K513) &gt; 0,"indigenous",IF(COUNTIF(lists!$G$2:$G$258, K513) &gt; 0,"cross.bred","not found")),"NA")</f>
        <v>NA</v>
      </c>
      <c r="N513" t="str">
        <f>IF(J513="Goat",IF(COUNTIF(lists!$J$2:$J$258, K513) &gt; 0,"indigenous",IF(COUNTIF(lists!$I$2:$I$258, K513) &gt; 0,"cross.bred","not found")),"NA")</f>
        <v>indigenous</v>
      </c>
      <c r="O513" s="9" t="s">
        <v>109</v>
      </c>
      <c r="P513" s="9" t="s">
        <v>549</v>
      </c>
      <c r="S513" s="9" t="s">
        <v>106</v>
      </c>
      <c r="T513" s="9">
        <v>77</v>
      </c>
      <c r="U513" s="9">
        <v>130</v>
      </c>
      <c r="V513" s="9">
        <v>954</v>
      </c>
      <c r="W513" s="9" t="s">
        <v>106</v>
      </c>
      <c r="X513" s="9">
        <v>786</v>
      </c>
      <c r="Y513" s="9">
        <v>64.3</v>
      </c>
      <c r="Z513" s="37"/>
      <c r="AA513" s="37"/>
      <c r="AB513" s="37"/>
      <c r="AE513"/>
    </row>
    <row r="514" spans="1:31" hidden="1">
      <c r="A514" s="9" t="s">
        <v>693</v>
      </c>
      <c r="B514" s="9" t="s">
        <v>695</v>
      </c>
      <c r="C514" s="9" t="s">
        <v>105</v>
      </c>
      <c r="D514" s="9">
        <v>0.32289999999999902</v>
      </c>
      <c r="E514" s="9">
        <v>11.82</v>
      </c>
      <c r="F514" s="9" t="s">
        <v>106</v>
      </c>
      <c r="G514" s="9" t="s">
        <v>106</v>
      </c>
      <c r="H514" s="9" t="s">
        <v>106</v>
      </c>
      <c r="J514" s="9" t="s">
        <v>116</v>
      </c>
      <c r="K514" s="9" t="s">
        <v>117</v>
      </c>
      <c r="L514" t="str">
        <f>IF(OR(J514="Cattle",J514="Zebu Cattle"),IF(COUNTIF(lists!$M$2:$M$258, K514) &gt; 0,"bos.indicus",IF(COUNTIF(lists!$L$2:$L$258, K514) &gt; 0,"cross.bred","pure.bred.exotic")),"NA")</f>
        <v>NA</v>
      </c>
      <c r="M514" t="str">
        <f>IF(J514="Sheep",IF(COUNTIF(lists!$H$2:$H$258, K514) &gt; 0,"indigenous",IF(COUNTIF(lists!$G$2:$G$258, K514) &gt; 0,"cross.bred","not found")),"NA")</f>
        <v>NA</v>
      </c>
      <c r="N514" t="str">
        <f>IF(J514="Goat",IF(COUNTIF(lists!$J$2:$J$258, K514) &gt; 0,"indigenous",IF(COUNTIF(lists!$I$2:$I$258, K514) &gt; 0,"cross.bred","not found")),"NA")</f>
        <v>indigenous</v>
      </c>
      <c r="O514" s="9" t="s">
        <v>109</v>
      </c>
      <c r="P514" s="9" t="s">
        <v>549</v>
      </c>
      <c r="S514" s="9" t="s">
        <v>106</v>
      </c>
      <c r="T514" s="9">
        <v>81</v>
      </c>
      <c r="U514" s="9">
        <v>141</v>
      </c>
      <c r="V514" s="9">
        <v>956</v>
      </c>
      <c r="W514" s="9" t="s">
        <v>106</v>
      </c>
      <c r="X514" s="9">
        <v>767</v>
      </c>
      <c r="Y514" s="9">
        <v>65.2</v>
      </c>
      <c r="Z514" s="37"/>
      <c r="AA514" s="37"/>
      <c r="AB514" s="37"/>
      <c r="AE514"/>
    </row>
    <row r="515" spans="1:31" hidden="1">
      <c r="A515" s="9" t="s">
        <v>693</v>
      </c>
      <c r="B515" s="9" t="s">
        <v>696</v>
      </c>
      <c r="C515" s="9" t="s">
        <v>105</v>
      </c>
      <c r="D515" s="9">
        <v>0.34449999999999997</v>
      </c>
      <c r="E515" s="9">
        <v>11.82</v>
      </c>
      <c r="F515" s="9" t="s">
        <v>106</v>
      </c>
      <c r="G515" s="9" t="s">
        <v>106</v>
      </c>
      <c r="H515" s="9" t="s">
        <v>106</v>
      </c>
      <c r="J515" s="9" t="s">
        <v>116</v>
      </c>
      <c r="K515" s="9" t="s">
        <v>117</v>
      </c>
      <c r="L515" t="str">
        <f>IF(OR(J515="Cattle",J515="Zebu Cattle"),IF(COUNTIF(lists!$M$2:$M$258, K515) &gt; 0,"bos.indicus",IF(COUNTIF(lists!$L$2:$L$258, K515) &gt; 0,"cross.bred","pure.bred.exotic")),"NA")</f>
        <v>NA</v>
      </c>
      <c r="M515" t="str">
        <f>IF(J515="Sheep",IF(COUNTIF(lists!$H$2:$H$258, K515) &gt; 0,"indigenous",IF(COUNTIF(lists!$G$2:$G$258, K515) &gt; 0,"cross.bred","not found")),"NA")</f>
        <v>NA</v>
      </c>
      <c r="N515" t="str">
        <f>IF(J515="Goat",IF(COUNTIF(lists!$J$2:$J$258, K515) &gt; 0,"indigenous",IF(COUNTIF(lists!$I$2:$I$258, K515) &gt; 0,"cross.bred","not found")),"NA")</f>
        <v>indigenous</v>
      </c>
      <c r="O515" s="9" t="s">
        <v>109</v>
      </c>
      <c r="P515" s="9" t="s">
        <v>549</v>
      </c>
      <c r="S515" s="9" t="s">
        <v>106</v>
      </c>
      <c r="T515" s="9">
        <v>84</v>
      </c>
      <c r="U515" s="9">
        <v>145</v>
      </c>
      <c r="V515" s="9">
        <v>947</v>
      </c>
      <c r="W515" s="9" t="s">
        <v>106</v>
      </c>
      <c r="X515" s="9">
        <v>730</v>
      </c>
      <c r="Y515" s="9">
        <v>59.5</v>
      </c>
      <c r="Z515" s="37"/>
      <c r="AA515" s="37"/>
      <c r="AB515" s="37"/>
      <c r="AE515"/>
    </row>
    <row r="516" spans="1:31" hidden="1">
      <c r="A516" s="9" t="s">
        <v>713</v>
      </c>
      <c r="B516" s="9" t="s">
        <v>714</v>
      </c>
      <c r="C516" s="9" t="s">
        <v>105</v>
      </c>
      <c r="D516" s="9">
        <v>0.56620000000000004</v>
      </c>
      <c r="E516" s="9">
        <v>9.77</v>
      </c>
      <c r="F516" s="9" t="s">
        <v>106</v>
      </c>
      <c r="G516" s="9" t="s">
        <v>106</v>
      </c>
      <c r="H516" s="9" t="s">
        <v>106</v>
      </c>
      <c r="I516" s="9">
        <v>9</v>
      </c>
      <c r="J516" s="9" t="s">
        <v>116</v>
      </c>
      <c r="K516" s="9" t="s">
        <v>117</v>
      </c>
      <c r="L516" t="str">
        <f>IF(OR(J516="Cattle",J516="Zebu Cattle"),IF(COUNTIF(lists!$M$2:$M$258, K516) &gt; 0,"bos.indicus",IF(COUNTIF(lists!$L$2:$L$258, K516) &gt; 0,"cross.bred","pure.bred.exotic")),"NA")</f>
        <v>NA</v>
      </c>
      <c r="M516" t="str">
        <f>IF(J516="Sheep",IF(COUNTIF(lists!$H$2:$H$258, K516) &gt; 0,"indigenous",IF(COUNTIF(lists!$G$2:$G$258, K516) &gt; 0,"cross.bred","not found")),"NA")</f>
        <v>NA</v>
      </c>
      <c r="N516" t="str">
        <f>IF(J516="Goat",IF(COUNTIF(lists!$J$2:$J$258, K516) &gt; 0,"indigenous",IF(COUNTIF(lists!$I$2:$I$258, K516) &gt; 0,"cross.bred","not found")),"NA")</f>
        <v>indigenous</v>
      </c>
      <c r="O516" s="9" t="s">
        <v>109</v>
      </c>
      <c r="P516" s="9" t="s">
        <v>106</v>
      </c>
      <c r="Q516" s="9" t="s">
        <v>3804</v>
      </c>
      <c r="S516" s="9" t="s">
        <v>106</v>
      </c>
      <c r="T516" s="9" t="s">
        <v>106</v>
      </c>
      <c r="U516" s="9" t="s">
        <v>106</v>
      </c>
      <c r="V516" s="9" t="s">
        <v>106</v>
      </c>
      <c r="W516" s="9" t="s">
        <v>106</v>
      </c>
      <c r="X516" s="9" t="s">
        <v>106</v>
      </c>
      <c r="Y516" s="9">
        <v>70.254999999999995</v>
      </c>
      <c r="Z516" s="37"/>
      <c r="AA516" s="37"/>
      <c r="AB516" s="37"/>
      <c r="AE516">
        <v>0</v>
      </c>
    </row>
    <row r="517" spans="1:31" hidden="1">
      <c r="A517" s="9" t="s">
        <v>713</v>
      </c>
      <c r="B517" s="9" t="s">
        <v>715</v>
      </c>
      <c r="C517" s="9" t="s">
        <v>105</v>
      </c>
      <c r="D517" s="9">
        <v>0.57038999999999995</v>
      </c>
      <c r="E517" s="9">
        <v>9.77</v>
      </c>
      <c r="F517" s="9" t="s">
        <v>106</v>
      </c>
      <c r="G517" s="9" t="s">
        <v>106</v>
      </c>
      <c r="H517" s="9" t="s">
        <v>106</v>
      </c>
      <c r="I517" s="9">
        <v>9</v>
      </c>
      <c r="J517" s="9" t="s">
        <v>116</v>
      </c>
      <c r="K517" s="9" t="s">
        <v>117</v>
      </c>
      <c r="L517" t="str">
        <f>IF(OR(J517="Cattle",J517="Zebu Cattle"),IF(COUNTIF(lists!$M$2:$M$258, K517) &gt; 0,"bos.indicus",IF(COUNTIF(lists!$L$2:$L$258, K517) &gt; 0,"cross.bred","pure.bred.exotic")),"NA")</f>
        <v>NA</v>
      </c>
      <c r="M517" t="str">
        <f>IF(J517="Sheep",IF(COUNTIF(lists!$H$2:$H$258, K517) &gt; 0,"indigenous",IF(COUNTIF(lists!$G$2:$G$258, K517) &gt; 0,"cross.bred","not found")),"NA")</f>
        <v>NA</v>
      </c>
      <c r="N517" t="str">
        <f>IF(J517="Goat",IF(COUNTIF(lists!$J$2:$J$258, K517) &gt; 0,"indigenous",IF(COUNTIF(lists!$I$2:$I$258, K517) &gt; 0,"cross.bred","not found")),"NA")</f>
        <v>indigenous</v>
      </c>
      <c r="O517" s="9" t="s">
        <v>109</v>
      </c>
      <c r="P517" s="9" t="s">
        <v>106</v>
      </c>
      <c r="Q517" s="9" t="s">
        <v>3804</v>
      </c>
      <c r="S517" s="9" t="s">
        <v>106</v>
      </c>
      <c r="T517" s="9" t="s">
        <v>106</v>
      </c>
      <c r="U517" s="9" t="s">
        <v>106</v>
      </c>
      <c r="V517" s="9" t="s">
        <v>106</v>
      </c>
      <c r="W517" s="9" t="s">
        <v>106</v>
      </c>
      <c r="X517" s="9" t="s">
        <v>106</v>
      </c>
      <c r="Y517" s="9">
        <v>71.22</v>
      </c>
      <c r="Z517" s="37"/>
      <c r="AA517" s="37"/>
      <c r="AB517" s="37"/>
      <c r="AE517">
        <v>0</v>
      </c>
    </row>
    <row r="518" spans="1:31" hidden="1">
      <c r="A518" s="9" t="s">
        <v>713</v>
      </c>
      <c r="B518" s="9" t="s">
        <v>716</v>
      </c>
      <c r="C518" s="9" t="s">
        <v>105</v>
      </c>
      <c r="D518" s="9">
        <v>0.60377000000000003</v>
      </c>
      <c r="E518" s="9">
        <v>9.77</v>
      </c>
      <c r="F518" s="9" t="s">
        <v>106</v>
      </c>
      <c r="G518" s="9" t="s">
        <v>106</v>
      </c>
      <c r="H518" s="9" t="s">
        <v>106</v>
      </c>
      <c r="I518" s="9">
        <v>9</v>
      </c>
      <c r="J518" s="9" t="s">
        <v>116</v>
      </c>
      <c r="K518" s="9" t="s">
        <v>117</v>
      </c>
      <c r="L518" t="str">
        <f>IF(OR(J518="Cattle",J518="Zebu Cattle"),IF(COUNTIF(lists!$M$2:$M$258, K518) &gt; 0,"bos.indicus",IF(COUNTIF(lists!$L$2:$L$258, K518) &gt; 0,"cross.bred","pure.bred.exotic")),"NA")</f>
        <v>NA</v>
      </c>
      <c r="M518" t="str">
        <f>IF(J518="Sheep",IF(COUNTIF(lists!$H$2:$H$258, K518) &gt; 0,"indigenous",IF(COUNTIF(lists!$G$2:$G$258, K518) &gt; 0,"cross.bred","not found")),"NA")</f>
        <v>NA</v>
      </c>
      <c r="N518" t="str">
        <f>IF(J518="Goat",IF(COUNTIF(lists!$J$2:$J$258, K518) &gt; 0,"indigenous",IF(COUNTIF(lists!$I$2:$I$258, K518) &gt; 0,"cross.bred","not found")),"NA")</f>
        <v>indigenous</v>
      </c>
      <c r="O518" s="9" t="s">
        <v>109</v>
      </c>
      <c r="P518" s="9" t="s">
        <v>106</v>
      </c>
      <c r="Q518" s="9" t="s">
        <v>3804</v>
      </c>
      <c r="S518" s="9" t="s">
        <v>106</v>
      </c>
      <c r="T518" s="9" t="s">
        <v>106</v>
      </c>
      <c r="U518" s="9" t="s">
        <v>106</v>
      </c>
      <c r="V518" s="9" t="s">
        <v>106</v>
      </c>
      <c r="W518" s="9" t="s">
        <v>106</v>
      </c>
      <c r="X518" s="9" t="s">
        <v>106</v>
      </c>
      <c r="Y518" s="9">
        <v>73.834999999999994</v>
      </c>
      <c r="Z518" s="37"/>
      <c r="AA518" s="37"/>
      <c r="AB518" s="37"/>
      <c r="AE518">
        <v>0</v>
      </c>
    </row>
    <row r="519" spans="1:31" hidden="1">
      <c r="A519" s="9" t="s">
        <v>720</v>
      </c>
      <c r="B519" s="9" t="s">
        <v>642</v>
      </c>
      <c r="C519" s="9" t="s">
        <v>105</v>
      </c>
      <c r="D519" s="9">
        <v>5.0449999999999999</v>
      </c>
      <c r="E519" s="9">
        <v>42.552</v>
      </c>
      <c r="F519" s="9" t="s">
        <v>106</v>
      </c>
      <c r="G519" s="9" t="s">
        <v>106</v>
      </c>
      <c r="H519" s="9" t="s">
        <v>106</v>
      </c>
      <c r="J519" s="9" t="s">
        <v>116</v>
      </c>
      <c r="K519" s="9" t="s">
        <v>117</v>
      </c>
      <c r="L519" t="str">
        <f>IF(OR(J519="Cattle",J519="Zebu Cattle"),IF(COUNTIF(lists!$M$2:$M$258, K519) &gt; 0,"bos.indicus",IF(COUNTIF(lists!$L$2:$L$258, K519) &gt; 0,"cross.bred","pure.bred.exotic")),"NA")</f>
        <v>NA</v>
      </c>
      <c r="M519" t="str">
        <f>IF(J519="Sheep",IF(COUNTIF(lists!$H$2:$H$258, K519) &gt; 0,"indigenous",IF(COUNTIF(lists!$G$2:$G$258, K519) &gt; 0,"cross.bred","not found")),"NA")</f>
        <v>NA</v>
      </c>
      <c r="N519" t="str">
        <f>IF(J519="Goat",IF(COUNTIF(lists!$J$2:$J$258, K519) &gt; 0,"indigenous",IF(COUNTIF(lists!$I$2:$I$258, K519) &gt; 0,"cross.bred","not found")),"NA")</f>
        <v>indigenous</v>
      </c>
      <c r="O519" s="9" t="s">
        <v>109</v>
      </c>
      <c r="P519" s="9" t="s">
        <v>479</v>
      </c>
      <c r="S519" s="9" t="s">
        <v>106</v>
      </c>
      <c r="T519" s="9" t="s">
        <v>106</v>
      </c>
      <c r="U519" s="9" t="s">
        <v>106</v>
      </c>
      <c r="V519" s="9" t="s">
        <v>106</v>
      </c>
      <c r="W519" s="9" t="s">
        <v>106</v>
      </c>
      <c r="X519" s="9" t="s">
        <v>106</v>
      </c>
      <c r="Y519" s="9" t="s">
        <v>106</v>
      </c>
      <c r="Z519" s="37"/>
      <c r="AA519" s="37"/>
      <c r="AB519" s="37"/>
      <c r="AE519"/>
    </row>
    <row r="520" spans="1:31" hidden="1">
      <c r="A520" s="9" t="s">
        <v>720</v>
      </c>
      <c r="B520" s="9" t="s">
        <v>643</v>
      </c>
      <c r="C520" s="9" t="s">
        <v>105</v>
      </c>
      <c r="D520" s="9">
        <v>4.7649999999999997</v>
      </c>
      <c r="E520" s="9">
        <v>42.552</v>
      </c>
      <c r="F520" s="9" t="s">
        <v>106</v>
      </c>
      <c r="G520" s="9" t="s">
        <v>106</v>
      </c>
      <c r="H520" s="9" t="s">
        <v>106</v>
      </c>
      <c r="J520" s="9" t="s">
        <v>116</v>
      </c>
      <c r="K520" s="9" t="s">
        <v>117</v>
      </c>
      <c r="L520" t="str">
        <f>IF(OR(J520="Cattle",J520="Zebu Cattle"),IF(COUNTIF(lists!$M$2:$M$258, K520) &gt; 0,"bos.indicus",IF(COUNTIF(lists!$L$2:$L$258, K520) &gt; 0,"cross.bred","pure.bred.exotic")),"NA")</f>
        <v>NA</v>
      </c>
      <c r="M520" t="str">
        <f>IF(J520="Sheep",IF(COUNTIF(lists!$H$2:$H$258, K520) &gt; 0,"indigenous",IF(COUNTIF(lists!$G$2:$G$258, K520) &gt; 0,"cross.bred","not found")),"NA")</f>
        <v>NA</v>
      </c>
      <c r="N520" t="str">
        <f>IF(J520="Goat",IF(COUNTIF(lists!$J$2:$J$258, K520) &gt; 0,"indigenous",IF(COUNTIF(lists!$I$2:$I$258, K520) &gt; 0,"cross.bred","not found")),"NA")</f>
        <v>indigenous</v>
      </c>
      <c r="O520" s="9" t="s">
        <v>109</v>
      </c>
      <c r="P520" s="9" t="s">
        <v>479</v>
      </c>
      <c r="S520" s="9" t="s">
        <v>106</v>
      </c>
      <c r="T520" s="9" t="s">
        <v>106</v>
      </c>
      <c r="U520" s="9" t="s">
        <v>106</v>
      </c>
      <c r="V520" s="9" t="s">
        <v>106</v>
      </c>
      <c r="W520" s="9" t="s">
        <v>106</v>
      </c>
      <c r="X520" s="9" t="s">
        <v>106</v>
      </c>
      <c r="Y520" s="9" t="s">
        <v>106</v>
      </c>
      <c r="Z520" s="37"/>
      <c r="AA520" s="37"/>
      <c r="AB520" s="37"/>
      <c r="AE520"/>
    </row>
    <row r="521" spans="1:31" hidden="1">
      <c r="A521" s="9" t="s">
        <v>720</v>
      </c>
      <c r="B521" s="9" t="s">
        <v>644</v>
      </c>
      <c r="C521" s="9" t="s">
        <v>105</v>
      </c>
      <c r="D521" s="9">
        <v>6.6449999999999996</v>
      </c>
      <c r="E521" s="9">
        <v>42.552</v>
      </c>
      <c r="F521" s="9" t="s">
        <v>106</v>
      </c>
      <c r="G521" s="9" t="s">
        <v>106</v>
      </c>
      <c r="H521" s="9" t="s">
        <v>106</v>
      </c>
      <c r="J521" s="9" t="s">
        <v>116</v>
      </c>
      <c r="K521" s="9" t="s">
        <v>117</v>
      </c>
      <c r="L521" t="str">
        <f>IF(OR(J521="Cattle",J521="Zebu Cattle"),IF(COUNTIF(lists!$M$2:$M$258, K521) &gt; 0,"bos.indicus",IF(COUNTIF(lists!$L$2:$L$258, K521) &gt; 0,"cross.bred","pure.bred.exotic")),"NA")</f>
        <v>NA</v>
      </c>
      <c r="M521" t="str">
        <f>IF(J521="Sheep",IF(COUNTIF(lists!$H$2:$H$258, K521) &gt; 0,"indigenous",IF(COUNTIF(lists!$G$2:$G$258, K521) &gt; 0,"cross.bred","not found")),"NA")</f>
        <v>NA</v>
      </c>
      <c r="N521" t="str">
        <f>IF(J521="Goat",IF(COUNTIF(lists!$J$2:$J$258, K521) &gt; 0,"indigenous",IF(COUNTIF(lists!$I$2:$I$258, K521) &gt; 0,"cross.bred","not found")),"NA")</f>
        <v>indigenous</v>
      </c>
      <c r="O521" s="9" t="s">
        <v>109</v>
      </c>
      <c r="P521" s="9" t="s">
        <v>479</v>
      </c>
      <c r="S521" s="9" t="s">
        <v>106</v>
      </c>
      <c r="T521" s="9" t="s">
        <v>106</v>
      </c>
      <c r="U521" s="9" t="s">
        <v>106</v>
      </c>
      <c r="V521" s="9" t="s">
        <v>106</v>
      </c>
      <c r="W521" s="9" t="s">
        <v>106</v>
      </c>
      <c r="X521" s="9" t="s">
        <v>106</v>
      </c>
      <c r="Y521" s="9" t="s">
        <v>106</v>
      </c>
      <c r="Z521" s="37"/>
      <c r="AA521" s="37"/>
      <c r="AB521" s="37"/>
      <c r="AE521"/>
    </row>
    <row r="522" spans="1:31" hidden="1">
      <c r="A522" s="9" t="s">
        <v>720</v>
      </c>
      <c r="B522" s="9" t="s">
        <v>645</v>
      </c>
      <c r="C522" s="9" t="s">
        <v>105</v>
      </c>
      <c r="D522" s="9">
        <v>6.9124999999999996</v>
      </c>
      <c r="E522" s="9">
        <v>42.552</v>
      </c>
      <c r="F522" s="9" t="s">
        <v>106</v>
      </c>
      <c r="G522" s="9" t="s">
        <v>106</v>
      </c>
      <c r="H522" s="9" t="s">
        <v>106</v>
      </c>
      <c r="J522" s="9" t="s">
        <v>116</v>
      </c>
      <c r="K522" s="9" t="s">
        <v>117</v>
      </c>
      <c r="L522" t="str">
        <f>IF(OR(J522="Cattle",J522="Zebu Cattle"),IF(COUNTIF(lists!$M$2:$M$258, K522) &gt; 0,"bos.indicus",IF(COUNTIF(lists!$L$2:$L$258, K522) &gt; 0,"cross.bred","pure.bred.exotic")),"NA")</f>
        <v>NA</v>
      </c>
      <c r="M522" t="str">
        <f>IF(J522="Sheep",IF(COUNTIF(lists!$H$2:$H$258, K522) &gt; 0,"indigenous",IF(COUNTIF(lists!$G$2:$G$258, K522) &gt; 0,"cross.bred","not found")),"NA")</f>
        <v>NA</v>
      </c>
      <c r="N522" t="str">
        <f>IF(J522="Goat",IF(COUNTIF(lists!$J$2:$J$258, K522) &gt; 0,"indigenous",IF(COUNTIF(lists!$I$2:$I$258, K522) &gt; 0,"cross.bred","not found")),"NA")</f>
        <v>indigenous</v>
      </c>
      <c r="O522" s="9" t="s">
        <v>109</v>
      </c>
      <c r="P522" s="9" t="s">
        <v>479</v>
      </c>
      <c r="S522" s="9" t="s">
        <v>106</v>
      </c>
      <c r="T522" s="9" t="s">
        <v>106</v>
      </c>
      <c r="U522" s="9" t="s">
        <v>106</v>
      </c>
      <c r="V522" s="9" t="s">
        <v>106</v>
      </c>
      <c r="W522" s="9" t="s">
        <v>106</v>
      </c>
      <c r="X522" s="9" t="s">
        <v>106</v>
      </c>
      <c r="Y522" s="9" t="s">
        <v>106</v>
      </c>
      <c r="Z522" s="37"/>
      <c r="AA522" s="37"/>
      <c r="AB522" s="37"/>
      <c r="AE522"/>
    </row>
    <row r="523" spans="1:31" hidden="1">
      <c r="A523" s="9" t="s">
        <v>720</v>
      </c>
      <c r="B523" s="9" t="s">
        <v>646</v>
      </c>
      <c r="C523" s="9" t="s">
        <v>105</v>
      </c>
      <c r="D523" s="9">
        <v>8.6750000000000007</v>
      </c>
      <c r="E523" s="9">
        <v>42.552</v>
      </c>
      <c r="F523" s="9" t="s">
        <v>106</v>
      </c>
      <c r="G523" s="9" t="s">
        <v>106</v>
      </c>
      <c r="H523" s="9" t="s">
        <v>106</v>
      </c>
      <c r="J523" s="9" t="s">
        <v>116</v>
      </c>
      <c r="K523" s="9" t="s">
        <v>117</v>
      </c>
      <c r="L523" t="str">
        <f>IF(OR(J523="Cattle",J523="Zebu Cattle"),IF(COUNTIF(lists!$M$2:$M$258, K523) &gt; 0,"bos.indicus",IF(COUNTIF(lists!$L$2:$L$258, K523) &gt; 0,"cross.bred","pure.bred.exotic")),"NA")</f>
        <v>NA</v>
      </c>
      <c r="M523" t="str">
        <f>IF(J523="Sheep",IF(COUNTIF(lists!$H$2:$H$258, K523) &gt; 0,"indigenous",IF(COUNTIF(lists!$G$2:$G$258, K523) &gt; 0,"cross.bred","not found")),"NA")</f>
        <v>NA</v>
      </c>
      <c r="N523" t="str">
        <f>IF(J523="Goat",IF(COUNTIF(lists!$J$2:$J$258, K523) &gt; 0,"indigenous",IF(COUNTIF(lists!$I$2:$I$258, K523) &gt; 0,"cross.bred","not found")),"NA")</f>
        <v>indigenous</v>
      </c>
      <c r="O523" s="9" t="s">
        <v>109</v>
      </c>
      <c r="P523" s="9" t="s">
        <v>479</v>
      </c>
      <c r="S523" s="9" t="s">
        <v>106</v>
      </c>
      <c r="T523" s="9" t="s">
        <v>106</v>
      </c>
      <c r="U523" s="9" t="s">
        <v>106</v>
      </c>
      <c r="V523" s="9" t="s">
        <v>106</v>
      </c>
      <c r="W523" s="9" t="s">
        <v>106</v>
      </c>
      <c r="X523" s="9" t="s">
        <v>106</v>
      </c>
      <c r="Y523" s="9" t="s">
        <v>106</v>
      </c>
      <c r="Z523" s="37"/>
      <c r="AA523" s="37"/>
      <c r="AB523" s="37"/>
      <c r="AE523"/>
    </row>
    <row r="524" spans="1:31" hidden="1">
      <c r="A524" s="9" t="s">
        <v>720</v>
      </c>
      <c r="B524" s="9" t="s">
        <v>721</v>
      </c>
      <c r="C524" s="9" t="s">
        <v>105</v>
      </c>
      <c r="D524" s="9">
        <v>8.9124999999999996</v>
      </c>
      <c r="E524" s="9">
        <v>42.552</v>
      </c>
      <c r="F524" s="9" t="s">
        <v>106</v>
      </c>
      <c r="G524" s="9" t="s">
        <v>106</v>
      </c>
      <c r="H524" s="9" t="s">
        <v>106</v>
      </c>
      <c r="J524" s="9" t="s">
        <v>116</v>
      </c>
      <c r="K524" s="9" t="s">
        <v>117</v>
      </c>
      <c r="L524" t="str">
        <f>IF(OR(J524="Cattle",J524="Zebu Cattle"),IF(COUNTIF(lists!$M$2:$M$258, K524) &gt; 0,"bos.indicus",IF(COUNTIF(lists!$L$2:$L$258, K524) &gt; 0,"cross.bred","pure.bred.exotic")),"NA")</f>
        <v>NA</v>
      </c>
      <c r="M524" t="str">
        <f>IF(J524="Sheep",IF(COUNTIF(lists!$H$2:$H$258, K524) &gt; 0,"indigenous",IF(COUNTIF(lists!$G$2:$G$258, K524) &gt; 0,"cross.bred","not found")),"NA")</f>
        <v>NA</v>
      </c>
      <c r="N524" t="str">
        <f>IF(J524="Goat",IF(COUNTIF(lists!$J$2:$J$258, K524) &gt; 0,"indigenous",IF(COUNTIF(lists!$I$2:$I$258, K524) &gt; 0,"cross.bred","not found")),"NA")</f>
        <v>indigenous</v>
      </c>
      <c r="O524" s="9" t="s">
        <v>109</v>
      </c>
      <c r="P524" s="9" t="s">
        <v>479</v>
      </c>
      <c r="S524" s="9" t="s">
        <v>106</v>
      </c>
      <c r="T524" s="9" t="s">
        <v>106</v>
      </c>
      <c r="U524" s="9" t="s">
        <v>106</v>
      </c>
      <c r="V524" s="9" t="s">
        <v>106</v>
      </c>
      <c r="W524" s="9" t="s">
        <v>106</v>
      </c>
      <c r="X524" s="9" t="s">
        <v>106</v>
      </c>
      <c r="Y524" s="9" t="s">
        <v>106</v>
      </c>
      <c r="Z524" s="37"/>
      <c r="AA524" s="37"/>
      <c r="AB524" s="37"/>
      <c r="AE524"/>
    </row>
    <row r="525" spans="1:31" hidden="1">
      <c r="A525" s="9" t="s">
        <v>722</v>
      </c>
      <c r="B525" s="9" t="s">
        <v>723</v>
      </c>
      <c r="C525" s="9" t="s">
        <v>105</v>
      </c>
      <c r="D525" s="9">
        <v>0.45637</v>
      </c>
      <c r="E525" s="9" t="s">
        <v>106</v>
      </c>
      <c r="F525" s="9" t="s">
        <v>106</v>
      </c>
      <c r="G525" s="9" t="s">
        <v>106</v>
      </c>
      <c r="H525" s="9" t="s">
        <v>106</v>
      </c>
      <c r="J525" s="9" t="s">
        <v>116</v>
      </c>
      <c r="K525" s="9" t="s">
        <v>117</v>
      </c>
      <c r="L525" t="str">
        <f>IF(OR(J525="Cattle",J525="Zebu Cattle"),IF(COUNTIF(lists!$M$2:$M$258, K525) &gt; 0,"bos.indicus",IF(COUNTIF(lists!$L$2:$L$258, K525) &gt; 0,"cross.bred","pure.bred.exotic")),"NA")</f>
        <v>NA</v>
      </c>
      <c r="M525" t="str">
        <f>IF(J525="Sheep",IF(COUNTIF(lists!$H$2:$H$258, K525) &gt; 0,"indigenous",IF(COUNTIF(lists!$G$2:$G$258, K525) &gt; 0,"cross.bred","not found")),"NA")</f>
        <v>NA</v>
      </c>
      <c r="N525" t="str">
        <f>IF(J525="Goat",IF(COUNTIF(lists!$J$2:$J$258, K525) &gt; 0,"indigenous",IF(COUNTIF(lists!$I$2:$I$258, K525) &gt; 0,"cross.bred","not found")),"NA")</f>
        <v>indigenous</v>
      </c>
      <c r="O525" s="9" t="s">
        <v>109</v>
      </c>
      <c r="P525" s="9" t="s">
        <v>479</v>
      </c>
      <c r="S525" s="9">
        <v>348.1</v>
      </c>
      <c r="T525" s="9">
        <v>73.400000000000006</v>
      </c>
      <c r="U525" s="9">
        <v>71.599999999999994</v>
      </c>
      <c r="V525" s="9">
        <v>744.9</v>
      </c>
      <c r="W525" s="9">
        <v>39.4</v>
      </c>
      <c r="X525" s="9" t="s">
        <v>106</v>
      </c>
      <c r="Y525" s="9" t="s">
        <v>106</v>
      </c>
      <c r="Z525" s="37"/>
      <c r="AA525" s="37"/>
      <c r="AB525" s="37"/>
      <c r="AE525"/>
    </row>
    <row r="526" spans="1:31" hidden="1">
      <c r="A526" s="9" t="s">
        <v>722</v>
      </c>
      <c r="B526" s="9" t="s">
        <v>724</v>
      </c>
      <c r="C526" s="9" t="s">
        <v>105</v>
      </c>
      <c r="D526" s="9">
        <v>0.40216000000000002</v>
      </c>
      <c r="E526" s="9" t="s">
        <v>106</v>
      </c>
      <c r="F526" s="9" t="s">
        <v>106</v>
      </c>
      <c r="G526" s="9" t="s">
        <v>106</v>
      </c>
      <c r="H526" s="9" t="s">
        <v>106</v>
      </c>
      <c r="J526" s="9" t="s">
        <v>116</v>
      </c>
      <c r="K526" s="9" t="s">
        <v>117</v>
      </c>
      <c r="L526" t="str">
        <f>IF(OR(J526="Cattle",J526="Zebu Cattle"),IF(COUNTIF(lists!$M$2:$M$258, K526) &gt; 0,"bos.indicus",IF(COUNTIF(lists!$L$2:$L$258, K526) &gt; 0,"cross.bred","pure.bred.exotic")),"NA")</f>
        <v>NA</v>
      </c>
      <c r="M526" t="str">
        <f>IF(J526="Sheep",IF(COUNTIF(lists!$H$2:$H$258, K526) &gt; 0,"indigenous",IF(COUNTIF(lists!$G$2:$G$258, K526) &gt; 0,"cross.bred","not found")),"NA")</f>
        <v>NA</v>
      </c>
      <c r="N526" t="str">
        <f>IF(J526="Goat",IF(COUNTIF(lists!$J$2:$J$258, K526) &gt; 0,"indigenous",IF(COUNTIF(lists!$I$2:$I$258, K526) &gt; 0,"cross.bred","not found")),"NA")</f>
        <v>indigenous</v>
      </c>
      <c r="O526" s="9" t="s">
        <v>109</v>
      </c>
      <c r="P526" s="9" t="s">
        <v>479</v>
      </c>
      <c r="S526" s="9">
        <v>296.60000000000002</v>
      </c>
      <c r="T526" s="9">
        <v>72.8</v>
      </c>
      <c r="U526" s="9">
        <v>73.5</v>
      </c>
      <c r="V526" s="9">
        <v>758.6</v>
      </c>
      <c r="W526" s="9">
        <v>37.9</v>
      </c>
      <c r="X526" s="9" t="s">
        <v>106</v>
      </c>
      <c r="Y526" s="9" t="s">
        <v>106</v>
      </c>
      <c r="Z526" s="37"/>
      <c r="AA526" s="37"/>
      <c r="AB526" s="37"/>
      <c r="AE526"/>
    </row>
    <row r="527" spans="1:31" hidden="1">
      <c r="A527" s="9" t="s">
        <v>722</v>
      </c>
      <c r="B527" s="9" t="s">
        <v>725</v>
      </c>
      <c r="C527" s="9" t="s">
        <v>105</v>
      </c>
      <c r="D527" s="9">
        <v>0.29457</v>
      </c>
      <c r="E527" s="9" t="s">
        <v>106</v>
      </c>
      <c r="F527" s="9" t="s">
        <v>106</v>
      </c>
      <c r="G527" s="9" t="s">
        <v>106</v>
      </c>
      <c r="H527" s="9" t="s">
        <v>106</v>
      </c>
      <c r="J527" s="9" t="s">
        <v>116</v>
      </c>
      <c r="K527" s="9" t="s">
        <v>117</v>
      </c>
      <c r="L527" t="str">
        <f>IF(OR(J527="Cattle",J527="Zebu Cattle"),IF(COUNTIF(lists!$M$2:$M$258, K527) &gt; 0,"bos.indicus",IF(COUNTIF(lists!$L$2:$L$258, K527) &gt; 0,"cross.bred","pure.bred.exotic")),"NA")</f>
        <v>NA</v>
      </c>
      <c r="M527" t="str">
        <f>IF(J527="Sheep",IF(COUNTIF(lists!$H$2:$H$258, K527) &gt; 0,"indigenous",IF(COUNTIF(lists!$G$2:$G$258, K527) &gt; 0,"cross.bred","not found")),"NA")</f>
        <v>NA</v>
      </c>
      <c r="N527" t="str">
        <f>IF(J527="Goat",IF(COUNTIF(lists!$J$2:$J$258, K527) &gt; 0,"indigenous",IF(COUNTIF(lists!$I$2:$I$258, K527) &gt; 0,"cross.bred","not found")),"NA")</f>
        <v>indigenous</v>
      </c>
      <c r="O527" s="9" t="s">
        <v>109</v>
      </c>
      <c r="P527" s="9" t="s">
        <v>479</v>
      </c>
      <c r="S527" s="9">
        <v>249</v>
      </c>
      <c r="T527" s="9">
        <v>72.5</v>
      </c>
      <c r="U527" s="9">
        <v>78.400000000000006</v>
      </c>
      <c r="V527" s="9">
        <v>766.599999999999</v>
      </c>
      <c r="W527" s="9">
        <v>37.5</v>
      </c>
      <c r="X527" s="9" t="s">
        <v>106</v>
      </c>
      <c r="Y527" s="9" t="s">
        <v>106</v>
      </c>
      <c r="Z527" s="37"/>
      <c r="AA527" s="37"/>
      <c r="AB527" s="37"/>
      <c r="AE527"/>
    </row>
    <row r="528" spans="1:31" hidden="1">
      <c r="A528" s="9" t="s">
        <v>722</v>
      </c>
      <c r="B528" s="9" t="s">
        <v>726</v>
      </c>
      <c r="C528" s="9" t="s">
        <v>105</v>
      </c>
      <c r="D528" s="9">
        <v>0.20768999999999899</v>
      </c>
      <c r="E528" s="9" t="s">
        <v>106</v>
      </c>
      <c r="F528" s="9" t="s">
        <v>106</v>
      </c>
      <c r="G528" s="9" t="s">
        <v>106</v>
      </c>
      <c r="H528" s="9" t="s">
        <v>106</v>
      </c>
      <c r="J528" s="9" t="s">
        <v>116</v>
      </c>
      <c r="K528" s="9" t="s">
        <v>117</v>
      </c>
      <c r="L528" t="str">
        <f>IF(OR(J528="Cattle",J528="Zebu Cattle"),IF(COUNTIF(lists!$M$2:$M$258, K528) &gt; 0,"bos.indicus",IF(COUNTIF(lists!$L$2:$L$258, K528) &gt; 0,"cross.bred","pure.bred.exotic")),"NA")</f>
        <v>NA</v>
      </c>
      <c r="M528" t="str">
        <f>IF(J528="Sheep",IF(COUNTIF(lists!$H$2:$H$258, K528) &gt; 0,"indigenous",IF(COUNTIF(lists!$G$2:$G$258, K528) &gt; 0,"cross.bred","not found")),"NA")</f>
        <v>NA</v>
      </c>
      <c r="N528" t="str">
        <f>IF(J528="Goat",IF(COUNTIF(lists!$J$2:$J$258, K528) &gt; 0,"indigenous",IF(COUNTIF(lists!$I$2:$I$258, K528) &gt; 0,"cross.bred","not found")),"NA")</f>
        <v>indigenous</v>
      </c>
      <c r="O528" s="9" t="s">
        <v>109</v>
      </c>
      <c r="P528" s="9" t="s">
        <v>479</v>
      </c>
      <c r="S528" s="9">
        <v>275.2</v>
      </c>
      <c r="T528" s="9">
        <v>70.099999999999994</v>
      </c>
      <c r="U528" s="9">
        <v>78.899999999999906</v>
      </c>
      <c r="V528" s="9">
        <v>828.7</v>
      </c>
      <c r="W528" s="9">
        <v>37</v>
      </c>
      <c r="X528" s="9" t="s">
        <v>106</v>
      </c>
      <c r="Y528" s="9" t="s">
        <v>106</v>
      </c>
      <c r="Z528" s="37"/>
      <c r="AA528" s="37"/>
      <c r="AB528" s="37"/>
      <c r="AE528"/>
    </row>
    <row r="529" spans="1:31" hidden="1">
      <c r="A529" s="9" t="s">
        <v>727</v>
      </c>
      <c r="B529" s="9" t="s">
        <v>642</v>
      </c>
      <c r="C529" s="9" t="s">
        <v>105</v>
      </c>
      <c r="D529" s="9">
        <v>0.19694999999999999</v>
      </c>
      <c r="E529" s="9">
        <v>5.59</v>
      </c>
      <c r="F529" s="9" t="s">
        <v>106</v>
      </c>
      <c r="G529" s="9" t="s">
        <v>106</v>
      </c>
      <c r="H529" s="9" t="s">
        <v>106</v>
      </c>
      <c r="J529" s="9" t="s">
        <v>116</v>
      </c>
      <c r="K529" s="9" t="s">
        <v>117</v>
      </c>
      <c r="L529" t="str">
        <f>IF(OR(J529="Cattle",J529="Zebu Cattle"),IF(COUNTIF(lists!$M$2:$M$258, K529) &gt; 0,"bos.indicus",IF(COUNTIF(lists!$L$2:$L$258, K529) &gt; 0,"cross.bred","pure.bred.exotic")),"NA")</f>
        <v>NA</v>
      </c>
      <c r="M529" t="str">
        <f>IF(J529="Sheep",IF(COUNTIF(lists!$H$2:$H$258, K529) &gt; 0,"indigenous",IF(COUNTIF(lists!$G$2:$G$258, K529) &gt; 0,"cross.bred","not found")),"NA")</f>
        <v>NA</v>
      </c>
      <c r="N529" t="str">
        <f>IF(J529="Goat",IF(COUNTIF(lists!$J$2:$J$258, K529) &gt; 0,"indigenous",IF(COUNTIF(lists!$I$2:$I$258, K529) &gt; 0,"cross.bred","not found")),"NA")</f>
        <v>indigenous</v>
      </c>
      <c r="O529" s="9" t="s">
        <v>109</v>
      </c>
      <c r="P529" s="9" t="s">
        <v>479</v>
      </c>
      <c r="S529" s="9" t="s">
        <v>106</v>
      </c>
      <c r="T529" s="9" t="s">
        <v>106</v>
      </c>
      <c r="U529" s="9" t="s">
        <v>106</v>
      </c>
      <c r="V529" s="9" t="s">
        <v>106</v>
      </c>
      <c r="W529" s="9" t="s">
        <v>106</v>
      </c>
      <c r="X529" s="9" t="s">
        <v>106</v>
      </c>
      <c r="Y529" s="9" t="s">
        <v>106</v>
      </c>
      <c r="Z529" s="37"/>
      <c r="AA529" s="37"/>
      <c r="AB529" s="37"/>
      <c r="AE529"/>
    </row>
    <row r="530" spans="1:31" hidden="1">
      <c r="A530" s="9" t="s">
        <v>727</v>
      </c>
      <c r="B530" s="9" t="s">
        <v>643</v>
      </c>
      <c r="C530" s="9" t="s">
        <v>105</v>
      </c>
      <c r="D530" s="9">
        <v>0.19066999999999901</v>
      </c>
      <c r="E530" s="9">
        <v>5.59</v>
      </c>
      <c r="F530" s="9" t="s">
        <v>106</v>
      </c>
      <c r="G530" s="9" t="s">
        <v>106</v>
      </c>
      <c r="H530" s="9" t="s">
        <v>106</v>
      </c>
      <c r="J530" s="9" t="s">
        <v>116</v>
      </c>
      <c r="K530" s="9" t="s">
        <v>117</v>
      </c>
      <c r="L530" t="str">
        <f>IF(OR(J530="Cattle",J530="Zebu Cattle"),IF(COUNTIF(lists!$M$2:$M$258, K530) &gt; 0,"bos.indicus",IF(COUNTIF(lists!$L$2:$L$258, K530) &gt; 0,"cross.bred","pure.bred.exotic")),"NA")</f>
        <v>NA</v>
      </c>
      <c r="M530" t="str">
        <f>IF(J530="Sheep",IF(COUNTIF(lists!$H$2:$H$258, K530) &gt; 0,"indigenous",IF(COUNTIF(lists!$G$2:$G$258, K530) &gt; 0,"cross.bred","not found")),"NA")</f>
        <v>NA</v>
      </c>
      <c r="N530" t="str">
        <f>IF(J530="Goat",IF(COUNTIF(lists!$J$2:$J$258, K530) &gt; 0,"indigenous",IF(COUNTIF(lists!$I$2:$I$258, K530) &gt; 0,"cross.bred","not found")),"NA")</f>
        <v>indigenous</v>
      </c>
      <c r="O530" s="9" t="s">
        <v>109</v>
      </c>
      <c r="P530" s="9" t="s">
        <v>479</v>
      </c>
      <c r="S530" s="9" t="s">
        <v>106</v>
      </c>
      <c r="T530" s="9" t="s">
        <v>106</v>
      </c>
      <c r="U530" s="9" t="s">
        <v>106</v>
      </c>
      <c r="V530" s="9" t="s">
        <v>106</v>
      </c>
      <c r="W530" s="9" t="s">
        <v>106</v>
      </c>
      <c r="X530" s="9" t="s">
        <v>106</v>
      </c>
      <c r="Y530" s="9" t="s">
        <v>106</v>
      </c>
      <c r="Z530" s="37"/>
      <c r="AA530" s="37"/>
      <c r="AB530" s="37"/>
      <c r="AE530"/>
    </row>
    <row r="531" spans="1:31" hidden="1">
      <c r="A531" s="9" t="s">
        <v>727</v>
      </c>
      <c r="B531" s="9" t="s">
        <v>644</v>
      </c>
      <c r="C531" s="9" t="s">
        <v>105</v>
      </c>
      <c r="D531" s="9">
        <v>0.16863999999999901</v>
      </c>
      <c r="E531" s="9">
        <v>5.59</v>
      </c>
      <c r="F531" s="9" t="s">
        <v>106</v>
      </c>
      <c r="G531" s="9" t="s">
        <v>106</v>
      </c>
      <c r="H531" s="9" t="s">
        <v>106</v>
      </c>
      <c r="J531" s="9" t="s">
        <v>116</v>
      </c>
      <c r="K531" s="9" t="s">
        <v>117</v>
      </c>
      <c r="L531" t="str">
        <f>IF(OR(J531="Cattle",J531="Zebu Cattle"),IF(COUNTIF(lists!$M$2:$M$258, K531) &gt; 0,"bos.indicus",IF(COUNTIF(lists!$L$2:$L$258, K531) &gt; 0,"cross.bred","pure.bred.exotic")),"NA")</f>
        <v>NA</v>
      </c>
      <c r="M531" t="str">
        <f>IF(J531="Sheep",IF(COUNTIF(lists!$H$2:$H$258, K531) &gt; 0,"indigenous",IF(COUNTIF(lists!$G$2:$G$258, K531) &gt; 0,"cross.bred","not found")),"NA")</f>
        <v>NA</v>
      </c>
      <c r="N531" t="str">
        <f>IF(J531="Goat",IF(COUNTIF(lists!$J$2:$J$258, K531) &gt; 0,"indigenous",IF(COUNTIF(lists!$I$2:$I$258, K531) &gt; 0,"cross.bred","not found")),"NA")</f>
        <v>indigenous</v>
      </c>
      <c r="O531" s="9" t="s">
        <v>109</v>
      </c>
      <c r="P531" s="9" t="s">
        <v>479</v>
      </c>
      <c r="S531" s="9" t="s">
        <v>106</v>
      </c>
      <c r="T531" s="9" t="s">
        <v>106</v>
      </c>
      <c r="U531" s="9" t="s">
        <v>106</v>
      </c>
      <c r="V531" s="9" t="s">
        <v>106</v>
      </c>
      <c r="W531" s="9" t="s">
        <v>106</v>
      </c>
      <c r="X531" s="9" t="s">
        <v>106</v>
      </c>
      <c r="Y531" s="9" t="s">
        <v>106</v>
      </c>
      <c r="Z531" s="37"/>
      <c r="AA531" s="37"/>
      <c r="AB531" s="37"/>
      <c r="AE531"/>
    </row>
    <row r="532" spans="1:31" hidden="1">
      <c r="A532" s="9" t="s">
        <v>727</v>
      </c>
      <c r="B532" s="9" t="s">
        <v>645</v>
      </c>
      <c r="C532" s="9" t="s">
        <v>105</v>
      </c>
      <c r="D532" s="9">
        <v>0.13471</v>
      </c>
      <c r="E532" s="9">
        <v>5.59</v>
      </c>
      <c r="F532" s="9" t="s">
        <v>106</v>
      </c>
      <c r="G532" s="9" t="s">
        <v>106</v>
      </c>
      <c r="H532" s="9" t="s">
        <v>106</v>
      </c>
      <c r="J532" s="9" t="s">
        <v>116</v>
      </c>
      <c r="K532" s="9" t="s">
        <v>117</v>
      </c>
      <c r="L532" t="str">
        <f>IF(OR(J532="Cattle",J532="Zebu Cattle"),IF(COUNTIF(lists!$M$2:$M$258, K532) &gt; 0,"bos.indicus",IF(COUNTIF(lists!$L$2:$L$258, K532) &gt; 0,"cross.bred","pure.bred.exotic")),"NA")</f>
        <v>NA</v>
      </c>
      <c r="M532" t="str">
        <f>IF(J532="Sheep",IF(COUNTIF(lists!$H$2:$H$258, K532) &gt; 0,"indigenous",IF(COUNTIF(lists!$G$2:$G$258, K532) &gt; 0,"cross.bred","not found")),"NA")</f>
        <v>NA</v>
      </c>
      <c r="N532" t="str">
        <f>IF(J532="Goat",IF(COUNTIF(lists!$J$2:$J$258, K532) &gt; 0,"indigenous",IF(COUNTIF(lists!$I$2:$I$258, K532) &gt; 0,"cross.bred","not found")),"NA")</f>
        <v>indigenous</v>
      </c>
      <c r="O532" s="9" t="s">
        <v>109</v>
      </c>
      <c r="P532" s="9" t="s">
        <v>479</v>
      </c>
      <c r="S532" s="9" t="s">
        <v>106</v>
      </c>
      <c r="T532" s="9" t="s">
        <v>106</v>
      </c>
      <c r="U532" s="9" t="s">
        <v>106</v>
      </c>
      <c r="V532" s="9" t="s">
        <v>106</v>
      </c>
      <c r="W532" s="9" t="s">
        <v>106</v>
      </c>
      <c r="X532" s="9" t="s">
        <v>106</v>
      </c>
      <c r="Y532" s="9" t="s">
        <v>106</v>
      </c>
      <c r="Z532" s="37"/>
      <c r="AA532" s="37"/>
      <c r="AB532" s="37"/>
      <c r="AE532"/>
    </row>
    <row r="533" spans="1:31" hidden="1">
      <c r="A533" s="9" t="s">
        <v>730</v>
      </c>
      <c r="B533" s="9" t="s">
        <v>642</v>
      </c>
      <c r="C533" s="9" t="s">
        <v>105</v>
      </c>
      <c r="D533" s="9">
        <v>0.43619000000000002</v>
      </c>
      <c r="E533" s="9">
        <v>7.53</v>
      </c>
      <c r="F533" s="9" t="s">
        <v>106</v>
      </c>
      <c r="G533" s="9" t="s">
        <v>106</v>
      </c>
      <c r="H533" s="9" t="s">
        <v>106</v>
      </c>
      <c r="J533" s="9" t="s">
        <v>116</v>
      </c>
      <c r="K533" s="9" t="s">
        <v>117</v>
      </c>
      <c r="L533" t="str">
        <f>IF(OR(J533="Cattle",J533="Zebu Cattle"),IF(COUNTIF(lists!$M$2:$M$258, K533) &gt; 0,"bos.indicus",IF(COUNTIF(lists!$L$2:$L$258, K533) &gt; 0,"cross.bred","pure.bred.exotic")),"NA")</f>
        <v>NA</v>
      </c>
      <c r="M533" t="str">
        <f>IF(J533="Sheep",IF(COUNTIF(lists!$H$2:$H$258, K533) &gt; 0,"indigenous",IF(COUNTIF(lists!$G$2:$G$258, K533) &gt; 0,"cross.bred","not found")),"NA")</f>
        <v>NA</v>
      </c>
      <c r="N533" t="str">
        <f>IF(J533="Goat",IF(COUNTIF(lists!$J$2:$J$258, K533) &gt; 0,"indigenous",IF(COUNTIF(lists!$I$2:$I$258, K533) &gt; 0,"cross.bred","not found")),"NA")</f>
        <v>indigenous</v>
      </c>
      <c r="O533" s="9" t="s">
        <v>109</v>
      </c>
      <c r="P533" s="9" t="s">
        <v>731</v>
      </c>
      <c r="S533" s="9" t="s">
        <v>106</v>
      </c>
      <c r="T533" s="9" t="s">
        <v>106</v>
      </c>
      <c r="U533" s="9" t="s">
        <v>106</v>
      </c>
      <c r="V533" s="9" t="s">
        <v>106</v>
      </c>
      <c r="W533" s="9" t="s">
        <v>106</v>
      </c>
      <c r="X533" s="9" t="s">
        <v>106</v>
      </c>
      <c r="Y533" s="9" t="s">
        <v>106</v>
      </c>
      <c r="Z533" s="37"/>
      <c r="AA533" s="37"/>
      <c r="AB533" s="37"/>
      <c r="AE533"/>
    </row>
    <row r="534" spans="1:31" hidden="1">
      <c r="A534" s="9" t="s">
        <v>730</v>
      </c>
      <c r="B534" s="9" t="s">
        <v>643</v>
      </c>
      <c r="C534" s="9" t="s">
        <v>105</v>
      </c>
      <c r="D534" s="9">
        <v>0.50771999999999995</v>
      </c>
      <c r="E534" s="9">
        <v>7.53</v>
      </c>
      <c r="F534" s="9" t="s">
        <v>106</v>
      </c>
      <c r="G534" s="9" t="s">
        <v>106</v>
      </c>
      <c r="H534" s="9" t="s">
        <v>106</v>
      </c>
      <c r="J534" s="9" t="s">
        <v>116</v>
      </c>
      <c r="K534" s="9" t="s">
        <v>117</v>
      </c>
      <c r="L534" t="str">
        <f>IF(OR(J534="Cattle",J534="Zebu Cattle"),IF(COUNTIF(lists!$M$2:$M$258, K534) &gt; 0,"bos.indicus",IF(COUNTIF(lists!$L$2:$L$258, K534) &gt; 0,"cross.bred","pure.bred.exotic")),"NA")</f>
        <v>NA</v>
      </c>
      <c r="M534" t="str">
        <f>IF(J534="Sheep",IF(COUNTIF(lists!$H$2:$H$258, K534) &gt; 0,"indigenous",IF(COUNTIF(lists!$G$2:$G$258, K534) &gt; 0,"cross.bred","not found")),"NA")</f>
        <v>NA</v>
      </c>
      <c r="N534" t="str">
        <f>IF(J534="Goat",IF(COUNTIF(lists!$J$2:$J$258, K534) &gt; 0,"indigenous",IF(COUNTIF(lists!$I$2:$I$258, K534) &gt; 0,"cross.bred","not found")),"NA")</f>
        <v>indigenous</v>
      </c>
      <c r="O534" s="9" t="s">
        <v>109</v>
      </c>
      <c r="P534" s="9" t="s">
        <v>731</v>
      </c>
      <c r="S534" s="9" t="s">
        <v>106</v>
      </c>
      <c r="T534" s="9" t="s">
        <v>106</v>
      </c>
      <c r="U534" s="9" t="s">
        <v>106</v>
      </c>
      <c r="V534" s="9" t="s">
        <v>106</v>
      </c>
      <c r="W534" s="9" t="s">
        <v>106</v>
      </c>
      <c r="X534" s="9" t="s">
        <v>106</v>
      </c>
      <c r="Y534" s="9" t="s">
        <v>106</v>
      </c>
      <c r="Z534" s="37"/>
      <c r="AA534" s="37"/>
      <c r="AB534" s="37"/>
      <c r="AE534"/>
    </row>
    <row r="535" spans="1:31" hidden="1">
      <c r="A535" s="9" t="s">
        <v>730</v>
      </c>
      <c r="B535" s="9" t="s">
        <v>644</v>
      </c>
      <c r="C535" s="9" t="s">
        <v>105</v>
      </c>
      <c r="D535" s="9">
        <v>0.59923000000000004</v>
      </c>
      <c r="E535" s="9">
        <v>7.53</v>
      </c>
      <c r="F535" s="9" t="s">
        <v>106</v>
      </c>
      <c r="G535" s="9" t="s">
        <v>106</v>
      </c>
      <c r="H535" s="9" t="s">
        <v>106</v>
      </c>
      <c r="J535" s="9" t="s">
        <v>116</v>
      </c>
      <c r="K535" s="9" t="s">
        <v>117</v>
      </c>
      <c r="L535" t="str">
        <f>IF(OR(J535="Cattle",J535="Zebu Cattle"),IF(COUNTIF(lists!$M$2:$M$258, K535) &gt; 0,"bos.indicus",IF(COUNTIF(lists!$L$2:$L$258, K535) &gt; 0,"cross.bred","pure.bred.exotic")),"NA")</f>
        <v>NA</v>
      </c>
      <c r="M535" t="str">
        <f>IF(J535="Sheep",IF(COUNTIF(lists!$H$2:$H$258, K535) &gt; 0,"indigenous",IF(COUNTIF(lists!$G$2:$G$258, K535) &gt; 0,"cross.bred","not found")),"NA")</f>
        <v>NA</v>
      </c>
      <c r="N535" t="str">
        <f>IF(J535="Goat",IF(COUNTIF(lists!$J$2:$J$258, K535) &gt; 0,"indigenous",IF(COUNTIF(lists!$I$2:$I$258, K535) &gt; 0,"cross.bred","not found")),"NA")</f>
        <v>indigenous</v>
      </c>
      <c r="O535" s="9" t="s">
        <v>109</v>
      </c>
      <c r="P535" s="9" t="s">
        <v>731</v>
      </c>
      <c r="S535" s="9" t="s">
        <v>106</v>
      </c>
      <c r="T535" s="9" t="s">
        <v>106</v>
      </c>
      <c r="U535" s="9" t="s">
        <v>106</v>
      </c>
      <c r="V535" s="9" t="s">
        <v>106</v>
      </c>
      <c r="W535" s="9" t="s">
        <v>106</v>
      </c>
      <c r="X535" s="9" t="s">
        <v>106</v>
      </c>
      <c r="Y535" s="9" t="s">
        <v>106</v>
      </c>
      <c r="Z535" s="37"/>
      <c r="AA535" s="37"/>
      <c r="AB535" s="37"/>
      <c r="AE535"/>
    </row>
    <row r="536" spans="1:31" hidden="1">
      <c r="A536" s="9" t="s">
        <v>730</v>
      </c>
      <c r="B536" s="9" t="s">
        <v>645</v>
      </c>
      <c r="C536" s="9" t="s">
        <v>105</v>
      </c>
      <c r="D536" s="9">
        <v>0.62536000000000003</v>
      </c>
      <c r="E536" s="9">
        <v>7.53</v>
      </c>
      <c r="F536" s="9" t="s">
        <v>106</v>
      </c>
      <c r="G536" s="9" t="s">
        <v>106</v>
      </c>
      <c r="H536" s="9" t="s">
        <v>106</v>
      </c>
      <c r="J536" s="9" t="s">
        <v>116</v>
      </c>
      <c r="K536" s="9" t="s">
        <v>117</v>
      </c>
      <c r="L536" t="str">
        <f>IF(OR(J536="Cattle",J536="Zebu Cattle"),IF(COUNTIF(lists!$M$2:$M$258, K536) &gt; 0,"bos.indicus",IF(COUNTIF(lists!$L$2:$L$258, K536) &gt; 0,"cross.bred","pure.bred.exotic")),"NA")</f>
        <v>NA</v>
      </c>
      <c r="M536" t="str">
        <f>IF(J536="Sheep",IF(COUNTIF(lists!$H$2:$H$258, K536) &gt; 0,"indigenous",IF(COUNTIF(lists!$G$2:$G$258, K536) &gt; 0,"cross.bred","not found")),"NA")</f>
        <v>NA</v>
      </c>
      <c r="N536" t="str">
        <f>IF(J536="Goat",IF(COUNTIF(lists!$J$2:$J$258, K536) &gt; 0,"indigenous",IF(COUNTIF(lists!$I$2:$I$258, K536) &gt; 0,"cross.bred","not found")),"NA")</f>
        <v>indigenous</v>
      </c>
      <c r="O536" s="9" t="s">
        <v>109</v>
      </c>
      <c r="P536" s="9" t="s">
        <v>731</v>
      </c>
      <c r="S536" s="9" t="s">
        <v>106</v>
      </c>
      <c r="T536" s="9" t="s">
        <v>106</v>
      </c>
      <c r="U536" s="9" t="s">
        <v>106</v>
      </c>
      <c r="V536" s="9" t="s">
        <v>106</v>
      </c>
      <c r="W536" s="9" t="s">
        <v>106</v>
      </c>
      <c r="X536" s="9" t="s">
        <v>106</v>
      </c>
      <c r="Y536" s="9" t="s">
        <v>106</v>
      </c>
      <c r="Z536" s="37"/>
      <c r="AA536" s="37"/>
      <c r="AB536" s="37"/>
      <c r="AE536"/>
    </row>
    <row r="537" spans="1:31" hidden="1">
      <c r="A537" s="9" t="s">
        <v>732</v>
      </c>
      <c r="B537" s="9" t="s">
        <v>733</v>
      </c>
      <c r="C537" s="9" t="s">
        <v>105</v>
      </c>
      <c r="D537" s="9">
        <v>0.54413999999999996</v>
      </c>
      <c r="E537" s="9">
        <v>17.89</v>
      </c>
      <c r="F537" s="9" t="s">
        <v>106</v>
      </c>
      <c r="G537" s="9" t="s">
        <v>106</v>
      </c>
      <c r="H537" s="9" t="s">
        <v>106</v>
      </c>
      <c r="J537" s="9" t="s">
        <v>116</v>
      </c>
      <c r="K537" s="9" t="s">
        <v>117</v>
      </c>
      <c r="L537" t="str">
        <f>IF(OR(J537="Cattle",J537="Zebu Cattle"),IF(COUNTIF(lists!$M$2:$M$258, K537) &gt; 0,"bos.indicus",IF(COUNTIF(lists!$L$2:$L$258, K537) &gt; 0,"cross.bred","pure.bred.exotic")),"NA")</f>
        <v>NA</v>
      </c>
      <c r="M537" t="str">
        <f>IF(J537="Sheep",IF(COUNTIF(lists!$H$2:$H$258, K537) &gt; 0,"indigenous",IF(COUNTIF(lists!$G$2:$G$258, K537) &gt; 0,"cross.bred","not found")),"NA")</f>
        <v>NA</v>
      </c>
      <c r="N537" t="str">
        <f>IF(J537="Goat",IF(COUNTIF(lists!$J$2:$J$258, K537) &gt; 0,"indigenous",IF(COUNTIF(lists!$I$2:$I$258, K537) &gt; 0,"cross.bred","not found")),"NA")</f>
        <v>indigenous</v>
      </c>
      <c r="O537" s="9" t="s">
        <v>109</v>
      </c>
      <c r="P537" s="9" t="s">
        <v>479</v>
      </c>
      <c r="S537" s="9">
        <v>389.6</v>
      </c>
      <c r="T537" s="9">
        <v>66.900000000000006</v>
      </c>
      <c r="U537" s="9">
        <v>165.79999999999899</v>
      </c>
      <c r="V537" s="9">
        <v>840.9</v>
      </c>
      <c r="W537" s="9">
        <v>172</v>
      </c>
      <c r="X537" s="9">
        <v>472.29999999999899</v>
      </c>
      <c r="Y537" s="9" t="s">
        <v>106</v>
      </c>
      <c r="Z537" s="37"/>
      <c r="AA537" s="37"/>
      <c r="AB537" s="37"/>
      <c r="AE537"/>
    </row>
    <row r="538" spans="1:31" hidden="1">
      <c r="A538" s="9" t="s">
        <v>732</v>
      </c>
      <c r="B538" s="9" t="s">
        <v>734</v>
      </c>
      <c r="C538" s="9" t="s">
        <v>105</v>
      </c>
      <c r="D538" s="9">
        <v>0.57042999999999999</v>
      </c>
      <c r="E538" s="9">
        <v>17.89</v>
      </c>
      <c r="F538" s="9" t="s">
        <v>106</v>
      </c>
      <c r="G538" s="9" t="s">
        <v>106</v>
      </c>
      <c r="H538" s="9" t="s">
        <v>106</v>
      </c>
      <c r="J538" s="9" t="s">
        <v>116</v>
      </c>
      <c r="K538" s="9" t="s">
        <v>117</v>
      </c>
      <c r="L538" t="str">
        <f>IF(OR(J538="Cattle",J538="Zebu Cattle"),IF(COUNTIF(lists!$M$2:$M$258, K538) &gt; 0,"bos.indicus",IF(COUNTIF(lists!$L$2:$L$258, K538) &gt; 0,"cross.bred","pure.bred.exotic")),"NA")</f>
        <v>NA</v>
      </c>
      <c r="M538" t="str">
        <f>IF(J538="Sheep",IF(COUNTIF(lists!$H$2:$H$258, K538) &gt; 0,"indigenous",IF(COUNTIF(lists!$G$2:$G$258, K538) &gt; 0,"cross.bred","not found")),"NA")</f>
        <v>NA</v>
      </c>
      <c r="N538" t="str">
        <f>IF(J538="Goat",IF(COUNTIF(lists!$J$2:$J$258, K538) &gt; 0,"indigenous",IF(COUNTIF(lists!$I$2:$I$258, K538) &gt; 0,"cross.bred","not found")),"NA")</f>
        <v>indigenous</v>
      </c>
      <c r="O538" s="9" t="s">
        <v>109</v>
      </c>
      <c r="P538" s="9" t="s">
        <v>479</v>
      </c>
      <c r="S538" s="9">
        <v>403.4</v>
      </c>
      <c r="T538" s="9">
        <v>70.7</v>
      </c>
      <c r="U538" s="9">
        <v>149.69999999999999</v>
      </c>
      <c r="V538" s="9">
        <v>866.4</v>
      </c>
      <c r="W538" s="9">
        <v>215.5</v>
      </c>
      <c r="X538" s="9">
        <v>434.5</v>
      </c>
      <c r="Y538" s="9" t="s">
        <v>106</v>
      </c>
      <c r="Z538" s="37"/>
      <c r="AA538" s="37"/>
      <c r="AB538" s="37"/>
      <c r="AE538"/>
    </row>
    <row r="539" spans="1:31" hidden="1">
      <c r="A539" s="9" t="s">
        <v>732</v>
      </c>
      <c r="B539" s="9" t="s">
        <v>735</v>
      </c>
      <c r="C539" s="9" t="s">
        <v>105</v>
      </c>
      <c r="D539" s="9">
        <v>0.62658000000000003</v>
      </c>
      <c r="E539" s="9">
        <v>17.89</v>
      </c>
      <c r="F539" s="9" t="s">
        <v>106</v>
      </c>
      <c r="G539" s="9" t="s">
        <v>106</v>
      </c>
      <c r="H539" s="9" t="s">
        <v>106</v>
      </c>
      <c r="J539" s="9" t="s">
        <v>116</v>
      </c>
      <c r="K539" s="9" t="s">
        <v>117</v>
      </c>
      <c r="L539" t="str">
        <f>IF(OR(J539="Cattle",J539="Zebu Cattle"),IF(COUNTIF(lists!$M$2:$M$258, K539) &gt; 0,"bos.indicus",IF(COUNTIF(lists!$L$2:$L$258, K539) &gt; 0,"cross.bred","pure.bred.exotic")),"NA")</f>
        <v>NA</v>
      </c>
      <c r="M539" t="str">
        <f>IF(J539="Sheep",IF(COUNTIF(lists!$H$2:$H$258, K539) &gt; 0,"indigenous",IF(COUNTIF(lists!$G$2:$G$258, K539) &gt; 0,"cross.bred","not found")),"NA")</f>
        <v>NA</v>
      </c>
      <c r="N539" t="str">
        <f>IF(J539="Goat",IF(COUNTIF(lists!$J$2:$J$258, K539) &gt; 0,"indigenous",IF(COUNTIF(lists!$I$2:$I$258, K539) &gt; 0,"cross.bred","not found")),"NA")</f>
        <v>indigenous</v>
      </c>
      <c r="O539" s="9" t="s">
        <v>109</v>
      </c>
      <c r="P539" s="9" t="s">
        <v>479</v>
      </c>
      <c r="S539" s="9">
        <v>416.8</v>
      </c>
      <c r="T539" s="9">
        <v>82.5</v>
      </c>
      <c r="U539" s="9">
        <v>154.30000000000001</v>
      </c>
      <c r="V539" s="9">
        <v>876.3</v>
      </c>
      <c r="W539" s="9">
        <v>176.7</v>
      </c>
      <c r="X539" s="9">
        <v>423.7</v>
      </c>
      <c r="Y539" s="9" t="s">
        <v>106</v>
      </c>
      <c r="Z539" s="37"/>
      <c r="AA539" s="37"/>
      <c r="AB539" s="37"/>
      <c r="AE539"/>
    </row>
    <row r="540" spans="1:31" hidden="1">
      <c r="A540" s="9" t="s">
        <v>747</v>
      </c>
      <c r="B540" s="9" t="s">
        <v>642</v>
      </c>
      <c r="C540" s="9" t="s">
        <v>105</v>
      </c>
      <c r="D540" s="9">
        <v>3.5044444444444398</v>
      </c>
      <c r="E540" s="9">
        <v>1.17</v>
      </c>
      <c r="F540" s="9" t="s">
        <v>106</v>
      </c>
      <c r="G540" s="9" t="s">
        <v>106</v>
      </c>
      <c r="H540" s="9" t="s">
        <v>106</v>
      </c>
      <c r="J540" s="9" t="s">
        <v>116</v>
      </c>
      <c r="K540" s="9" t="s">
        <v>117</v>
      </c>
      <c r="L540" t="str">
        <f>IF(OR(J540="Cattle",J540="Zebu Cattle"),IF(COUNTIF(lists!$M$2:$M$258, K540) &gt; 0,"bos.indicus",IF(COUNTIF(lists!$L$2:$L$258, K540) &gt; 0,"cross.bred","pure.bred.exotic")),"NA")</f>
        <v>NA</v>
      </c>
      <c r="M540" t="str">
        <f>IF(J540="Sheep",IF(COUNTIF(lists!$H$2:$H$258, K540) &gt; 0,"indigenous",IF(COUNTIF(lists!$G$2:$G$258, K540) &gt; 0,"cross.bred","not found")),"NA")</f>
        <v>NA</v>
      </c>
      <c r="N540" t="str">
        <f>IF(J540="Goat",IF(COUNTIF(lists!$J$2:$J$258, K540) &gt; 0,"indigenous",IF(COUNTIF(lists!$I$2:$I$258, K540) &gt; 0,"cross.bred","not found")),"NA")</f>
        <v>indigenous</v>
      </c>
      <c r="O540" s="9" t="s">
        <v>109</v>
      </c>
      <c r="P540" s="9" t="s">
        <v>479</v>
      </c>
      <c r="S540" s="9">
        <v>583.5</v>
      </c>
      <c r="T540" s="9">
        <v>54.4</v>
      </c>
      <c r="U540" s="9">
        <v>153.6</v>
      </c>
      <c r="V540" s="9">
        <v>899.5</v>
      </c>
      <c r="W540" s="9">
        <v>21.5</v>
      </c>
      <c r="X540" s="9">
        <v>624.4</v>
      </c>
      <c r="Y540" s="9" t="s">
        <v>106</v>
      </c>
      <c r="Z540" s="37"/>
      <c r="AA540" s="37"/>
      <c r="AB540" s="37"/>
      <c r="AE540"/>
    </row>
    <row r="541" spans="1:31" hidden="1">
      <c r="A541" s="9" t="s">
        <v>747</v>
      </c>
      <c r="B541" s="9" t="s">
        <v>643</v>
      </c>
      <c r="C541" s="9" t="s">
        <v>105</v>
      </c>
      <c r="D541" s="9">
        <v>3.68333333333333</v>
      </c>
      <c r="E541" s="9">
        <v>1.17</v>
      </c>
      <c r="F541" s="9" t="s">
        <v>106</v>
      </c>
      <c r="G541" s="9" t="s">
        <v>106</v>
      </c>
      <c r="H541" s="9" t="s">
        <v>106</v>
      </c>
      <c r="J541" s="9" t="s">
        <v>116</v>
      </c>
      <c r="K541" s="9" t="s">
        <v>117</v>
      </c>
      <c r="L541" t="str">
        <f>IF(OR(J541="Cattle",J541="Zebu Cattle"),IF(COUNTIF(lists!$M$2:$M$258, K541) &gt; 0,"bos.indicus",IF(COUNTIF(lists!$L$2:$L$258, K541) &gt; 0,"cross.bred","pure.bred.exotic")),"NA")</f>
        <v>NA</v>
      </c>
      <c r="M541" t="str">
        <f>IF(J541="Sheep",IF(COUNTIF(lists!$H$2:$H$258, K541) &gt; 0,"indigenous",IF(COUNTIF(lists!$G$2:$G$258, K541) &gt; 0,"cross.bred","not found")),"NA")</f>
        <v>NA</v>
      </c>
      <c r="N541" t="str">
        <f>IF(J541="Goat",IF(COUNTIF(lists!$J$2:$J$258, K541) &gt; 0,"indigenous",IF(COUNTIF(lists!$I$2:$I$258, K541) &gt; 0,"cross.bred","not found")),"NA")</f>
        <v>indigenous</v>
      </c>
      <c r="O541" s="9" t="s">
        <v>109</v>
      </c>
      <c r="P541" s="9" t="s">
        <v>479</v>
      </c>
      <c r="S541" s="9">
        <v>383</v>
      </c>
      <c r="T541" s="9">
        <v>55.9</v>
      </c>
      <c r="U541" s="9">
        <v>148.69999999999999</v>
      </c>
      <c r="V541" s="9">
        <v>904</v>
      </c>
      <c r="W541" s="9">
        <v>32.599999999999902</v>
      </c>
      <c r="X541" s="9">
        <v>420.79999999999899</v>
      </c>
      <c r="Y541" s="9" t="s">
        <v>106</v>
      </c>
      <c r="Z541" s="37"/>
      <c r="AA541" s="37"/>
      <c r="AB541" s="37"/>
      <c r="AE541"/>
    </row>
    <row r="542" spans="1:31" hidden="1">
      <c r="A542" s="9" t="s">
        <v>747</v>
      </c>
      <c r="B542" s="9" t="s">
        <v>644</v>
      </c>
      <c r="C542" s="9" t="s">
        <v>105</v>
      </c>
      <c r="D542" s="9">
        <v>3.6344444444444401</v>
      </c>
      <c r="E542" s="9">
        <v>1.17</v>
      </c>
      <c r="F542" s="9" t="s">
        <v>106</v>
      </c>
      <c r="G542" s="9" t="s">
        <v>106</v>
      </c>
      <c r="H542" s="9" t="s">
        <v>106</v>
      </c>
      <c r="J542" s="9" t="s">
        <v>116</v>
      </c>
      <c r="K542" s="9" t="s">
        <v>117</v>
      </c>
      <c r="L542" t="str">
        <f>IF(OR(J542="Cattle",J542="Zebu Cattle"),IF(COUNTIF(lists!$M$2:$M$258, K542) &gt; 0,"bos.indicus",IF(COUNTIF(lists!$L$2:$L$258, K542) &gt; 0,"cross.bred","pure.bred.exotic")),"NA")</f>
        <v>NA</v>
      </c>
      <c r="M542" t="str">
        <f>IF(J542="Sheep",IF(COUNTIF(lists!$H$2:$H$258, K542) &gt; 0,"indigenous",IF(COUNTIF(lists!$G$2:$G$258, K542) &gt; 0,"cross.bred","not found")),"NA")</f>
        <v>NA</v>
      </c>
      <c r="N542" t="str">
        <f>IF(J542="Goat",IF(COUNTIF(lists!$J$2:$J$258, K542) &gt; 0,"indigenous",IF(COUNTIF(lists!$I$2:$I$258, K542) &gt; 0,"cross.bred","not found")),"NA")</f>
        <v>indigenous</v>
      </c>
      <c r="O542" s="9" t="s">
        <v>109</v>
      </c>
      <c r="P542" s="9" t="s">
        <v>479</v>
      </c>
      <c r="S542" s="9">
        <v>251.1</v>
      </c>
      <c r="T542" s="9">
        <v>49.1</v>
      </c>
      <c r="U542" s="9">
        <v>136.4</v>
      </c>
      <c r="V542" s="9">
        <v>910</v>
      </c>
      <c r="W542" s="9">
        <v>33.799999999999997</v>
      </c>
      <c r="X542" s="9">
        <v>357.5</v>
      </c>
      <c r="Y542" s="9" t="s">
        <v>106</v>
      </c>
      <c r="Z542" s="37"/>
      <c r="AA542" s="37"/>
      <c r="AB542" s="37"/>
      <c r="AE542"/>
    </row>
    <row r="543" spans="1:31" hidden="1">
      <c r="A543" s="9" t="s">
        <v>747</v>
      </c>
      <c r="B543" s="9" t="s">
        <v>645</v>
      </c>
      <c r="C543" s="9" t="s">
        <v>105</v>
      </c>
      <c r="D543" s="9">
        <v>3.8077777777777699</v>
      </c>
      <c r="E543" s="9">
        <v>1.17</v>
      </c>
      <c r="F543" s="9" t="s">
        <v>106</v>
      </c>
      <c r="G543" s="9" t="s">
        <v>106</v>
      </c>
      <c r="H543" s="9" t="s">
        <v>106</v>
      </c>
      <c r="J543" s="9" t="s">
        <v>116</v>
      </c>
      <c r="K543" s="9" t="s">
        <v>117</v>
      </c>
      <c r="L543" t="str">
        <f>IF(OR(J543="Cattle",J543="Zebu Cattle"),IF(COUNTIF(lists!$M$2:$M$258, K543) &gt; 0,"bos.indicus",IF(COUNTIF(lists!$L$2:$L$258, K543) &gt; 0,"cross.bred","pure.bred.exotic")),"NA")</f>
        <v>NA</v>
      </c>
      <c r="M543" t="str">
        <f>IF(J543="Sheep",IF(COUNTIF(lists!$H$2:$H$258, K543) &gt; 0,"indigenous",IF(COUNTIF(lists!$G$2:$G$258, K543) &gt; 0,"cross.bred","not found")),"NA")</f>
        <v>NA</v>
      </c>
      <c r="N543" t="str">
        <f>IF(J543="Goat",IF(COUNTIF(lists!$J$2:$J$258, K543) &gt; 0,"indigenous",IF(COUNTIF(lists!$I$2:$I$258, K543) &gt; 0,"cross.bred","not found")),"NA")</f>
        <v>indigenous</v>
      </c>
      <c r="O543" s="9" t="s">
        <v>109</v>
      </c>
      <c r="P543" s="9" t="s">
        <v>479</v>
      </c>
      <c r="S543" s="9">
        <v>236.9</v>
      </c>
      <c r="T543" s="9">
        <v>45</v>
      </c>
      <c r="U543" s="9">
        <v>130</v>
      </c>
      <c r="V543" s="9">
        <v>914.4</v>
      </c>
      <c r="W543" s="9">
        <v>29</v>
      </c>
      <c r="X543" s="9">
        <v>339.3</v>
      </c>
      <c r="Y543" s="9" t="s">
        <v>106</v>
      </c>
      <c r="Z543" s="37"/>
      <c r="AA543" s="37"/>
      <c r="AB543" s="37"/>
      <c r="AE543"/>
    </row>
    <row r="544" spans="1:31" hidden="1">
      <c r="A544" s="9" t="s">
        <v>748</v>
      </c>
      <c r="B544" s="9" t="s">
        <v>749</v>
      </c>
      <c r="C544" s="9" t="s">
        <v>105</v>
      </c>
      <c r="D544" s="9">
        <v>0.27493354109488999</v>
      </c>
      <c r="E544" s="9">
        <v>11</v>
      </c>
      <c r="F544" s="9">
        <v>14.5</v>
      </c>
      <c r="G544" s="9">
        <v>29</v>
      </c>
      <c r="H544" s="9" t="s">
        <v>106</v>
      </c>
      <c r="I544" s="9">
        <v>24</v>
      </c>
      <c r="J544" s="9" t="s">
        <v>116</v>
      </c>
      <c r="K544" s="9" t="s">
        <v>750</v>
      </c>
      <c r="L544" t="str">
        <f>IF(OR(J544="Cattle",J544="Zebu Cattle"),IF(COUNTIF(lists!$M$2:$M$258, K544) &gt; 0,"bos.indicus",IF(COUNTIF(lists!$L$2:$L$258, K544) &gt; 0,"cross.bred","pure.bred.exotic")),"NA")</f>
        <v>NA</v>
      </c>
      <c r="M544" t="str">
        <f>IF(J544="Sheep",IF(COUNTIF(lists!$H$2:$H$258, K544) &gt; 0,"indigenous",IF(COUNTIF(lists!$G$2:$G$258, K544) &gt; 0,"cross.bred","not found")),"NA")</f>
        <v>NA</v>
      </c>
      <c r="N544" t="str">
        <f>IF(J544="Goat",IF(COUNTIF(lists!$J$2:$J$258, K544) &gt; 0,"indigenous",IF(COUNTIF(lists!$I$2:$I$258, K544) &gt; 0,"cross.bred","not found")),"NA")</f>
        <v>not found</v>
      </c>
      <c r="O544" s="9" t="s">
        <v>109</v>
      </c>
      <c r="P544" s="9" t="s">
        <v>106</v>
      </c>
      <c r="Q544" s="9" t="s">
        <v>3804</v>
      </c>
      <c r="S544" s="9" t="s">
        <v>106</v>
      </c>
      <c r="T544" s="9" t="s">
        <v>106</v>
      </c>
      <c r="U544" s="9" t="s">
        <v>106</v>
      </c>
      <c r="V544" s="9" t="s">
        <v>106</v>
      </c>
      <c r="W544" s="9" t="s">
        <v>106</v>
      </c>
      <c r="X544" s="9" t="s">
        <v>106</v>
      </c>
      <c r="Y544" s="9" t="s">
        <v>106</v>
      </c>
      <c r="Z544" s="37"/>
      <c r="AA544" s="37"/>
      <c r="AB544" s="37"/>
      <c r="AE544">
        <v>0</v>
      </c>
    </row>
    <row r="545" spans="1:31" hidden="1">
      <c r="A545" s="9" t="s">
        <v>748</v>
      </c>
      <c r="B545" s="9" t="s">
        <v>751</v>
      </c>
      <c r="C545" s="9" t="s">
        <v>105</v>
      </c>
      <c r="D545" s="9">
        <v>0.37345187665101098</v>
      </c>
      <c r="E545" s="9">
        <v>11</v>
      </c>
      <c r="F545" s="9">
        <v>14.6</v>
      </c>
      <c r="G545" s="9">
        <v>25</v>
      </c>
      <c r="H545" s="9" t="s">
        <v>106</v>
      </c>
      <c r="I545" s="9">
        <v>24</v>
      </c>
      <c r="J545" s="9" t="s">
        <v>116</v>
      </c>
      <c r="K545" s="9" t="s">
        <v>750</v>
      </c>
      <c r="L545" t="str">
        <f>IF(OR(J545="Cattle",J545="Zebu Cattle"),IF(COUNTIF(lists!$M$2:$M$258, K545) &gt; 0,"bos.indicus",IF(COUNTIF(lists!$L$2:$L$258, K545) &gt; 0,"cross.bred","pure.bred.exotic")),"NA")</f>
        <v>NA</v>
      </c>
      <c r="M545" t="str">
        <f>IF(J545="Sheep",IF(COUNTIF(lists!$H$2:$H$258, K545) &gt; 0,"indigenous",IF(COUNTIF(lists!$G$2:$G$258, K545) &gt; 0,"cross.bred","not found")),"NA")</f>
        <v>NA</v>
      </c>
      <c r="N545" t="str">
        <f>IF(J545="Goat",IF(COUNTIF(lists!$J$2:$J$258, K545) &gt; 0,"indigenous",IF(COUNTIF(lists!$I$2:$I$258, K545) &gt; 0,"cross.bred","not found")),"NA")</f>
        <v>not found</v>
      </c>
      <c r="O545" s="9" t="s">
        <v>109</v>
      </c>
      <c r="P545" s="9" t="s">
        <v>106</v>
      </c>
      <c r="Q545" s="9" t="s">
        <v>3804</v>
      </c>
      <c r="S545" s="9" t="s">
        <v>106</v>
      </c>
      <c r="T545" s="9" t="s">
        <v>106</v>
      </c>
      <c r="U545" s="9" t="s">
        <v>106</v>
      </c>
      <c r="V545" s="9" t="s">
        <v>106</v>
      </c>
      <c r="W545" s="9" t="s">
        <v>106</v>
      </c>
      <c r="X545" s="9" t="s">
        <v>106</v>
      </c>
      <c r="Y545" s="9" t="s">
        <v>106</v>
      </c>
      <c r="Z545" s="37"/>
      <c r="AA545" s="37"/>
      <c r="AB545" s="37"/>
      <c r="AE545">
        <v>0</v>
      </c>
    </row>
    <row r="546" spans="1:31" hidden="1">
      <c r="A546" s="9" t="s">
        <v>748</v>
      </c>
      <c r="B546" s="9" t="s">
        <v>752</v>
      </c>
      <c r="C546" s="9" t="s">
        <v>105</v>
      </c>
      <c r="D546" s="9">
        <v>0.35104476405195001</v>
      </c>
      <c r="E546" s="9">
        <v>11</v>
      </c>
      <c r="F546" s="9">
        <v>14.6</v>
      </c>
      <c r="G546" s="9">
        <v>50</v>
      </c>
      <c r="H546" s="9" t="s">
        <v>106</v>
      </c>
      <c r="I546" s="9">
        <v>24</v>
      </c>
      <c r="J546" s="9" t="s">
        <v>116</v>
      </c>
      <c r="K546" s="9" t="s">
        <v>750</v>
      </c>
      <c r="L546" t="str">
        <f>IF(OR(J546="Cattle",J546="Zebu Cattle"),IF(COUNTIF(lists!$M$2:$M$258, K546) &gt; 0,"bos.indicus",IF(COUNTIF(lists!$L$2:$L$258, K546) &gt; 0,"cross.bred","pure.bred.exotic")),"NA")</f>
        <v>NA</v>
      </c>
      <c r="M546" t="str">
        <f>IF(J546="Sheep",IF(COUNTIF(lists!$H$2:$H$258, K546) &gt; 0,"indigenous",IF(COUNTIF(lists!$G$2:$G$258, K546) &gt; 0,"cross.bred","not found")),"NA")</f>
        <v>NA</v>
      </c>
      <c r="N546" t="str">
        <f>IF(J546="Goat",IF(COUNTIF(lists!$J$2:$J$258, K546) &gt; 0,"indigenous",IF(COUNTIF(lists!$I$2:$I$258, K546) &gt; 0,"cross.bred","not found")),"NA")</f>
        <v>not found</v>
      </c>
      <c r="O546" s="9" t="s">
        <v>109</v>
      </c>
      <c r="P546" s="9" t="s">
        <v>106</v>
      </c>
      <c r="Q546" s="9" t="s">
        <v>3804</v>
      </c>
      <c r="S546" s="9" t="s">
        <v>106</v>
      </c>
      <c r="T546" s="9" t="s">
        <v>106</v>
      </c>
      <c r="U546" s="9" t="s">
        <v>106</v>
      </c>
      <c r="V546" s="9" t="s">
        <v>106</v>
      </c>
      <c r="W546" s="9" t="s">
        <v>106</v>
      </c>
      <c r="X546" s="9" t="s">
        <v>106</v>
      </c>
      <c r="Y546" s="9" t="s">
        <v>106</v>
      </c>
      <c r="Z546" s="37"/>
      <c r="AA546" s="37"/>
      <c r="AB546" s="37"/>
      <c r="AE546">
        <v>0</v>
      </c>
    </row>
    <row r="547" spans="1:31" hidden="1">
      <c r="A547" s="9" t="s">
        <v>748</v>
      </c>
      <c r="B547" s="9" t="s">
        <v>753</v>
      </c>
      <c r="C547" s="9" t="s">
        <v>105</v>
      </c>
      <c r="D547" s="9">
        <v>0.29833086765899203</v>
      </c>
      <c r="E547" s="9">
        <v>11</v>
      </c>
      <c r="F547" s="9">
        <v>14.1</v>
      </c>
      <c r="G547" s="9">
        <v>24</v>
      </c>
      <c r="H547" s="9" t="s">
        <v>106</v>
      </c>
      <c r="I547" s="9">
        <v>24</v>
      </c>
      <c r="J547" s="9" t="s">
        <v>116</v>
      </c>
      <c r="K547" s="9" t="s">
        <v>750</v>
      </c>
      <c r="L547" t="str">
        <f>IF(OR(J547="Cattle",J547="Zebu Cattle"),IF(COUNTIF(lists!$M$2:$M$258, K547) &gt; 0,"bos.indicus",IF(COUNTIF(lists!$L$2:$L$258, K547) &gt; 0,"cross.bred","pure.bred.exotic")),"NA")</f>
        <v>NA</v>
      </c>
      <c r="M547" t="str">
        <f>IF(J547="Sheep",IF(COUNTIF(lists!$H$2:$H$258, K547) &gt; 0,"indigenous",IF(COUNTIF(lists!$G$2:$G$258, K547) &gt; 0,"cross.bred","not found")),"NA")</f>
        <v>NA</v>
      </c>
      <c r="N547" t="str">
        <f>IF(J547="Goat",IF(COUNTIF(lists!$J$2:$J$258, K547) &gt; 0,"indigenous",IF(COUNTIF(lists!$I$2:$I$258, K547) &gt; 0,"cross.bred","not found")),"NA")</f>
        <v>not found</v>
      </c>
      <c r="O547" s="9" t="s">
        <v>109</v>
      </c>
      <c r="P547" s="9" t="s">
        <v>106</v>
      </c>
      <c r="Q547" s="9" t="s">
        <v>3804</v>
      </c>
      <c r="S547" s="9" t="s">
        <v>106</v>
      </c>
      <c r="T547" s="9" t="s">
        <v>106</v>
      </c>
      <c r="U547" s="9" t="s">
        <v>106</v>
      </c>
      <c r="V547" s="9" t="s">
        <v>106</v>
      </c>
      <c r="W547" s="9" t="s">
        <v>106</v>
      </c>
      <c r="X547" s="9" t="s">
        <v>106</v>
      </c>
      <c r="Y547" s="9" t="s">
        <v>106</v>
      </c>
      <c r="Z547" s="37"/>
      <c r="AA547" s="37"/>
      <c r="AB547" s="37"/>
      <c r="AE547">
        <v>0</v>
      </c>
    </row>
    <row r="548" spans="1:31" hidden="1">
      <c r="A548" s="9" t="s">
        <v>772</v>
      </c>
      <c r="B548" s="9" t="s">
        <v>773</v>
      </c>
      <c r="C548" s="9" t="s">
        <v>105</v>
      </c>
      <c r="D548" s="9">
        <v>0.57433999999999996</v>
      </c>
      <c r="E548" s="9">
        <v>6.23</v>
      </c>
      <c r="F548" s="9">
        <v>13.8</v>
      </c>
      <c r="G548" s="9">
        <v>64.960999999999999</v>
      </c>
      <c r="H548" s="9" t="s">
        <v>106</v>
      </c>
      <c r="I548" s="9">
        <v>20</v>
      </c>
      <c r="J548" s="9" t="s">
        <v>116</v>
      </c>
      <c r="K548" s="9" t="s">
        <v>336</v>
      </c>
      <c r="L548" t="str">
        <f>IF(OR(J548="Cattle",J548="Zebu Cattle"),IF(COUNTIF(lists!$M$2:$M$258, K548) &gt; 0,"bos.indicus",IF(COUNTIF(lists!$L$2:$L$258, K548) &gt; 0,"cross.bred","pure.bred.exotic")),"NA")</f>
        <v>NA</v>
      </c>
      <c r="M548" t="str">
        <f>IF(J548="Sheep",IF(COUNTIF(lists!$H$2:$H$258, K548) &gt; 0,"indigenous",IF(COUNTIF(lists!$G$2:$G$258, K548) &gt; 0,"cross.bred","not found")),"NA")</f>
        <v>NA</v>
      </c>
      <c r="N548" t="str">
        <f>IF(J548="Goat",IF(COUNTIF(lists!$J$2:$J$258, K548) &gt; 0,"indigenous",IF(COUNTIF(lists!$I$2:$I$258, K548) &gt; 0,"cross.bred","not found")),"NA")</f>
        <v>not found</v>
      </c>
      <c r="O548" s="9" t="s">
        <v>109</v>
      </c>
      <c r="P548" s="9" t="s">
        <v>106</v>
      </c>
      <c r="Q548" s="9" t="s">
        <v>3804</v>
      </c>
      <c r="S548" s="9" t="s">
        <v>106</v>
      </c>
      <c r="T548" s="9">
        <v>67</v>
      </c>
      <c r="U548" s="9">
        <v>169</v>
      </c>
      <c r="V548" s="9">
        <v>909</v>
      </c>
      <c r="W548" s="9">
        <v>49.3</v>
      </c>
      <c r="X548" s="9" t="s">
        <v>106</v>
      </c>
      <c r="Y548" s="9" t="s">
        <v>106</v>
      </c>
      <c r="Z548" s="37"/>
      <c r="AA548" s="37"/>
      <c r="AB548" s="37"/>
      <c r="AE548">
        <v>0</v>
      </c>
    </row>
    <row r="549" spans="1:31" hidden="1">
      <c r="A549" s="9" t="s">
        <v>772</v>
      </c>
      <c r="B549" s="9" t="s">
        <v>774</v>
      </c>
      <c r="C549" s="9" t="s">
        <v>105</v>
      </c>
      <c r="D549" s="9">
        <v>0.60457000000000005</v>
      </c>
      <c r="E549" s="9">
        <v>6.23</v>
      </c>
      <c r="F549" s="9">
        <v>13.8</v>
      </c>
      <c r="G549" s="9">
        <v>69.090900000000005</v>
      </c>
      <c r="H549" s="9" t="s">
        <v>106</v>
      </c>
      <c r="I549" s="9">
        <v>20</v>
      </c>
      <c r="J549" s="9" t="s">
        <v>116</v>
      </c>
      <c r="K549" s="9" t="s">
        <v>336</v>
      </c>
      <c r="L549" t="str">
        <f>IF(OR(J549="Cattle",J549="Zebu Cattle"),IF(COUNTIF(lists!$M$2:$M$258, K549) &gt; 0,"bos.indicus",IF(COUNTIF(lists!$L$2:$L$258, K549) &gt; 0,"cross.bred","pure.bred.exotic")),"NA")</f>
        <v>NA</v>
      </c>
      <c r="M549" t="str">
        <f>IF(J549="Sheep",IF(COUNTIF(lists!$H$2:$H$258, K549) &gt; 0,"indigenous",IF(COUNTIF(lists!$G$2:$G$258, K549) &gt; 0,"cross.bred","not found")),"NA")</f>
        <v>NA</v>
      </c>
      <c r="N549" t="str">
        <f>IF(J549="Goat",IF(COUNTIF(lists!$J$2:$J$258, K549) &gt; 0,"indigenous",IF(COUNTIF(lists!$I$2:$I$258, K549) &gt; 0,"cross.bred","not found")),"NA")</f>
        <v>not found</v>
      </c>
      <c r="O549" s="9" t="s">
        <v>109</v>
      </c>
      <c r="P549" s="9" t="s">
        <v>106</v>
      </c>
      <c r="Q549" s="9" t="s">
        <v>3804</v>
      </c>
      <c r="S549" s="9" t="s">
        <v>106</v>
      </c>
      <c r="T549" s="9" t="s">
        <v>106</v>
      </c>
      <c r="U549" s="9">
        <v>155.1</v>
      </c>
      <c r="V549" s="9">
        <v>908.4</v>
      </c>
      <c r="W549" s="9">
        <v>45.7</v>
      </c>
      <c r="X549" s="9" t="s">
        <v>106</v>
      </c>
      <c r="Y549" s="9" t="s">
        <v>106</v>
      </c>
      <c r="Z549" s="37"/>
      <c r="AA549" s="37"/>
      <c r="AB549" s="37"/>
      <c r="AE549">
        <v>0</v>
      </c>
    </row>
    <row r="550" spans="1:31" hidden="1">
      <c r="A550" s="9" t="s">
        <v>772</v>
      </c>
      <c r="B550" s="9" t="s">
        <v>775</v>
      </c>
      <c r="C550" s="9" t="s">
        <v>105</v>
      </c>
      <c r="D550" s="9">
        <v>0.58001999999999998</v>
      </c>
      <c r="E550" s="9">
        <v>6.23</v>
      </c>
      <c r="F550" s="9">
        <v>13.8</v>
      </c>
      <c r="G550" s="9">
        <v>46.545000000000002</v>
      </c>
      <c r="H550" s="9" t="s">
        <v>106</v>
      </c>
      <c r="I550" s="9">
        <v>20</v>
      </c>
      <c r="J550" s="9" t="s">
        <v>116</v>
      </c>
      <c r="K550" s="9" t="s">
        <v>336</v>
      </c>
      <c r="L550" t="str">
        <f>IF(OR(J550="Cattle",J550="Zebu Cattle"),IF(COUNTIF(lists!$M$2:$M$258, K550) &gt; 0,"bos.indicus",IF(COUNTIF(lists!$L$2:$L$258, K550) &gt; 0,"cross.bred","pure.bred.exotic")),"NA")</f>
        <v>NA</v>
      </c>
      <c r="M550" t="str">
        <f>IF(J550="Sheep",IF(COUNTIF(lists!$H$2:$H$258, K550) &gt; 0,"indigenous",IF(COUNTIF(lists!$G$2:$G$258, K550) &gt; 0,"cross.bred","not found")),"NA")</f>
        <v>NA</v>
      </c>
      <c r="N550" t="str">
        <f>IF(J550="Goat",IF(COUNTIF(lists!$J$2:$J$258, K550) &gt; 0,"indigenous",IF(COUNTIF(lists!$I$2:$I$258, K550) &gt; 0,"cross.bred","not found")),"NA")</f>
        <v>not found</v>
      </c>
      <c r="O550" s="9" t="s">
        <v>109</v>
      </c>
      <c r="P550" s="9" t="s">
        <v>106</v>
      </c>
      <c r="Q550" s="9" t="s">
        <v>3804</v>
      </c>
      <c r="S550" s="9" t="s">
        <v>106</v>
      </c>
      <c r="T550" s="9">
        <v>57.599999999999902</v>
      </c>
      <c r="U550" s="9">
        <v>150.9</v>
      </c>
      <c r="V550" s="9">
        <v>945.2</v>
      </c>
      <c r="W550" s="9">
        <v>42.8</v>
      </c>
      <c r="X550" s="9" t="s">
        <v>106</v>
      </c>
      <c r="Y550" s="9" t="s">
        <v>106</v>
      </c>
      <c r="Z550" s="37"/>
      <c r="AA550" s="37"/>
      <c r="AB550" s="37"/>
      <c r="AE550">
        <v>0</v>
      </c>
    </row>
    <row r="551" spans="1:31" hidden="1">
      <c r="A551" s="9" t="s">
        <v>772</v>
      </c>
      <c r="B551" s="9" t="s">
        <v>776</v>
      </c>
      <c r="C551" s="9" t="s">
        <v>105</v>
      </c>
      <c r="D551" s="9">
        <v>0.60754999999999904</v>
      </c>
      <c r="E551" s="9">
        <v>6.23</v>
      </c>
      <c r="F551" s="9">
        <v>13.8</v>
      </c>
      <c r="G551" s="9">
        <v>59.878</v>
      </c>
      <c r="H551" s="9" t="s">
        <v>106</v>
      </c>
      <c r="I551" s="9">
        <v>20</v>
      </c>
      <c r="J551" s="9" t="s">
        <v>116</v>
      </c>
      <c r="K551" s="9" t="s">
        <v>336</v>
      </c>
      <c r="L551" t="str">
        <f>IF(OR(J551="Cattle",J551="Zebu Cattle"),IF(COUNTIF(lists!$M$2:$M$258, K551) &gt; 0,"bos.indicus",IF(COUNTIF(lists!$L$2:$L$258, K551) &gt; 0,"cross.bred","pure.bred.exotic")),"NA")</f>
        <v>NA</v>
      </c>
      <c r="M551" t="str">
        <f>IF(J551="Sheep",IF(COUNTIF(lists!$H$2:$H$258, K551) &gt; 0,"indigenous",IF(COUNTIF(lists!$G$2:$G$258, K551) &gt; 0,"cross.bred","not found")),"NA")</f>
        <v>NA</v>
      </c>
      <c r="N551" t="str">
        <f>IF(J551="Goat",IF(COUNTIF(lists!$J$2:$J$258, K551) &gt; 0,"indigenous",IF(COUNTIF(lists!$I$2:$I$258, K551) &gt; 0,"cross.bred","not found")),"NA")</f>
        <v>not found</v>
      </c>
      <c r="O551" s="9" t="s">
        <v>109</v>
      </c>
      <c r="P551" s="9" t="s">
        <v>106</v>
      </c>
      <c r="Q551" s="9" t="s">
        <v>3804</v>
      </c>
      <c r="S551" s="9" t="s">
        <v>106</v>
      </c>
      <c r="T551" s="9">
        <v>51.2</v>
      </c>
      <c r="U551" s="9">
        <v>160.1</v>
      </c>
      <c r="V551" s="9">
        <v>901.6</v>
      </c>
      <c r="W551" s="9">
        <v>40.4</v>
      </c>
      <c r="X551" s="9" t="s">
        <v>106</v>
      </c>
      <c r="Y551" s="9" t="s">
        <v>106</v>
      </c>
      <c r="Z551" s="37"/>
      <c r="AA551" s="37"/>
      <c r="AB551" s="37"/>
      <c r="AE551">
        <v>0</v>
      </c>
    </row>
    <row r="552" spans="1:31" hidden="1">
      <c r="A552" s="9" t="s">
        <v>772</v>
      </c>
      <c r="B552" s="9" t="s">
        <v>777</v>
      </c>
      <c r="C552" s="9" t="s">
        <v>105</v>
      </c>
      <c r="D552" s="9">
        <v>0.6774</v>
      </c>
      <c r="E552" s="9">
        <v>6.23</v>
      </c>
      <c r="F552" s="9">
        <v>13.8</v>
      </c>
      <c r="G552" s="9">
        <v>65.453999999999994</v>
      </c>
      <c r="H552" s="9" t="s">
        <v>106</v>
      </c>
      <c r="I552" s="9">
        <v>20</v>
      </c>
      <c r="J552" s="9" t="s">
        <v>116</v>
      </c>
      <c r="K552" s="9" t="s">
        <v>336</v>
      </c>
      <c r="L552" t="str">
        <f>IF(OR(J552="Cattle",J552="Zebu Cattle"),IF(COUNTIF(lists!$M$2:$M$258, K552) &gt; 0,"bos.indicus",IF(COUNTIF(lists!$L$2:$L$258, K552) &gt; 0,"cross.bred","pure.bred.exotic")),"NA")</f>
        <v>NA</v>
      </c>
      <c r="M552" t="str">
        <f>IF(J552="Sheep",IF(COUNTIF(lists!$H$2:$H$258, K552) &gt; 0,"indigenous",IF(COUNTIF(lists!$G$2:$G$258, K552) &gt; 0,"cross.bred","not found")),"NA")</f>
        <v>NA</v>
      </c>
      <c r="N552" t="str">
        <f>IF(J552="Goat",IF(COUNTIF(lists!$J$2:$J$258, K552) &gt; 0,"indigenous",IF(COUNTIF(lists!$I$2:$I$258, K552) &gt; 0,"cross.bred","not found")),"NA")</f>
        <v>not found</v>
      </c>
      <c r="O552" s="9" t="s">
        <v>109</v>
      </c>
      <c r="P552" s="9" t="s">
        <v>106</v>
      </c>
      <c r="Q552" s="9" t="s">
        <v>3804</v>
      </c>
      <c r="S552" s="9" t="s">
        <v>106</v>
      </c>
      <c r="T552" s="9">
        <v>49</v>
      </c>
      <c r="U552" s="9">
        <v>157.19999999999999</v>
      </c>
      <c r="V552" s="9">
        <v>901.6</v>
      </c>
      <c r="W552" s="9">
        <v>39</v>
      </c>
      <c r="X552" s="9" t="s">
        <v>106</v>
      </c>
      <c r="Y552" s="9" t="s">
        <v>106</v>
      </c>
      <c r="Z552" s="37"/>
      <c r="AA552" s="37"/>
      <c r="AB552" s="37"/>
      <c r="AE552">
        <v>0</v>
      </c>
    </row>
    <row r="553" spans="1:31" hidden="1">
      <c r="A553" s="9" t="s">
        <v>780</v>
      </c>
      <c r="B553" s="9" t="s">
        <v>781</v>
      </c>
      <c r="C553" s="9" t="s">
        <v>105</v>
      </c>
      <c r="D553" s="9">
        <v>0.171110808578461</v>
      </c>
      <c r="E553" s="9">
        <v>3.3</v>
      </c>
      <c r="F553" s="9">
        <v>5.9</v>
      </c>
      <c r="G553" s="9">
        <v>6.6</v>
      </c>
      <c r="H553" s="9" t="s">
        <v>106</v>
      </c>
      <c r="I553" s="9">
        <v>32</v>
      </c>
      <c r="J553" s="9" t="s">
        <v>116</v>
      </c>
      <c r="K553" s="9" t="s">
        <v>117</v>
      </c>
      <c r="L553" t="str">
        <f>IF(OR(J553="Cattle",J553="Zebu Cattle"),IF(COUNTIF(lists!$M$2:$M$258, K553) &gt; 0,"bos.indicus",IF(COUNTIF(lists!$L$2:$L$258, K553) &gt; 0,"cross.bred","pure.bred.exotic")),"NA")</f>
        <v>NA</v>
      </c>
      <c r="M553" t="str">
        <f>IF(J553="Sheep",IF(COUNTIF(lists!$H$2:$H$258, K553) &gt; 0,"indigenous",IF(COUNTIF(lists!$G$2:$G$258, K553) &gt; 0,"cross.bred","not found")),"NA")</f>
        <v>NA</v>
      </c>
      <c r="N553" t="str">
        <f>IF(J553="Goat",IF(COUNTIF(lists!$J$2:$J$258, K553) &gt; 0,"indigenous",IF(COUNTIF(lists!$I$2:$I$258, K553) &gt; 0,"cross.bred","not found")),"NA")</f>
        <v>indigenous</v>
      </c>
      <c r="O553" s="9" t="s">
        <v>109</v>
      </c>
      <c r="P553" s="9" t="s">
        <v>106</v>
      </c>
      <c r="Q553" s="9" t="s">
        <v>3805</v>
      </c>
      <c r="S553" s="9" t="s">
        <v>106</v>
      </c>
      <c r="T553" s="9" t="s">
        <v>106</v>
      </c>
      <c r="U553" s="9">
        <v>79</v>
      </c>
      <c r="V553" s="9" t="s">
        <v>106</v>
      </c>
      <c r="W553" s="9" t="s">
        <v>106</v>
      </c>
      <c r="X553" s="9" t="s">
        <v>106</v>
      </c>
      <c r="Y553" s="9">
        <v>69</v>
      </c>
      <c r="Z553" s="37"/>
      <c r="AA553" s="37"/>
      <c r="AB553" s="37"/>
      <c r="AE553">
        <v>0</v>
      </c>
    </row>
    <row r="554" spans="1:31" hidden="1">
      <c r="A554" s="9" t="s">
        <v>780</v>
      </c>
      <c r="B554" s="9" t="s">
        <v>782</v>
      </c>
      <c r="C554" s="9" t="s">
        <v>105</v>
      </c>
      <c r="D554" s="9">
        <v>0.17156142529542001</v>
      </c>
      <c r="E554" s="9">
        <v>2.5</v>
      </c>
      <c r="F554" s="9">
        <v>6.1</v>
      </c>
      <c r="G554" s="9">
        <v>20.8</v>
      </c>
      <c r="H554" s="9" t="s">
        <v>106</v>
      </c>
      <c r="I554" s="9">
        <v>32</v>
      </c>
      <c r="J554" s="9" t="s">
        <v>116</v>
      </c>
      <c r="K554" s="9" t="s">
        <v>117</v>
      </c>
      <c r="L554" t="str">
        <f>IF(OR(J554="Cattle",J554="Zebu Cattle"),IF(COUNTIF(lists!$M$2:$M$258, K554) &gt; 0,"bos.indicus",IF(COUNTIF(lists!$L$2:$L$258, K554) &gt; 0,"cross.bred","pure.bred.exotic")),"NA")</f>
        <v>NA</v>
      </c>
      <c r="M554" t="str">
        <f>IF(J554="Sheep",IF(COUNTIF(lists!$H$2:$H$258, K554) &gt; 0,"indigenous",IF(COUNTIF(lists!$G$2:$G$258, K554) &gt; 0,"cross.bred","not found")),"NA")</f>
        <v>NA</v>
      </c>
      <c r="N554" t="str">
        <f>IF(J554="Goat",IF(COUNTIF(lists!$J$2:$J$258, K554) &gt; 0,"indigenous",IF(COUNTIF(lists!$I$2:$I$258, K554) &gt; 0,"cross.bred","not found")),"NA")</f>
        <v>indigenous</v>
      </c>
      <c r="O554" s="9" t="s">
        <v>109</v>
      </c>
      <c r="P554" s="9" t="s">
        <v>106</v>
      </c>
      <c r="Q554" s="9" t="s">
        <v>3805</v>
      </c>
      <c r="S554" s="9" t="s">
        <v>106</v>
      </c>
      <c r="T554" s="9" t="s">
        <v>106</v>
      </c>
      <c r="U554" s="9">
        <v>114.1</v>
      </c>
      <c r="V554" s="9" t="s">
        <v>106</v>
      </c>
      <c r="W554" s="9" t="s">
        <v>106</v>
      </c>
      <c r="X554" s="9" t="s">
        <v>106</v>
      </c>
      <c r="Y554" s="9">
        <v>71.099999999999994</v>
      </c>
      <c r="Z554" s="37"/>
      <c r="AA554" s="37"/>
      <c r="AB554" s="37"/>
      <c r="AE554">
        <v>0</v>
      </c>
    </row>
    <row r="555" spans="1:31" hidden="1">
      <c r="A555" s="9" t="s">
        <v>780</v>
      </c>
      <c r="B555" s="9" t="s">
        <v>783</v>
      </c>
      <c r="C555" s="9" t="s">
        <v>105</v>
      </c>
      <c r="D555" s="9">
        <v>0.185117666802804</v>
      </c>
      <c r="E555" s="9">
        <v>3</v>
      </c>
      <c r="F555" s="9">
        <v>5.9</v>
      </c>
      <c r="G555" s="9">
        <v>27.3</v>
      </c>
      <c r="H555" s="9" t="s">
        <v>106</v>
      </c>
      <c r="I555" s="9">
        <v>32</v>
      </c>
      <c r="J555" s="9" t="s">
        <v>116</v>
      </c>
      <c r="K555" s="9" t="s">
        <v>117</v>
      </c>
      <c r="L555" t="str">
        <f>IF(OR(J555="Cattle",J555="Zebu Cattle"),IF(COUNTIF(lists!$M$2:$M$258, K555) &gt; 0,"bos.indicus",IF(COUNTIF(lists!$L$2:$L$258, K555) &gt; 0,"cross.bred","pure.bred.exotic")),"NA")</f>
        <v>NA</v>
      </c>
      <c r="M555" t="str">
        <f>IF(J555="Sheep",IF(COUNTIF(lists!$H$2:$H$258, K555) &gt; 0,"indigenous",IF(COUNTIF(lists!$G$2:$G$258, K555) &gt; 0,"cross.bred","not found")),"NA")</f>
        <v>NA</v>
      </c>
      <c r="N555" t="str">
        <f>IF(J555="Goat",IF(COUNTIF(lists!$J$2:$J$258, K555) &gt; 0,"indigenous",IF(COUNTIF(lists!$I$2:$I$258, K555) &gt; 0,"cross.bred","not found")),"NA")</f>
        <v>indigenous</v>
      </c>
      <c r="O555" s="9" t="s">
        <v>109</v>
      </c>
      <c r="P555" s="9" t="s">
        <v>106</v>
      </c>
      <c r="Q555" s="9" t="s">
        <v>3805</v>
      </c>
      <c r="S555" s="9" t="s">
        <v>106</v>
      </c>
      <c r="T555" s="9" t="s">
        <v>106</v>
      </c>
      <c r="U555" s="9">
        <v>149.19999999999999</v>
      </c>
      <c r="V555" s="9" t="s">
        <v>106</v>
      </c>
      <c r="W555" s="9" t="s">
        <v>106</v>
      </c>
      <c r="X555" s="9" t="s">
        <v>106</v>
      </c>
      <c r="Y555" s="9">
        <v>72.900000000000006</v>
      </c>
      <c r="Z555" s="37"/>
      <c r="AA555" s="37"/>
      <c r="AB555" s="37"/>
      <c r="AE555">
        <v>0</v>
      </c>
    </row>
    <row r="556" spans="1:31" hidden="1">
      <c r="A556" s="9" t="s">
        <v>780</v>
      </c>
      <c r="B556" s="9" t="s">
        <v>784</v>
      </c>
      <c r="C556" s="9" t="s">
        <v>105</v>
      </c>
      <c r="D556" s="9">
        <v>0.178936237694997</v>
      </c>
      <c r="E556" s="9">
        <v>2.8</v>
      </c>
      <c r="F556" s="9">
        <v>6.1</v>
      </c>
      <c r="G556" s="9">
        <v>18.899999999999999</v>
      </c>
      <c r="H556" s="9" t="s">
        <v>106</v>
      </c>
      <c r="I556" s="9">
        <v>32</v>
      </c>
      <c r="J556" s="9" t="s">
        <v>116</v>
      </c>
      <c r="K556" s="9" t="s">
        <v>117</v>
      </c>
      <c r="L556" t="str">
        <f>IF(OR(J556="Cattle",J556="Zebu Cattle"),IF(COUNTIF(lists!$M$2:$M$258, K556) &gt; 0,"bos.indicus",IF(COUNTIF(lists!$L$2:$L$258, K556) &gt; 0,"cross.bred","pure.bred.exotic")),"NA")</f>
        <v>NA</v>
      </c>
      <c r="M556" t="str">
        <f>IF(J556="Sheep",IF(COUNTIF(lists!$H$2:$H$258, K556) &gt; 0,"indigenous",IF(COUNTIF(lists!$G$2:$G$258, K556) &gt; 0,"cross.bred","not found")),"NA")</f>
        <v>NA</v>
      </c>
      <c r="N556" t="str">
        <f>IF(J556="Goat",IF(COUNTIF(lists!$J$2:$J$258, K556) &gt; 0,"indigenous",IF(COUNTIF(lists!$I$2:$I$258, K556) &gt; 0,"cross.bred","not found")),"NA")</f>
        <v>indigenous</v>
      </c>
      <c r="O556" s="9" t="s">
        <v>109</v>
      </c>
      <c r="P556" s="9" t="s">
        <v>106</v>
      </c>
      <c r="Q556" s="9" t="s">
        <v>3805</v>
      </c>
      <c r="S556" s="9" t="s">
        <v>106</v>
      </c>
      <c r="T556" s="9" t="s">
        <v>106</v>
      </c>
      <c r="U556" s="9">
        <v>184.3</v>
      </c>
      <c r="V556" s="9" t="s">
        <v>106</v>
      </c>
      <c r="W556" s="9" t="s">
        <v>106</v>
      </c>
      <c r="X556" s="9" t="s">
        <v>106</v>
      </c>
      <c r="Y556" s="9">
        <v>68.599999999999994</v>
      </c>
      <c r="Z556" s="37"/>
      <c r="AA556" s="37"/>
      <c r="AB556" s="37"/>
      <c r="AE556">
        <v>0</v>
      </c>
    </row>
    <row r="557" spans="1:31" hidden="1">
      <c r="A557" s="9" t="s">
        <v>786</v>
      </c>
      <c r="B557" s="9" t="s">
        <v>787</v>
      </c>
      <c r="C557" s="9" t="s">
        <v>105</v>
      </c>
      <c r="D557" s="9">
        <v>0.17487563109680801</v>
      </c>
      <c r="E557" s="9">
        <v>4.5</v>
      </c>
      <c r="F557" s="9">
        <v>7.25</v>
      </c>
      <c r="G557" s="9">
        <v>24.36</v>
      </c>
      <c r="H557" s="9" t="s">
        <v>106</v>
      </c>
      <c r="I557" s="9">
        <v>20</v>
      </c>
      <c r="J557" s="9" t="s">
        <v>116</v>
      </c>
      <c r="K557" s="9" t="s">
        <v>117</v>
      </c>
      <c r="L557" t="str">
        <f>IF(OR(J557="Cattle",J557="Zebu Cattle"),IF(COUNTIF(lists!$M$2:$M$258, K557) &gt; 0,"bos.indicus",IF(COUNTIF(lists!$L$2:$L$258, K557) &gt; 0,"cross.bred","pure.bred.exotic")),"NA")</f>
        <v>NA</v>
      </c>
      <c r="M557" t="str">
        <f>IF(J557="Sheep",IF(COUNTIF(lists!$H$2:$H$258, K557) &gt; 0,"indigenous",IF(COUNTIF(lists!$G$2:$G$258, K557) &gt; 0,"cross.bred","not found")),"NA")</f>
        <v>NA</v>
      </c>
      <c r="N557" t="str">
        <f>IF(J557="Goat",IF(COUNTIF(lists!$J$2:$J$258, K557) &gt; 0,"indigenous",IF(COUNTIF(lists!$I$2:$I$258, K557) &gt; 0,"cross.bred","not found")),"NA")</f>
        <v>indigenous</v>
      </c>
      <c r="O557" s="9" t="s">
        <v>109</v>
      </c>
      <c r="P557" s="9" t="s">
        <v>106</v>
      </c>
      <c r="Q557" s="9" t="s">
        <v>3804</v>
      </c>
      <c r="S557" s="9">
        <v>436</v>
      </c>
      <c r="T557" s="9" t="s">
        <v>106</v>
      </c>
      <c r="U557" s="9">
        <v>108</v>
      </c>
      <c r="V557" s="9" t="s">
        <v>106</v>
      </c>
      <c r="W557" s="9" t="s">
        <v>106</v>
      </c>
      <c r="X557" s="9" t="s">
        <v>106</v>
      </c>
      <c r="Y557" s="9" t="s">
        <v>106</v>
      </c>
      <c r="Z557" s="37"/>
      <c r="AA557" s="37"/>
      <c r="AB557" s="37"/>
      <c r="AE557">
        <v>0</v>
      </c>
    </row>
    <row r="558" spans="1:31" hidden="1">
      <c r="A558" s="9" t="s">
        <v>786</v>
      </c>
      <c r="B558" s="9" t="s">
        <v>788</v>
      </c>
      <c r="C558" s="9" t="s">
        <v>105</v>
      </c>
      <c r="D558" s="9">
        <v>0.55926642557186101</v>
      </c>
      <c r="E558" s="9">
        <v>4.74</v>
      </c>
      <c r="F558" s="9">
        <v>16.2</v>
      </c>
      <c r="G558" s="9">
        <v>48.92</v>
      </c>
      <c r="H558" s="9" t="s">
        <v>106</v>
      </c>
      <c r="I558" s="9">
        <v>20</v>
      </c>
      <c r="J558" s="9" t="s">
        <v>116</v>
      </c>
      <c r="K558" s="9" t="s">
        <v>117</v>
      </c>
      <c r="L558" t="str">
        <f>IF(OR(J558="Cattle",J558="Zebu Cattle"),IF(COUNTIF(lists!$M$2:$M$258, K558) &gt; 0,"bos.indicus",IF(COUNTIF(lists!$L$2:$L$258, K558) &gt; 0,"cross.bred","pure.bred.exotic")),"NA")</f>
        <v>NA</v>
      </c>
      <c r="M558" t="str">
        <f>IF(J558="Sheep",IF(COUNTIF(lists!$H$2:$H$258, K558) &gt; 0,"indigenous",IF(COUNTIF(lists!$G$2:$G$258, K558) &gt; 0,"cross.bred","not found")),"NA")</f>
        <v>NA</v>
      </c>
      <c r="N558" t="str">
        <f>IF(J558="Goat",IF(COUNTIF(lists!$J$2:$J$258, K558) &gt; 0,"indigenous",IF(COUNTIF(lists!$I$2:$I$258, K558) &gt; 0,"cross.bred","not found")),"NA")</f>
        <v>indigenous</v>
      </c>
      <c r="O558" s="9" t="s">
        <v>109</v>
      </c>
      <c r="P558" s="9" t="s">
        <v>106</v>
      </c>
      <c r="Q558" s="9" t="s">
        <v>3804</v>
      </c>
      <c r="S558" s="9">
        <v>436</v>
      </c>
      <c r="T558" s="9" t="s">
        <v>106</v>
      </c>
      <c r="U558" s="9">
        <v>108</v>
      </c>
      <c r="V558" s="9" t="s">
        <v>106</v>
      </c>
      <c r="W558" s="9" t="s">
        <v>106</v>
      </c>
      <c r="X558" s="9" t="s">
        <v>106</v>
      </c>
      <c r="Y558" s="9" t="s">
        <v>106</v>
      </c>
      <c r="Z558" s="37"/>
      <c r="AA558" s="37"/>
      <c r="AB558" s="37"/>
      <c r="AE558">
        <v>0</v>
      </c>
    </row>
    <row r="559" spans="1:31" hidden="1">
      <c r="A559" s="9" t="s">
        <v>786</v>
      </c>
      <c r="B559" s="9" t="s">
        <v>789</v>
      </c>
      <c r="C559" s="9" t="s">
        <v>105</v>
      </c>
      <c r="D559" s="9">
        <v>0.42162608195905299</v>
      </c>
      <c r="E559" s="9">
        <v>4.74</v>
      </c>
      <c r="F559" s="9">
        <v>11.54</v>
      </c>
      <c r="G559" s="9">
        <v>41.024999999999999</v>
      </c>
      <c r="H559" s="9" t="s">
        <v>106</v>
      </c>
      <c r="I559" s="9">
        <v>20</v>
      </c>
      <c r="J559" s="9" t="s">
        <v>116</v>
      </c>
      <c r="K559" s="9" t="s">
        <v>117</v>
      </c>
      <c r="L559" t="str">
        <f>IF(OR(J559="Cattle",J559="Zebu Cattle"),IF(COUNTIF(lists!$M$2:$M$258, K559) &gt; 0,"bos.indicus",IF(COUNTIF(lists!$L$2:$L$258, K559) &gt; 0,"cross.bred","pure.bred.exotic")),"NA")</f>
        <v>NA</v>
      </c>
      <c r="M559" t="str">
        <f>IF(J559="Sheep",IF(COUNTIF(lists!$H$2:$H$258, K559) &gt; 0,"indigenous",IF(COUNTIF(lists!$G$2:$G$258, K559) &gt; 0,"cross.bred","not found")),"NA")</f>
        <v>NA</v>
      </c>
      <c r="N559" t="str">
        <f>IF(J559="Goat",IF(COUNTIF(lists!$J$2:$J$258, K559) &gt; 0,"indigenous",IF(COUNTIF(lists!$I$2:$I$258, K559) &gt; 0,"cross.bred","not found")),"NA")</f>
        <v>indigenous</v>
      </c>
      <c r="O559" s="9" t="s">
        <v>109</v>
      </c>
      <c r="P559" s="9" t="s">
        <v>106</v>
      </c>
      <c r="Q559" s="9" t="s">
        <v>3804</v>
      </c>
      <c r="S559" s="9">
        <v>384</v>
      </c>
      <c r="T559" s="9" t="s">
        <v>106</v>
      </c>
      <c r="U559" s="9">
        <v>139</v>
      </c>
      <c r="V559" s="9" t="s">
        <v>106</v>
      </c>
      <c r="W559" s="9" t="s">
        <v>106</v>
      </c>
      <c r="X559" s="9" t="s">
        <v>106</v>
      </c>
      <c r="Y559" s="9" t="s">
        <v>106</v>
      </c>
      <c r="Z559" s="37"/>
      <c r="AA559" s="37"/>
      <c r="AB559" s="37"/>
      <c r="AE559">
        <v>0</v>
      </c>
    </row>
    <row r="560" spans="1:31" hidden="1">
      <c r="A560" s="9" t="s">
        <v>786</v>
      </c>
      <c r="B560" s="9" t="s">
        <v>790</v>
      </c>
      <c r="C560" s="9" t="s">
        <v>105</v>
      </c>
      <c r="D560" s="9">
        <v>0.14736256192189101</v>
      </c>
      <c r="E560" s="9">
        <v>4.5</v>
      </c>
      <c r="F560" s="9">
        <v>7.1</v>
      </c>
      <c r="G560" s="9">
        <v>30.76</v>
      </c>
      <c r="H560" s="9" t="s">
        <v>106</v>
      </c>
      <c r="I560" s="9">
        <v>20</v>
      </c>
      <c r="J560" s="9" t="s">
        <v>116</v>
      </c>
      <c r="K560" s="9" t="s">
        <v>117</v>
      </c>
      <c r="L560" t="str">
        <f>IF(OR(J560="Cattle",J560="Zebu Cattle"),IF(COUNTIF(lists!$M$2:$M$258, K560) &gt; 0,"bos.indicus",IF(COUNTIF(lists!$L$2:$L$258, K560) &gt; 0,"cross.bred","pure.bred.exotic")),"NA")</f>
        <v>NA</v>
      </c>
      <c r="M560" t="str">
        <f>IF(J560="Sheep",IF(COUNTIF(lists!$H$2:$H$258, K560) &gt; 0,"indigenous",IF(COUNTIF(lists!$G$2:$G$258, K560) &gt; 0,"cross.bred","not found")),"NA")</f>
        <v>NA</v>
      </c>
      <c r="N560" t="str">
        <f>IF(J560="Goat",IF(COUNTIF(lists!$J$2:$J$258, K560) &gt; 0,"indigenous",IF(COUNTIF(lists!$I$2:$I$258, K560) &gt; 0,"cross.bred","not found")),"NA")</f>
        <v>indigenous</v>
      </c>
      <c r="O560" s="9" t="s">
        <v>109</v>
      </c>
      <c r="P560" s="9" t="s">
        <v>106</v>
      </c>
      <c r="Q560" s="9" t="s">
        <v>3804</v>
      </c>
      <c r="S560" s="9">
        <v>320</v>
      </c>
      <c r="T560" s="9" t="s">
        <v>106</v>
      </c>
      <c r="U560" s="9">
        <v>181</v>
      </c>
      <c r="V560" s="9" t="s">
        <v>106</v>
      </c>
      <c r="W560" s="9" t="s">
        <v>106</v>
      </c>
      <c r="X560" s="9" t="s">
        <v>106</v>
      </c>
      <c r="Y560" s="9" t="s">
        <v>106</v>
      </c>
      <c r="Z560" s="37"/>
      <c r="AA560" s="37"/>
      <c r="AB560" s="37"/>
      <c r="AE560">
        <v>0</v>
      </c>
    </row>
    <row r="561" spans="1:31" hidden="1">
      <c r="A561" s="9" t="s">
        <v>786</v>
      </c>
      <c r="B561" s="9" t="s">
        <v>791</v>
      </c>
      <c r="C561" s="9" t="s">
        <v>105</v>
      </c>
      <c r="D561" s="9">
        <v>0.523494692027487</v>
      </c>
      <c r="E561" s="9">
        <v>4.74</v>
      </c>
      <c r="F561" s="9">
        <v>16.2</v>
      </c>
      <c r="G561" s="9">
        <v>59.32</v>
      </c>
      <c r="H561" s="9" t="s">
        <v>106</v>
      </c>
      <c r="I561" s="9">
        <v>20</v>
      </c>
      <c r="J561" s="9" t="s">
        <v>116</v>
      </c>
      <c r="K561" s="9" t="s">
        <v>117</v>
      </c>
      <c r="L561" t="str">
        <f>IF(OR(J561="Cattle",J561="Zebu Cattle"),IF(COUNTIF(lists!$M$2:$M$258, K561) &gt; 0,"bos.indicus",IF(COUNTIF(lists!$L$2:$L$258, K561) &gt; 0,"cross.bred","pure.bred.exotic")),"NA")</f>
        <v>NA</v>
      </c>
      <c r="M561" t="str">
        <f>IF(J561="Sheep",IF(COUNTIF(lists!$H$2:$H$258, K561) &gt; 0,"indigenous",IF(COUNTIF(lists!$G$2:$G$258, K561) &gt; 0,"cross.bred","not found")),"NA")</f>
        <v>NA</v>
      </c>
      <c r="N561" t="str">
        <f>IF(J561="Goat",IF(COUNTIF(lists!$J$2:$J$258, K561) &gt; 0,"indigenous",IF(COUNTIF(lists!$I$2:$I$258, K561) &gt; 0,"cross.bred","not found")),"NA")</f>
        <v>indigenous</v>
      </c>
      <c r="O561" s="9" t="s">
        <v>109</v>
      </c>
      <c r="P561" s="9" t="s">
        <v>106</v>
      </c>
      <c r="Q561" s="9" t="s">
        <v>3804</v>
      </c>
      <c r="S561" s="9">
        <v>320</v>
      </c>
      <c r="T561" s="9" t="s">
        <v>106</v>
      </c>
      <c r="U561" s="9">
        <v>181</v>
      </c>
      <c r="V561" s="9" t="s">
        <v>106</v>
      </c>
      <c r="W561" s="9" t="s">
        <v>106</v>
      </c>
      <c r="X561" s="9" t="s">
        <v>106</v>
      </c>
      <c r="Y561" s="9" t="s">
        <v>106</v>
      </c>
      <c r="Z561" s="37"/>
      <c r="AA561" s="37"/>
      <c r="AB561" s="37"/>
      <c r="AE561">
        <v>0</v>
      </c>
    </row>
    <row r="562" spans="1:31" hidden="1">
      <c r="A562" s="9" t="s">
        <v>786</v>
      </c>
      <c r="B562" s="9" t="s">
        <v>792</v>
      </c>
      <c r="C562" s="9" t="s">
        <v>105</v>
      </c>
      <c r="D562" s="9">
        <v>0.148125310320041</v>
      </c>
      <c r="E562" s="9">
        <v>4.5</v>
      </c>
      <c r="F562" s="9">
        <v>7.2</v>
      </c>
      <c r="G562" s="9">
        <v>33.130000000000003</v>
      </c>
      <c r="H562" s="9" t="s">
        <v>106</v>
      </c>
      <c r="I562" s="9">
        <v>20</v>
      </c>
      <c r="J562" s="9" t="s">
        <v>116</v>
      </c>
      <c r="K562" s="9" t="s">
        <v>117</v>
      </c>
      <c r="L562" t="str">
        <f>IF(OR(J562="Cattle",J562="Zebu Cattle"),IF(COUNTIF(lists!$M$2:$M$258, K562) &gt; 0,"bos.indicus",IF(COUNTIF(lists!$L$2:$L$258, K562) &gt; 0,"cross.bred","pure.bred.exotic")),"NA")</f>
        <v>NA</v>
      </c>
      <c r="M562" t="str">
        <f>IF(J562="Sheep",IF(COUNTIF(lists!$H$2:$H$258, K562) &gt; 0,"indigenous",IF(COUNTIF(lists!$G$2:$G$258, K562) &gt; 0,"cross.bred","not found")),"NA")</f>
        <v>NA</v>
      </c>
      <c r="N562" t="str">
        <f>IF(J562="Goat",IF(COUNTIF(lists!$J$2:$J$258, K562) &gt; 0,"indigenous",IF(COUNTIF(lists!$I$2:$I$258, K562) &gt; 0,"cross.bred","not found")),"NA")</f>
        <v>indigenous</v>
      </c>
      <c r="O562" s="9" t="s">
        <v>109</v>
      </c>
      <c r="P562" s="9" t="s">
        <v>106</v>
      </c>
      <c r="Q562" s="9" t="s">
        <v>3804</v>
      </c>
      <c r="S562" s="9">
        <v>249</v>
      </c>
      <c r="T562" s="9" t="s">
        <v>106</v>
      </c>
      <c r="U562" s="9">
        <v>227</v>
      </c>
      <c r="V562" s="9" t="s">
        <v>106</v>
      </c>
      <c r="W562" s="9" t="s">
        <v>106</v>
      </c>
      <c r="X562" s="9" t="s">
        <v>106</v>
      </c>
      <c r="Y562" s="9" t="s">
        <v>106</v>
      </c>
      <c r="Z562" s="37"/>
      <c r="AA562" s="37"/>
      <c r="AB562" s="37"/>
      <c r="AE562">
        <v>0</v>
      </c>
    </row>
    <row r="563" spans="1:31" hidden="1">
      <c r="A563" s="9" t="s">
        <v>786</v>
      </c>
      <c r="B563" s="9" t="s">
        <v>793</v>
      </c>
      <c r="C563" s="9" t="s">
        <v>105</v>
      </c>
      <c r="D563" s="9">
        <v>0.47367359822559502</v>
      </c>
      <c r="E563" s="9">
        <v>4.74</v>
      </c>
      <c r="F563" s="9">
        <v>16.3</v>
      </c>
      <c r="G563" s="9">
        <v>51.86</v>
      </c>
      <c r="H563" s="9" t="s">
        <v>106</v>
      </c>
      <c r="I563" s="9">
        <v>20</v>
      </c>
      <c r="J563" s="9" t="s">
        <v>116</v>
      </c>
      <c r="K563" s="9" t="s">
        <v>117</v>
      </c>
      <c r="L563" t="str">
        <f>IF(OR(J563="Cattle",J563="Zebu Cattle"),IF(COUNTIF(lists!$M$2:$M$258, K563) &gt; 0,"bos.indicus",IF(COUNTIF(lists!$L$2:$L$258, K563) &gt; 0,"cross.bred","pure.bred.exotic")),"NA")</f>
        <v>NA</v>
      </c>
      <c r="M563" t="str">
        <f>IF(J563="Sheep",IF(COUNTIF(lists!$H$2:$H$258, K563) &gt; 0,"indigenous",IF(COUNTIF(lists!$G$2:$G$258, K563) &gt; 0,"cross.bred","not found")),"NA")</f>
        <v>NA</v>
      </c>
      <c r="N563" t="str">
        <f>IF(J563="Goat",IF(COUNTIF(lists!$J$2:$J$258, K563) &gt; 0,"indigenous",IF(COUNTIF(lists!$I$2:$I$258, K563) &gt; 0,"cross.bred","not found")),"NA")</f>
        <v>indigenous</v>
      </c>
      <c r="O563" s="9" t="s">
        <v>109</v>
      </c>
      <c r="P563" s="9" t="s">
        <v>106</v>
      </c>
      <c r="Q563" s="9" t="s">
        <v>3804</v>
      </c>
      <c r="S563" s="9">
        <v>249</v>
      </c>
      <c r="T563" s="9" t="s">
        <v>106</v>
      </c>
      <c r="U563" s="9">
        <v>227</v>
      </c>
      <c r="V563" s="9" t="s">
        <v>106</v>
      </c>
      <c r="W563" s="9" t="s">
        <v>106</v>
      </c>
      <c r="X563" s="9" t="s">
        <v>106</v>
      </c>
      <c r="Y563" s="9" t="s">
        <v>106</v>
      </c>
      <c r="Z563" s="37"/>
      <c r="AA563" s="37"/>
      <c r="AB563" s="37"/>
      <c r="AE563">
        <v>0</v>
      </c>
    </row>
    <row r="564" spans="1:31" hidden="1">
      <c r="A564" s="9" t="s">
        <v>786</v>
      </c>
      <c r="B564" s="9" t="s">
        <v>794</v>
      </c>
      <c r="C564" s="9" t="s">
        <v>105</v>
      </c>
      <c r="D564" s="9">
        <v>0.10944009799330701</v>
      </c>
      <c r="E564" s="9">
        <v>4.5</v>
      </c>
      <c r="F564" s="9">
        <v>6.45</v>
      </c>
      <c r="G564" s="9">
        <v>25.32</v>
      </c>
      <c r="H564" s="9" t="s">
        <v>106</v>
      </c>
      <c r="I564" s="9">
        <v>20</v>
      </c>
      <c r="J564" s="9" t="s">
        <v>116</v>
      </c>
      <c r="K564" s="9" t="s">
        <v>117</v>
      </c>
      <c r="L564" t="str">
        <f>IF(OR(J564="Cattle",J564="Zebu Cattle"),IF(COUNTIF(lists!$M$2:$M$258, K564) &gt; 0,"bos.indicus",IF(COUNTIF(lists!$L$2:$L$258, K564) &gt; 0,"cross.bred","pure.bred.exotic")),"NA")</f>
        <v>NA</v>
      </c>
      <c r="M564" t="str">
        <f>IF(J564="Sheep",IF(COUNTIF(lists!$H$2:$H$258, K564) &gt; 0,"indigenous",IF(COUNTIF(lists!$G$2:$G$258, K564) &gt; 0,"cross.bred","not found")),"NA")</f>
        <v>NA</v>
      </c>
      <c r="N564" t="str">
        <f>IF(J564="Goat",IF(COUNTIF(lists!$J$2:$J$258, K564) &gt; 0,"indigenous",IF(COUNTIF(lists!$I$2:$I$258, K564) &gt; 0,"cross.bred","not found")),"NA")</f>
        <v>indigenous</v>
      </c>
      <c r="O564" s="9" t="s">
        <v>109</v>
      </c>
      <c r="P564" s="9" t="s">
        <v>106</v>
      </c>
      <c r="Q564" s="9" t="s">
        <v>3804</v>
      </c>
      <c r="S564" s="9">
        <v>201</v>
      </c>
      <c r="T564" s="9" t="s">
        <v>106</v>
      </c>
      <c r="U564" s="9">
        <v>263</v>
      </c>
      <c r="V564" s="9" t="s">
        <v>106</v>
      </c>
      <c r="W564" s="9" t="s">
        <v>106</v>
      </c>
      <c r="X564" s="9" t="s">
        <v>106</v>
      </c>
      <c r="Y564" s="9" t="s">
        <v>106</v>
      </c>
      <c r="Z564" s="37"/>
      <c r="AA564" s="37"/>
      <c r="AB564" s="37"/>
      <c r="AE564">
        <v>0</v>
      </c>
    </row>
    <row r="565" spans="1:31" hidden="1">
      <c r="A565" s="9" t="s">
        <v>801</v>
      </c>
      <c r="B565" s="9" t="s">
        <v>151</v>
      </c>
      <c r="C565" s="9" t="s">
        <v>105</v>
      </c>
      <c r="D565" s="9">
        <v>0.71816999999999998</v>
      </c>
      <c r="E565" s="9">
        <v>4.29</v>
      </c>
      <c r="F565" s="9">
        <v>8.85</v>
      </c>
      <c r="G565" s="9">
        <v>66.55</v>
      </c>
      <c r="H565" s="9" t="s">
        <v>106</v>
      </c>
      <c r="I565" s="9">
        <v>20</v>
      </c>
      <c r="J565" s="9" t="s">
        <v>116</v>
      </c>
      <c r="K565" s="9" t="s">
        <v>117</v>
      </c>
      <c r="L565" t="str">
        <f>IF(OR(J565="Cattle",J565="Zebu Cattle"),IF(COUNTIF(lists!$M$2:$M$258, K565) &gt; 0,"bos.indicus",IF(COUNTIF(lists!$L$2:$L$258, K565) &gt; 0,"cross.bred","pure.bred.exotic")),"NA")</f>
        <v>NA</v>
      </c>
      <c r="M565" t="str">
        <f>IF(J565="Sheep",IF(COUNTIF(lists!$H$2:$H$258, K565) &gt; 0,"indigenous",IF(COUNTIF(lists!$G$2:$G$258, K565) &gt; 0,"cross.bred","not found")),"NA")</f>
        <v>NA</v>
      </c>
      <c r="N565" t="str">
        <f>IF(J565="Goat",IF(COUNTIF(lists!$J$2:$J$258, K565) &gt; 0,"indigenous",IF(COUNTIF(lists!$I$2:$I$258, K565) &gt; 0,"cross.bred","not found")),"NA")</f>
        <v>indigenous</v>
      </c>
      <c r="O565" s="9" t="s">
        <v>109</v>
      </c>
      <c r="P565" s="9" t="s">
        <v>106</v>
      </c>
      <c r="Q565" s="9" t="s">
        <v>3806</v>
      </c>
      <c r="S565" s="9" t="s">
        <v>106</v>
      </c>
      <c r="T565" s="9" t="s">
        <v>106</v>
      </c>
      <c r="U565" s="9" t="s">
        <v>106</v>
      </c>
      <c r="V565" s="9" t="s">
        <v>106</v>
      </c>
      <c r="W565" s="9" t="s">
        <v>106</v>
      </c>
      <c r="X565" s="9" t="s">
        <v>106</v>
      </c>
      <c r="Y565" s="9">
        <v>81.73</v>
      </c>
      <c r="Z565" s="37"/>
      <c r="AA565" s="37"/>
      <c r="AB565" s="37"/>
      <c r="AE565">
        <v>0</v>
      </c>
    </row>
    <row r="566" spans="1:31" hidden="1">
      <c r="A566" s="9" t="s">
        <v>801</v>
      </c>
      <c r="B566" s="9" t="s">
        <v>154</v>
      </c>
      <c r="C566" s="9" t="s">
        <v>105</v>
      </c>
      <c r="D566" s="9">
        <v>0.69417999999999902</v>
      </c>
      <c r="E566" s="9">
        <v>4.29</v>
      </c>
      <c r="F566" s="9">
        <v>8.83</v>
      </c>
      <c r="G566" s="9">
        <v>72.02</v>
      </c>
      <c r="H566" s="9" t="s">
        <v>106</v>
      </c>
      <c r="I566" s="9">
        <v>20</v>
      </c>
      <c r="J566" s="9" t="s">
        <v>116</v>
      </c>
      <c r="K566" s="9" t="s">
        <v>117</v>
      </c>
      <c r="L566" t="str">
        <f>IF(OR(J566="Cattle",J566="Zebu Cattle"),IF(COUNTIF(lists!$M$2:$M$258, K566) &gt; 0,"bos.indicus",IF(COUNTIF(lists!$L$2:$L$258, K566) &gt; 0,"cross.bred","pure.bred.exotic")),"NA")</f>
        <v>NA</v>
      </c>
      <c r="M566" t="str">
        <f>IF(J566="Sheep",IF(COUNTIF(lists!$H$2:$H$258, K566) &gt; 0,"indigenous",IF(COUNTIF(lists!$G$2:$G$258, K566) &gt; 0,"cross.bred","not found")),"NA")</f>
        <v>NA</v>
      </c>
      <c r="N566" t="str">
        <f>IF(J566="Goat",IF(COUNTIF(lists!$J$2:$J$258, K566) &gt; 0,"indigenous",IF(COUNTIF(lists!$I$2:$I$258, K566) &gt; 0,"cross.bred","not found")),"NA")</f>
        <v>indigenous</v>
      </c>
      <c r="O566" s="9" t="s">
        <v>109</v>
      </c>
      <c r="P566" s="9" t="s">
        <v>106</v>
      </c>
      <c r="Q566" s="9" t="s">
        <v>3806</v>
      </c>
      <c r="S566" s="9" t="s">
        <v>106</v>
      </c>
      <c r="T566" s="9" t="s">
        <v>106</v>
      </c>
      <c r="U566" s="9" t="s">
        <v>106</v>
      </c>
      <c r="V566" s="9" t="s">
        <v>106</v>
      </c>
      <c r="W566" s="9" t="s">
        <v>106</v>
      </c>
      <c r="X566" s="9" t="s">
        <v>106</v>
      </c>
      <c r="Y566" s="9">
        <v>85.14</v>
      </c>
      <c r="Z566" s="37"/>
      <c r="AA566" s="37"/>
      <c r="AB566" s="37"/>
      <c r="AE566">
        <v>0</v>
      </c>
    </row>
    <row r="567" spans="1:31" hidden="1">
      <c r="A567" s="9" t="s">
        <v>801</v>
      </c>
      <c r="B567" s="9" t="s">
        <v>155</v>
      </c>
      <c r="C567" s="9" t="s">
        <v>105</v>
      </c>
      <c r="D567" s="9">
        <v>0.67225000000000001</v>
      </c>
      <c r="E567" s="9">
        <v>4.29</v>
      </c>
      <c r="F567" s="9">
        <v>8.82</v>
      </c>
      <c r="G567" s="9">
        <v>53.81</v>
      </c>
      <c r="H567" s="9" t="s">
        <v>106</v>
      </c>
      <c r="I567" s="9">
        <v>20</v>
      </c>
      <c r="J567" s="9" t="s">
        <v>116</v>
      </c>
      <c r="K567" s="9" t="s">
        <v>117</v>
      </c>
      <c r="L567" t="str">
        <f>IF(OR(J567="Cattle",J567="Zebu Cattle"),IF(COUNTIF(lists!$M$2:$M$258, K567) &gt; 0,"bos.indicus",IF(COUNTIF(lists!$L$2:$L$258, K567) &gt; 0,"cross.bred","pure.bred.exotic")),"NA")</f>
        <v>NA</v>
      </c>
      <c r="M567" t="str">
        <f>IF(J567="Sheep",IF(COUNTIF(lists!$H$2:$H$258, K567) &gt; 0,"indigenous",IF(COUNTIF(lists!$G$2:$G$258, K567) &gt; 0,"cross.bred","not found")),"NA")</f>
        <v>NA</v>
      </c>
      <c r="N567" t="str">
        <f>IF(J567="Goat",IF(COUNTIF(lists!$J$2:$J$258, K567) &gt; 0,"indigenous",IF(COUNTIF(lists!$I$2:$I$258, K567) &gt; 0,"cross.bred","not found")),"NA")</f>
        <v>indigenous</v>
      </c>
      <c r="O567" s="9" t="s">
        <v>109</v>
      </c>
      <c r="P567" s="9" t="s">
        <v>106</v>
      </c>
      <c r="Q567" s="9" t="s">
        <v>3806</v>
      </c>
      <c r="S567" s="9" t="s">
        <v>106</v>
      </c>
      <c r="T567" s="9" t="s">
        <v>106</v>
      </c>
      <c r="U567" s="9" t="s">
        <v>106</v>
      </c>
      <c r="V567" s="9" t="s">
        <v>106</v>
      </c>
      <c r="W567" s="9" t="s">
        <v>106</v>
      </c>
      <c r="X567" s="9" t="s">
        <v>106</v>
      </c>
      <c r="Y567" s="9">
        <v>81.84</v>
      </c>
      <c r="Z567" s="37"/>
      <c r="AA567" s="37"/>
      <c r="AB567" s="37"/>
      <c r="AE567">
        <v>0</v>
      </c>
    </row>
    <row r="568" spans="1:31" hidden="1">
      <c r="A568" s="9" t="s">
        <v>801</v>
      </c>
      <c r="B568" s="9" t="s">
        <v>156</v>
      </c>
      <c r="C568" s="9" t="s">
        <v>105</v>
      </c>
      <c r="D568" s="9">
        <v>0.67776999999999998</v>
      </c>
      <c r="E568" s="9">
        <v>4.29</v>
      </c>
      <c r="F568" s="9">
        <v>8.83</v>
      </c>
      <c r="G568" s="9">
        <v>68.209999999999994</v>
      </c>
      <c r="H568" s="9" t="s">
        <v>106</v>
      </c>
      <c r="I568" s="9">
        <v>20</v>
      </c>
      <c r="J568" s="9" t="s">
        <v>116</v>
      </c>
      <c r="K568" s="9" t="s">
        <v>117</v>
      </c>
      <c r="L568" t="str">
        <f>IF(OR(J568="Cattle",J568="Zebu Cattle"),IF(COUNTIF(lists!$M$2:$M$258, K568) &gt; 0,"bos.indicus",IF(COUNTIF(lists!$L$2:$L$258, K568) &gt; 0,"cross.bred","pure.bred.exotic")),"NA")</f>
        <v>NA</v>
      </c>
      <c r="M568" t="str">
        <f>IF(J568="Sheep",IF(COUNTIF(lists!$H$2:$H$258, K568) &gt; 0,"indigenous",IF(COUNTIF(lists!$G$2:$G$258, K568) &gt; 0,"cross.bred","not found")),"NA")</f>
        <v>NA</v>
      </c>
      <c r="N568" t="str">
        <f>IF(J568="Goat",IF(COUNTIF(lists!$J$2:$J$258, K568) &gt; 0,"indigenous",IF(COUNTIF(lists!$I$2:$I$258, K568) &gt; 0,"cross.bred","not found")),"NA")</f>
        <v>indigenous</v>
      </c>
      <c r="O568" s="9" t="s">
        <v>109</v>
      </c>
      <c r="P568" s="9" t="s">
        <v>106</v>
      </c>
      <c r="Q568" s="9" t="s">
        <v>3806</v>
      </c>
      <c r="S568" s="9" t="s">
        <v>106</v>
      </c>
      <c r="T568" s="9" t="s">
        <v>106</v>
      </c>
      <c r="U568" s="9" t="s">
        <v>106</v>
      </c>
      <c r="V568" s="9" t="s">
        <v>106</v>
      </c>
      <c r="W568" s="9" t="s">
        <v>106</v>
      </c>
      <c r="X568" s="9" t="s">
        <v>106</v>
      </c>
      <c r="Y568" s="9">
        <v>83.84</v>
      </c>
      <c r="Z568" s="37"/>
      <c r="AA568" s="37"/>
      <c r="AB568" s="37"/>
      <c r="AE568">
        <v>0</v>
      </c>
    </row>
    <row r="569" spans="1:31" hidden="1">
      <c r="A569" s="9" t="s">
        <v>801</v>
      </c>
      <c r="B569" s="9" t="s">
        <v>157</v>
      </c>
      <c r="C569" s="9" t="s">
        <v>105</v>
      </c>
      <c r="D569" s="9">
        <v>0.51564999999999905</v>
      </c>
      <c r="E569" s="9">
        <v>3.28</v>
      </c>
      <c r="F569" s="9">
        <v>8.82</v>
      </c>
      <c r="G569" s="9">
        <v>33.94</v>
      </c>
      <c r="H569" s="9" t="s">
        <v>106</v>
      </c>
      <c r="I569" s="9">
        <v>20</v>
      </c>
      <c r="J569" s="9" t="s">
        <v>116</v>
      </c>
      <c r="K569" s="9" t="s">
        <v>117</v>
      </c>
      <c r="L569" t="str">
        <f>IF(OR(J569="Cattle",J569="Zebu Cattle"),IF(COUNTIF(lists!$M$2:$M$258, K569) &gt; 0,"bos.indicus",IF(COUNTIF(lists!$L$2:$L$258, K569) &gt; 0,"cross.bred","pure.bred.exotic")),"NA")</f>
        <v>NA</v>
      </c>
      <c r="M569" t="str">
        <f>IF(J569="Sheep",IF(COUNTIF(lists!$H$2:$H$258, K569) &gt; 0,"indigenous",IF(COUNTIF(lists!$G$2:$G$258, K569) &gt; 0,"cross.bred","not found")),"NA")</f>
        <v>NA</v>
      </c>
      <c r="N569" t="str">
        <f>IF(J569="Goat",IF(COUNTIF(lists!$J$2:$J$258, K569) &gt; 0,"indigenous",IF(COUNTIF(lists!$I$2:$I$258, K569) &gt; 0,"cross.bred","not found")),"NA")</f>
        <v>indigenous</v>
      </c>
      <c r="O569" s="9" t="s">
        <v>109</v>
      </c>
      <c r="P569" s="9" t="s">
        <v>106</v>
      </c>
      <c r="Q569" s="9" t="s">
        <v>3806</v>
      </c>
      <c r="S569" s="9" t="s">
        <v>106</v>
      </c>
      <c r="T569" s="9" t="s">
        <v>106</v>
      </c>
      <c r="U569" s="9" t="s">
        <v>106</v>
      </c>
      <c r="V569" s="9" t="s">
        <v>106</v>
      </c>
      <c r="W569" s="9" t="s">
        <v>106</v>
      </c>
      <c r="X569" s="9" t="s">
        <v>106</v>
      </c>
      <c r="Y569" s="9">
        <v>79.900000000000006</v>
      </c>
      <c r="Z569" s="37"/>
      <c r="AA569" s="37"/>
      <c r="AB569" s="37"/>
      <c r="AE569">
        <v>0</v>
      </c>
    </row>
    <row r="570" spans="1:31" hidden="1">
      <c r="A570" s="9" t="s">
        <v>803</v>
      </c>
      <c r="B570" s="9" t="s">
        <v>804</v>
      </c>
      <c r="C570" s="9" t="s">
        <v>105</v>
      </c>
      <c r="D570" s="9">
        <v>0.88829999999999998</v>
      </c>
      <c r="E570" s="9">
        <v>10.1</v>
      </c>
      <c r="F570" s="9">
        <v>13.6</v>
      </c>
      <c r="G570" s="9">
        <v>74.2</v>
      </c>
      <c r="H570" s="9" t="s">
        <v>106</v>
      </c>
      <c r="I570" s="9">
        <v>24</v>
      </c>
      <c r="J570" s="9" t="s">
        <v>116</v>
      </c>
      <c r="K570" s="9" t="s">
        <v>117</v>
      </c>
      <c r="L570" t="str">
        <f>IF(OR(J570="Cattle",J570="Zebu Cattle"),IF(COUNTIF(lists!$M$2:$M$258, K570) &gt; 0,"bos.indicus",IF(COUNTIF(lists!$L$2:$L$258, K570) &gt; 0,"cross.bred","pure.bred.exotic")),"NA")</f>
        <v>NA</v>
      </c>
      <c r="M570" t="str">
        <f>IF(J570="Sheep",IF(COUNTIF(lists!$H$2:$H$258, K570) &gt; 0,"indigenous",IF(COUNTIF(lists!$G$2:$G$258, K570) &gt; 0,"cross.bred","not found")),"NA")</f>
        <v>NA</v>
      </c>
      <c r="N570" t="str">
        <f>IF(J570="Goat",IF(COUNTIF(lists!$J$2:$J$258, K570) &gt; 0,"indigenous",IF(COUNTIF(lists!$I$2:$I$258, K570) &gt; 0,"cross.bred","not found")),"NA")</f>
        <v>indigenous</v>
      </c>
      <c r="O570" s="9" t="s">
        <v>109</v>
      </c>
      <c r="P570" s="9" t="s">
        <v>106</v>
      </c>
      <c r="Q570" s="9" t="s">
        <v>3808</v>
      </c>
      <c r="S570" s="9" t="s">
        <v>106</v>
      </c>
      <c r="T570" s="9">
        <v>103</v>
      </c>
      <c r="U570" s="9">
        <v>156</v>
      </c>
      <c r="V570" s="9">
        <v>888</v>
      </c>
      <c r="W570" s="9">
        <v>36</v>
      </c>
      <c r="X570" s="9" t="s">
        <v>106</v>
      </c>
      <c r="Y570" s="9" t="s">
        <v>106</v>
      </c>
      <c r="Z570" s="37"/>
      <c r="AA570" s="37"/>
      <c r="AB570" s="37"/>
      <c r="AE570">
        <v>0</v>
      </c>
    </row>
    <row r="571" spans="1:31" hidden="1">
      <c r="A571" s="9" t="s">
        <v>803</v>
      </c>
      <c r="B571" s="9" t="s">
        <v>805</v>
      </c>
      <c r="C571" s="9" t="s">
        <v>105</v>
      </c>
      <c r="D571" s="9">
        <v>0.87749999999999995</v>
      </c>
      <c r="E571" s="9">
        <v>12</v>
      </c>
      <c r="F571" s="9">
        <v>13.9</v>
      </c>
      <c r="G571" s="9">
        <v>53.7</v>
      </c>
      <c r="H571" s="9" t="s">
        <v>106</v>
      </c>
      <c r="I571" s="9">
        <v>24</v>
      </c>
      <c r="J571" s="9" t="s">
        <v>116</v>
      </c>
      <c r="K571" s="9" t="s">
        <v>117</v>
      </c>
      <c r="L571" t="str">
        <f>IF(OR(J571="Cattle",J571="Zebu Cattle"),IF(COUNTIF(lists!$M$2:$M$258, K571) &gt; 0,"bos.indicus",IF(COUNTIF(lists!$L$2:$L$258, K571) &gt; 0,"cross.bred","pure.bred.exotic")),"NA")</f>
        <v>NA</v>
      </c>
      <c r="M571" t="str">
        <f>IF(J571="Sheep",IF(COUNTIF(lists!$H$2:$H$258, K571) &gt; 0,"indigenous",IF(COUNTIF(lists!$G$2:$G$258, K571) &gt; 0,"cross.bred","not found")),"NA")</f>
        <v>NA</v>
      </c>
      <c r="N571" t="str">
        <f>IF(J571="Goat",IF(COUNTIF(lists!$J$2:$J$258, K571) &gt; 0,"indigenous",IF(COUNTIF(lists!$I$2:$I$258, K571) &gt; 0,"cross.bred","not found")),"NA")</f>
        <v>indigenous</v>
      </c>
      <c r="O571" s="9" t="s">
        <v>109</v>
      </c>
      <c r="P571" s="9" t="s">
        <v>106</v>
      </c>
      <c r="Q571" s="9" t="s">
        <v>3808</v>
      </c>
      <c r="S571" s="9" t="s">
        <v>106</v>
      </c>
      <c r="T571" s="9">
        <v>129</v>
      </c>
      <c r="U571" s="9">
        <v>159</v>
      </c>
      <c r="V571" s="9">
        <v>884</v>
      </c>
      <c r="W571" s="9">
        <v>33</v>
      </c>
      <c r="X571" s="9" t="s">
        <v>106</v>
      </c>
      <c r="Y571" s="9" t="s">
        <v>106</v>
      </c>
      <c r="Z571" s="37"/>
      <c r="AA571" s="37"/>
      <c r="AB571" s="37"/>
      <c r="AE571">
        <v>0</v>
      </c>
    </row>
    <row r="572" spans="1:31" hidden="1">
      <c r="A572" s="9" t="s">
        <v>803</v>
      </c>
      <c r="B572" s="9" t="s">
        <v>806</v>
      </c>
      <c r="C572" s="9" t="s">
        <v>105</v>
      </c>
      <c r="D572" s="9">
        <v>0.84839999999999904</v>
      </c>
      <c r="E572" s="9">
        <v>8.4</v>
      </c>
      <c r="F572" s="9">
        <v>14.2</v>
      </c>
      <c r="G572" s="9">
        <v>25.1</v>
      </c>
      <c r="H572" s="9" t="s">
        <v>106</v>
      </c>
      <c r="I572" s="9">
        <v>24</v>
      </c>
      <c r="J572" s="9" t="s">
        <v>116</v>
      </c>
      <c r="K572" s="9" t="s">
        <v>117</v>
      </c>
      <c r="L572" t="str">
        <f>IF(OR(J572="Cattle",J572="Zebu Cattle"),IF(COUNTIF(lists!$M$2:$M$258, K572) &gt; 0,"bos.indicus",IF(COUNTIF(lists!$L$2:$L$258, K572) &gt; 0,"cross.bred","pure.bred.exotic")),"NA")</f>
        <v>NA</v>
      </c>
      <c r="M572" t="str">
        <f>IF(J572="Sheep",IF(COUNTIF(lists!$H$2:$H$258, K572) &gt; 0,"indigenous",IF(COUNTIF(lists!$G$2:$G$258, K572) &gt; 0,"cross.bred","not found")),"NA")</f>
        <v>NA</v>
      </c>
      <c r="N572" t="str">
        <f>IF(J572="Goat",IF(COUNTIF(lists!$J$2:$J$258, K572) &gt; 0,"indigenous",IF(COUNTIF(lists!$I$2:$I$258, K572) &gt; 0,"cross.bred","not found")),"NA")</f>
        <v>indigenous</v>
      </c>
      <c r="O572" s="9" t="s">
        <v>109</v>
      </c>
      <c r="P572" s="9" t="s">
        <v>106</v>
      </c>
      <c r="Q572" s="9" t="s">
        <v>3808</v>
      </c>
      <c r="S572" s="9" t="s">
        <v>106</v>
      </c>
      <c r="T572" s="9">
        <v>142</v>
      </c>
      <c r="U572" s="9">
        <v>156</v>
      </c>
      <c r="V572" s="9">
        <v>890</v>
      </c>
      <c r="W572" s="9">
        <v>28</v>
      </c>
      <c r="X572" s="9" t="s">
        <v>106</v>
      </c>
      <c r="Y572" s="9" t="s">
        <v>106</v>
      </c>
      <c r="Z572" s="37"/>
      <c r="AA572" s="37"/>
      <c r="AB572" s="37"/>
      <c r="AE572">
        <v>0</v>
      </c>
    </row>
    <row r="573" spans="1:31" hidden="1">
      <c r="A573" s="9" t="s">
        <v>821</v>
      </c>
      <c r="B573" s="9" t="s">
        <v>822</v>
      </c>
      <c r="C573" s="9" t="s">
        <v>105</v>
      </c>
      <c r="D573" s="9">
        <v>0.89600000000000002</v>
      </c>
      <c r="E573" s="9">
        <v>55</v>
      </c>
      <c r="F573" s="9">
        <v>28.44</v>
      </c>
      <c r="G573" s="9">
        <v>-33</v>
      </c>
      <c r="H573" s="9">
        <v>0.32400000000000001</v>
      </c>
      <c r="I573" s="9">
        <v>25</v>
      </c>
      <c r="J573" s="9" t="s">
        <v>116</v>
      </c>
      <c r="K573" s="9" t="s">
        <v>634</v>
      </c>
      <c r="L573" t="str">
        <f>IF(OR(J573="Cattle",J573="Zebu Cattle"),IF(COUNTIF(lists!$M$2:$M$258, K573) &gt; 0,"bos.indicus",IF(COUNTIF(lists!$L$2:$L$258, K573) &gt; 0,"cross.bred","pure.bred.exotic")),"NA")</f>
        <v>NA</v>
      </c>
      <c r="M573" t="str">
        <f>IF(J573="Sheep",IF(COUNTIF(lists!$H$2:$H$258, K573) &gt; 0,"indigenous",IF(COUNTIF(lists!$G$2:$G$258, K573) &gt; 0,"cross.bred","not found")),"NA")</f>
        <v>NA</v>
      </c>
      <c r="N573" t="str">
        <f>IF(J573="Goat",IF(COUNTIF(lists!$J$2:$J$258, K573) &gt; 0,"indigenous",IF(COUNTIF(lists!$I$2:$I$258, K573) &gt; 0,"cross.bred","not found")),"NA")</f>
        <v>indigenous</v>
      </c>
      <c r="O573" s="9" t="s">
        <v>109</v>
      </c>
      <c r="P573" s="9" t="s">
        <v>106</v>
      </c>
      <c r="Q573" s="9" t="s">
        <v>3809</v>
      </c>
      <c r="S573" s="9">
        <v>245.7</v>
      </c>
      <c r="T573" s="9">
        <v>66.3</v>
      </c>
      <c r="U573" s="9">
        <v>161.9</v>
      </c>
      <c r="V573" s="9">
        <v>967.2</v>
      </c>
      <c r="W573" s="9">
        <v>117.5</v>
      </c>
      <c r="X573" s="9">
        <v>397.7</v>
      </c>
      <c r="Y573" s="9" t="s">
        <v>106</v>
      </c>
      <c r="Z573" s="37"/>
      <c r="AA573" s="37"/>
      <c r="AB573" s="37"/>
      <c r="AE573">
        <v>0</v>
      </c>
    </row>
    <row r="574" spans="1:31" hidden="1">
      <c r="A574" s="9" t="s">
        <v>821</v>
      </c>
      <c r="B574" s="9" t="s">
        <v>823</v>
      </c>
      <c r="C574" s="9" t="s">
        <v>105</v>
      </c>
      <c r="D574" s="9">
        <v>0.73299999999999998</v>
      </c>
      <c r="E574" s="9">
        <v>55</v>
      </c>
      <c r="F574" s="9">
        <v>27.5</v>
      </c>
      <c r="G574" s="9">
        <v>-37</v>
      </c>
      <c r="H574" s="9">
        <v>0.33600000000000002</v>
      </c>
      <c r="I574" s="9">
        <v>25</v>
      </c>
      <c r="J574" s="9" t="s">
        <v>116</v>
      </c>
      <c r="K574" s="9" t="s">
        <v>634</v>
      </c>
      <c r="L574" t="str">
        <f>IF(OR(J574="Cattle",J574="Zebu Cattle"),IF(COUNTIF(lists!$M$2:$M$258, K574) &gt; 0,"bos.indicus",IF(COUNTIF(lists!$L$2:$L$258, K574) &gt; 0,"cross.bred","pure.bred.exotic")),"NA")</f>
        <v>NA</v>
      </c>
      <c r="M574" t="str">
        <f>IF(J574="Sheep",IF(COUNTIF(lists!$H$2:$H$258, K574) &gt; 0,"indigenous",IF(COUNTIF(lists!$G$2:$G$258, K574) &gt; 0,"cross.bred","not found")),"NA")</f>
        <v>NA</v>
      </c>
      <c r="N574" t="str">
        <f>IF(J574="Goat",IF(COUNTIF(lists!$J$2:$J$258, K574) &gt; 0,"indigenous",IF(COUNTIF(lists!$I$2:$I$258, K574) &gt; 0,"cross.bred","not found")),"NA")</f>
        <v>indigenous</v>
      </c>
      <c r="O574" s="9" t="s">
        <v>109</v>
      </c>
      <c r="P574" s="9" t="s">
        <v>106</v>
      </c>
      <c r="Q574" s="9" t="s">
        <v>3809</v>
      </c>
      <c r="S574" s="9">
        <v>209.4</v>
      </c>
      <c r="T574" s="9">
        <v>73.3</v>
      </c>
      <c r="U574" s="9">
        <v>174.2</v>
      </c>
      <c r="V574" s="9">
        <v>978.4</v>
      </c>
      <c r="W574" s="9">
        <v>219.4</v>
      </c>
      <c r="X574" s="9">
        <v>371</v>
      </c>
      <c r="Y574" s="9" t="s">
        <v>106</v>
      </c>
      <c r="Z574" s="37"/>
      <c r="AA574" s="37"/>
      <c r="AB574" s="37"/>
      <c r="AE574">
        <v>0</v>
      </c>
    </row>
    <row r="575" spans="1:31" hidden="1">
      <c r="A575" s="9" t="s">
        <v>821</v>
      </c>
      <c r="B575" s="9" t="s">
        <v>824</v>
      </c>
      <c r="C575" s="9" t="s">
        <v>105</v>
      </c>
      <c r="D575" s="9">
        <v>0.77100000000000002</v>
      </c>
      <c r="E575" s="9">
        <v>55</v>
      </c>
      <c r="F575" s="9">
        <v>28.9</v>
      </c>
      <c r="G575" s="9">
        <v>-44</v>
      </c>
      <c r="H575" s="9">
        <v>0.26600000000000001</v>
      </c>
      <c r="I575" s="9">
        <v>25</v>
      </c>
      <c r="J575" s="9" t="s">
        <v>116</v>
      </c>
      <c r="K575" s="9" t="s">
        <v>634</v>
      </c>
      <c r="L575" t="str">
        <f>IF(OR(J575="Cattle",J575="Zebu Cattle"),IF(COUNTIF(lists!$M$2:$M$258, K575) &gt; 0,"bos.indicus",IF(COUNTIF(lists!$L$2:$L$258, K575) &gt; 0,"cross.bred","pure.bred.exotic")),"NA")</f>
        <v>NA</v>
      </c>
      <c r="M575" t="str">
        <f>IF(J575="Sheep",IF(COUNTIF(lists!$H$2:$H$258, K575) &gt; 0,"indigenous",IF(COUNTIF(lists!$G$2:$G$258, K575) &gt; 0,"cross.bred","not found")),"NA")</f>
        <v>NA</v>
      </c>
      <c r="N575" t="str">
        <f>IF(J575="Goat",IF(COUNTIF(lists!$J$2:$J$258, K575) &gt; 0,"indigenous",IF(COUNTIF(lists!$I$2:$I$258, K575) &gt; 0,"cross.bred","not found")),"NA")</f>
        <v>indigenous</v>
      </c>
      <c r="O575" s="9" t="s">
        <v>109</v>
      </c>
      <c r="P575" s="9" t="s">
        <v>106</v>
      </c>
      <c r="Q575" s="9" t="s">
        <v>3809</v>
      </c>
      <c r="S575" s="9">
        <v>274.2</v>
      </c>
      <c r="T575" s="9">
        <v>70.3</v>
      </c>
      <c r="U575" s="9">
        <v>175</v>
      </c>
      <c r="V575" s="9">
        <v>978</v>
      </c>
      <c r="W575" s="9">
        <v>246.6</v>
      </c>
      <c r="X575" s="9">
        <v>358.7</v>
      </c>
      <c r="Y575" s="9" t="s">
        <v>106</v>
      </c>
      <c r="Z575" s="37"/>
      <c r="AA575" s="37"/>
      <c r="AB575" s="37"/>
      <c r="AE575">
        <v>0</v>
      </c>
    </row>
    <row r="576" spans="1:31" hidden="1">
      <c r="A576" s="9" t="s">
        <v>821</v>
      </c>
      <c r="B576" s="9" t="s">
        <v>825</v>
      </c>
      <c r="C576" s="9" t="s">
        <v>105</v>
      </c>
      <c r="D576" s="9">
        <v>0.91100000000000003</v>
      </c>
      <c r="E576" s="9">
        <v>55</v>
      </c>
      <c r="F576" s="9">
        <v>29.4</v>
      </c>
      <c r="G576" s="9">
        <v>-34</v>
      </c>
      <c r="H576" s="9">
        <v>0.41899999999999998</v>
      </c>
      <c r="I576" s="9">
        <v>25</v>
      </c>
      <c r="J576" s="9" t="s">
        <v>116</v>
      </c>
      <c r="K576" s="9" t="s">
        <v>634</v>
      </c>
      <c r="L576" t="str">
        <f>IF(OR(J576="Cattle",J576="Zebu Cattle"),IF(COUNTIF(lists!$M$2:$M$258, K576) &gt; 0,"bos.indicus",IF(COUNTIF(lists!$L$2:$L$258, K576) &gt; 0,"cross.bred","pure.bred.exotic")),"NA")</f>
        <v>NA</v>
      </c>
      <c r="M576" t="str">
        <f>IF(J576="Sheep",IF(COUNTIF(lists!$H$2:$H$258, K576) &gt; 0,"indigenous",IF(COUNTIF(lists!$G$2:$G$258, K576) &gt; 0,"cross.bred","not found")),"NA")</f>
        <v>NA</v>
      </c>
      <c r="N576" t="str">
        <f>IF(J576="Goat",IF(COUNTIF(lists!$J$2:$J$258, K576) &gt; 0,"indigenous",IF(COUNTIF(lists!$I$2:$I$258, K576) &gt; 0,"cross.bred","not found")),"NA")</f>
        <v>indigenous</v>
      </c>
      <c r="O576" s="9" t="s">
        <v>109</v>
      </c>
      <c r="P576" s="9" t="s">
        <v>106</v>
      </c>
      <c r="Q576" s="9" t="s">
        <v>3809</v>
      </c>
      <c r="S576" s="9">
        <v>230.3</v>
      </c>
      <c r="T576" s="9">
        <v>70.3</v>
      </c>
      <c r="U576" s="9">
        <v>166.9</v>
      </c>
      <c r="V576" s="9">
        <v>963.3</v>
      </c>
      <c r="W576" s="9">
        <v>127.6</v>
      </c>
      <c r="X576" s="9">
        <v>395.9</v>
      </c>
      <c r="Y576" s="9" t="s">
        <v>106</v>
      </c>
      <c r="Z576" s="37"/>
      <c r="AA576" s="37"/>
      <c r="AB576" s="37"/>
      <c r="AE576">
        <v>0</v>
      </c>
    </row>
    <row r="577" spans="1:31" hidden="1">
      <c r="A577" s="9" t="s">
        <v>821</v>
      </c>
      <c r="B577" s="9" t="s">
        <v>826</v>
      </c>
      <c r="C577" s="9" t="s">
        <v>105</v>
      </c>
      <c r="D577" s="9">
        <v>0.86299999999999999</v>
      </c>
      <c r="E577" s="9">
        <v>55</v>
      </c>
      <c r="F577" s="9">
        <v>27.6</v>
      </c>
      <c r="G577" s="9">
        <v>-20</v>
      </c>
      <c r="H577" s="9">
        <v>0.36599999999999999</v>
      </c>
      <c r="I577" s="9">
        <v>25</v>
      </c>
      <c r="J577" s="9" t="s">
        <v>116</v>
      </c>
      <c r="K577" s="9" t="s">
        <v>634</v>
      </c>
      <c r="L577" t="str">
        <f>IF(OR(J577="Cattle",J577="Zebu Cattle"),IF(COUNTIF(lists!$M$2:$M$258, K577) &gt; 0,"bos.indicus",IF(COUNTIF(lists!$L$2:$L$258, K577) &gt; 0,"cross.bred","pure.bred.exotic")),"NA")</f>
        <v>NA</v>
      </c>
      <c r="M577" t="str">
        <f>IF(J577="Sheep",IF(COUNTIF(lists!$H$2:$H$258, K577) &gt; 0,"indigenous",IF(COUNTIF(lists!$G$2:$G$258, K577) &gt; 0,"cross.bred","not found")),"NA")</f>
        <v>NA</v>
      </c>
      <c r="N577" t="str">
        <f>IF(J577="Goat",IF(COUNTIF(lists!$J$2:$J$258, K577) &gt; 0,"indigenous",IF(COUNTIF(lists!$I$2:$I$258, K577) &gt; 0,"cross.bred","not found")),"NA")</f>
        <v>indigenous</v>
      </c>
      <c r="O577" s="9" t="s">
        <v>109</v>
      </c>
      <c r="P577" s="9" t="s">
        <v>106</v>
      </c>
      <c r="Q577" s="9" t="s">
        <v>3809</v>
      </c>
      <c r="S577" s="9">
        <v>163.4</v>
      </c>
      <c r="T577" s="9">
        <v>68.2</v>
      </c>
      <c r="U577" s="9">
        <v>166.5</v>
      </c>
      <c r="V577" s="9">
        <v>968.8</v>
      </c>
      <c r="W577" s="9">
        <v>169.7</v>
      </c>
      <c r="X577" s="9">
        <v>379.79999999999899</v>
      </c>
      <c r="Y577" s="9" t="s">
        <v>106</v>
      </c>
      <c r="Z577" s="37"/>
      <c r="AA577" s="37"/>
      <c r="AB577" s="37"/>
      <c r="AE577">
        <v>0</v>
      </c>
    </row>
    <row r="578" spans="1:31" hidden="1">
      <c r="A578" s="9" t="s">
        <v>827</v>
      </c>
      <c r="B578" s="9" t="s">
        <v>828</v>
      </c>
      <c r="C578" s="9" t="s">
        <v>105</v>
      </c>
      <c r="D578" s="9">
        <v>0.13788999999999901</v>
      </c>
      <c r="E578" s="9">
        <v>0.19</v>
      </c>
      <c r="F578" s="9">
        <v>5.56</v>
      </c>
      <c r="G578" s="9">
        <v>-3.78</v>
      </c>
      <c r="H578" s="9" t="s">
        <v>106</v>
      </c>
      <c r="J578" s="9" t="s">
        <v>116</v>
      </c>
      <c r="K578" s="9" t="s">
        <v>117</v>
      </c>
      <c r="L578" t="str">
        <f>IF(OR(J578="Cattle",J578="Zebu Cattle"),IF(COUNTIF(lists!$M$2:$M$258, K578) &gt; 0,"bos.indicus",IF(COUNTIF(lists!$L$2:$L$258, K578) &gt; 0,"cross.bred","pure.bred.exotic")),"NA")</f>
        <v>NA</v>
      </c>
      <c r="M578" t="str">
        <f>IF(J578="Sheep",IF(COUNTIF(lists!$H$2:$H$258, K578) &gt; 0,"indigenous",IF(COUNTIF(lists!$G$2:$G$258, K578) &gt; 0,"cross.bred","not found")),"NA")</f>
        <v>NA</v>
      </c>
      <c r="N578" t="str">
        <f>IF(J578="Goat",IF(COUNTIF(lists!$J$2:$J$258, K578) &gt; 0,"indigenous",IF(COUNTIF(lists!$I$2:$I$258, K578) &gt; 0,"cross.bred","not found")),"NA")</f>
        <v>indigenous</v>
      </c>
      <c r="O578" s="9" t="s">
        <v>109</v>
      </c>
      <c r="P578" s="9" t="s">
        <v>106</v>
      </c>
      <c r="Q578" s="9" t="s">
        <v>106</v>
      </c>
      <c r="S578" s="9">
        <v>209.8</v>
      </c>
      <c r="T578" s="9">
        <v>133.80000000000001</v>
      </c>
      <c r="U578" s="9">
        <v>56.8</v>
      </c>
      <c r="V578" s="9">
        <v>949.2</v>
      </c>
      <c r="W578" s="9">
        <v>23.2</v>
      </c>
      <c r="X578" s="9">
        <v>320</v>
      </c>
      <c r="Y578" s="9" t="s">
        <v>106</v>
      </c>
      <c r="Z578" s="37"/>
      <c r="AA578" s="37"/>
      <c r="AB578" s="37"/>
      <c r="AE578">
        <v>0</v>
      </c>
    </row>
    <row r="579" spans="1:31" hidden="1">
      <c r="A579" s="9" t="s">
        <v>827</v>
      </c>
      <c r="B579" s="9" t="s">
        <v>829</v>
      </c>
      <c r="C579" s="9" t="s">
        <v>105</v>
      </c>
      <c r="D579" s="9">
        <v>0.17988999999999999</v>
      </c>
      <c r="E579" s="9">
        <v>0.19</v>
      </c>
      <c r="F579" s="9">
        <v>6.97</v>
      </c>
      <c r="G579" s="9">
        <v>27.78</v>
      </c>
      <c r="H579" s="9" t="s">
        <v>106</v>
      </c>
      <c r="J579" s="9" t="s">
        <v>116</v>
      </c>
      <c r="K579" s="9" t="s">
        <v>117</v>
      </c>
      <c r="L579" t="str">
        <f>IF(OR(J579="Cattle",J579="Zebu Cattle"),IF(COUNTIF(lists!$M$2:$M$258, K579) &gt; 0,"bos.indicus",IF(COUNTIF(lists!$L$2:$L$258, K579) &gt; 0,"cross.bred","pure.bred.exotic")),"NA")</f>
        <v>NA</v>
      </c>
      <c r="M579" t="str">
        <f>IF(J579="Sheep",IF(COUNTIF(lists!$H$2:$H$258, K579) &gt; 0,"indigenous",IF(COUNTIF(lists!$G$2:$G$258, K579) &gt; 0,"cross.bred","not found")),"NA")</f>
        <v>NA</v>
      </c>
      <c r="N579" t="str">
        <f>IF(J579="Goat",IF(COUNTIF(lists!$J$2:$J$258, K579) &gt; 0,"indigenous",IF(COUNTIF(lists!$I$2:$I$258, K579) &gt; 0,"cross.bred","not found")),"NA")</f>
        <v>indigenous</v>
      </c>
      <c r="O579" s="9" t="s">
        <v>109</v>
      </c>
      <c r="P579" s="9" t="s">
        <v>106</v>
      </c>
      <c r="Q579" s="9" t="s">
        <v>106</v>
      </c>
      <c r="S579" s="9">
        <v>427</v>
      </c>
      <c r="T579" s="9">
        <v>132.4</v>
      </c>
      <c r="U579" s="9">
        <v>77.5</v>
      </c>
      <c r="V579" s="9">
        <v>938.1</v>
      </c>
      <c r="W579" s="9">
        <v>28.1</v>
      </c>
      <c r="X579" s="9">
        <v>530.70000000000005</v>
      </c>
      <c r="Y579" s="9" t="s">
        <v>106</v>
      </c>
      <c r="Z579" s="37"/>
      <c r="AA579" s="37"/>
      <c r="AB579" s="37"/>
      <c r="AE579">
        <v>0</v>
      </c>
    </row>
    <row r="580" spans="1:31" hidden="1">
      <c r="A580" s="9" t="s">
        <v>827</v>
      </c>
      <c r="B580" s="9" t="s">
        <v>830</v>
      </c>
      <c r="C580" s="9" t="s">
        <v>105</v>
      </c>
      <c r="D580" s="9">
        <v>0.13761000000000001</v>
      </c>
      <c r="E580" s="9">
        <v>0.19</v>
      </c>
      <c r="F580" s="9">
        <v>6.02</v>
      </c>
      <c r="G580" s="9">
        <v>40.56</v>
      </c>
      <c r="H580" s="9" t="s">
        <v>106</v>
      </c>
      <c r="J580" s="9" t="s">
        <v>116</v>
      </c>
      <c r="K580" s="9" t="s">
        <v>117</v>
      </c>
      <c r="L580" t="str">
        <f>IF(OR(J580="Cattle",J580="Zebu Cattle"),IF(COUNTIF(lists!$M$2:$M$258, K580) &gt; 0,"bos.indicus",IF(COUNTIF(lists!$L$2:$L$258, K580) &gt; 0,"cross.bred","pure.bred.exotic")),"NA")</f>
        <v>NA</v>
      </c>
      <c r="M580" t="str">
        <f>IF(J580="Sheep",IF(COUNTIF(lists!$H$2:$H$258, K580) &gt; 0,"indigenous",IF(COUNTIF(lists!$G$2:$G$258, K580) &gt; 0,"cross.bred","not found")),"NA")</f>
        <v>NA</v>
      </c>
      <c r="N580" t="str">
        <f>IF(J580="Goat",IF(COUNTIF(lists!$J$2:$J$258, K580) &gt; 0,"indigenous",IF(COUNTIF(lists!$I$2:$I$258, K580) &gt; 0,"cross.bred","not found")),"NA")</f>
        <v>indigenous</v>
      </c>
      <c r="O580" s="9" t="s">
        <v>109</v>
      </c>
      <c r="P580" s="9" t="s">
        <v>106</v>
      </c>
      <c r="Q580" s="9" t="s">
        <v>106</v>
      </c>
      <c r="S580" s="9">
        <v>287</v>
      </c>
      <c r="T580" s="9">
        <v>131.1</v>
      </c>
      <c r="U580" s="9">
        <v>138.19999999999999</v>
      </c>
      <c r="V580" s="9">
        <v>926.9</v>
      </c>
      <c r="W580" s="9">
        <v>38</v>
      </c>
      <c r="X580" s="9">
        <v>572.79999999999995</v>
      </c>
      <c r="Y580" s="9" t="s">
        <v>106</v>
      </c>
      <c r="Z580" s="37"/>
      <c r="AA580" s="37"/>
      <c r="AB580" s="37"/>
      <c r="AE580">
        <v>0</v>
      </c>
    </row>
    <row r="581" spans="1:31" hidden="1">
      <c r="A581" s="9" t="s">
        <v>827</v>
      </c>
      <c r="B581" s="9" t="s">
        <v>831</v>
      </c>
      <c r="C581" s="9" t="s">
        <v>105</v>
      </c>
      <c r="D581" s="9">
        <v>0.23513999999999999</v>
      </c>
      <c r="E581" s="9">
        <v>0.19</v>
      </c>
      <c r="F581" s="9">
        <v>5.98</v>
      </c>
      <c r="G581" s="9">
        <v>45</v>
      </c>
      <c r="H581" s="9" t="s">
        <v>106</v>
      </c>
      <c r="J581" s="9" t="s">
        <v>116</v>
      </c>
      <c r="K581" s="9" t="s">
        <v>117</v>
      </c>
      <c r="L581" t="str">
        <f>IF(OR(J581="Cattle",J581="Zebu Cattle"),IF(COUNTIF(lists!$M$2:$M$258, K581) &gt; 0,"bos.indicus",IF(COUNTIF(lists!$L$2:$L$258, K581) &gt; 0,"cross.bred","pure.bred.exotic")),"NA")</f>
        <v>NA</v>
      </c>
      <c r="M581" t="str">
        <f>IF(J581="Sheep",IF(COUNTIF(lists!$H$2:$H$258, K581) &gt; 0,"indigenous",IF(COUNTIF(lists!$G$2:$G$258, K581) &gt; 0,"cross.bred","not found")),"NA")</f>
        <v>NA</v>
      </c>
      <c r="N581" t="str">
        <f>IF(J581="Goat",IF(COUNTIF(lists!$J$2:$J$258, K581) &gt; 0,"indigenous",IF(COUNTIF(lists!$I$2:$I$258, K581) &gt; 0,"cross.bred","not found")),"NA")</f>
        <v>indigenous</v>
      </c>
      <c r="O581" s="9" t="s">
        <v>109</v>
      </c>
      <c r="P581" s="9" t="s">
        <v>106</v>
      </c>
      <c r="Q581" s="9" t="s">
        <v>106</v>
      </c>
      <c r="S581" s="9">
        <v>367.2</v>
      </c>
      <c r="T581" s="9">
        <v>129.69999999999999</v>
      </c>
      <c r="U581" s="9">
        <v>178.79999999999899</v>
      </c>
      <c r="V581" s="9">
        <v>915.9</v>
      </c>
      <c r="W581" s="9">
        <v>49.9</v>
      </c>
      <c r="X581" s="9">
        <v>613.5</v>
      </c>
      <c r="Y581" s="9" t="s">
        <v>106</v>
      </c>
      <c r="Z581" s="37"/>
      <c r="AA581" s="37"/>
      <c r="AB581" s="37"/>
      <c r="AE581">
        <v>0</v>
      </c>
    </row>
    <row r="582" spans="1:31" hidden="1">
      <c r="A582" s="9" t="s">
        <v>834</v>
      </c>
      <c r="B582" s="9" t="s">
        <v>835</v>
      </c>
      <c r="C582" s="9" t="s">
        <v>105</v>
      </c>
      <c r="D582" s="9">
        <v>0.4002</v>
      </c>
      <c r="E582" s="9">
        <v>8</v>
      </c>
      <c r="F582" s="9">
        <v>8.1</v>
      </c>
      <c r="G582" s="9">
        <v>80</v>
      </c>
      <c r="H582" s="9" t="s">
        <v>106</v>
      </c>
      <c r="I582" s="9">
        <v>8</v>
      </c>
      <c r="J582" s="9" t="s">
        <v>116</v>
      </c>
      <c r="K582" s="9" t="s">
        <v>634</v>
      </c>
      <c r="L582" t="str">
        <f>IF(OR(J582="Cattle",J582="Zebu Cattle"),IF(COUNTIF(lists!$M$2:$M$258, K582) &gt; 0,"bos.indicus",IF(COUNTIF(lists!$L$2:$L$258, K582) &gt; 0,"cross.bred","pure.bred.exotic")),"NA")</f>
        <v>NA</v>
      </c>
      <c r="M582" t="str">
        <f>IF(J582="Sheep",IF(COUNTIF(lists!$H$2:$H$258, K582) &gt; 0,"indigenous",IF(COUNTIF(lists!$G$2:$G$258, K582) &gt; 0,"cross.bred","not found")),"NA")</f>
        <v>NA</v>
      </c>
      <c r="N582" t="str">
        <f>IF(J582="Goat",IF(COUNTIF(lists!$J$2:$J$258, K582) &gt; 0,"indigenous",IF(COUNTIF(lists!$I$2:$I$258, K582) &gt; 0,"cross.bred","not found")),"NA")</f>
        <v>indigenous</v>
      </c>
      <c r="O582" s="9" t="s">
        <v>109</v>
      </c>
      <c r="P582" s="9" t="s">
        <v>106</v>
      </c>
      <c r="Q582" s="9" t="s">
        <v>3804</v>
      </c>
      <c r="S582" s="9" t="s">
        <v>106</v>
      </c>
      <c r="T582" s="9" t="s">
        <v>106</v>
      </c>
      <c r="U582" s="9" t="s">
        <v>106</v>
      </c>
      <c r="V582" s="9" t="s">
        <v>106</v>
      </c>
      <c r="W582" s="9" t="s">
        <v>106</v>
      </c>
      <c r="X582" s="9" t="s">
        <v>106</v>
      </c>
      <c r="Y582" s="9" t="s">
        <v>106</v>
      </c>
      <c r="Z582" s="37"/>
      <c r="AA582" s="37"/>
      <c r="AB582" s="37"/>
      <c r="AE582">
        <v>0</v>
      </c>
    </row>
    <row r="583" spans="1:31" hidden="1">
      <c r="A583" s="9" t="s">
        <v>834</v>
      </c>
      <c r="B583" s="9" t="s">
        <v>836</v>
      </c>
      <c r="C583" s="9" t="s">
        <v>105</v>
      </c>
      <c r="D583" s="9">
        <v>0.48559999999999998</v>
      </c>
      <c r="E583" s="9">
        <v>6.1</v>
      </c>
      <c r="F583" s="9">
        <v>8.8000000000000007</v>
      </c>
      <c r="G583" s="9">
        <v>110</v>
      </c>
      <c r="H583" s="9" t="s">
        <v>106</v>
      </c>
      <c r="I583" s="9">
        <v>8</v>
      </c>
      <c r="J583" s="9" t="s">
        <v>116</v>
      </c>
      <c r="K583" s="9" t="s">
        <v>634</v>
      </c>
      <c r="L583" t="str">
        <f>IF(OR(J583="Cattle",J583="Zebu Cattle"),IF(COUNTIF(lists!$M$2:$M$258, K583) &gt; 0,"bos.indicus",IF(COUNTIF(lists!$L$2:$L$258, K583) &gt; 0,"cross.bred","pure.bred.exotic")),"NA")</f>
        <v>NA</v>
      </c>
      <c r="M583" t="str">
        <f>IF(J583="Sheep",IF(COUNTIF(lists!$H$2:$H$258, K583) &gt; 0,"indigenous",IF(COUNTIF(lists!$G$2:$G$258, K583) &gt; 0,"cross.bred","not found")),"NA")</f>
        <v>NA</v>
      </c>
      <c r="N583" t="str">
        <f>IF(J583="Goat",IF(COUNTIF(lists!$J$2:$J$258, K583) &gt; 0,"indigenous",IF(COUNTIF(lists!$I$2:$I$258, K583) &gt; 0,"cross.bred","not found")),"NA")</f>
        <v>indigenous</v>
      </c>
      <c r="O583" s="9" t="s">
        <v>109</v>
      </c>
      <c r="P583" s="9" t="s">
        <v>106</v>
      </c>
      <c r="Q583" s="9" t="s">
        <v>3804</v>
      </c>
      <c r="S583" s="9" t="s">
        <v>106</v>
      </c>
      <c r="T583" s="9" t="s">
        <v>106</v>
      </c>
      <c r="U583" s="9" t="s">
        <v>106</v>
      </c>
      <c r="V583" s="9" t="s">
        <v>106</v>
      </c>
      <c r="W583" s="9" t="s">
        <v>106</v>
      </c>
      <c r="X583" s="9" t="s">
        <v>106</v>
      </c>
      <c r="Y583" s="9" t="s">
        <v>106</v>
      </c>
      <c r="Z583" s="37"/>
      <c r="AA583" s="37"/>
      <c r="AB583" s="37"/>
      <c r="AE583">
        <v>0</v>
      </c>
    </row>
    <row r="584" spans="1:31" hidden="1">
      <c r="A584" s="9" t="s">
        <v>844</v>
      </c>
      <c r="B584" s="9" t="s">
        <v>845</v>
      </c>
      <c r="C584" s="9" t="s">
        <v>105</v>
      </c>
      <c r="D584" s="9">
        <v>0.24</v>
      </c>
      <c r="E584" s="9">
        <v>20</v>
      </c>
      <c r="F584" s="9" t="s">
        <v>106</v>
      </c>
      <c r="G584" s="9" t="s">
        <v>106</v>
      </c>
      <c r="H584" s="9">
        <v>0.48</v>
      </c>
      <c r="I584" s="9">
        <v>28</v>
      </c>
      <c r="J584" s="9" t="s">
        <v>116</v>
      </c>
      <c r="K584" s="9" t="s">
        <v>634</v>
      </c>
      <c r="L584" t="str">
        <f>IF(OR(J584="Cattle",J584="Zebu Cattle"),IF(COUNTIF(lists!$M$2:$M$258, K584) &gt; 0,"bos.indicus",IF(COUNTIF(lists!$L$2:$L$258, K584) &gt; 0,"cross.bred","pure.bred.exotic")),"NA")</f>
        <v>NA</v>
      </c>
      <c r="M584" t="str">
        <f>IF(J584="Sheep",IF(COUNTIF(lists!$H$2:$H$258, K584) &gt; 0,"indigenous",IF(COUNTIF(lists!$G$2:$G$258, K584) &gt; 0,"cross.bred","not found")),"NA")</f>
        <v>NA</v>
      </c>
      <c r="N584" t="str">
        <f>IF(J584="Goat",IF(COUNTIF(lists!$J$2:$J$258, K584) &gt; 0,"indigenous",IF(COUNTIF(lists!$I$2:$I$258, K584) &gt; 0,"cross.bred","not found")),"NA")</f>
        <v>indigenous</v>
      </c>
      <c r="O584" s="9" t="s">
        <v>109</v>
      </c>
      <c r="P584" s="9" t="s">
        <v>106</v>
      </c>
      <c r="Q584" s="9" t="s">
        <v>3809</v>
      </c>
      <c r="S584" s="9">
        <v>200</v>
      </c>
      <c r="T584" s="9">
        <v>138.5</v>
      </c>
      <c r="U584" s="9">
        <v>171.9</v>
      </c>
      <c r="V584" s="9">
        <v>938.7</v>
      </c>
      <c r="W584" s="9">
        <v>140.80000000000001</v>
      </c>
      <c r="X584" s="9">
        <v>400.1</v>
      </c>
      <c r="Y584" s="9">
        <v>69.5</v>
      </c>
      <c r="Z584" s="37"/>
      <c r="AA584" s="37"/>
      <c r="AB584" s="37"/>
      <c r="AE584">
        <v>0</v>
      </c>
    </row>
    <row r="585" spans="1:31" hidden="1">
      <c r="A585" s="9" t="s">
        <v>844</v>
      </c>
      <c r="B585" s="9" t="s">
        <v>846</v>
      </c>
      <c r="C585" s="9" t="s">
        <v>105</v>
      </c>
      <c r="D585" s="9">
        <v>0.47</v>
      </c>
      <c r="E585" s="9">
        <v>20</v>
      </c>
      <c r="F585" s="9" t="s">
        <v>106</v>
      </c>
      <c r="G585" s="9" t="s">
        <v>106</v>
      </c>
      <c r="H585" s="9">
        <v>0.62</v>
      </c>
      <c r="I585" s="9">
        <v>28</v>
      </c>
      <c r="J585" s="9" t="s">
        <v>116</v>
      </c>
      <c r="K585" s="9" t="s">
        <v>634</v>
      </c>
      <c r="L585" t="str">
        <f>IF(OR(J585="Cattle",J585="Zebu Cattle"),IF(COUNTIF(lists!$M$2:$M$258, K585) &gt; 0,"bos.indicus",IF(COUNTIF(lists!$L$2:$L$258, K585) &gt; 0,"cross.bred","pure.bred.exotic")),"NA")</f>
        <v>NA</v>
      </c>
      <c r="M585" t="str">
        <f>IF(J585="Sheep",IF(COUNTIF(lists!$H$2:$H$258, K585) &gt; 0,"indigenous",IF(COUNTIF(lists!$G$2:$G$258, K585) &gt; 0,"cross.bred","not found")),"NA")</f>
        <v>NA</v>
      </c>
      <c r="N585" t="str">
        <f>IF(J585="Goat",IF(COUNTIF(lists!$J$2:$J$258, K585) &gt; 0,"indigenous",IF(COUNTIF(lists!$I$2:$I$258, K585) &gt; 0,"cross.bred","not found")),"NA")</f>
        <v>indigenous</v>
      </c>
      <c r="O585" s="9" t="s">
        <v>109</v>
      </c>
      <c r="P585" s="9" t="s">
        <v>106</v>
      </c>
      <c r="Q585" s="9" t="s">
        <v>3809</v>
      </c>
      <c r="S585" s="9">
        <v>200</v>
      </c>
      <c r="T585" s="9">
        <v>138.5</v>
      </c>
      <c r="U585" s="9">
        <v>171.9</v>
      </c>
      <c r="V585" s="9">
        <v>938.7</v>
      </c>
      <c r="W585" s="9">
        <v>140.80000000000001</v>
      </c>
      <c r="X585" s="9">
        <v>400.1</v>
      </c>
      <c r="Y585" s="9">
        <v>66.599999999999994</v>
      </c>
      <c r="Z585" s="37"/>
      <c r="AA585" s="37"/>
      <c r="AB585" s="37"/>
      <c r="AE585">
        <v>0</v>
      </c>
    </row>
    <row r="586" spans="1:31" hidden="1">
      <c r="A586" s="9" t="s">
        <v>844</v>
      </c>
      <c r="B586" s="9" t="s">
        <v>847</v>
      </c>
      <c r="C586" s="9" t="s">
        <v>105</v>
      </c>
      <c r="D586" s="9">
        <v>0.21</v>
      </c>
      <c r="E586" s="9">
        <v>20</v>
      </c>
      <c r="F586" s="9" t="s">
        <v>106</v>
      </c>
      <c r="G586" s="9" t="s">
        <v>106</v>
      </c>
      <c r="H586" s="9">
        <v>0.27</v>
      </c>
      <c r="I586" s="9">
        <v>28</v>
      </c>
      <c r="J586" s="9" t="s">
        <v>116</v>
      </c>
      <c r="K586" s="9" t="s">
        <v>634</v>
      </c>
      <c r="L586" t="str">
        <f>IF(OR(J586="Cattle",J586="Zebu Cattle"),IF(COUNTIF(lists!$M$2:$M$258, K586) &gt; 0,"bos.indicus",IF(COUNTIF(lists!$L$2:$L$258, K586) &gt; 0,"cross.bred","pure.bred.exotic")),"NA")</f>
        <v>NA</v>
      </c>
      <c r="M586" t="str">
        <f>IF(J586="Sheep",IF(COUNTIF(lists!$H$2:$H$258, K586) &gt; 0,"indigenous",IF(COUNTIF(lists!$G$2:$G$258, K586) &gt; 0,"cross.bred","not found")),"NA")</f>
        <v>NA</v>
      </c>
      <c r="N586" t="str">
        <f>IF(J586="Goat",IF(COUNTIF(lists!$J$2:$J$258, K586) &gt; 0,"indigenous",IF(COUNTIF(lists!$I$2:$I$258, K586) &gt; 0,"cross.bred","not found")),"NA")</f>
        <v>indigenous</v>
      </c>
      <c r="O586" s="9" t="s">
        <v>109</v>
      </c>
      <c r="P586" s="9" t="s">
        <v>106</v>
      </c>
      <c r="Q586" s="9" t="s">
        <v>3809</v>
      </c>
      <c r="S586" s="9">
        <v>381</v>
      </c>
      <c r="T586" s="9">
        <v>105.5</v>
      </c>
      <c r="U586" s="9">
        <v>95.4</v>
      </c>
      <c r="V586" s="9">
        <v>949.7</v>
      </c>
      <c r="W586" s="9">
        <v>104.3</v>
      </c>
      <c r="X586" s="9">
        <v>684.2</v>
      </c>
      <c r="Y586" s="9">
        <v>62.1</v>
      </c>
      <c r="Z586" s="37"/>
      <c r="AA586" s="37"/>
      <c r="AB586" s="37"/>
      <c r="AE586">
        <v>0</v>
      </c>
    </row>
    <row r="587" spans="1:31" hidden="1">
      <c r="A587" s="9" t="s">
        <v>844</v>
      </c>
      <c r="B587" s="9" t="s">
        <v>848</v>
      </c>
      <c r="C587" s="9" t="s">
        <v>105</v>
      </c>
      <c r="D587" s="9">
        <v>0.3</v>
      </c>
      <c r="E587" s="9">
        <v>20</v>
      </c>
      <c r="F587" s="9" t="s">
        <v>106</v>
      </c>
      <c r="G587" s="9" t="s">
        <v>106</v>
      </c>
      <c r="H587" s="9">
        <v>0.36</v>
      </c>
      <c r="I587" s="9">
        <v>28</v>
      </c>
      <c r="J587" s="9" t="s">
        <v>116</v>
      </c>
      <c r="K587" s="9" t="s">
        <v>634</v>
      </c>
      <c r="L587" t="str">
        <f>IF(OR(J587="Cattle",J587="Zebu Cattle"),IF(COUNTIF(lists!$M$2:$M$258, K587) &gt; 0,"bos.indicus",IF(COUNTIF(lists!$L$2:$L$258, K587) &gt; 0,"cross.bred","pure.bred.exotic")),"NA")</f>
        <v>NA</v>
      </c>
      <c r="M587" t="str">
        <f>IF(J587="Sheep",IF(COUNTIF(lists!$H$2:$H$258, K587) &gt; 0,"indigenous",IF(COUNTIF(lists!$G$2:$G$258, K587) &gt; 0,"cross.bred","not found")),"NA")</f>
        <v>NA</v>
      </c>
      <c r="N587" t="str">
        <f>IF(J587="Goat",IF(COUNTIF(lists!$J$2:$J$258, K587) &gt; 0,"indigenous",IF(COUNTIF(lists!$I$2:$I$258, K587) &gt; 0,"cross.bred","not found")),"NA")</f>
        <v>indigenous</v>
      </c>
      <c r="O587" s="9" t="s">
        <v>109</v>
      </c>
      <c r="P587" s="9" t="s">
        <v>106</v>
      </c>
      <c r="Q587" s="9" t="s">
        <v>3809</v>
      </c>
      <c r="S587" s="9">
        <v>381</v>
      </c>
      <c r="T587" s="9">
        <v>105.5</v>
      </c>
      <c r="U587" s="9">
        <v>95.4</v>
      </c>
      <c r="V587" s="9">
        <v>949.7</v>
      </c>
      <c r="W587" s="9">
        <v>104.3</v>
      </c>
      <c r="X587" s="9">
        <v>684.2</v>
      </c>
      <c r="Y587" s="9">
        <v>61.9</v>
      </c>
      <c r="Z587" s="37"/>
      <c r="AA587" s="37"/>
      <c r="AB587" s="37"/>
      <c r="AE587">
        <v>0</v>
      </c>
    </row>
    <row r="588" spans="1:31" hidden="1">
      <c r="A588" s="9" t="s">
        <v>844</v>
      </c>
      <c r="B588" s="9" t="s">
        <v>849</v>
      </c>
      <c r="C588" s="9" t="s">
        <v>105</v>
      </c>
      <c r="D588" s="9">
        <v>0.23</v>
      </c>
      <c r="E588" s="9">
        <v>20</v>
      </c>
      <c r="F588" s="9" t="s">
        <v>106</v>
      </c>
      <c r="G588" s="9" t="s">
        <v>106</v>
      </c>
      <c r="H588" s="9">
        <v>0.6</v>
      </c>
      <c r="I588" s="9">
        <v>28</v>
      </c>
      <c r="J588" s="9" t="s">
        <v>116</v>
      </c>
      <c r="K588" s="9" t="s">
        <v>634</v>
      </c>
      <c r="L588" t="str">
        <f>IF(OR(J588="Cattle",J588="Zebu Cattle"),IF(COUNTIF(lists!$M$2:$M$258, K588) &gt; 0,"bos.indicus",IF(COUNTIF(lists!$L$2:$L$258, K588) &gt; 0,"cross.bred","pure.bred.exotic")),"NA")</f>
        <v>NA</v>
      </c>
      <c r="M588" t="str">
        <f>IF(J588="Sheep",IF(COUNTIF(lists!$H$2:$H$258, K588) &gt; 0,"indigenous",IF(COUNTIF(lists!$G$2:$G$258, K588) &gt; 0,"cross.bred","not found")),"NA")</f>
        <v>NA</v>
      </c>
      <c r="N588" t="str">
        <f>IF(J588="Goat",IF(COUNTIF(lists!$J$2:$J$258, K588) &gt; 0,"indigenous",IF(COUNTIF(lists!$I$2:$I$258, K588) &gt; 0,"cross.bred","not found")),"NA")</f>
        <v>indigenous</v>
      </c>
      <c r="O588" s="9" t="s">
        <v>109</v>
      </c>
      <c r="P588" s="9" t="s">
        <v>106</v>
      </c>
      <c r="Q588" s="9" t="s">
        <v>3809</v>
      </c>
      <c r="S588" s="9">
        <v>366.5</v>
      </c>
      <c r="T588" s="9">
        <v>119.7</v>
      </c>
      <c r="U588" s="9">
        <v>103.8</v>
      </c>
      <c r="V588" s="9">
        <v>959.4</v>
      </c>
      <c r="W588" s="9">
        <v>124.5</v>
      </c>
      <c r="X588" s="9">
        <v>547.4</v>
      </c>
      <c r="Y588" s="9">
        <v>65.900000000000006</v>
      </c>
      <c r="Z588" s="37"/>
      <c r="AA588" s="37"/>
      <c r="AB588" s="37"/>
      <c r="AE588">
        <v>0</v>
      </c>
    </row>
    <row r="589" spans="1:31" hidden="1">
      <c r="A589" s="9" t="s">
        <v>844</v>
      </c>
      <c r="B589" s="9" t="s">
        <v>850</v>
      </c>
      <c r="C589" s="9" t="s">
        <v>105</v>
      </c>
      <c r="D589" s="9">
        <v>0.42</v>
      </c>
      <c r="E589" s="9">
        <v>20</v>
      </c>
      <c r="F589" s="9" t="s">
        <v>106</v>
      </c>
      <c r="G589" s="9" t="s">
        <v>106</v>
      </c>
      <c r="H589" s="9">
        <v>0.45</v>
      </c>
      <c r="I589" s="9">
        <v>28</v>
      </c>
      <c r="J589" s="9" t="s">
        <v>116</v>
      </c>
      <c r="K589" s="9" t="s">
        <v>634</v>
      </c>
      <c r="L589" t="str">
        <f>IF(OR(J589="Cattle",J589="Zebu Cattle"),IF(COUNTIF(lists!$M$2:$M$258, K589) &gt; 0,"bos.indicus",IF(COUNTIF(lists!$L$2:$L$258, K589) &gt; 0,"cross.bred","pure.bred.exotic")),"NA")</f>
        <v>NA</v>
      </c>
      <c r="M589" t="str">
        <f>IF(J589="Sheep",IF(COUNTIF(lists!$H$2:$H$258, K589) &gt; 0,"indigenous",IF(COUNTIF(lists!$G$2:$G$258, K589) &gt; 0,"cross.bred","not found")),"NA")</f>
        <v>NA</v>
      </c>
      <c r="N589" t="str">
        <f>IF(J589="Goat",IF(COUNTIF(lists!$J$2:$J$258, K589) &gt; 0,"indigenous",IF(COUNTIF(lists!$I$2:$I$258, K589) &gt; 0,"cross.bred","not found")),"NA")</f>
        <v>indigenous</v>
      </c>
      <c r="O589" s="9" t="s">
        <v>109</v>
      </c>
      <c r="P589" s="9" t="s">
        <v>106</v>
      </c>
      <c r="Q589" s="9" t="s">
        <v>3809</v>
      </c>
      <c r="S589" s="9">
        <v>366.5</v>
      </c>
      <c r="T589" s="9">
        <v>119.7</v>
      </c>
      <c r="U589" s="9">
        <v>103.8</v>
      </c>
      <c r="V589" s="9">
        <v>959.4</v>
      </c>
      <c r="W589" s="9">
        <v>124.5</v>
      </c>
      <c r="X589" s="9">
        <v>547.4</v>
      </c>
      <c r="Y589" s="9">
        <v>63.7</v>
      </c>
      <c r="Z589" s="37"/>
      <c r="AA589" s="37"/>
      <c r="AB589" s="37"/>
      <c r="AE589">
        <v>0</v>
      </c>
    </row>
    <row r="590" spans="1:31" hidden="1">
      <c r="A590" s="9" t="s">
        <v>844</v>
      </c>
      <c r="B590" s="9" t="s">
        <v>851</v>
      </c>
      <c r="C590" s="9" t="s">
        <v>105</v>
      </c>
      <c r="D590" s="9">
        <v>0.15</v>
      </c>
      <c r="E590" s="9">
        <v>20</v>
      </c>
      <c r="F590" s="9" t="s">
        <v>106</v>
      </c>
      <c r="G590" s="9" t="s">
        <v>106</v>
      </c>
      <c r="H590" s="9">
        <v>0.25</v>
      </c>
      <c r="I590" s="9">
        <v>28</v>
      </c>
      <c r="J590" s="9" t="s">
        <v>116</v>
      </c>
      <c r="K590" s="9" t="s">
        <v>634</v>
      </c>
      <c r="L590" t="str">
        <f>IF(OR(J590="Cattle",J590="Zebu Cattle"),IF(COUNTIF(lists!$M$2:$M$258, K590) &gt; 0,"bos.indicus",IF(COUNTIF(lists!$L$2:$L$258, K590) &gt; 0,"cross.bred","pure.bred.exotic")),"NA")</f>
        <v>NA</v>
      </c>
      <c r="M590" t="str">
        <f>IF(J590="Sheep",IF(COUNTIF(lists!$H$2:$H$258, K590) &gt; 0,"indigenous",IF(COUNTIF(lists!$G$2:$G$258, K590) &gt; 0,"cross.bred","not found")),"NA")</f>
        <v>NA</v>
      </c>
      <c r="N590" t="str">
        <f>IF(J590="Goat",IF(COUNTIF(lists!$J$2:$J$258, K590) &gt; 0,"indigenous",IF(COUNTIF(lists!$I$2:$I$258, K590) &gt; 0,"cross.bred","not found")),"NA")</f>
        <v>indigenous</v>
      </c>
      <c r="O590" s="9" t="s">
        <v>109</v>
      </c>
      <c r="P590" s="9" t="s">
        <v>106</v>
      </c>
      <c r="Q590" s="9" t="s">
        <v>3809</v>
      </c>
      <c r="S590" s="9" t="s">
        <v>106</v>
      </c>
      <c r="T590" s="9" t="s">
        <v>106</v>
      </c>
      <c r="U590" s="9" t="s">
        <v>106</v>
      </c>
      <c r="V590" s="9" t="s">
        <v>106</v>
      </c>
      <c r="W590" s="9" t="s">
        <v>106</v>
      </c>
      <c r="X590" s="9" t="s">
        <v>106</v>
      </c>
      <c r="Y590" s="9">
        <v>60.1</v>
      </c>
      <c r="Z590" s="37"/>
      <c r="AA590" s="37"/>
      <c r="AB590" s="37"/>
      <c r="AE590">
        <v>0</v>
      </c>
    </row>
    <row r="591" spans="1:31" hidden="1">
      <c r="A591" s="9" t="s">
        <v>852</v>
      </c>
      <c r="B591" s="9" t="s">
        <v>119</v>
      </c>
      <c r="C591" s="9" t="s">
        <v>105</v>
      </c>
      <c r="D591" s="9">
        <v>0.48199999999999998</v>
      </c>
      <c r="E591" s="9">
        <v>13.6</v>
      </c>
      <c r="F591" s="9">
        <v>6.62</v>
      </c>
      <c r="G591" s="9">
        <v>33.799999999999997</v>
      </c>
      <c r="H591" s="9" t="s">
        <v>106</v>
      </c>
      <c r="I591" s="9">
        <v>40</v>
      </c>
      <c r="J591" s="9" t="s">
        <v>116</v>
      </c>
      <c r="K591" s="9" t="s">
        <v>117</v>
      </c>
      <c r="L591" t="str">
        <f>IF(OR(J591="Cattle",J591="Zebu Cattle"),IF(COUNTIF(lists!$M$2:$M$258, K591) &gt; 0,"bos.indicus",IF(COUNTIF(lists!$L$2:$L$258, K591) &gt; 0,"cross.bred","pure.bred.exotic")),"NA")</f>
        <v>NA</v>
      </c>
      <c r="M591" t="str">
        <f>IF(J591="Sheep",IF(COUNTIF(lists!$H$2:$H$258, K591) &gt; 0,"indigenous",IF(COUNTIF(lists!$G$2:$G$258, K591) &gt; 0,"cross.bred","not found")),"NA")</f>
        <v>NA</v>
      </c>
      <c r="N591" t="str">
        <f>IF(J591="Goat",IF(COUNTIF(lists!$J$2:$J$258, K591) &gt; 0,"indigenous",IF(COUNTIF(lists!$I$2:$I$258, K591) &gt; 0,"cross.bred","not found")),"NA")</f>
        <v>indigenous</v>
      </c>
      <c r="O591" s="9" t="s">
        <v>109</v>
      </c>
      <c r="P591" s="9" t="s">
        <v>106</v>
      </c>
      <c r="Q591" s="9" t="s">
        <v>3804</v>
      </c>
      <c r="S591" s="9" t="s">
        <v>106</v>
      </c>
      <c r="T591" s="9" t="s">
        <v>106</v>
      </c>
      <c r="U591" s="9" t="s">
        <v>106</v>
      </c>
      <c r="V591" s="9" t="s">
        <v>106</v>
      </c>
      <c r="W591" s="9" t="s">
        <v>106</v>
      </c>
      <c r="X591" s="9" t="s">
        <v>106</v>
      </c>
      <c r="Y591" s="9">
        <v>64.3</v>
      </c>
      <c r="Z591" s="37"/>
      <c r="AA591" s="37"/>
      <c r="AB591" s="37"/>
      <c r="AE591">
        <v>0</v>
      </c>
    </row>
    <row r="592" spans="1:31" hidden="1">
      <c r="A592" s="9" t="s">
        <v>852</v>
      </c>
      <c r="B592" s="9" t="s">
        <v>853</v>
      </c>
      <c r="C592" s="9" t="s">
        <v>105</v>
      </c>
      <c r="D592" s="9">
        <v>0.52600000000000002</v>
      </c>
      <c r="E592" s="9">
        <v>13.6</v>
      </c>
      <c r="F592" s="9">
        <v>6.52</v>
      </c>
      <c r="G592" s="9">
        <v>42.7</v>
      </c>
      <c r="H592" s="9" t="s">
        <v>106</v>
      </c>
      <c r="I592" s="9">
        <v>40</v>
      </c>
      <c r="J592" s="9" t="s">
        <v>116</v>
      </c>
      <c r="K592" s="9" t="s">
        <v>117</v>
      </c>
      <c r="L592" t="str">
        <f>IF(OR(J592="Cattle",J592="Zebu Cattle"),IF(COUNTIF(lists!$M$2:$M$258, K592) &gt; 0,"bos.indicus",IF(COUNTIF(lists!$L$2:$L$258, K592) &gt; 0,"cross.bred","pure.bred.exotic")),"NA")</f>
        <v>NA</v>
      </c>
      <c r="M592" t="str">
        <f>IF(J592="Sheep",IF(COUNTIF(lists!$H$2:$H$258, K592) &gt; 0,"indigenous",IF(COUNTIF(lists!$G$2:$G$258, K592) &gt; 0,"cross.bred","not found")),"NA")</f>
        <v>NA</v>
      </c>
      <c r="N592" t="str">
        <f>IF(J592="Goat",IF(COUNTIF(lists!$J$2:$J$258, K592) &gt; 0,"indigenous",IF(COUNTIF(lists!$I$2:$I$258, K592) &gt; 0,"cross.bred","not found")),"NA")</f>
        <v>indigenous</v>
      </c>
      <c r="O592" s="9" t="s">
        <v>109</v>
      </c>
      <c r="P592" s="9" t="s">
        <v>106</v>
      </c>
      <c r="Q592" s="9" t="s">
        <v>3804</v>
      </c>
      <c r="S592" s="9" t="s">
        <v>106</v>
      </c>
      <c r="T592" s="9" t="s">
        <v>106</v>
      </c>
      <c r="U592" s="9" t="s">
        <v>106</v>
      </c>
      <c r="V592" s="9" t="s">
        <v>106</v>
      </c>
      <c r="W592" s="9" t="s">
        <v>106</v>
      </c>
      <c r="X592" s="9" t="s">
        <v>106</v>
      </c>
      <c r="Y592" s="9">
        <v>59.7</v>
      </c>
      <c r="Z592" s="37"/>
      <c r="AA592" s="37"/>
      <c r="AB592" s="37"/>
      <c r="AE592">
        <v>0</v>
      </c>
    </row>
    <row r="593" spans="1:31" hidden="1">
      <c r="A593" s="9" t="s">
        <v>852</v>
      </c>
      <c r="B593" s="9" t="s">
        <v>854</v>
      </c>
      <c r="C593" s="9" t="s">
        <v>105</v>
      </c>
      <c r="D593" s="9">
        <v>0.52700000000000002</v>
      </c>
      <c r="E593" s="9">
        <v>13.6</v>
      </c>
      <c r="F593" s="9">
        <v>6.84</v>
      </c>
      <c r="G593" s="9">
        <v>47.9</v>
      </c>
      <c r="H593" s="9" t="s">
        <v>106</v>
      </c>
      <c r="I593" s="9">
        <v>40</v>
      </c>
      <c r="J593" s="9" t="s">
        <v>116</v>
      </c>
      <c r="K593" s="9" t="s">
        <v>117</v>
      </c>
      <c r="L593" t="str">
        <f>IF(OR(J593="Cattle",J593="Zebu Cattle"),IF(COUNTIF(lists!$M$2:$M$258, K593) &gt; 0,"bos.indicus",IF(COUNTIF(lists!$L$2:$L$258, K593) &gt; 0,"cross.bred","pure.bred.exotic")),"NA")</f>
        <v>NA</v>
      </c>
      <c r="M593" t="str">
        <f>IF(J593="Sheep",IF(COUNTIF(lists!$H$2:$H$258, K593) &gt; 0,"indigenous",IF(COUNTIF(lists!$G$2:$G$258, K593) &gt; 0,"cross.bred","not found")),"NA")</f>
        <v>NA</v>
      </c>
      <c r="N593" t="str">
        <f>IF(J593="Goat",IF(COUNTIF(lists!$J$2:$J$258, K593) &gt; 0,"indigenous",IF(COUNTIF(lists!$I$2:$I$258, K593) &gt; 0,"cross.bred","not found")),"NA")</f>
        <v>indigenous</v>
      </c>
      <c r="O593" s="9" t="s">
        <v>109</v>
      </c>
      <c r="P593" s="9" t="s">
        <v>106</v>
      </c>
      <c r="Q593" s="9" t="s">
        <v>3804</v>
      </c>
      <c r="S593" s="9" t="s">
        <v>106</v>
      </c>
      <c r="T593" s="9" t="s">
        <v>106</v>
      </c>
      <c r="U593" s="9" t="s">
        <v>106</v>
      </c>
      <c r="V593" s="9" t="s">
        <v>106</v>
      </c>
      <c r="W593" s="9" t="s">
        <v>106</v>
      </c>
      <c r="X593" s="9" t="s">
        <v>106</v>
      </c>
      <c r="Y593" s="9">
        <v>57.6</v>
      </c>
      <c r="Z593" s="37"/>
      <c r="AA593" s="37"/>
      <c r="AB593" s="37"/>
      <c r="AE593">
        <v>0</v>
      </c>
    </row>
    <row r="594" spans="1:31" hidden="1">
      <c r="A594" s="9" t="s">
        <v>852</v>
      </c>
      <c r="B594" s="9" t="s">
        <v>855</v>
      </c>
      <c r="C594" s="9" t="s">
        <v>105</v>
      </c>
      <c r="D594" s="9">
        <v>0.52800000000000002</v>
      </c>
      <c r="E594" s="9">
        <v>13.6</v>
      </c>
      <c r="F594" s="9">
        <v>6.84</v>
      </c>
      <c r="G594" s="9">
        <v>52.9</v>
      </c>
      <c r="H594" s="9" t="s">
        <v>106</v>
      </c>
      <c r="I594" s="9">
        <v>40</v>
      </c>
      <c r="J594" s="9" t="s">
        <v>116</v>
      </c>
      <c r="K594" s="9" t="s">
        <v>117</v>
      </c>
      <c r="L594" t="str">
        <f>IF(OR(J594="Cattle",J594="Zebu Cattle"),IF(COUNTIF(lists!$M$2:$M$258, K594) &gt; 0,"bos.indicus",IF(COUNTIF(lists!$L$2:$L$258, K594) &gt; 0,"cross.bred","pure.bred.exotic")),"NA")</f>
        <v>NA</v>
      </c>
      <c r="M594" t="str">
        <f>IF(J594="Sheep",IF(COUNTIF(lists!$H$2:$H$258, K594) &gt; 0,"indigenous",IF(COUNTIF(lists!$G$2:$G$258, K594) &gt; 0,"cross.bred","not found")),"NA")</f>
        <v>NA</v>
      </c>
      <c r="N594" t="str">
        <f>IF(J594="Goat",IF(COUNTIF(lists!$J$2:$J$258, K594) &gt; 0,"indigenous",IF(COUNTIF(lists!$I$2:$I$258, K594) &gt; 0,"cross.bred","not found")),"NA")</f>
        <v>indigenous</v>
      </c>
      <c r="O594" s="9" t="s">
        <v>109</v>
      </c>
      <c r="P594" s="9" t="s">
        <v>106</v>
      </c>
      <c r="Q594" s="9" t="s">
        <v>3804</v>
      </c>
      <c r="S594" s="9" t="s">
        <v>106</v>
      </c>
      <c r="T594" s="9" t="s">
        <v>106</v>
      </c>
      <c r="U594" s="9" t="s">
        <v>106</v>
      </c>
      <c r="V594" s="9" t="s">
        <v>106</v>
      </c>
      <c r="W594" s="9" t="s">
        <v>106</v>
      </c>
      <c r="X594" s="9" t="s">
        <v>106</v>
      </c>
      <c r="Y594" s="9">
        <v>56.6</v>
      </c>
      <c r="Z594" s="37"/>
      <c r="AA594" s="37"/>
      <c r="AB594" s="37"/>
      <c r="AE594">
        <v>0</v>
      </c>
    </row>
    <row r="595" spans="1:31" hidden="1">
      <c r="A595" s="9" t="s">
        <v>902</v>
      </c>
      <c r="B595" s="9" t="s">
        <v>903</v>
      </c>
      <c r="C595" s="9" t="s">
        <v>105</v>
      </c>
      <c r="D595" s="9">
        <v>0.75919999999999999</v>
      </c>
      <c r="E595" s="9" t="s">
        <v>106</v>
      </c>
      <c r="F595" s="9">
        <v>16.8</v>
      </c>
      <c r="G595" s="9">
        <v>32.799999999999997</v>
      </c>
      <c r="H595" s="9" t="s">
        <v>106</v>
      </c>
      <c r="I595" s="9">
        <v>48</v>
      </c>
      <c r="J595" s="9" t="s">
        <v>116</v>
      </c>
      <c r="K595" s="9" t="s">
        <v>524</v>
      </c>
      <c r="L595" t="str">
        <f>IF(OR(J595="Cattle",J595="Zebu Cattle"),IF(COUNTIF(lists!$M$2:$M$258, K595) &gt; 0,"bos.indicus",IF(COUNTIF(lists!$L$2:$L$258, K595) &gt; 0,"cross.bred","pure.bred.exotic")),"NA")</f>
        <v>NA</v>
      </c>
      <c r="M595" t="str">
        <f>IF(J595="Sheep",IF(COUNTIF(lists!$H$2:$H$258, K595) &gt; 0,"indigenous",IF(COUNTIF(lists!$G$2:$G$258, K595) &gt; 0,"cross.bred","not found")),"NA")</f>
        <v>NA</v>
      </c>
      <c r="N595" t="str">
        <f>IF(J595="Goat",IF(COUNTIF(lists!$J$2:$J$258, K595) &gt; 0,"indigenous",IF(COUNTIF(lists!$I$2:$I$258, K595) &gt; 0,"cross.bred","not found")),"NA")</f>
        <v>not found</v>
      </c>
      <c r="O595" s="9" t="s">
        <v>109</v>
      </c>
      <c r="P595" s="9" t="s">
        <v>106</v>
      </c>
      <c r="Q595" s="9" t="s">
        <v>3810</v>
      </c>
      <c r="S595" s="9" t="s">
        <v>106</v>
      </c>
      <c r="T595" s="9" t="s">
        <v>106</v>
      </c>
      <c r="U595" s="9" t="s">
        <v>106</v>
      </c>
      <c r="V595" s="9" t="s">
        <v>106</v>
      </c>
      <c r="W595" s="9" t="s">
        <v>106</v>
      </c>
      <c r="X595" s="9" t="s">
        <v>106</v>
      </c>
      <c r="Y595" s="9" t="s">
        <v>106</v>
      </c>
      <c r="Z595" s="37"/>
      <c r="AA595" s="37"/>
      <c r="AB595" s="37"/>
      <c r="AE595">
        <v>0</v>
      </c>
    </row>
    <row r="596" spans="1:31" hidden="1">
      <c r="A596" s="9" t="s">
        <v>902</v>
      </c>
      <c r="B596" s="9" t="s">
        <v>904</v>
      </c>
      <c r="C596" s="9" t="s">
        <v>105</v>
      </c>
      <c r="D596" s="9">
        <v>0.61429999999999996</v>
      </c>
      <c r="E596" s="9" t="s">
        <v>106</v>
      </c>
      <c r="F596" s="9">
        <v>16.5</v>
      </c>
      <c r="G596" s="9">
        <v>52.1</v>
      </c>
      <c r="H596" s="9" t="s">
        <v>106</v>
      </c>
      <c r="I596" s="9">
        <v>48</v>
      </c>
      <c r="J596" s="9" t="s">
        <v>116</v>
      </c>
      <c r="K596" s="9" t="s">
        <v>524</v>
      </c>
      <c r="L596" t="str">
        <f>IF(OR(J596="Cattle",J596="Zebu Cattle"),IF(COUNTIF(lists!$M$2:$M$258, K596) &gt; 0,"bos.indicus",IF(COUNTIF(lists!$L$2:$L$258, K596) &gt; 0,"cross.bred","pure.bred.exotic")),"NA")</f>
        <v>NA</v>
      </c>
      <c r="M596" t="str">
        <f>IF(J596="Sheep",IF(COUNTIF(lists!$H$2:$H$258, K596) &gt; 0,"indigenous",IF(COUNTIF(lists!$G$2:$G$258, K596) &gt; 0,"cross.bred","not found")),"NA")</f>
        <v>NA</v>
      </c>
      <c r="N596" t="str">
        <f>IF(J596="Goat",IF(COUNTIF(lists!$J$2:$J$258, K596) &gt; 0,"indigenous",IF(COUNTIF(lists!$I$2:$I$258, K596) &gt; 0,"cross.bred","not found")),"NA")</f>
        <v>not found</v>
      </c>
      <c r="O596" s="9" t="s">
        <v>109</v>
      </c>
      <c r="P596" s="9" t="s">
        <v>106</v>
      </c>
      <c r="Q596" s="9" t="s">
        <v>3810</v>
      </c>
      <c r="S596" s="9" t="s">
        <v>106</v>
      </c>
      <c r="T596" s="9" t="s">
        <v>106</v>
      </c>
      <c r="U596" s="9" t="s">
        <v>106</v>
      </c>
      <c r="V596" s="9" t="s">
        <v>106</v>
      </c>
      <c r="W596" s="9" t="s">
        <v>106</v>
      </c>
      <c r="X596" s="9" t="s">
        <v>106</v>
      </c>
      <c r="Y596" s="9" t="s">
        <v>106</v>
      </c>
      <c r="Z596" s="37"/>
      <c r="AA596" s="37"/>
      <c r="AB596" s="37"/>
      <c r="AE596">
        <v>0</v>
      </c>
    </row>
    <row r="597" spans="1:31" hidden="1">
      <c r="A597" s="9" t="s">
        <v>902</v>
      </c>
      <c r="B597" s="9" t="s">
        <v>905</v>
      </c>
      <c r="C597" s="9" t="s">
        <v>105</v>
      </c>
      <c r="D597" s="9">
        <v>0.4904</v>
      </c>
      <c r="E597" s="9" t="s">
        <v>106</v>
      </c>
      <c r="F597" s="9">
        <v>16.8</v>
      </c>
      <c r="G597" s="9">
        <v>43</v>
      </c>
      <c r="H597" s="9" t="s">
        <v>106</v>
      </c>
      <c r="I597" s="9">
        <v>48</v>
      </c>
      <c r="J597" s="9" t="s">
        <v>116</v>
      </c>
      <c r="K597" s="9" t="s">
        <v>524</v>
      </c>
      <c r="L597" t="str">
        <f>IF(OR(J597="Cattle",J597="Zebu Cattle"),IF(COUNTIF(lists!$M$2:$M$258, K597) &gt; 0,"bos.indicus",IF(COUNTIF(lists!$L$2:$L$258, K597) &gt; 0,"cross.bred","pure.bred.exotic")),"NA")</f>
        <v>NA</v>
      </c>
      <c r="M597" t="str">
        <f>IF(J597="Sheep",IF(COUNTIF(lists!$H$2:$H$258, K597) &gt; 0,"indigenous",IF(COUNTIF(lists!$G$2:$G$258, K597) &gt; 0,"cross.bred","not found")),"NA")</f>
        <v>NA</v>
      </c>
      <c r="N597" t="str">
        <f>IF(J597="Goat",IF(COUNTIF(lists!$J$2:$J$258, K597) &gt; 0,"indigenous",IF(COUNTIF(lists!$I$2:$I$258, K597) &gt; 0,"cross.bred","not found")),"NA")</f>
        <v>not found</v>
      </c>
      <c r="O597" s="9" t="s">
        <v>109</v>
      </c>
      <c r="P597" s="9" t="s">
        <v>106</v>
      </c>
      <c r="Q597" s="9" t="s">
        <v>3810</v>
      </c>
      <c r="S597" s="9" t="s">
        <v>106</v>
      </c>
      <c r="T597" s="9" t="s">
        <v>106</v>
      </c>
      <c r="U597" s="9" t="s">
        <v>106</v>
      </c>
      <c r="V597" s="9" t="s">
        <v>106</v>
      </c>
      <c r="W597" s="9" t="s">
        <v>106</v>
      </c>
      <c r="X597" s="9" t="s">
        <v>106</v>
      </c>
      <c r="Y597" s="9" t="s">
        <v>106</v>
      </c>
      <c r="Z597" s="37"/>
      <c r="AA597" s="37"/>
      <c r="AB597" s="37"/>
      <c r="AE597">
        <v>0</v>
      </c>
    </row>
    <row r="598" spans="1:31" hidden="1">
      <c r="A598" s="9" t="s">
        <v>902</v>
      </c>
      <c r="B598" s="9" t="s">
        <v>106</v>
      </c>
      <c r="C598" s="9" t="s">
        <v>105</v>
      </c>
      <c r="D598" s="9">
        <v>0.45979999999999999</v>
      </c>
      <c r="E598" s="9" t="s">
        <v>106</v>
      </c>
      <c r="F598" s="9">
        <v>16.649999999999999</v>
      </c>
      <c r="G598" s="9">
        <v>25.7</v>
      </c>
      <c r="H598" s="9" t="s">
        <v>106</v>
      </c>
      <c r="I598" s="9">
        <v>48</v>
      </c>
      <c r="J598" s="9" t="s">
        <v>116</v>
      </c>
      <c r="K598" s="9" t="s">
        <v>524</v>
      </c>
      <c r="L598" t="str">
        <f>IF(OR(J598="Cattle",J598="Zebu Cattle"),IF(COUNTIF(lists!$M$2:$M$258, K598) &gt; 0,"bos.indicus",IF(COUNTIF(lists!$L$2:$L$258, K598) &gt; 0,"cross.bred","pure.bred.exotic")),"NA")</f>
        <v>NA</v>
      </c>
      <c r="M598" t="str">
        <f>IF(J598="Sheep",IF(COUNTIF(lists!$H$2:$H$258, K598) &gt; 0,"indigenous",IF(COUNTIF(lists!$G$2:$G$258, K598) &gt; 0,"cross.bred","not found")),"NA")</f>
        <v>NA</v>
      </c>
      <c r="N598" t="str">
        <f>IF(J598="Goat",IF(COUNTIF(lists!$J$2:$J$258, K598) &gt; 0,"indigenous",IF(COUNTIF(lists!$I$2:$I$258, K598) &gt; 0,"cross.bred","not found")),"NA")</f>
        <v>not found</v>
      </c>
      <c r="O598" s="9" t="s">
        <v>109</v>
      </c>
      <c r="P598" s="9" t="s">
        <v>106</v>
      </c>
      <c r="Q598" s="9" t="s">
        <v>3810</v>
      </c>
      <c r="S598" s="9" t="s">
        <v>106</v>
      </c>
      <c r="T598" s="9" t="s">
        <v>106</v>
      </c>
      <c r="U598" s="9" t="s">
        <v>106</v>
      </c>
      <c r="V598" s="9" t="s">
        <v>106</v>
      </c>
      <c r="W598" s="9" t="s">
        <v>106</v>
      </c>
      <c r="X598" s="9" t="s">
        <v>106</v>
      </c>
      <c r="Y598" s="9" t="s">
        <v>106</v>
      </c>
      <c r="Z598" s="37"/>
      <c r="AA598" s="37"/>
      <c r="AB598" s="37"/>
      <c r="AE598">
        <v>0</v>
      </c>
    </row>
    <row r="599" spans="1:31" hidden="1">
      <c r="A599" s="9" t="s">
        <v>906</v>
      </c>
      <c r="B599" s="9" t="s">
        <v>907</v>
      </c>
      <c r="C599" s="9" t="s">
        <v>105</v>
      </c>
      <c r="D599" s="9">
        <v>0.14899999999999999</v>
      </c>
      <c r="E599" s="9">
        <v>3.96</v>
      </c>
      <c r="F599" s="9">
        <v>14.2</v>
      </c>
      <c r="G599" s="9">
        <v>50</v>
      </c>
      <c r="H599" s="9" t="s">
        <v>106</v>
      </c>
      <c r="I599" s="9">
        <v>16</v>
      </c>
      <c r="J599" s="9" t="s">
        <v>116</v>
      </c>
      <c r="K599" s="9" t="s">
        <v>908</v>
      </c>
      <c r="L599" t="str">
        <f>IF(OR(J599="Cattle",J599="Zebu Cattle"),IF(COUNTIF(lists!$M$2:$M$258, K599) &gt; 0,"bos.indicus",IF(COUNTIF(lists!$L$2:$L$258, K599) &gt; 0,"cross.bred","pure.bred.exotic")),"NA")</f>
        <v>NA</v>
      </c>
      <c r="M599" t="str">
        <f>IF(J599="Sheep",IF(COUNTIF(lists!$H$2:$H$258, K599) &gt; 0,"indigenous",IF(COUNTIF(lists!$G$2:$G$258, K599) &gt; 0,"cross.bred","not found")),"NA")</f>
        <v>NA</v>
      </c>
      <c r="N599" t="str">
        <f>IF(J599="Goat",IF(COUNTIF(lists!$J$2:$J$258, K599) &gt; 0,"indigenous",IF(COUNTIF(lists!$I$2:$I$258, K599) &gt; 0,"cross.bred","not found")),"NA")</f>
        <v>not found</v>
      </c>
      <c r="O599" s="9" t="s">
        <v>109</v>
      </c>
      <c r="P599" s="9" t="s">
        <v>106</v>
      </c>
      <c r="Q599" s="9" t="s">
        <v>3805</v>
      </c>
      <c r="S599" s="9" t="s">
        <v>106</v>
      </c>
      <c r="T599" s="9" t="s">
        <v>106</v>
      </c>
      <c r="U599" s="9">
        <v>182</v>
      </c>
      <c r="V599" s="9" t="s">
        <v>106</v>
      </c>
      <c r="W599" s="9" t="s">
        <v>106</v>
      </c>
      <c r="X599" s="9" t="s">
        <v>106</v>
      </c>
      <c r="Y599" s="9" t="s">
        <v>106</v>
      </c>
      <c r="Z599" s="37"/>
      <c r="AA599" s="37"/>
      <c r="AB599" s="37"/>
      <c r="AE599">
        <v>0</v>
      </c>
    </row>
    <row r="600" spans="1:31" hidden="1">
      <c r="A600" s="9" t="s">
        <v>906</v>
      </c>
      <c r="B600" s="9" t="s">
        <v>909</v>
      </c>
      <c r="C600" s="9" t="s">
        <v>105</v>
      </c>
      <c r="D600" s="9">
        <v>0.17499999999999999</v>
      </c>
      <c r="E600" s="9">
        <v>3.96</v>
      </c>
      <c r="F600" s="9">
        <v>14.3</v>
      </c>
      <c r="G600" s="9">
        <v>40</v>
      </c>
      <c r="H600" s="9" t="s">
        <v>106</v>
      </c>
      <c r="I600" s="9">
        <v>16</v>
      </c>
      <c r="J600" s="9" t="s">
        <v>116</v>
      </c>
      <c r="K600" s="9" t="s">
        <v>908</v>
      </c>
      <c r="L600" t="str">
        <f>IF(OR(J600="Cattle",J600="Zebu Cattle"),IF(COUNTIF(lists!$M$2:$M$258, K600) &gt; 0,"bos.indicus",IF(COUNTIF(lists!$L$2:$L$258, K600) &gt; 0,"cross.bred","pure.bred.exotic")),"NA")</f>
        <v>NA</v>
      </c>
      <c r="M600" t="str">
        <f>IF(J600="Sheep",IF(COUNTIF(lists!$H$2:$H$258, K600) &gt; 0,"indigenous",IF(COUNTIF(lists!$G$2:$G$258, K600) &gt; 0,"cross.bred","not found")),"NA")</f>
        <v>NA</v>
      </c>
      <c r="N600" t="str">
        <f>IF(J600="Goat",IF(COUNTIF(lists!$J$2:$J$258, K600) &gt; 0,"indigenous",IF(COUNTIF(lists!$I$2:$I$258, K600) &gt; 0,"cross.bred","not found")),"NA")</f>
        <v>not found</v>
      </c>
      <c r="O600" s="9" t="s">
        <v>109</v>
      </c>
      <c r="P600" s="9" t="s">
        <v>106</v>
      </c>
      <c r="Q600" s="9" t="s">
        <v>3805</v>
      </c>
      <c r="S600" s="9" t="s">
        <v>106</v>
      </c>
      <c r="T600" s="9" t="s">
        <v>106</v>
      </c>
      <c r="U600" s="9">
        <v>184</v>
      </c>
      <c r="V600" s="9" t="s">
        <v>106</v>
      </c>
      <c r="W600" s="9" t="s">
        <v>106</v>
      </c>
      <c r="X600" s="9" t="s">
        <v>106</v>
      </c>
      <c r="Y600" s="9" t="s">
        <v>106</v>
      </c>
      <c r="Z600" s="37"/>
      <c r="AA600" s="37"/>
      <c r="AB600" s="37"/>
      <c r="AE600">
        <v>0</v>
      </c>
    </row>
    <row r="601" spans="1:31" hidden="1">
      <c r="A601" s="9" t="s">
        <v>906</v>
      </c>
      <c r="B601" s="9" t="s">
        <v>910</v>
      </c>
      <c r="C601" s="9" t="s">
        <v>105</v>
      </c>
      <c r="D601" s="9">
        <v>0.17</v>
      </c>
      <c r="E601" s="9">
        <v>3.96</v>
      </c>
      <c r="F601" s="9">
        <v>14.3</v>
      </c>
      <c r="G601" s="9">
        <v>40</v>
      </c>
      <c r="H601" s="9" t="s">
        <v>106</v>
      </c>
      <c r="I601" s="9">
        <v>16</v>
      </c>
      <c r="J601" s="9" t="s">
        <v>116</v>
      </c>
      <c r="K601" s="9" t="s">
        <v>908</v>
      </c>
      <c r="L601" t="str">
        <f>IF(OR(J601="Cattle",J601="Zebu Cattle"),IF(COUNTIF(lists!$M$2:$M$258, K601) &gt; 0,"bos.indicus",IF(COUNTIF(lists!$L$2:$L$258, K601) &gt; 0,"cross.bred","pure.bred.exotic")),"NA")</f>
        <v>NA</v>
      </c>
      <c r="M601" t="str">
        <f>IF(J601="Sheep",IF(COUNTIF(lists!$H$2:$H$258, K601) &gt; 0,"indigenous",IF(COUNTIF(lists!$G$2:$G$258, K601) &gt; 0,"cross.bred","not found")),"NA")</f>
        <v>NA</v>
      </c>
      <c r="N601" t="str">
        <f>IF(J601="Goat",IF(COUNTIF(lists!$J$2:$J$258, K601) &gt; 0,"indigenous",IF(COUNTIF(lists!$I$2:$I$258, K601) &gt; 0,"cross.bred","not found")),"NA")</f>
        <v>not found</v>
      </c>
      <c r="O601" s="9" t="s">
        <v>109</v>
      </c>
      <c r="P601" s="9" t="s">
        <v>106</v>
      </c>
      <c r="Q601" s="9" t="s">
        <v>3805</v>
      </c>
      <c r="S601" s="9" t="s">
        <v>106</v>
      </c>
      <c r="T601" s="9" t="s">
        <v>106</v>
      </c>
      <c r="U601" s="9">
        <v>183</v>
      </c>
      <c r="V601" s="9" t="s">
        <v>106</v>
      </c>
      <c r="W601" s="9" t="s">
        <v>106</v>
      </c>
      <c r="X601" s="9" t="s">
        <v>106</v>
      </c>
      <c r="Y601" s="9" t="s">
        <v>106</v>
      </c>
      <c r="Z601" s="37"/>
      <c r="AA601" s="37"/>
      <c r="AB601" s="37"/>
      <c r="AE601">
        <v>0</v>
      </c>
    </row>
    <row r="602" spans="1:31" hidden="1">
      <c r="A602" s="9" t="s">
        <v>906</v>
      </c>
      <c r="B602" s="9" t="s">
        <v>911</v>
      </c>
      <c r="C602" s="9" t="s">
        <v>105</v>
      </c>
      <c r="D602" s="9">
        <v>0.16800000000000001</v>
      </c>
      <c r="E602" s="9">
        <v>3.96</v>
      </c>
      <c r="F602" s="9">
        <v>14.4</v>
      </c>
      <c r="G602" s="9">
        <v>30</v>
      </c>
      <c r="H602" s="9" t="s">
        <v>106</v>
      </c>
      <c r="I602" s="9">
        <v>16</v>
      </c>
      <c r="J602" s="9" t="s">
        <v>116</v>
      </c>
      <c r="K602" s="9" t="s">
        <v>908</v>
      </c>
      <c r="L602" t="str">
        <f>IF(OR(J602="Cattle",J602="Zebu Cattle"),IF(COUNTIF(lists!$M$2:$M$258, K602) &gt; 0,"bos.indicus",IF(COUNTIF(lists!$L$2:$L$258, K602) &gt; 0,"cross.bred","pure.bred.exotic")),"NA")</f>
        <v>NA</v>
      </c>
      <c r="M602" t="str">
        <f>IF(J602="Sheep",IF(COUNTIF(lists!$H$2:$H$258, K602) &gt; 0,"indigenous",IF(COUNTIF(lists!$G$2:$G$258, K602) &gt; 0,"cross.bred","not found")),"NA")</f>
        <v>NA</v>
      </c>
      <c r="N602" t="str">
        <f>IF(J602="Goat",IF(COUNTIF(lists!$J$2:$J$258, K602) &gt; 0,"indigenous",IF(COUNTIF(lists!$I$2:$I$258, K602) &gt; 0,"cross.bred","not found")),"NA")</f>
        <v>not found</v>
      </c>
      <c r="O602" s="9" t="s">
        <v>109</v>
      </c>
      <c r="P602" s="9" t="s">
        <v>106</v>
      </c>
      <c r="Q602" s="9" t="s">
        <v>3805</v>
      </c>
      <c r="S602" s="9" t="s">
        <v>106</v>
      </c>
      <c r="T602" s="9" t="s">
        <v>106</v>
      </c>
      <c r="U602" s="9">
        <v>183</v>
      </c>
      <c r="V602" s="9" t="s">
        <v>106</v>
      </c>
      <c r="W602" s="9" t="s">
        <v>106</v>
      </c>
      <c r="X602" s="9" t="s">
        <v>106</v>
      </c>
      <c r="Y602" s="9" t="s">
        <v>106</v>
      </c>
      <c r="Z602" s="37"/>
      <c r="AA602" s="37"/>
      <c r="AB602" s="37"/>
      <c r="AE602">
        <v>0</v>
      </c>
    </row>
    <row r="603" spans="1:31" hidden="1">
      <c r="A603" s="9" t="s">
        <v>927</v>
      </c>
      <c r="B603" s="9" t="s">
        <v>928</v>
      </c>
      <c r="C603" s="9" t="s">
        <v>105</v>
      </c>
      <c r="D603" s="9">
        <v>0.57474000000000003</v>
      </c>
      <c r="E603" s="9">
        <v>2.2000000000000002</v>
      </c>
      <c r="F603" s="9" t="s">
        <v>106</v>
      </c>
      <c r="G603" s="9" t="s">
        <v>106</v>
      </c>
      <c r="H603" s="9" t="s">
        <v>106</v>
      </c>
      <c r="J603" s="9" t="s">
        <v>116</v>
      </c>
      <c r="K603" s="9" t="s">
        <v>212</v>
      </c>
      <c r="L603" t="str">
        <f>IF(OR(J603="Cattle",J603="Zebu Cattle"),IF(COUNTIF(lists!$M$2:$M$258, K603) &gt; 0,"bos.indicus",IF(COUNTIF(lists!$L$2:$L$258, K603) &gt; 0,"cross.bred","pure.bred.exotic")),"NA")</f>
        <v>NA</v>
      </c>
      <c r="M603" t="str">
        <f>IF(J603="Sheep",IF(COUNTIF(lists!$H$2:$H$258, K603) &gt; 0,"indigenous",IF(COUNTIF(lists!$G$2:$G$258, K603) &gt; 0,"cross.bred","not found")),"NA")</f>
        <v>NA</v>
      </c>
      <c r="N603" t="str">
        <f>IF(J603="Goat",IF(COUNTIF(lists!$J$2:$J$258, K603) &gt; 0,"indigenous",IF(COUNTIF(lists!$I$2:$I$258, K603) &gt; 0,"cross.bred","not found")),"NA")</f>
        <v>not found</v>
      </c>
      <c r="O603" s="9" t="s">
        <v>109</v>
      </c>
      <c r="P603" s="9" t="s">
        <v>110</v>
      </c>
      <c r="S603" s="9">
        <v>114.1</v>
      </c>
      <c r="T603" s="9">
        <v>47.599999999999902</v>
      </c>
      <c r="U603" s="9">
        <v>90</v>
      </c>
      <c r="V603" s="9">
        <v>930</v>
      </c>
      <c r="W603" s="9">
        <v>31.9</v>
      </c>
      <c r="X603" s="9">
        <v>462.9</v>
      </c>
      <c r="Y603" s="9" t="s">
        <v>106</v>
      </c>
      <c r="Z603" s="37"/>
      <c r="AA603" s="37"/>
      <c r="AB603" s="37"/>
      <c r="AE603"/>
    </row>
    <row r="604" spans="1:31" hidden="1">
      <c r="A604" s="9" t="s">
        <v>927</v>
      </c>
      <c r="B604" s="9" t="s">
        <v>929</v>
      </c>
      <c r="C604" s="9" t="s">
        <v>105</v>
      </c>
      <c r="D604" s="9">
        <v>0.55613999999999997</v>
      </c>
      <c r="E604" s="9">
        <v>2.2000000000000002</v>
      </c>
      <c r="F604" s="9" t="s">
        <v>106</v>
      </c>
      <c r="G604" s="9" t="s">
        <v>106</v>
      </c>
      <c r="H604" s="9" t="s">
        <v>106</v>
      </c>
      <c r="J604" s="9" t="s">
        <v>116</v>
      </c>
      <c r="K604" s="9" t="s">
        <v>212</v>
      </c>
      <c r="L604" t="str">
        <f>IF(OR(J604="Cattle",J604="Zebu Cattle"),IF(COUNTIF(lists!$M$2:$M$258, K604) &gt; 0,"bos.indicus",IF(COUNTIF(lists!$L$2:$L$258, K604) &gt; 0,"cross.bred","pure.bred.exotic")),"NA")</f>
        <v>NA</v>
      </c>
      <c r="M604" t="str">
        <f>IF(J604="Sheep",IF(COUNTIF(lists!$H$2:$H$258, K604) &gt; 0,"indigenous",IF(COUNTIF(lists!$G$2:$G$258, K604) &gt; 0,"cross.bred","not found")),"NA")</f>
        <v>NA</v>
      </c>
      <c r="N604" t="str">
        <f>IF(J604="Goat",IF(COUNTIF(lists!$J$2:$J$258, K604) &gt; 0,"indigenous",IF(COUNTIF(lists!$I$2:$I$258, K604) &gt; 0,"cross.bred","not found")),"NA")</f>
        <v>not found</v>
      </c>
      <c r="O604" s="9" t="s">
        <v>109</v>
      </c>
      <c r="P604" s="9" t="s">
        <v>110</v>
      </c>
      <c r="S604" s="9">
        <v>121</v>
      </c>
      <c r="T604" s="9">
        <v>58</v>
      </c>
      <c r="U604" s="9">
        <v>129.07999999999899</v>
      </c>
      <c r="V604" s="9">
        <v>930</v>
      </c>
      <c r="W604" s="9">
        <v>34.299999999999997</v>
      </c>
      <c r="X604" s="9">
        <v>482.9</v>
      </c>
      <c r="Y604" s="9" t="s">
        <v>106</v>
      </c>
      <c r="Z604" s="37"/>
      <c r="AA604" s="37"/>
      <c r="AB604" s="37"/>
      <c r="AE604"/>
    </row>
    <row r="605" spans="1:31" hidden="1">
      <c r="A605" s="9" t="s">
        <v>927</v>
      </c>
      <c r="B605" s="9" t="s">
        <v>930</v>
      </c>
      <c r="C605" s="9" t="s">
        <v>105</v>
      </c>
      <c r="D605" s="9">
        <v>0.59299999999999997</v>
      </c>
      <c r="E605" s="9">
        <v>2.2000000000000002</v>
      </c>
      <c r="F605" s="9" t="s">
        <v>106</v>
      </c>
      <c r="G605" s="9" t="s">
        <v>106</v>
      </c>
      <c r="H605" s="9" t="s">
        <v>106</v>
      </c>
      <c r="J605" s="9" t="s">
        <v>116</v>
      </c>
      <c r="K605" s="9" t="s">
        <v>212</v>
      </c>
      <c r="L605" t="str">
        <f>IF(OR(J605="Cattle",J605="Zebu Cattle"),IF(COUNTIF(lists!$M$2:$M$258, K605) &gt; 0,"bos.indicus",IF(COUNTIF(lists!$L$2:$L$258, K605) &gt; 0,"cross.bred","pure.bred.exotic")),"NA")</f>
        <v>NA</v>
      </c>
      <c r="M605" t="str">
        <f>IF(J605="Sheep",IF(COUNTIF(lists!$H$2:$H$258, K605) &gt; 0,"indigenous",IF(COUNTIF(lists!$G$2:$G$258, K605) &gt; 0,"cross.bred","not found")),"NA")</f>
        <v>NA</v>
      </c>
      <c r="N605" t="str">
        <f>IF(J605="Goat",IF(COUNTIF(lists!$J$2:$J$258, K605) &gt; 0,"indigenous",IF(COUNTIF(lists!$I$2:$I$258, K605) &gt; 0,"cross.bred","not found")),"NA")</f>
        <v>not found</v>
      </c>
      <c r="O605" s="9" t="s">
        <v>109</v>
      </c>
      <c r="P605" s="9" t="s">
        <v>110</v>
      </c>
      <c r="S605" s="9">
        <v>122.2</v>
      </c>
      <c r="T605" s="9">
        <v>49.4</v>
      </c>
      <c r="U605" s="9">
        <v>111.4</v>
      </c>
      <c r="V605" s="9">
        <v>930</v>
      </c>
      <c r="W605" s="9">
        <v>31.4</v>
      </c>
      <c r="X605" s="9">
        <v>476.6</v>
      </c>
      <c r="Y605" s="9" t="s">
        <v>106</v>
      </c>
      <c r="Z605" s="37"/>
      <c r="AA605" s="37"/>
      <c r="AB605" s="37"/>
      <c r="AE605"/>
    </row>
    <row r="606" spans="1:31" hidden="1">
      <c r="A606" s="9" t="s">
        <v>927</v>
      </c>
      <c r="B606" s="9" t="s">
        <v>931</v>
      </c>
      <c r="C606" s="9" t="s">
        <v>105</v>
      </c>
      <c r="D606" s="9">
        <v>0.54579</v>
      </c>
      <c r="E606" s="9">
        <v>2.2000000000000002</v>
      </c>
      <c r="F606" s="9" t="s">
        <v>106</v>
      </c>
      <c r="G606" s="9" t="s">
        <v>106</v>
      </c>
      <c r="H606" s="9" t="s">
        <v>106</v>
      </c>
      <c r="J606" s="9" t="s">
        <v>116</v>
      </c>
      <c r="K606" s="9" t="s">
        <v>212</v>
      </c>
      <c r="L606" t="str">
        <f>IF(OR(J606="Cattle",J606="Zebu Cattle"),IF(COUNTIF(lists!$M$2:$M$258, K606) &gt; 0,"bos.indicus",IF(COUNTIF(lists!$L$2:$L$258, K606) &gt; 0,"cross.bred","pure.bred.exotic")),"NA")</f>
        <v>NA</v>
      </c>
      <c r="M606" t="str">
        <f>IF(J606="Sheep",IF(COUNTIF(lists!$H$2:$H$258, K606) &gt; 0,"indigenous",IF(COUNTIF(lists!$G$2:$G$258, K606) &gt; 0,"cross.bred","not found")),"NA")</f>
        <v>NA</v>
      </c>
      <c r="N606" t="str">
        <f>IF(J606="Goat",IF(COUNTIF(lists!$J$2:$J$258, K606) &gt; 0,"indigenous",IF(COUNTIF(lists!$I$2:$I$258, K606) &gt; 0,"cross.bred","not found")),"NA")</f>
        <v>not found</v>
      </c>
      <c r="O606" s="9" t="s">
        <v>109</v>
      </c>
      <c r="P606" s="9" t="s">
        <v>110</v>
      </c>
      <c r="S606" s="9">
        <v>126.6</v>
      </c>
      <c r="T606" s="9">
        <v>57.9</v>
      </c>
      <c r="U606" s="9">
        <v>111.3</v>
      </c>
      <c r="V606" s="9">
        <v>926.8</v>
      </c>
      <c r="W606" s="9">
        <v>32.4</v>
      </c>
      <c r="X606" s="9">
        <v>483.2</v>
      </c>
      <c r="Y606" s="9" t="s">
        <v>106</v>
      </c>
      <c r="Z606" s="37"/>
      <c r="AA606" s="37"/>
      <c r="AB606" s="37"/>
      <c r="AE606"/>
    </row>
    <row r="607" spans="1:31" hidden="1">
      <c r="A607" s="9" t="s">
        <v>927</v>
      </c>
      <c r="B607" s="9" t="s">
        <v>932</v>
      </c>
      <c r="C607" s="9" t="s">
        <v>105</v>
      </c>
      <c r="D607" s="9">
        <v>0.51568999999999998</v>
      </c>
      <c r="E607" s="9">
        <v>2.2000000000000002</v>
      </c>
      <c r="F607" s="9" t="s">
        <v>106</v>
      </c>
      <c r="G607" s="9" t="s">
        <v>106</v>
      </c>
      <c r="H607" s="9" t="s">
        <v>106</v>
      </c>
      <c r="J607" s="9" t="s">
        <v>116</v>
      </c>
      <c r="K607" s="9" t="s">
        <v>212</v>
      </c>
      <c r="L607" t="str">
        <f>IF(OR(J607="Cattle",J607="Zebu Cattle"),IF(COUNTIF(lists!$M$2:$M$258, K607) &gt; 0,"bos.indicus",IF(COUNTIF(lists!$L$2:$L$258, K607) &gt; 0,"cross.bred","pure.bred.exotic")),"NA")</f>
        <v>NA</v>
      </c>
      <c r="M607" t="str">
        <f>IF(J607="Sheep",IF(COUNTIF(lists!$H$2:$H$258, K607) &gt; 0,"indigenous",IF(COUNTIF(lists!$G$2:$G$258, K607) &gt; 0,"cross.bred","not found")),"NA")</f>
        <v>NA</v>
      </c>
      <c r="N607" t="str">
        <f>IF(J607="Goat",IF(COUNTIF(lists!$J$2:$J$258, K607) &gt; 0,"indigenous",IF(COUNTIF(lists!$I$2:$I$258, K607) &gt; 0,"cross.bred","not found")),"NA")</f>
        <v>not found</v>
      </c>
      <c r="O607" s="9" t="s">
        <v>109</v>
      </c>
      <c r="P607" s="9" t="s">
        <v>110</v>
      </c>
      <c r="S607" s="9">
        <v>126.6</v>
      </c>
      <c r="T607" s="9">
        <v>62.9</v>
      </c>
      <c r="U607" s="9">
        <v>113.3</v>
      </c>
      <c r="V607" s="9">
        <v>927.5</v>
      </c>
      <c r="W607" s="9">
        <v>30.8</v>
      </c>
      <c r="X607" s="9">
        <v>483.2</v>
      </c>
      <c r="Y607" s="9" t="s">
        <v>106</v>
      </c>
      <c r="Z607" s="37"/>
      <c r="AA607" s="37"/>
      <c r="AB607" s="37"/>
      <c r="AE607"/>
    </row>
    <row r="608" spans="1:31" hidden="1">
      <c r="A608" s="9" t="s">
        <v>927</v>
      </c>
      <c r="B608" s="9" t="s">
        <v>933</v>
      </c>
      <c r="C608" s="9" t="s">
        <v>105</v>
      </c>
      <c r="D608" s="9">
        <v>0.48905999999999999</v>
      </c>
      <c r="E608" s="9">
        <v>2.2000000000000002</v>
      </c>
      <c r="F608" s="9" t="s">
        <v>106</v>
      </c>
      <c r="G608" s="9" t="s">
        <v>106</v>
      </c>
      <c r="H608" s="9" t="s">
        <v>106</v>
      </c>
      <c r="J608" s="9" t="s">
        <v>116</v>
      </c>
      <c r="K608" s="9" t="s">
        <v>212</v>
      </c>
      <c r="L608" t="str">
        <f>IF(OR(J608="Cattle",J608="Zebu Cattle"),IF(COUNTIF(lists!$M$2:$M$258, K608) &gt; 0,"bos.indicus",IF(COUNTIF(lists!$L$2:$L$258, K608) &gt; 0,"cross.bred","pure.bred.exotic")),"NA")</f>
        <v>NA</v>
      </c>
      <c r="M608" t="str">
        <f>IF(J608="Sheep",IF(COUNTIF(lists!$H$2:$H$258, K608) &gt; 0,"indigenous",IF(COUNTIF(lists!$G$2:$G$258, K608) &gt; 0,"cross.bred","not found")),"NA")</f>
        <v>NA</v>
      </c>
      <c r="N608" t="str">
        <f>IF(J608="Goat",IF(COUNTIF(lists!$J$2:$J$258, K608) &gt; 0,"indigenous",IF(COUNTIF(lists!$I$2:$I$258, K608) &gt; 0,"cross.bred","not found")),"NA")</f>
        <v>not found</v>
      </c>
      <c r="O608" s="9" t="s">
        <v>109</v>
      </c>
      <c r="P608" s="9" t="s">
        <v>110</v>
      </c>
      <c r="S608" s="9">
        <v>146.68</v>
      </c>
      <c r="T608" s="9">
        <v>41.8</v>
      </c>
      <c r="U608" s="9">
        <v>77.400000000000006</v>
      </c>
      <c r="V608" s="9">
        <v>928</v>
      </c>
      <c r="W608" s="9">
        <v>31.6</v>
      </c>
      <c r="X608" s="9">
        <v>529.9</v>
      </c>
      <c r="Y608" s="9" t="s">
        <v>106</v>
      </c>
      <c r="Z608" s="37"/>
      <c r="AA608" s="37"/>
      <c r="AB608" s="37"/>
      <c r="AE608"/>
    </row>
    <row r="609" spans="1:31" hidden="1">
      <c r="A609" s="9" t="s">
        <v>941</v>
      </c>
      <c r="B609" s="9" t="s">
        <v>942</v>
      </c>
      <c r="C609" s="9" t="s">
        <v>105</v>
      </c>
      <c r="D609" s="9">
        <v>0.38889999999999902</v>
      </c>
      <c r="E609" s="9">
        <v>13.05</v>
      </c>
      <c r="F609" s="9" t="s">
        <v>106</v>
      </c>
      <c r="G609" s="9" t="s">
        <v>106</v>
      </c>
      <c r="H609" s="9" t="s">
        <v>106</v>
      </c>
      <c r="J609" s="9" t="s">
        <v>116</v>
      </c>
      <c r="K609" s="9" t="s">
        <v>117</v>
      </c>
      <c r="L609" t="str">
        <f>IF(OR(J609="Cattle",J609="Zebu Cattle"),IF(COUNTIF(lists!$M$2:$M$258, K609) &gt; 0,"bos.indicus",IF(COUNTIF(lists!$L$2:$L$258, K609) &gt; 0,"cross.bred","pure.bred.exotic")),"NA")</f>
        <v>NA</v>
      </c>
      <c r="M609" t="str">
        <f>IF(J609="Sheep",IF(COUNTIF(lists!$H$2:$H$258, K609) &gt; 0,"indigenous",IF(COUNTIF(lists!$G$2:$G$258, K609) &gt; 0,"cross.bred","not found")),"NA")</f>
        <v>NA</v>
      </c>
      <c r="N609" t="str">
        <f>IF(J609="Goat",IF(COUNTIF(lists!$J$2:$J$258, K609) &gt; 0,"indigenous",IF(COUNTIF(lists!$I$2:$I$258, K609) &gt; 0,"cross.bred","not found")),"NA")</f>
        <v>indigenous</v>
      </c>
      <c r="O609" s="9" t="s">
        <v>109</v>
      </c>
      <c r="P609" s="9" t="s">
        <v>373</v>
      </c>
      <c r="S609" s="9" t="s">
        <v>106</v>
      </c>
      <c r="T609" s="9" t="s">
        <v>106</v>
      </c>
      <c r="U609" s="9" t="s">
        <v>106</v>
      </c>
      <c r="V609" s="9" t="s">
        <v>106</v>
      </c>
      <c r="W609" s="9" t="s">
        <v>106</v>
      </c>
      <c r="X609" s="9" t="s">
        <v>106</v>
      </c>
      <c r="Y609" s="9" t="s">
        <v>106</v>
      </c>
      <c r="Z609" s="37"/>
      <c r="AA609" s="37"/>
      <c r="AB609" s="37"/>
      <c r="AE609"/>
    </row>
    <row r="610" spans="1:31" hidden="1">
      <c r="A610" s="9" t="s">
        <v>941</v>
      </c>
      <c r="B610" s="9" t="s">
        <v>943</v>
      </c>
      <c r="C610" s="9" t="s">
        <v>105</v>
      </c>
      <c r="D610" s="9">
        <v>0.47910000000000003</v>
      </c>
      <c r="E610" s="9">
        <v>13.05</v>
      </c>
      <c r="F610" s="9" t="s">
        <v>106</v>
      </c>
      <c r="G610" s="9" t="s">
        <v>106</v>
      </c>
      <c r="H610" s="9" t="s">
        <v>106</v>
      </c>
      <c r="J610" s="9" t="s">
        <v>116</v>
      </c>
      <c r="K610" s="9" t="s">
        <v>117</v>
      </c>
      <c r="L610" t="str">
        <f>IF(OR(J610="Cattle",J610="Zebu Cattle"),IF(COUNTIF(lists!$M$2:$M$258, K610) &gt; 0,"bos.indicus",IF(COUNTIF(lists!$L$2:$L$258, K610) &gt; 0,"cross.bred","pure.bred.exotic")),"NA")</f>
        <v>NA</v>
      </c>
      <c r="M610" t="str">
        <f>IF(J610="Sheep",IF(COUNTIF(lists!$H$2:$H$258, K610) &gt; 0,"indigenous",IF(COUNTIF(lists!$G$2:$G$258, K610) &gt; 0,"cross.bred","not found")),"NA")</f>
        <v>NA</v>
      </c>
      <c r="N610" t="str">
        <f>IF(J610="Goat",IF(COUNTIF(lists!$J$2:$J$258, K610) &gt; 0,"indigenous",IF(COUNTIF(lists!$I$2:$I$258, K610) &gt; 0,"cross.bred","not found")),"NA")</f>
        <v>indigenous</v>
      </c>
      <c r="O610" s="9" t="s">
        <v>109</v>
      </c>
      <c r="P610" s="9" t="s">
        <v>373</v>
      </c>
      <c r="S610" s="9" t="s">
        <v>106</v>
      </c>
      <c r="T610" s="9" t="s">
        <v>106</v>
      </c>
      <c r="U610" s="9" t="s">
        <v>106</v>
      </c>
      <c r="V610" s="9" t="s">
        <v>106</v>
      </c>
      <c r="W610" s="9" t="s">
        <v>106</v>
      </c>
      <c r="X610" s="9" t="s">
        <v>106</v>
      </c>
      <c r="Y610" s="9" t="s">
        <v>106</v>
      </c>
      <c r="Z610" s="37"/>
      <c r="AA610" s="37"/>
      <c r="AB610" s="37"/>
      <c r="AE610"/>
    </row>
    <row r="611" spans="1:31" hidden="1">
      <c r="A611" s="9" t="s">
        <v>941</v>
      </c>
      <c r="B611" s="9" t="s">
        <v>944</v>
      </c>
      <c r="C611" s="9" t="s">
        <v>105</v>
      </c>
      <c r="D611" s="9">
        <v>0.50149999999999995</v>
      </c>
      <c r="E611" s="9">
        <v>13.05</v>
      </c>
      <c r="F611" s="9" t="s">
        <v>106</v>
      </c>
      <c r="G611" s="9" t="s">
        <v>106</v>
      </c>
      <c r="H611" s="9" t="s">
        <v>106</v>
      </c>
      <c r="J611" s="9" t="s">
        <v>116</v>
      </c>
      <c r="K611" s="9" t="s">
        <v>117</v>
      </c>
      <c r="L611" t="str">
        <f>IF(OR(J611="Cattle",J611="Zebu Cattle"),IF(COUNTIF(lists!$M$2:$M$258, K611) &gt; 0,"bos.indicus",IF(COUNTIF(lists!$L$2:$L$258, K611) &gt; 0,"cross.bred","pure.bred.exotic")),"NA")</f>
        <v>NA</v>
      </c>
      <c r="M611" t="str">
        <f>IF(J611="Sheep",IF(COUNTIF(lists!$H$2:$H$258, K611) &gt; 0,"indigenous",IF(COUNTIF(lists!$G$2:$G$258, K611) &gt; 0,"cross.bred","not found")),"NA")</f>
        <v>NA</v>
      </c>
      <c r="N611" t="str">
        <f>IF(J611="Goat",IF(COUNTIF(lists!$J$2:$J$258, K611) &gt; 0,"indigenous",IF(COUNTIF(lists!$I$2:$I$258, K611) &gt; 0,"cross.bred","not found")),"NA")</f>
        <v>indigenous</v>
      </c>
      <c r="O611" s="9" t="s">
        <v>109</v>
      </c>
      <c r="P611" s="9" t="s">
        <v>373</v>
      </c>
      <c r="S611" s="9" t="s">
        <v>106</v>
      </c>
      <c r="T611" s="9" t="s">
        <v>106</v>
      </c>
      <c r="U611" s="9" t="s">
        <v>106</v>
      </c>
      <c r="V611" s="9" t="s">
        <v>106</v>
      </c>
      <c r="W611" s="9" t="s">
        <v>106</v>
      </c>
      <c r="X611" s="9" t="s">
        <v>106</v>
      </c>
      <c r="Y611" s="9" t="s">
        <v>106</v>
      </c>
      <c r="Z611" s="37"/>
      <c r="AA611" s="37"/>
      <c r="AB611" s="37"/>
      <c r="AE611"/>
    </row>
    <row r="612" spans="1:31" hidden="1">
      <c r="A612" s="9" t="s">
        <v>941</v>
      </c>
      <c r="B612" s="9" t="s">
        <v>945</v>
      </c>
      <c r="C612" s="9" t="s">
        <v>105</v>
      </c>
      <c r="D612" s="9">
        <v>0.4451</v>
      </c>
      <c r="E612" s="9">
        <v>13.05</v>
      </c>
      <c r="F612" s="9" t="s">
        <v>106</v>
      </c>
      <c r="G612" s="9" t="s">
        <v>106</v>
      </c>
      <c r="H612" s="9" t="s">
        <v>106</v>
      </c>
      <c r="J612" s="9" t="s">
        <v>116</v>
      </c>
      <c r="K612" s="9" t="s">
        <v>117</v>
      </c>
      <c r="L612" t="str">
        <f>IF(OR(J612="Cattle",J612="Zebu Cattle"),IF(COUNTIF(lists!$M$2:$M$258, K612) &gt; 0,"bos.indicus",IF(COUNTIF(lists!$L$2:$L$258, K612) &gt; 0,"cross.bred","pure.bred.exotic")),"NA")</f>
        <v>NA</v>
      </c>
      <c r="M612" t="str">
        <f>IF(J612="Sheep",IF(COUNTIF(lists!$H$2:$H$258, K612) &gt; 0,"indigenous",IF(COUNTIF(lists!$G$2:$G$258, K612) &gt; 0,"cross.bred","not found")),"NA")</f>
        <v>NA</v>
      </c>
      <c r="N612" t="str">
        <f>IF(J612="Goat",IF(COUNTIF(lists!$J$2:$J$258, K612) &gt; 0,"indigenous",IF(COUNTIF(lists!$I$2:$I$258, K612) &gt; 0,"cross.bred","not found")),"NA")</f>
        <v>indigenous</v>
      </c>
      <c r="O612" s="9" t="s">
        <v>109</v>
      </c>
      <c r="P612" s="9" t="s">
        <v>373</v>
      </c>
      <c r="S612" s="9" t="s">
        <v>106</v>
      </c>
      <c r="T612" s="9" t="s">
        <v>106</v>
      </c>
      <c r="U612" s="9" t="s">
        <v>106</v>
      </c>
      <c r="V612" s="9" t="s">
        <v>106</v>
      </c>
      <c r="W612" s="9" t="s">
        <v>106</v>
      </c>
      <c r="X612" s="9" t="s">
        <v>106</v>
      </c>
      <c r="Y612" s="9" t="s">
        <v>106</v>
      </c>
      <c r="Z612" s="37"/>
      <c r="AA612" s="37"/>
      <c r="AB612" s="37"/>
      <c r="AE612"/>
    </row>
    <row r="613" spans="1:31" hidden="1">
      <c r="A613" s="9" t="s">
        <v>946</v>
      </c>
      <c r="B613" s="9" t="s">
        <v>455</v>
      </c>
      <c r="C613" s="9" t="s">
        <v>105</v>
      </c>
      <c r="D613" s="9">
        <v>0.34720000000000001</v>
      </c>
      <c r="E613" s="9">
        <v>8.9</v>
      </c>
      <c r="F613" s="9" t="s">
        <v>106</v>
      </c>
      <c r="G613" s="9" t="s">
        <v>106</v>
      </c>
      <c r="H613" s="9" t="s">
        <v>106</v>
      </c>
      <c r="J613" s="9" t="s">
        <v>116</v>
      </c>
      <c r="K613" s="9" t="s">
        <v>947</v>
      </c>
      <c r="L613" t="str">
        <f>IF(OR(J613="Cattle",J613="Zebu Cattle"),IF(COUNTIF(lists!$M$2:$M$258, K613) &gt; 0,"bos.indicus",IF(COUNTIF(lists!$L$2:$L$258, K613) &gt; 0,"cross.bred","pure.bred.exotic")),"NA")</f>
        <v>NA</v>
      </c>
      <c r="M613" t="str">
        <f>IF(J613="Sheep",IF(COUNTIF(lists!$H$2:$H$258, K613) &gt; 0,"indigenous",IF(COUNTIF(lists!$G$2:$G$258, K613) &gt; 0,"cross.bred","not found")),"NA")</f>
        <v>NA</v>
      </c>
      <c r="N613" t="str">
        <f>IF(J613="Goat",IF(COUNTIF(lists!$J$2:$J$258, K613) &gt; 0,"indigenous",IF(COUNTIF(lists!$I$2:$I$258, K613) &gt; 0,"cross.bred","not found")),"NA")</f>
        <v>not found</v>
      </c>
      <c r="O613" s="9" t="s">
        <v>124</v>
      </c>
      <c r="P613" s="9" t="s">
        <v>373</v>
      </c>
      <c r="S613" s="9">
        <v>341</v>
      </c>
      <c r="T613" s="9">
        <v>68</v>
      </c>
      <c r="U613" s="9">
        <v>41</v>
      </c>
      <c r="V613" s="9">
        <v>877</v>
      </c>
      <c r="W613" s="9" t="s">
        <v>106</v>
      </c>
      <c r="X613" s="9">
        <v>570</v>
      </c>
      <c r="Y613" s="9" t="s">
        <v>106</v>
      </c>
      <c r="Z613" s="37"/>
      <c r="AA613" s="37"/>
      <c r="AB613" s="37"/>
      <c r="AE613"/>
    </row>
    <row r="614" spans="1:31" hidden="1">
      <c r="A614" s="9" t="s">
        <v>946</v>
      </c>
      <c r="B614" s="9" t="s">
        <v>948</v>
      </c>
      <c r="C614" s="9" t="s">
        <v>105</v>
      </c>
      <c r="D614" s="9">
        <v>0.62509999999999999</v>
      </c>
      <c r="E614" s="9">
        <v>21.5</v>
      </c>
      <c r="F614" s="9" t="s">
        <v>106</v>
      </c>
      <c r="G614" s="9" t="s">
        <v>106</v>
      </c>
      <c r="H614" s="9" t="s">
        <v>106</v>
      </c>
      <c r="J614" s="9" t="s">
        <v>116</v>
      </c>
      <c r="K614" s="9" t="s">
        <v>947</v>
      </c>
      <c r="L614" t="str">
        <f>IF(OR(J614="Cattle",J614="Zebu Cattle"),IF(COUNTIF(lists!$M$2:$M$258, K614) &gt; 0,"bos.indicus",IF(COUNTIF(lists!$L$2:$L$258, K614) &gt; 0,"cross.bred","pure.bred.exotic")),"NA")</f>
        <v>NA</v>
      </c>
      <c r="M614" t="str">
        <f>IF(J614="Sheep",IF(COUNTIF(lists!$H$2:$H$258, K614) &gt; 0,"indigenous",IF(COUNTIF(lists!$G$2:$G$258, K614) &gt; 0,"cross.bred","not found")),"NA")</f>
        <v>NA</v>
      </c>
      <c r="N614" t="str">
        <f>IF(J614="Goat",IF(COUNTIF(lists!$J$2:$J$258, K614) &gt; 0,"indigenous",IF(COUNTIF(lists!$I$2:$I$258, K614) &gt; 0,"cross.bred","not found")),"NA")</f>
        <v>not found</v>
      </c>
      <c r="O614" s="9" t="s">
        <v>124</v>
      </c>
      <c r="P614" s="9" t="s">
        <v>373</v>
      </c>
      <c r="S614" s="9">
        <v>134</v>
      </c>
      <c r="T614" s="9">
        <v>191</v>
      </c>
      <c r="U614" s="9">
        <v>132</v>
      </c>
      <c r="V614" s="9">
        <v>859</v>
      </c>
      <c r="W614" s="9" t="s">
        <v>106</v>
      </c>
      <c r="X614" s="9">
        <v>277</v>
      </c>
      <c r="Y614" s="9" t="s">
        <v>106</v>
      </c>
      <c r="Z614" s="37"/>
      <c r="AA614" s="37"/>
      <c r="AB614" s="37"/>
      <c r="AE614"/>
    </row>
    <row r="615" spans="1:31" hidden="1">
      <c r="A615" s="9" t="s">
        <v>946</v>
      </c>
      <c r="B615" s="9" t="s">
        <v>949</v>
      </c>
      <c r="C615" s="9" t="s">
        <v>105</v>
      </c>
      <c r="D615" s="9">
        <v>0.50329999999999997</v>
      </c>
      <c r="E615" s="9">
        <v>16.3</v>
      </c>
      <c r="F615" s="9" t="s">
        <v>106</v>
      </c>
      <c r="G615" s="9" t="s">
        <v>106</v>
      </c>
      <c r="H615" s="9" t="s">
        <v>106</v>
      </c>
      <c r="J615" s="9" t="s">
        <v>116</v>
      </c>
      <c r="K615" s="9" t="s">
        <v>947</v>
      </c>
      <c r="L615" t="str">
        <f>IF(OR(J615="Cattle",J615="Zebu Cattle"),IF(COUNTIF(lists!$M$2:$M$258, K615) &gt; 0,"bos.indicus",IF(COUNTIF(lists!$L$2:$L$258, K615) &gt; 0,"cross.bred","pure.bred.exotic")),"NA")</f>
        <v>NA</v>
      </c>
      <c r="M615" t="str">
        <f>IF(J615="Sheep",IF(COUNTIF(lists!$H$2:$H$258, K615) &gt; 0,"indigenous",IF(COUNTIF(lists!$G$2:$G$258, K615) &gt; 0,"cross.bred","not found")),"NA")</f>
        <v>NA</v>
      </c>
      <c r="N615" t="str">
        <f>IF(J615="Goat",IF(COUNTIF(lists!$J$2:$J$258, K615) &gt; 0,"indigenous",IF(COUNTIF(lists!$I$2:$I$258, K615) &gt; 0,"cross.bred","not found")),"NA")</f>
        <v>not found</v>
      </c>
      <c r="O615" s="9" t="s">
        <v>124</v>
      </c>
      <c r="P615" s="9" t="s">
        <v>373</v>
      </c>
      <c r="S615" s="9">
        <v>114</v>
      </c>
      <c r="T615" s="9">
        <v>193</v>
      </c>
      <c r="U615" s="9">
        <v>126</v>
      </c>
      <c r="V615" s="9">
        <v>844</v>
      </c>
      <c r="W615" s="9" t="s">
        <v>106</v>
      </c>
      <c r="X615" s="9">
        <v>253</v>
      </c>
      <c r="Y615" s="9" t="s">
        <v>106</v>
      </c>
      <c r="Z615" s="37"/>
      <c r="AA615" s="37"/>
      <c r="AB615" s="37"/>
      <c r="AE615"/>
    </row>
    <row r="616" spans="1:31" hidden="1">
      <c r="A616" s="9" t="s">
        <v>946</v>
      </c>
      <c r="B616" s="9" t="s">
        <v>950</v>
      </c>
      <c r="C616" s="9" t="s">
        <v>105</v>
      </c>
      <c r="D616" s="9">
        <v>0.56520000000000004</v>
      </c>
      <c r="E616" s="9">
        <v>20.9</v>
      </c>
      <c r="F616" s="9" t="s">
        <v>106</v>
      </c>
      <c r="G616" s="9" t="s">
        <v>106</v>
      </c>
      <c r="H616" s="9" t="s">
        <v>106</v>
      </c>
      <c r="J616" s="9" t="s">
        <v>116</v>
      </c>
      <c r="K616" s="9" t="s">
        <v>947</v>
      </c>
      <c r="L616" t="str">
        <f>IF(OR(J616="Cattle",J616="Zebu Cattle"),IF(COUNTIF(lists!$M$2:$M$258, K616) &gt; 0,"bos.indicus",IF(COUNTIF(lists!$L$2:$L$258, K616) &gt; 0,"cross.bred","pure.bred.exotic")),"NA")</f>
        <v>NA</v>
      </c>
      <c r="M616" t="str">
        <f>IF(J616="Sheep",IF(COUNTIF(lists!$H$2:$H$258, K616) &gt; 0,"indigenous",IF(COUNTIF(lists!$G$2:$G$258, K616) &gt; 0,"cross.bred","not found")),"NA")</f>
        <v>NA</v>
      </c>
      <c r="N616" t="str">
        <f>IF(J616="Goat",IF(COUNTIF(lists!$J$2:$J$258, K616) &gt; 0,"indigenous",IF(COUNTIF(lists!$I$2:$I$258, K616) &gt; 0,"cross.bred","not found")),"NA")</f>
        <v>not found</v>
      </c>
      <c r="O616" s="9" t="s">
        <v>124</v>
      </c>
      <c r="P616" s="9" t="s">
        <v>373</v>
      </c>
      <c r="S616" s="9">
        <v>192</v>
      </c>
      <c r="T616" s="9">
        <v>165</v>
      </c>
      <c r="U616" s="9">
        <v>262</v>
      </c>
      <c r="V616" s="9">
        <v>835</v>
      </c>
      <c r="W616" s="9" t="s">
        <v>106</v>
      </c>
      <c r="X616" s="9">
        <v>285</v>
      </c>
      <c r="Y616" s="9" t="s">
        <v>106</v>
      </c>
      <c r="Z616" s="37"/>
      <c r="AA616" s="37"/>
      <c r="AB616" s="37"/>
      <c r="AE616"/>
    </row>
    <row r="617" spans="1:31" hidden="1">
      <c r="A617" s="9" t="s">
        <v>958</v>
      </c>
      <c r="B617" s="9" t="s">
        <v>959</v>
      </c>
      <c r="C617" s="9" t="s">
        <v>105</v>
      </c>
      <c r="D617" s="9">
        <v>3.5499999999999898E-3</v>
      </c>
      <c r="E617" s="9" t="s">
        <v>106</v>
      </c>
      <c r="F617" s="9" t="s">
        <v>106</v>
      </c>
      <c r="G617" s="9" t="s">
        <v>106</v>
      </c>
      <c r="H617" s="9" t="s">
        <v>106</v>
      </c>
      <c r="J617" s="9" t="s">
        <v>116</v>
      </c>
      <c r="K617" s="9" t="s">
        <v>960</v>
      </c>
      <c r="L617" t="str">
        <f>IF(OR(J617="Cattle",J617="Zebu Cattle"),IF(COUNTIF(lists!$M$2:$M$258, K617) &gt; 0,"bos.indicus",IF(COUNTIF(lists!$L$2:$L$258, K617) &gt; 0,"cross.bred","pure.bred.exotic")),"NA")</f>
        <v>NA</v>
      </c>
      <c r="M617" t="str">
        <f>IF(J617="Sheep",IF(COUNTIF(lists!$H$2:$H$258, K617) &gt; 0,"indigenous",IF(COUNTIF(lists!$G$2:$G$258, K617) &gt; 0,"cross.bred","not found")),"NA")</f>
        <v>NA</v>
      </c>
      <c r="N617" t="str">
        <f>IF(J617="Goat",IF(COUNTIF(lists!$J$2:$J$258, K617) &gt; 0,"indigenous",IF(COUNTIF(lists!$I$2:$I$258, K617) &gt; 0,"cross.bred","not found")),"NA")</f>
        <v>not found</v>
      </c>
      <c r="O617" s="9" t="s">
        <v>180</v>
      </c>
      <c r="P617" s="9" t="s">
        <v>170</v>
      </c>
      <c r="S617" s="9" t="s">
        <v>106</v>
      </c>
      <c r="T617" s="9" t="s">
        <v>106</v>
      </c>
      <c r="U617" s="9" t="s">
        <v>106</v>
      </c>
      <c r="V617" s="9" t="s">
        <v>106</v>
      </c>
      <c r="W617" s="9" t="s">
        <v>106</v>
      </c>
      <c r="X617" s="9" t="s">
        <v>106</v>
      </c>
      <c r="Y617" s="9" t="s">
        <v>106</v>
      </c>
      <c r="Z617" s="37"/>
      <c r="AA617" s="37"/>
      <c r="AB617" s="37"/>
      <c r="AE617"/>
    </row>
    <row r="618" spans="1:31" hidden="1">
      <c r="A618" s="9" t="s">
        <v>958</v>
      </c>
      <c r="B618" s="9" t="s">
        <v>961</v>
      </c>
      <c r="C618" s="9" t="s">
        <v>105</v>
      </c>
      <c r="D618" s="9">
        <v>3.63E-3</v>
      </c>
      <c r="E618" s="9" t="s">
        <v>106</v>
      </c>
      <c r="F618" s="9" t="s">
        <v>106</v>
      </c>
      <c r="G618" s="9" t="s">
        <v>106</v>
      </c>
      <c r="H618" s="9" t="s">
        <v>106</v>
      </c>
      <c r="J618" s="9" t="s">
        <v>116</v>
      </c>
      <c r="K618" s="9" t="s">
        <v>960</v>
      </c>
      <c r="L618" t="str">
        <f>IF(OR(J618="Cattle",J618="Zebu Cattle"),IF(COUNTIF(lists!$M$2:$M$258, K618) &gt; 0,"bos.indicus",IF(COUNTIF(lists!$L$2:$L$258, K618) &gt; 0,"cross.bred","pure.bred.exotic")),"NA")</f>
        <v>NA</v>
      </c>
      <c r="M618" t="str">
        <f>IF(J618="Sheep",IF(COUNTIF(lists!$H$2:$H$258, K618) &gt; 0,"indigenous",IF(COUNTIF(lists!$G$2:$G$258, K618) &gt; 0,"cross.bred","not found")),"NA")</f>
        <v>NA</v>
      </c>
      <c r="N618" t="str">
        <f>IF(J618="Goat",IF(COUNTIF(lists!$J$2:$J$258, K618) &gt; 0,"indigenous",IF(COUNTIF(lists!$I$2:$I$258, K618) &gt; 0,"cross.bred","not found")),"NA")</f>
        <v>not found</v>
      </c>
      <c r="O618" s="9" t="s">
        <v>180</v>
      </c>
      <c r="P618" s="9" t="s">
        <v>170</v>
      </c>
      <c r="S618" s="9" t="s">
        <v>106</v>
      </c>
      <c r="T618" s="9" t="s">
        <v>106</v>
      </c>
      <c r="U618" s="9" t="s">
        <v>106</v>
      </c>
      <c r="V618" s="9" t="s">
        <v>106</v>
      </c>
      <c r="W618" s="9" t="s">
        <v>106</v>
      </c>
      <c r="X618" s="9" t="s">
        <v>106</v>
      </c>
      <c r="Y618" s="9" t="s">
        <v>106</v>
      </c>
      <c r="Z618" s="37"/>
      <c r="AA618" s="37"/>
      <c r="AB618" s="37"/>
      <c r="AE618"/>
    </row>
    <row r="619" spans="1:31" hidden="1">
      <c r="A619" s="9" t="s">
        <v>958</v>
      </c>
      <c r="B619" s="9" t="s">
        <v>962</v>
      </c>
      <c r="C619" s="9" t="s">
        <v>105</v>
      </c>
      <c r="D619" s="9">
        <v>3.5000000000000001E-3</v>
      </c>
      <c r="E619" s="9" t="s">
        <v>106</v>
      </c>
      <c r="F619" s="9" t="s">
        <v>106</v>
      </c>
      <c r="G619" s="9" t="s">
        <v>106</v>
      </c>
      <c r="H619" s="9" t="s">
        <v>106</v>
      </c>
      <c r="J619" s="9" t="s">
        <v>116</v>
      </c>
      <c r="K619" s="9" t="s">
        <v>960</v>
      </c>
      <c r="L619" t="str">
        <f>IF(OR(J619="Cattle",J619="Zebu Cattle"),IF(COUNTIF(lists!$M$2:$M$258, K619) &gt; 0,"bos.indicus",IF(COUNTIF(lists!$L$2:$L$258, K619) &gt; 0,"cross.bred","pure.bred.exotic")),"NA")</f>
        <v>NA</v>
      </c>
      <c r="M619" t="str">
        <f>IF(J619="Sheep",IF(COUNTIF(lists!$H$2:$H$258, K619) &gt; 0,"indigenous",IF(COUNTIF(lists!$G$2:$G$258, K619) &gt; 0,"cross.bred","not found")),"NA")</f>
        <v>NA</v>
      </c>
      <c r="N619" t="str">
        <f>IF(J619="Goat",IF(COUNTIF(lists!$J$2:$J$258, K619) &gt; 0,"indigenous",IF(COUNTIF(lists!$I$2:$I$258, K619) &gt; 0,"cross.bred","not found")),"NA")</f>
        <v>not found</v>
      </c>
      <c r="O619" s="9" t="s">
        <v>180</v>
      </c>
      <c r="P619" s="9" t="s">
        <v>170</v>
      </c>
      <c r="S619" s="9" t="s">
        <v>106</v>
      </c>
      <c r="T619" s="9" t="s">
        <v>106</v>
      </c>
      <c r="U619" s="9" t="s">
        <v>106</v>
      </c>
      <c r="V619" s="9" t="s">
        <v>106</v>
      </c>
      <c r="W619" s="9" t="s">
        <v>106</v>
      </c>
      <c r="X619" s="9" t="s">
        <v>106</v>
      </c>
      <c r="Y619" s="9" t="s">
        <v>106</v>
      </c>
      <c r="Z619" s="37"/>
      <c r="AA619" s="37"/>
      <c r="AB619" s="37"/>
      <c r="AE619"/>
    </row>
    <row r="620" spans="1:31" hidden="1">
      <c r="A620" s="9" t="s">
        <v>958</v>
      </c>
      <c r="B620" s="9" t="s">
        <v>963</v>
      </c>
      <c r="C620" s="9" t="s">
        <v>105</v>
      </c>
      <c r="D620" s="9">
        <v>3.5899999999999999E-3</v>
      </c>
      <c r="E620" s="9" t="s">
        <v>106</v>
      </c>
      <c r="F620" s="9" t="s">
        <v>106</v>
      </c>
      <c r="G620" s="9" t="s">
        <v>106</v>
      </c>
      <c r="H620" s="9" t="s">
        <v>106</v>
      </c>
      <c r="J620" s="9" t="s">
        <v>116</v>
      </c>
      <c r="K620" s="9" t="s">
        <v>960</v>
      </c>
      <c r="L620" t="str">
        <f>IF(OR(J620="Cattle",J620="Zebu Cattle"),IF(COUNTIF(lists!$M$2:$M$258, K620) &gt; 0,"bos.indicus",IF(COUNTIF(lists!$L$2:$L$258, K620) &gt; 0,"cross.bred","pure.bred.exotic")),"NA")</f>
        <v>NA</v>
      </c>
      <c r="M620" t="str">
        <f>IF(J620="Sheep",IF(COUNTIF(lists!$H$2:$H$258, K620) &gt; 0,"indigenous",IF(COUNTIF(lists!$G$2:$G$258, K620) &gt; 0,"cross.bred","not found")),"NA")</f>
        <v>NA</v>
      </c>
      <c r="N620" t="str">
        <f>IF(J620="Goat",IF(COUNTIF(lists!$J$2:$J$258, K620) &gt; 0,"indigenous",IF(COUNTIF(lists!$I$2:$I$258, K620) &gt; 0,"cross.bred","not found")),"NA")</f>
        <v>not found</v>
      </c>
      <c r="O620" s="9" t="s">
        <v>180</v>
      </c>
      <c r="P620" s="9" t="s">
        <v>170</v>
      </c>
      <c r="S620" s="9" t="s">
        <v>106</v>
      </c>
      <c r="T620" s="9" t="s">
        <v>106</v>
      </c>
      <c r="U620" s="9" t="s">
        <v>106</v>
      </c>
      <c r="V620" s="9" t="s">
        <v>106</v>
      </c>
      <c r="W620" s="9" t="s">
        <v>106</v>
      </c>
      <c r="X620" s="9" t="s">
        <v>106</v>
      </c>
      <c r="Y620" s="9" t="s">
        <v>106</v>
      </c>
      <c r="Z620" s="37"/>
      <c r="AA620" s="37"/>
      <c r="AB620" s="37"/>
      <c r="AE620"/>
    </row>
    <row r="621" spans="1:31" hidden="1">
      <c r="A621" s="9" t="s">
        <v>994</v>
      </c>
      <c r="B621" s="9" t="s">
        <v>995</v>
      </c>
      <c r="C621" s="9" t="s">
        <v>105</v>
      </c>
      <c r="D621" s="9">
        <v>0.60560000000000003</v>
      </c>
      <c r="E621" s="9" t="s">
        <v>106</v>
      </c>
      <c r="F621" s="9" t="s">
        <v>106</v>
      </c>
      <c r="G621" s="9" t="s">
        <v>106</v>
      </c>
      <c r="H621" s="9" t="s">
        <v>106</v>
      </c>
      <c r="J621" s="9" t="s">
        <v>116</v>
      </c>
      <c r="K621" s="9" t="s">
        <v>524</v>
      </c>
      <c r="L621" t="str">
        <f>IF(OR(J621="Cattle",J621="Zebu Cattle"),IF(COUNTIF(lists!$M$2:$M$258, K621) &gt; 0,"bos.indicus",IF(COUNTIF(lists!$L$2:$L$258, K621) &gt; 0,"cross.bred","pure.bred.exotic")),"NA")</f>
        <v>NA</v>
      </c>
      <c r="M621" t="str">
        <f>IF(J621="Sheep",IF(COUNTIF(lists!$H$2:$H$258, K621) &gt; 0,"indigenous",IF(COUNTIF(lists!$G$2:$G$258, K621) &gt; 0,"cross.bred","not found")),"NA")</f>
        <v>NA</v>
      </c>
      <c r="N621" t="str">
        <f>IF(J621="Goat",IF(COUNTIF(lists!$J$2:$J$258, K621) &gt; 0,"indigenous",IF(COUNTIF(lists!$I$2:$I$258, K621) &gt; 0,"cross.bred","not found")),"NA")</f>
        <v>not found</v>
      </c>
      <c r="O621" s="9" t="s">
        <v>109</v>
      </c>
      <c r="P621" s="9" t="s">
        <v>996</v>
      </c>
      <c r="S621" s="9">
        <v>84.6</v>
      </c>
      <c r="T621" s="9">
        <v>64.900000000000006</v>
      </c>
      <c r="U621" s="9" t="s">
        <v>106</v>
      </c>
      <c r="V621" s="9">
        <v>890.69999999999902</v>
      </c>
      <c r="W621" s="9" t="s">
        <v>106</v>
      </c>
      <c r="X621" s="9">
        <v>232.3</v>
      </c>
      <c r="Y621" s="9" t="s">
        <v>106</v>
      </c>
      <c r="Z621" s="37"/>
      <c r="AA621" s="37"/>
      <c r="AB621" s="37"/>
      <c r="AE621"/>
    </row>
    <row r="622" spans="1:31" hidden="1">
      <c r="A622" s="9" t="s">
        <v>994</v>
      </c>
      <c r="B622" s="9" t="s">
        <v>997</v>
      </c>
      <c r="C622" s="9" t="s">
        <v>105</v>
      </c>
      <c r="D622" s="9">
        <v>0.51649999999999996</v>
      </c>
      <c r="E622" s="9" t="s">
        <v>106</v>
      </c>
      <c r="F622" s="9" t="s">
        <v>106</v>
      </c>
      <c r="G622" s="9" t="s">
        <v>106</v>
      </c>
      <c r="H622" s="9" t="s">
        <v>106</v>
      </c>
      <c r="J622" s="9" t="s">
        <v>116</v>
      </c>
      <c r="K622" s="9" t="s">
        <v>524</v>
      </c>
      <c r="L622" t="str">
        <f>IF(OR(J622="Cattle",J622="Zebu Cattle"),IF(COUNTIF(lists!$M$2:$M$258, K622) &gt; 0,"bos.indicus",IF(COUNTIF(lists!$L$2:$L$258, K622) &gt; 0,"cross.bred","pure.bred.exotic")),"NA")</f>
        <v>NA</v>
      </c>
      <c r="M622" t="str">
        <f>IF(J622="Sheep",IF(COUNTIF(lists!$H$2:$H$258, K622) &gt; 0,"indigenous",IF(COUNTIF(lists!$G$2:$G$258, K622) &gt; 0,"cross.bred","not found")),"NA")</f>
        <v>NA</v>
      </c>
      <c r="N622" t="str">
        <f>IF(J622="Goat",IF(COUNTIF(lists!$J$2:$J$258, K622) &gt; 0,"indigenous",IF(COUNTIF(lists!$I$2:$I$258, K622) &gt; 0,"cross.bred","not found")),"NA")</f>
        <v>not found</v>
      </c>
      <c r="O622" s="9" t="s">
        <v>109</v>
      </c>
      <c r="P622" s="9" t="s">
        <v>996</v>
      </c>
      <c r="S622" s="9">
        <v>62.8</v>
      </c>
      <c r="T622" s="9">
        <v>49.9</v>
      </c>
      <c r="U622" s="9" t="s">
        <v>106</v>
      </c>
      <c r="V622" s="9">
        <v>837.8</v>
      </c>
      <c r="W622" s="9" t="s">
        <v>106</v>
      </c>
      <c r="X622" s="9">
        <v>197.3</v>
      </c>
      <c r="Y622" s="9" t="s">
        <v>106</v>
      </c>
      <c r="Z622" s="37"/>
      <c r="AA622" s="37"/>
      <c r="AB622" s="37"/>
      <c r="AE622"/>
    </row>
    <row r="623" spans="1:31" hidden="1">
      <c r="A623" s="9" t="s">
        <v>994</v>
      </c>
      <c r="B623" s="9" t="s">
        <v>998</v>
      </c>
      <c r="C623" s="9" t="s">
        <v>105</v>
      </c>
      <c r="D623" s="9">
        <v>0.40560000000000002</v>
      </c>
      <c r="E623" s="9" t="s">
        <v>106</v>
      </c>
      <c r="F623" s="9" t="s">
        <v>106</v>
      </c>
      <c r="G623" s="9" t="s">
        <v>106</v>
      </c>
      <c r="H623" s="9" t="s">
        <v>106</v>
      </c>
      <c r="J623" s="9" t="s">
        <v>116</v>
      </c>
      <c r="K623" s="9" t="s">
        <v>524</v>
      </c>
      <c r="L623" t="str">
        <f>IF(OR(J623="Cattle",J623="Zebu Cattle"),IF(COUNTIF(lists!$M$2:$M$258, K623) &gt; 0,"bos.indicus",IF(COUNTIF(lists!$L$2:$L$258, K623) &gt; 0,"cross.bred","pure.bred.exotic")),"NA")</f>
        <v>NA</v>
      </c>
      <c r="M623" t="str">
        <f>IF(J623="Sheep",IF(COUNTIF(lists!$H$2:$H$258, K623) &gt; 0,"indigenous",IF(COUNTIF(lists!$G$2:$G$258, K623) &gt; 0,"cross.bred","not found")),"NA")</f>
        <v>NA</v>
      </c>
      <c r="N623" t="str">
        <f>IF(J623="Goat",IF(COUNTIF(lists!$J$2:$J$258, K623) &gt; 0,"indigenous",IF(COUNTIF(lists!$I$2:$I$258, K623) &gt; 0,"cross.bred","not found")),"NA")</f>
        <v>not found</v>
      </c>
      <c r="O623" s="9" t="s">
        <v>109</v>
      </c>
      <c r="P623" s="9" t="s">
        <v>996</v>
      </c>
      <c r="S623" s="9">
        <v>87.899999999999906</v>
      </c>
      <c r="T623" s="9">
        <v>49.9</v>
      </c>
      <c r="U623" s="9" t="s">
        <v>106</v>
      </c>
      <c r="V623" s="9">
        <v>836.7</v>
      </c>
      <c r="W623" s="9" t="s">
        <v>106</v>
      </c>
      <c r="X623" s="9">
        <v>200.4</v>
      </c>
      <c r="Y623" s="9" t="s">
        <v>106</v>
      </c>
      <c r="Z623" s="37"/>
      <c r="AA623" s="37"/>
      <c r="AB623" s="37"/>
      <c r="AE623"/>
    </row>
    <row r="624" spans="1:31" hidden="1">
      <c r="A624" s="9" t="s">
        <v>994</v>
      </c>
      <c r="B624" s="9" t="s">
        <v>999</v>
      </c>
      <c r="C624" s="9" t="s">
        <v>105</v>
      </c>
      <c r="D624" s="9">
        <v>0.38250000000000001</v>
      </c>
      <c r="E624" s="9" t="s">
        <v>106</v>
      </c>
      <c r="F624" s="9" t="s">
        <v>106</v>
      </c>
      <c r="G624" s="9" t="s">
        <v>106</v>
      </c>
      <c r="H624" s="9" t="s">
        <v>106</v>
      </c>
      <c r="J624" s="9" t="s">
        <v>116</v>
      </c>
      <c r="K624" s="9" t="s">
        <v>524</v>
      </c>
      <c r="L624" t="str">
        <f>IF(OR(J624="Cattle",J624="Zebu Cattle"),IF(COUNTIF(lists!$M$2:$M$258, K624) &gt; 0,"bos.indicus",IF(COUNTIF(lists!$L$2:$L$258, K624) &gt; 0,"cross.bred","pure.bred.exotic")),"NA")</f>
        <v>NA</v>
      </c>
      <c r="M624" t="str">
        <f>IF(J624="Sheep",IF(COUNTIF(lists!$H$2:$H$258, K624) &gt; 0,"indigenous",IF(COUNTIF(lists!$G$2:$G$258, K624) &gt; 0,"cross.bred","not found")),"NA")</f>
        <v>NA</v>
      </c>
      <c r="N624" t="str">
        <f>IF(J624="Goat",IF(COUNTIF(lists!$J$2:$J$258, K624) &gt; 0,"indigenous",IF(COUNTIF(lists!$I$2:$I$258, K624) &gt; 0,"cross.bred","not found")),"NA")</f>
        <v>not found</v>
      </c>
      <c r="O624" s="9" t="s">
        <v>109</v>
      </c>
      <c r="P624" s="9" t="s">
        <v>996</v>
      </c>
      <c r="S624" s="9">
        <v>99.4</v>
      </c>
      <c r="T624" s="9">
        <v>63</v>
      </c>
      <c r="U624" s="9" t="s">
        <v>106</v>
      </c>
      <c r="V624" s="9">
        <v>864.2</v>
      </c>
      <c r="W624" s="9" t="s">
        <v>106</v>
      </c>
      <c r="X624" s="9">
        <v>174.6</v>
      </c>
      <c r="Y624" s="9" t="s">
        <v>106</v>
      </c>
      <c r="Z624" s="37"/>
      <c r="AA624" s="37"/>
      <c r="AB624" s="37"/>
      <c r="AE624"/>
    </row>
    <row r="625" spans="1:31" hidden="1">
      <c r="A625" s="9" t="s">
        <v>994</v>
      </c>
      <c r="B625" s="9" t="s">
        <v>1000</v>
      </c>
      <c r="C625" s="9" t="s">
        <v>105</v>
      </c>
      <c r="D625" s="9">
        <v>0.3448</v>
      </c>
      <c r="E625" s="9" t="s">
        <v>106</v>
      </c>
      <c r="F625" s="9" t="s">
        <v>106</v>
      </c>
      <c r="G625" s="9" t="s">
        <v>106</v>
      </c>
      <c r="H625" s="9" t="s">
        <v>106</v>
      </c>
      <c r="J625" s="9" t="s">
        <v>116</v>
      </c>
      <c r="K625" s="9" t="s">
        <v>524</v>
      </c>
      <c r="L625" t="str">
        <f>IF(OR(J625="Cattle",J625="Zebu Cattle"),IF(COUNTIF(lists!$M$2:$M$258, K625) &gt; 0,"bos.indicus",IF(COUNTIF(lists!$L$2:$L$258, K625) &gt; 0,"cross.bred","pure.bred.exotic")),"NA")</f>
        <v>NA</v>
      </c>
      <c r="M625" t="str">
        <f>IF(J625="Sheep",IF(COUNTIF(lists!$H$2:$H$258, K625) &gt; 0,"indigenous",IF(COUNTIF(lists!$G$2:$G$258, K625) &gt; 0,"cross.bred","not found")),"NA")</f>
        <v>NA</v>
      </c>
      <c r="N625" t="str">
        <f>IF(J625="Goat",IF(COUNTIF(lists!$J$2:$J$258, K625) &gt; 0,"indigenous",IF(COUNTIF(lists!$I$2:$I$258, K625) &gt; 0,"cross.bred","not found")),"NA")</f>
        <v>not found</v>
      </c>
      <c r="O625" s="9" t="s">
        <v>109</v>
      </c>
      <c r="P625" s="9" t="s">
        <v>996</v>
      </c>
      <c r="S625" s="9">
        <v>89.3</v>
      </c>
      <c r="T625" s="9">
        <v>81.899999999999906</v>
      </c>
      <c r="U625" s="9" t="s">
        <v>106</v>
      </c>
      <c r="V625" s="9">
        <v>850</v>
      </c>
      <c r="W625" s="9" t="s">
        <v>106</v>
      </c>
      <c r="X625" s="9">
        <v>164.89999999999901</v>
      </c>
      <c r="Y625" s="9" t="s">
        <v>106</v>
      </c>
      <c r="Z625" s="37"/>
      <c r="AA625" s="37"/>
      <c r="AB625" s="37"/>
      <c r="AE625"/>
    </row>
    <row r="626" spans="1:31" hidden="1">
      <c r="A626" s="9" t="s">
        <v>994</v>
      </c>
      <c r="B626" s="9" t="s">
        <v>1001</v>
      </c>
      <c r="C626" s="9" t="s">
        <v>105</v>
      </c>
      <c r="D626" s="9">
        <v>0.61699999999999999</v>
      </c>
      <c r="E626" s="9" t="s">
        <v>106</v>
      </c>
      <c r="F626" s="9" t="s">
        <v>106</v>
      </c>
      <c r="G626" s="9" t="s">
        <v>106</v>
      </c>
      <c r="H626" s="9" t="s">
        <v>106</v>
      </c>
      <c r="J626" s="9" t="s">
        <v>116</v>
      </c>
      <c r="K626" s="9" t="s">
        <v>524</v>
      </c>
      <c r="L626" t="str">
        <f>IF(OR(J626="Cattle",J626="Zebu Cattle"),IF(COUNTIF(lists!$M$2:$M$258, K626) &gt; 0,"bos.indicus",IF(COUNTIF(lists!$L$2:$L$258, K626) &gt; 0,"cross.bred","pure.bred.exotic")),"NA")</f>
        <v>NA</v>
      </c>
      <c r="M626" t="str">
        <f>IF(J626="Sheep",IF(COUNTIF(lists!$H$2:$H$258, K626) &gt; 0,"indigenous",IF(COUNTIF(lists!$G$2:$G$258, K626) &gt; 0,"cross.bred","not found")),"NA")</f>
        <v>NA</v>
      </c>
      <c r="N626" t="str">
        <f>IF(J626="Goat",IF(COUNTIF(lists!$J$2:$J$258, K626) &gt; 0,"indigenous",IF(COUNTIF(lists!$I$2:$I$258, K626) &gt; 0,"cross.bred","not found")),"NA")</f>
        <v>not found</v>
      </c>
      <c r="O626" s="9" t="s">
        <v>109</v>
      </c>
      <c r="P626" s="9" t="s">
        <v>996</v>
      </c>
      <c r="S626" s="9">
        <v>48.8</v>
      </c>
      <c r="T626" s="9">
        <v>46</v>
      </c>
      <c r="U626" s="9" t="s">
        <v>106</v>
      </c>
      <c r="V626" s="9">
        <v>814</v>
      </c>
      <c r="W626" s="9" t="s">
        <v>106</v>
      </c>
      <c r="X626" s="9">
        <v>119.7</v>
      </c>
      <c r="Y626" s="9" t="s">
        <v>106</v>
      </c>
      <c r="Z626" s="37"/>
      <c r="AA626" s="37"/>
      <c r="AB626" s="37"/>
      <c r="AE626"/>
    </row>
    <row r="627" spans="1:31" hidden="1">
      <c r="A627" s="9" t="s">
        <v>1007</v>
      </c>
      <c r="B627" s="9" t="s">
        <v>1008</v>
      </c>
      <c r="C627" s="9" t="s">
        <v>105</v>
      </c>
      <c r="D627" s="9">
        <v>0.54413999999999996</v>
      </c>
      <c r="E627" s="9">
        <v>17.89</v>
      </c>
      <c r="F627" s="9" t="s">
        <v>106</v>
      </c>
      <c r="G627" s="9" t="s">
        <v>106</v>
      </c>
      <c r="H627" s="9" t="s">
        <v>106</v>
      </c>
      <c r="J627" s="9" t="s">
        <v>116</v>
      </c>
      <c r="K627" s="9" t="s">
        <v>117</v>
      </c>
      <c r="L627" t="str">
        <f>IF(OR(J627="Cattle",J627="Zebu Cattle"),IF(COUNTIF(lists!$M$2:$M$258, K627) &gt; 0,"bos.indicus",IF(COUNTIF(lists!$L$2:$L$258, K627) &gt; 0,"cross.bred","pure.bred.exotic")),"NA")</f>
        <v>NA</v>
      </c>
      <c r="M627" t="str">
        <f>IF(J627="Sheep",IF(COUNTIF(lists!$H$2:$H$258, K627) &gt; 0,"indigenous",IF(COUNTIF(lists!$G$2:$G$258, K627) &gt; 0,"cross.bred","not found")),"NA")</f>
        <v>NA</v>
      </c>
      <c r="N627" t="str">
        <f>IF(J627="Goat",IF(COUNTIF(lists!$J$2:$J$258, K627) &gt; 0,"indigenous",IF(COUNTIF(lists!$I$2:$I$258, K627) &gt; 0,"cross.bred","not found")),"NA")</f>
        <v>indigenous</v>
      </c>
      <c r="O627" s="9" t="s">
        <v>109</v>
      </c>
      <c r="P627" s="9" t="s">
        <v>170</v>
      </c>
      <c r="S627" s="9">
        <v>389.6</v>
      </c>
      <c r="T627" s="9">
        <v>66.900000000000006</v>
      </c>
      <c r="U627" s="9">
        <v>165.79999999999899</v>
      </c>
      <c r="V627" s="9">
        <v>840.9</v>
      </c>
      <c r="W627" s="9">
        <v>172</v>
      </c>
      <c r="X627" s="9">
        <v>472.29999999999899</v>
      </c>
      <c r="Y627" s="9" t="s">
        <v>106</v>
      </c>
      <c r="Z627" s="37"/>
      <c r="AA627" s="37"/>
      <c r="AB627" s="37"/>
      <c r="AE627"/>
    </row>
    <row r="628" spans="1:31" hidden="1">
      <c r="A628" s="9" t="s">
        <v>1007</v>
      </c>
      <c r="B628" s="9" t="s">
        <v>1009</v>
      </c>
      <c r="C628" s="9" t="s">
        <v>105</v>
      </c>
      <c r="D628" s="9">
        <v>0.57042999999999999</v>
      </c>
      <c r="E628" s="9">
        <v>17.89</v>
      </c>
      <c r="F628" s="9" t="s">
        <v>106</v>
      </c>
      <c r="G628" s="9" t="s">
        <v>106</v>
      </c>
      <c r="H628" s="9" t="s">
        <v>106</v>
      </c>
      <c r="J628" s="9" t="s">
        <v>116</v>
      </c>
      <c r="K628" s="9" t="s">
        <v>117</v>
      </c>
      <c r="L628" t="str">
        <f>IF(OR(J628="Cattle",J628="Zebu Cattle"),IF(COUNTIF(lists!$M$2:$M$258, K628) &gt; 0,"bos.indicus",IF(COUNTIF(lists!$L$2:$L$258, K628) &gt; 0,"cross.bred","pure.bred.exotic")),"NA")</f>
        <v>NA</v>
      </c>
      <c r="M628" t="str">
        <f>IF(J628="Sheep",IF(COUNTIF(lists!$H$2:$H$258, K628) &gt; 0,"indigenous",IF(COUNTIF(lists!$G$2:$G$258, K628) &gt; 0,"cross.bred","not found")),"NA")</f>
        <v>NA</v>
      </c>
      <c r="N628" t="str">
        <f>IF(J628="Goat",IF(COUNTIF(lists!$J$2:$J$258, K628) &gt; 0,"indigenous",IF(COUNTIF(lists!$I$2:$I$258, K628) &gt; 0,"cross.bred","not found")),"NA")</f>
        <v>indigenous</v>
      </c>
      <c r="O628" s="9" t="s">
        <v>109</v>
      </c>
      <c r="P628" s="9" t="s">
        <v>170</v>
      </c>
      <c r="S628" s="9">
        <v>403.4</v>
      </c>
      <c r="T628" s="9">
        <v>70.7</v>
      </c>
      <c r="U628" s="9">
        <v>149.69999999999999</v>
      </c>
      <c r="V628" s="9">
        <v>866.4</v>
      </c>
      <c r="W628" s="9">
        <v>215.5</v>
      </c>
      <c r="X628" s="9">
        <v>434.5</v>
      </c>
      <c r="Y628" s="9" t="s">
        <v>106</v>
      </c>
      <c r="Z628" s="37"/>
      <c r="AA628" s="37"/>
      <c r="AB628" s="37"/>
      <c r="AE628"/>
    </row>
    <row r="629" spans="1:31" hidden="1">
      <c r="A629" s="9" t="s">
        <v>1007</v>
      </c>
      <c r="B629" s="9" t="s">
        <v>1010</v>
      </c>
      <c r="C629" s="9" t="s">
        <v>105</v>
      </c>
      <c r="D629" s="9">
        <v>0.62658000000000003</v>
      </c>
      <c r="E629" s="9">
        <v>17.89</v>
      </c>
      <c r="F629" s="9" t="s">
        <v>106</v>
      </c>
      <c r="G629" s="9" t="s">
        <v>106</v>
      </c>
      <c r="H629" s="9" t="s">
        <v>106</v>
      </c>
      <c r="J629" s="9" t="s">
        <v>116</v>
      </c>
      <c r="K629" s="9" t="s">
        <v>117</v>
      </c>
      <c r="L629" t="str">
        <f>IF(OR(J629="Cattle",J629="Zebu Cattle"),IF(COUNTIF(lists!$M$2:$M$258, K629) &gt; 0,"bos.indicus",IF(COUNTIF(lists!$L$2:$L$258, K629) &gt; 0,"cross.bred","pure.bred.exotic")),"NA")</f>
        <v>NA</v>
      </c>
      <c r="M629" t="str">
        <f>IF(J629="Sheep",IF(COUNTIF(lists!$H$2:$H$258, K629) &gt; 0,"indigenous",IF(COUNTIF(lists!$G$2:$G$258, K629) &gt; 0,"cross.bred","not found")),"NA")</f>
        <v>NA</v>
      </c>
      <c r="N629" t="str">
        <f>IF(J629="Goat",IF(COUNTIF(lists!$J$2:$J$258, K629) &gt; 0,"indigenous",IF(COUNTIF(lists!$I$2:$I$258, K629) &gt; 0,"cross.bred","not found")),"NA")</f>
        <v>indigenous</v>
      </c>
      <c r="O629" s="9" t="s">
        <v>109</v>
      </c>
      <c r="P629" s="9" t="s">
        <v>170</v>
      </c>
      <c r="S629" s="9">
        <v>416.8</v>
      </c>
      <c r="T629" s="9">
        <v>82.5</v>
      </c>
      <c r="U629" s="9">
        <v>154.30000000000001</v>
      </c>
      <c r="V629" s="9">
        <v>876.3</v>
      </c>
      <c r="W629" s="9">
        <v>176.7</v>
      </c>
      <c r="X629" s="9">
        <v>423.7</v>
      </c>
      <c r="Y629" s="9" t="s">
        <v>106</v>
      </c>
      <c r="Z629" s="37"/>
      <c r="AA629" s="37"/>
      <c r="AB629" s="37"/>
      <c r="AE629"/>
    </row>
    <row r="630" spans="1:31" hidden="1">
      <c r="A630" s="9" t="s">
        <v>1037</v>
      </c>
      <c r="B630" s="9" t="s">
        <v>952</v>
      </c>
      <c r="C630" s="9" t="s">
        <v>105</v>
      </c>
      <c r="D630" s="9">
        <v>0.28510000000000002</v>
      </c>
      <c r="E630" s="9">
        <v>14.9</v>
      </c>
      <c r="F630" s="9" t="s">
        <v>106</v>
      </c>
      <c r="G630" s="9" t="s">
        <v>106</v>
      </c>
      <c r="H630" s="9" t="s">
        <v>106</v>
      </c>
      <c r="J630" s="9" t="s">
        <v>116</v>
      </c>
      <c r="K630" s="9" t="s">
        <v>117</v>
      </c>
      <c r="L630" t="str">
        <f>IF(OR(J630="Cattle",J630="Zebu Cattle"),IF(COUNTIF(lists!$M$2:$M$258, K630) &gt; 0,"bos.indicus",IF(COUNTIF(lists!$L$2:$L$258, K630) &gt; 0,"cross.bred","pure.bred.exotic")),"NA")</f>
        <v>NA</v>
      </c>
      <c r="M630" t="str">
        <f>IF(J630="Sheep",IF(COUNTIF(lists!$H$2:$H$258, K630) &gt; 0,"indigenous",IF(COUNTIF(lists!$G$2:$G$258, K630) &gt; 0,"cross.bred","not found")),"NA")</f>
        <v>NA</v>
      </c>
      <c r="N630" t="str">
        <f>IF(J630="Goat",IF(COUNTIF(lists!$J$2:$J$258, K630) &gt; 0,"indigenous",IF(COUNTIF(lists!$I$2:$I$258, K630) &gt; 0,"cross.bred","not found")),"NA")</f>
        <v>indigenous</v>
      </c>
      <c r="O630" s="9" t="s">
        <v>109</v>
      </c>
      <c r="P630" s="9" t="s">
        <v>170</v>
      </c>
      <c r="S630" s="9">
        <v>165.39999999999901</v>
      </c>
      <c r="T630" s="9">
        <v>96.2</v>
      </c>
      <c r="U630" s="9">
        <v>188.9</v>
      </c>
      <c r="V630" s="9">
        <v>933.5</v>
      </c>
      <c r="W630" s="9">
        <v>50.5</v>
      </c>
      <c r="X630" s="9">
        <v>305.10000000000002</v>
      </c>
      <c r="Y630" s="9" t="s">
        <v>106</v>
      </c>
      <c r="Z630" s="37"/>
      <c r="AA630" s="37"/>
      <c r="AB630" s="37"/>
      <c r="AE630"/>
    </row>
    <row r="631" spans="1:31" hidden="1">
      <c r="A631" s="9" t="s">
        <v>1037</v>
      </c>
      <c r="B631" s="9" t="s">
        <v>953</v>
      </c>
      <c r="C631" s="9" t="s">
        <v>105</v>
      </c>
      <c r="D631" s="9">
        <v>0.28260000000000002</v>
      </c>
      <c r="E631" s="9">
        <v>14.9</v>
      </c>
      <c r="F631" s="9" t="s">
        <v>106</v>
      </c>
      <c r="G631" s="9" t="s">
        <v>106</v>
      </c>
      <c r="H631" s="9" t="s">
        <v>106</v>
      </c>
      <c r="J631" s="9" t="s">
        <v>116</v>
      </c>
      <c r="K631" s="9" t="s">
        <v>117</v>
      </c>
      <c r="L631" t="str">
        <f>IF(OR(J631="Cattle",J631="Zebu Cattle"),IF(COUNTIF(lists!$M$2:$M$258, K631) &gt; 0,"bos.indicus",IF(COUNTIF(lists!$L$2:$L$258, K631) &gt; 0,"cross.bred","pure.bred.exotic")),"NA")</f>
        <v>NA</v>
      </c>
      <c r="M631" t="str">
        <f>IF(J631="Sheep",IF(COUNTIF(lists!$H$2:$H$258, K631) &gt; 0,"indigenous",IF(COUNTIF(lists!$G$2:$G$258, K631) &gt; 0,"cross.bred","not found")),"NA")</f>
        <v>NA</v>
      </c>
      <c r="N631" t="str">
        <f>IF(J631="Goat",IF(COUNTIF(lists!$J$2:$J$258, K631) &gt; 0,"indigenous",IF(COUNTIF(lists!$I$2:$I$258, K631) &gt; 0,"cross.bred","not found")),"NA")</f>
        <v>indigenous</v>
      </c>
      <c r="O631" s="9" t="s">
        <v>109</v>
      </c>
      <c r="P631" s="9" t="s">
        <v>170</v>
      </c>
      <c r="S631" s="9">
        <v>178.2</v>
      </c>
      <c r="T631" s="9">
        <v>83</v>
      </c>
      <c r="U631" s="9">
        <v>184.4</v>
      </c>
      <c r="V631" s="9">
        <v>949.9</v>
      </c>
      <c r="W631" s="9">
        <v>87.5</v>
      </c>
      <c r="X631" s="9">
        <v>302.89999999999998</v>
      </c>
      <c r="Y631" s="9" t="s">
        <v>106</v>
      </c>
      <c r="Z631" s="37"/>
      <c r="AA631" s="37"/>
      <c r="AB631" s="37"/>
      <c r="AE631"/>
    </row>
    <row r="632" spans="1:31" hidden="1">
      <c r="A632" s="9" t="s">
        <v>1037</v>
      </c>
      <c r="B632" s="9" t="s">
        <v>954</v>
      </c>
      <c r="C632" s="9" t="s">
        <v>105</v>
      </c>
      <c r="D632" s="9">
        <v>0.27807999999999999</v>
      </c>
      <c r="E632" s="9">
        <v>14.9</v>
      </c>
      <c r="F632" s="9" t="s">
        <v>106</v>
      </c>
      <c r="G632" s="9" t="s">
        <v>106</v>
      </c>
      <c r="H632" s="9" t="s">
        <v>106</v>
      </c>
      <c r="J632" s="9" t="s">
        <v>116</v>
      </c>
      <c r="K632" s="9" t="s">
        <v>117</v>
      </c>
      <c r="L632" t="str">
        <f>IF(OR(J632="Cattle",J632="Zebu Cattle"),IF(COUNTIF(lists!$M$2:$M$258, K632) &gt; 0,"bos.indicus",IF(COUNTIF(lists!$L$2:$L$258, K632) &gt; 0,"cross.bred","pure.bred.exotic")),"NA")</f>
        <v>NA</v>
      </c>
      <c r="M632" t="str">
        <f>IF(J632="Sheep",IF(COUNTIF(lists!$H$2:$H$258, K632) &gt; 0,"indigenous",IF(COUNTIF(lists!$G$2:$G$258, K632) &gt; 0,"cross.bred","not found")),"NA")</f>
        <v>NA</v>
      </c>
      <c r="N632" t="str">
        <f>IF(J632="Goat",IF(COUNTIF(lists!$J$2:$J$258, K632) &gt; 0,"indigenous",IF(COUNTIF(lists!$I$2:$I$258, K632) &gt; 0,"cross.bred","not found")),"NA")</f>
        <v>indigenous</v>
      </c>
      <c r="O632" s="9" t="s">
        <v>109</v>
      </c>
      <c r="P632" s="9" t="s">
        <v>170</v>
      </c>
      <c r="S632" s="9">
        <v>178.2</v>
      </c>
      <c r="T632" s="9">
        <v>74</v>
      </c>
      <c r="U632" s="9">
        <v>183.9</v>
      </c>
      <c r="V632" s="9">
        <v>955.7</v>
      </c>
      <c r="W632" s="9">
        <v>106.4</v>
      </c>
      <c r="X632" s="9">
        <v>293.60000000000002</v>
      </c>
      <c r="Y632" s="9" t="s">
        <v>106</v>
      </c>
      <c r="Z632" s="37"/>
      <c r="AA632" s="37"/>
      <c r="AB632" s="37"/>
      <c r="AE632"/>
    </row>
    <row r="633" spans="1:31" hidden="1">
      <c r="A633" s="9" t="s">
        <v>1037</v>
      </c>
      <c r="B633" s="9" t="s">
        <v>955</v>
      </c>
      <c r="C633" s="9" t="s">
        <v>105</v>
      </c>
      <c r="D633" s="9">
        <v>0.24997999999999901</v>
      </c>
      <c r="E633" s="9">
        <v>14.9</v>
      </c>
      <c r="F633" s="9" t="s">
        <v>106</v>
      </c>
      <c r="G633" s="9" t="s">
        <v>106</v>
      </c>
      <c r="H633" s="9" t="s">
        <v>106</v>
      </c>
      <c r="J633" s="9" t="s">
        <v>116</v>
      </c>
      <c r="K633" s="9" t="s">
        <v>117</v>
      </c>
      <c r="L633" t="str">
        <f>IF(OR(J633="Cattle",J633="Zebu Cattle"),IF(COUNTIF(lists!$M$2:$M$258, K633) &gt; 0,"bos.indicus",IF(COUNTIF(lists!$L$2:$L$258, K633) &gt; 0,"cross.bred","pure.bred.exotic")),"NA")</f>
        <v>NA</v>
      </c>
      <c r="M633" t="str">
        <f>IF(J633="Sheep",IF(COUNTIF(lists!$H$2:$H$258, K633) &gt; 0,"indigenous",IF(COUNTIF(lists!$G$2:$G$258, K633) &gt; 0,"cross.bred","not found")),"NA")</f>
        <v>NA</v>
      </c>
      <c r="N633" t="str">
        <f>IF(J633="Goat",IF(COUNTIF(lists!$J$2:$J$258, K633) &gt; 0,"indigenous",IF(COUNTIF(lists!$I$2:$I$258, K633) &gt; 0,"cross.bred","not found")),"NA")</f>
        <v>indigenous</v>
      </c>
      <c r="O633" s="9" t="s">
        <v>109</v>
      </c>
      <c r="P633" s="9" t="s">
        <v>170</v>
      </c>
      <c r="S633" s="9">
        <v>170.79999999999899</v>
      </c>
      <c r="T633" s="9">
        <v>67.099999999999994</v>
      </c>
      <c r="U633" s="9">
        <v>182</v>
      </c>
      <c r="V633" s="9">
        <v>917.5</v>
      </c>
      <c r="W633" s="9">
        <v>123.3</v>
      </c>
      <c r="X633" s="9">
        <v>296.7</v>
      </c>
      <c r="Y633" s="9" t="s">
        <v>106</v>
      </c>
      <c r="Z633" s="37"/>
      <c r="AA633" s="37"/>
      <c r="AB633" s="37"/>
      <c r="AE633"/>
    </row>
    <row r="634" spans="1:31" hidden="1">
      <c r="A634" s="9" t="s">
        <v>1055</v>
      </c>
      <c r="B634" s="9" t="s">
        <v>1056</v>
      </c>
      <c r="C634" s="9" t="s">
        <v>105</v>
      </c>
      <c r="D634" s="9">
        <v>0.37786999999999998</v>
      </c>
      <c r="E634" s="9">
        <v>16.760000000000002</v>
      </c>
      <c r="F634" s="9" t="s">
        <v>106</v>
      </c>
      <c r="G634" s="9" t="s">
        <v>106</v>
      </c>
      <c r="H634" s="9" t="s">
        <v>106</v>
      </c>
      <c r="J634" s="9" t="s">
        <v>116</v>
      </c>
      <c r="K634" s="9" t="s">
        <v>117</v>
      </c>
      <c r="L634" t="str">
        <f>IF(OR(J634="Cattle",J634="Zebu Cattle"),IF(COUNTIF(lists!$M$2:$M$258, K634) &gt; 0,"bos.indicus",IF(COUNTIF(lists!$L$2:$L$258, K634) &gt; 0,"cross.bred","pure.bred.exotic")),"NA")</f>
        <v>NA</v>
      </c>
      <c r="M634" t="str">
        <f>IF(J634="Sheep",IF(COUNTIF(lists!$H$2:$H$258, K634) &gt; 0,"indigenous",IF(COUNTIF(lists!$G$2:$G$258, K634) &gt; 0,"cross.bred","not found")),"NA")</f>
        <v>NA</v>
      </c>
      <c r="N634" t="str">
        <f>IF(J634="Goat",IF(COUNTIF(lists!$J$2:$J$258, K634) &gt; 0,"indigenous",IF(COUNTIF(lists!$I$2:$I$258, K634) &gt; 0,"cross.bred","not found")),"NA")</f>
        <v>indigenous</v>
      </c>
      <c r="O634" s="9" t="s">
        <v>109</v>
      </c>
      <c r="P634" s="9" t="s">
        <v>373</v>
      </c>
      <c r="S634" s="9">
        <v>249</v>
      </c>
      <c r="T634" s="9">
        <v>103.8</v>
      </c>
      <c r="U634" s="9">
        <v>138.80000000000001</v>
      </c>
      <c r="V634" s="9">
        <v>903</v>
      </c>
      <c r="W634" s="9">
        <v>46.7</v>
      </c>
      <c r="X634" s="9">
        <v>574</v>
      </c>
      <c r="Y634" s="9">
        <v>50.12</v>
      </c>
      <c r="Z634" s="37"/>
      <c r="AA634" s="37"/>
      <c r="AB634" s="37"/>
      <c r="AE634"/>
    </row>
    <row r="635" spans="1:31" hidden="1">
      <c r="A635" s="9" t="s">
        <v>1055</v>
      </c>
      <c r="B635" s="9" t="s">
        <v>1057</v>
      </c>
      <c r="C635" s="9" t="s">
        <v>105</v>
      </c>
      <c r="D635" s="9">
        <v>0.37275999999999998</v>
      </c>
      <c r="E635" s="9">
        <v>16.760000000000002</v>
      </c>
      <c r="F635" s="9" t="s">
        <v>106</v>
      </c>
      <c r="G635" s="9" t="s">
        <v>106</v>
      </c>
      <c r="H635" s="9" t="s">
        <v>106</v>
      </c>
      <c r="J635" s="9" t="s">
        <v>116</v>
      </c>
      <c r="K635" s="9" t="s">
        <v>117</v>
      </c>
      <c r="L635" t="str">
        <f>IF(OR(J635="Cattle",J635="Zebu Cattle"),IF(COUNTIF(lists!$M$2:$M$258, K635) &gt; 0,"bos.indicus",IF(COUNTIF(lists!$L$2:$L$258, K635) &gt; 0,"cross.bred","pure.bred.exotic")),"NA")</f>
        <v>NA</v>
      </c>
      <c r="M635" t="str">
        <f>IF(J635="Sheep",IF(COUNTIF(lists!$H$2:$H$258, K635) &gt; 0,"indigenous",IF(COUNTIF(lists!$G$2:$G$258, K635) &gt; 0,"cross.bred","not found")),"NA")</f>
        <v>NA</v>
      </c>
      <c r="N635" t="str">
        <f>IF(J635="Goat",IF(COUNTIF(lists!$J$2:$J$258, K635) &gt; 0,"indigenous",IF(COUNTIF(lists!$I$2:$I$258, K635) &gt; 0,"cross.bred","not found")),"NA")</f>
        <v>indigenous</v>
      </c>
      <c r="O635" s="9" t="s">
        <v>109</v>
      </c>
      <c r="P635" s="9" t="s">
        <v>373</v>
      </c>
      <c r="S635" s="9">
        <v>267</v>
      </c>
      <c r="T635" s="9">
        <v>126.6</v>
      </c>
      <c r="U635" s="9">
        <v>139.6</v>
      </c>
      <c r="V635" s="9">
        <v>900.19999999999902</v>
      </c>
      <c r="W635" s="9">
        <v>43.3</v>
      </c>
      <c r="X635" s="9">
        <v>543</v>
      </c>
      <c r="Y635" s="9">
        <v>43.5</v>
      </c>
      <c r="Z635" s="37"/>
      <c r="AA635" s="37"/>
      <c r="AB635" s="37"/>
      <c r="AE635"/>
    </row>
    <row r="636" spans="1:31" hidden="1">
      <c r="A636" s="9" t="s">
        <v>1055</v>
      </c>
      <c r="B636" s="9" t="s">
        <v>1058</v>
      </c>
      <c r="C636" s="9" t="s">
        <v>105</v>
      </c>
      <c r="D636" s="9">
        <v>0.39119999999999999</v>
      </c>
      <c r="E636" s="9">
        <v>16.760000000000002</v>
      </c>
      <c r="F636" s="9" t="s">
        <v>106</v>
      </c>
      <c r="G636" s="9" t="s">
        <v>106</v>
      </c>
      <c r="H636" s="9" t="s">
        <v>106</v>
      </c>
      <c r="J636" s="9" t="s">
        <v>116</v>
      </c>
      <c r="K636" s="9" t="s">
        <v>117</v>
      </c>
      <c r="L636" t="str">
        <f>IF(OR(J636="Cattle",J636="Zebu Cattle"),IF(COUNTIF(lists!$M$2:$M$258, K636) &gt; 0,"bos.indicus",IF(COUNTIF(lists!$L$2:$L$258, K636) &gt; 0,"cross.bred","pure.bred.exotic")),"NA")</f>
        <v>NA</v>
      </c>
      <c r="M636" t="str">
        <f>IF(J636="Sheep",IF(COUNTIF(lists!$H$2:$H$258, K636) &gt; 0,"indigenous",IF(COUNTIF(lists!$G$2:$G$258, K636) &gt; 0,"cross.bred","not found")),"NA")</f>
        <v>NA</v>
      </c>
      <c r="N636" t="str">
        <f>IF(J636="Goat",IF(COUNTIF(lists!$J$2:$J$258, K636) &gt; 0,"indigenous",IF(COUNTIF(lists!$I$2:$I$258, K636) &gt; 0,"cross.bred","not found")),"NA")</f>
        <v>indigenous</v>
      </c>
      <c r="O636" s="9" t="s">
        <v>109</v>
      </c>
      <c r="P636" s="9" t="s">
        <v>373</v>
      </c>
      <c r="S636" s="9">
        <v>277.5</v>
      </c>
      <c r="T636" s="9">
        <v>139.6</v>
      </c>
      <c r="U636" s="9">
        <v>136.5</v>
      </c>
      <c r="V636" s="9">
        <v>902.1</v>
      </c>
      <c r="W636" s="9">
        <v>41.3</v>
      </c>
      <c r="X636" s="9">
        <v>525</v>
      </c>
      <c r="Y636" s="9">
        <v>35.07</v>
      </c>
      <c r="Z636" s="37"/>
      <c r="AA636" s="37"/>
      <c r="AB636" s="37"/>
      <c r="AE636"/>
    </row>
    <row r="637" spans="1:31" hidden="1">
      <c r="A637" s="9" t="s">
        <v>1055</v>
      </c>
      <c r="B637" s="9" t="s">
        <v>1059</v>
      </c>
      <c r="C637" s="9" t="s">
        <v>105</v>
      </c>
      <c r="D637" s="9">
        <v>0.34698000000000001</v>
      </c>
      <c r="E637" s="9">
        <v>16.760000000000002</v>
      </c>
      <c r="F637" s="9" t="s">
        <v>106</v>
      </c>
      <c r="G637" s="9" t="s">
        <v>106</v>
      </c>
      <c r="H637" s="9" t="s">
        <v>106</v>
      </c>
      <c r="J637" s="9" t="s">
        <v>116</v>
      </c>
      <c r="K637" s="9" t="s">
        <v>117</v>
      </c>
      <c r="L637" t="str">
        <f>IF(OR(J637="Cattle",J637="Zebu Cattle"),IF(COUNTIF(lists!$M$2:$M$258, K637) &gt; 0,"bos.indicus",IF(COUNTIF(lists!$L$2:$L$258, K637) &gt; 0,"cross.bred","pure.bred.exotic")),"NA")</f>
        <v>NA</v>
      </c>
      <c r="M637" t="str">
        <f>IF(J637="Sheep",IF(COUNTIF(lists!$H$2:$H$258, K637) &gt; 0,"indigenous",IF(COUNTIF(lists!$G$2:$G$258, K637) &gt; 0,"cross.bred","not found")),"NA")</f>
        <v>NA</v>
      </c>
      <c r="N637" t="str">
        <f>IF(J637="Goat",IF(COUNTIF(lists!$J$2:$J$258, K637) &gt; 0,"indigenous",IF(COUNTIF(lists!$I$2:$I$258, K637) &gt; 0,"cross.bred","not found")),"NA")</f>
        <v>indigenous</v>
      </c>
      <c r="O637" s="9" t="s">
        <v>109</v>
      </c>
      <c r="P637" s="9" t="s">
        <v>373</v>
      </c>
      <c r="S637" s="9">
        <v>284</v>
      </c>
      <c r="T637" s="9">
        <v>142.1</v>
      </c>
      <c r="U637" s="9">
        <v>135.6</v>
      </c>
      <c r="V637" s="9">
        <v>900.4</v>
      </c>
      <c r="W637" s="9">
        <v>38.4</v>
      </c>
      <c r="X637" s="9">
        <v>502</v>
      </c>
      <c r="Y637" s="9">
        <v>33.08</v>
      </c>
      <c r="Z637" s="37"/>
      <c r="AA637" s="37"/>
      <c r="AB637" s="37"/>
      <c r="AE637"/>
    </row>
    <row r="638" spans="1:31" hidden="1">
      <c r="A638" s="9" t="s">
        <v>1055</v>
      </c>
      <c r="B638" s="9" t="s">
        <v>1060</v>
      </c>
      <c r="C638" s="9" t="s">
        <v>105</v>
      </c>
      <c r="D638" s="9">
        <v>0.31862999999999903</v>
      </c>
      <c r="E638" s="9">
        <v>16.760000000000002</v>
      </c>
      <c r="F638" s="9" t="s">
        <v>106</v>
      </c>
      <c r="G638" s="9" t="s">
        <v>106</v>
      </c>
      <c r="H638" s="9" t="s">
        <v>106</v>
      </c>
      <c r="J638" s="9" t="s">
        <v>116</v>
      </c>
      <c r="K638" s="9" t="s">
        <v>117</v>
      </c>
      <c r="L638" t="str">
        <f>IF(OR(J638="Cattle",J638="Zebu Cattle"),IF(COUNTIF(lists!$M$2:$M$258, K638) &gt; 0,"bos.indicus",IF(COUNTIF(lists!$L$2:$L$258, K638) &gt; 0,"cross.bred","pure.bred.exotic")),"NA")</f>
        <v>NA</v>
      </c>
      <c r="M638" t="str">
        <f>IF(J638="Sheep",IF(COUNTIF(lists!$H$2:$H$258, K638) &gt; 0,"indigenous",IF(COUNTIF(lists!$G$2:$G$258, K638) &gt; 0,"cross.bred","not found")),"NA")</f>
        <v>NA</v>
      </c>
      <c r="N638" t="str">
        <f>IF(J638="Goat",IF(COUNTIF(lists!$J$2:$J$258, K638) &gt; 0,"indigenous",IF(COUNTIF(lists!$I$2:$I$258, K638) &gt; 0,"cross.bred","not found")),"NA")</f>
        <v>indigenous</v>
      </c>
      <c r="O638" s="9" t="s">
        <v>109</v>
      </c>
      <c r="P638" s="9" t="s">
        <v>373</v>
      </c>
      <c r="S638" s="9">
        <v>267.5</v>
      </c>
      <c r="T638" s="9">
        <v>153.80000000000001</v>
      </c>
      <c r="U638" s="9">
        <v>137.6</v>
      </c>
      <c r="V638" s="9">
        <v>900.3</v>
      </c>
      <c r="W638" s="9">
        <v>32.5</v>
      </c>
      <c r="X638" s="9">
        <v>474</v>
      </c>
      <c r="Y638" s="9">
        <v>25.67</v>
      </c>
      <c r="Z638" s="37"/>
      <c r="AA638" s="37"/>
      <c r="AB638" s="37"/>
      <c r="AE638"/>
    </row>
    <row r="639" spans="1:31" hidden="1">
      <c r="A639" s="9" t="s">
        <v>1066</v>
      </c>
      <c r="B639" s="9" t="s">
        <v>1067</v>
      </c>
      <c r="C639" s="9" t="s">
        <v>105</v>
      </c>
      <c r="D639" s="9">
        <v>0.49666666666666698</v>
      </c>
      <c r="E639" s="9" t="s">
        <v>106</v>
      </c>
      <c r="F639" s="9" t="s">
        <v>106</v>
      </c>
      <c r="G639" s="9" t="s">
        <v>106</v>
      </c>
      <c r="H639" s="9" t="s">
        <v>106</v>
      </c>
      <c r="J639" s="9" t="s">
        <v>116</v>
      </c>
      <c r="K639" s="9" t="s">
        <v>117</v>
      </c>
      <c r="L639" t="str">
        <f>IF(OR(J639="Cattle",J639="Zebu Cattle"),IF(COUNTIF(lists!$M$2:$M$258, K639) &gt; 0,"bos.indicus",IF(COUNTIF(lists!$L$2:$L$258, K639) &gt; 0,"cross.bred","pure.bred.exotic")),"NA")</f>
        <v>NA</v>
      </c>
      <c r="M639" t="str">
        <f>IF(J639="Sheep",IF(COUNTIF(lists!$H$2:$H$258, K639) &gt; 0,"indigenous",IF(COUNTIF(lists!$G$2:$G$258, K639) &gt; 0,"cross.bred","not found")),"NA")</f>
        <v>NA</v>
      </c>
      <c r="N639" t="str">
        <f>IF(J639="Goat",IF(COUNTIF(lists!$J$2:$J$258, K639) &gt; 0,"indigenous",IF(COUNTIF(lists!$I$2:$I$258, K639) &gt; 0,"cross.bred","not found")),"NA")</f>
        <v>indigenous</v>
      </c>
      <c r="O639" s="9" t="s">
        <v>109</v>
      </c>
      <c r="P639" s="9" t="s">
        <v>373</v>
      </c>
      <c r="S639" s="9">
        <v>370</v>
      </c>
      <c r="T639" s="9">
        <v>70</v>
      </c>
      <c r="U639" s="9">
        <v>175</v>
      </c>
      <c r="V639" s="9">
        <v>900</v>
      </c>
      <c r="W639" s="9">
        <v>98.9</v>
      </c>
      <c r="X639" s="9">
        <v>460</v>
      </c>
      <c r="Y639" s="9">
        <v>85.2</v>
      </c>
      <c r="Z639" s="37"/>
      <c r="AA639" s="37"/>
      <c r="AB639" s="37"/>
      <c r="AE639"/>
    </row>
    <row r="640" spans="1:31" hidden="1">
      <c r="A640" s="9" t="s">
        <v>1066</v>
      </c>
      <c r="B640" s="9" t="s">
        <v>1068</v>
      </c>
      <c r="C640" s="9" t="s">
        <v>105</v>
      </c>
      <c r="D640" s="9">
        <v>0.458452380952381</v>
      </c>
      <c r="E640" s="9" t="s">
        <v>106</v>
      </c>
      <c r="F640" s="9" t="s">
        <v>106</v>
      </c>
      <c r="G640" s="9" t="s">
        <v>106</v>
      </c>
      <c r="H640" s="9" t="s">
        <v>106</v>
      </c>
      <c r="J640" s="9" t="s">
        <v>116</v>
      </c>
      <c r="K640" s="9" t="s">
        <v>117</v>
      </c>
      <c r="L640" t="str">
        <f>IF(OR(J640="Cattle",J640="Zebu Cattle"),IF(COUNTIF(lists!$M$2:$M$258, K640) &gt; 0,"bos.indicus",IF(COUNTIF(lists!$L$2:$L$258, K640) &gt; 0,"cross.bred","pure.bred.exotic")),"NA")</f>
        <v>NA</v>
      </c>
      <c r="M640" t="str">
        <f>IF(J640="Sheep",IF(COUNTIF(lists!$H$2:$H$258, K640) &gt; 0,"indigenous",IF(COUNTIF(lists!$G$2:$G$258, K640) &gt; 0,"cross.bred","not found")),"NA")</f>
        <v>NA</v>
      </c>
      <c r="N640" t="str">
        <f>IF(J640="Goat",IF(COUNTIF(lists!$J$2:$J$258, K640) &gt; 0,"indigenous",IF(COUNTIF(lists!$I$2:$I$258, K640) &gt; 0,"cross.bred","not found")),"NA")</f>
        <v>indigenous</v>
      </c>
      <c r="O640" s="9" t="s">
        <v>109</v>
      </c>
      <c r="P640" s="9" t="s">
        <v>373</v>
      </c>
      <c r="S640" s="9">
        <v>180</v>
      </c>
      <c r="T640" s="9">
        <v>85.6</v>
      </c>
      <c r="U640" s="9">
        <v>182</v>
      </c>
      <c r="V640" s="9">
        <v>890</v>
      </c>
      <c r="W640" s="9">
        <v>109.2</v>
      </c>
      <c r="X640" s="9">
        <v>700</v>
      </c>
      <c r="Y640" s="9">
        <v>86.56</v>
      </c>
      <c r="Z640" s="37"/>
      <c r="AA640" s="37"/>
      <c r="AB640" s="37"/>
      <c r="AE640"/>
    </row>
    <row r="641" spans="1:31" hidden="1">
      <c r="A641" s="9" t="s">
        <v>1066</v>
      </c>
      <c r="B641" s="9" t="s">
        <v>1069</v>
      </c>
      <c r="C641" s="9" t="s">
        <v>105</v>
      </c>
      <c r="D641" s="9">
        <v>0.49321428571428599</v>
      </c>
      <c r="E641" s="9" t="s">
        <v>106</v>
      </c>
      <c r="F641" s="9" t="s">
        <v>106</v>
      </c>
      <c r="G641" s="9" t="s">
        <v>106</v>
      </c>
      <c r="H641" s="9" t="s">
        <v>106</v>
      </c>
      <c r="J641" s="9" t="s">
        <v>116</v>
      </c>
      <c r="K641" s="9" t="s">
        <v>117</v>
      </c>
      <c r="L641" t="str">
        <f>IF(OR(J641="Cattle",J641="Zebu Cattle"),IF(COUNTIF(lists!$M$2:$M$258, K641) &gt; 0,"bos.indicus",IF(COUNTIF(lists!$L$2:$L$258, K641) &gt; 0,"cross.bred","pure.bred.exotic")),"NA")</f>
        <v>NA</v>
      </c>
      <c r="M641" t="str">
        <f>IF(J641="Sheep",IF(COUNTIF(lists!$H$2:$H$258, K641) &gt; 0,"indigenous",IF(COUNTIF(lists!$G$2:$G$258, K641) &gt; 0,"cross.bred","not found")),"NA")</f>
        <v>NA</v>
      </c>
      <c r="N641" t="str">
        <f>IF(J641="Goat",IF(COUNTIF(lists!$J$2:$J$258, K641) &gt; 0,"indigenous",IF(COUNTIF(lists!$I$2:$I$258, K641) &gt; 0,"cross.bred","not found")),"NA")</f>
        <v>indigenous</v>
      </c>
      <c r="O641" s="9" t="s">
        <v>109</v>
      </c>
      <c r="P641" s="9" t="s">
        <v>373</v>
      </c>
      <c r="S641" s="9">
        <v>260</v>
      </c>
      <c r="T641" s="9">
        <v>106.2</v>
      </c>
      <c r="U641" s="9">
        <v>183.2</v>
      </c>
      <c r="V641" s="9">
        <v>910</v>
      </c>
      <c r="W641" s="9">
        <v>96.2</v>
      </c>
      <c r="X641" s="9">
        <v>680</v>
      </c>
      <c r="Y641" s="9">
        <v>82.32</v>
      </c>
      <c r="Z641" s="37"/>
      <c r="AA641" s="37"/>
      <c r="AB641" s="37"/>
      <c r="AE641"/>
    </row>
    <row r="642" spans="1:31" hidden="1">
      <c r="A642" s="9" t="s">
        <v>1066</v>
      </c>
      <c r="B642" s="9" t="s">
        <v>1070</v>
      </c>
      <c r="C642" s="9" t="s">
        <v>105</v>
      </c>
      <c r="D642" s="9">
        <v>0.50309523809523804</v>
      </c>
      <c r="E642" s="9" t="s">
        <v>106</v>
      </c>
      <c r="F642" s="9" t="s">
        <v>106</v>
      </c>
      <c r="G642" s="9" t="s">
        <v>106</v>
      </c>
      <c r="H642" s="9" t="s">
        <v>106</v>
      </c>
      <c r="J642" s="9" t="s">
        <v>116</v>
      </c>
      <c r="K642" s="9" t="s">
        <v>117</v>
      </c>
      <c r="L642" t="str">
        <f>IF(OR(J642="Cattle",J642="Zebu Cattle"),IF(COUNTIF(lists!$M$2:$M$258, K642) &gt; 0,"bos.indicus",IF(COUNTIF(lists!$L$2:$L$258, K642) &gt; 0,"cross.bred","pure.bred.exotic")),"NA")</f>
        <v>NA</v>
      </c>
      <c r="M642" t="str">
        <f>IF(J642="Sheep",IF(COUNTIF(lists!$H$2:$H$258, K642) &gt; 0,"indigenous",IF(COUNTIF(lists!$G$2:$G$258, K642) &gt; 0,"cross.bred","not found")),"NA")</f>
        <v>NA</v>
      </c>
      <c r="N642" t="str">
        <f>IF(J642="Goat",IF(COUNTIF(lists!$J$2:$J$258, K642) &gt; 0,"indigenous",IF(COUNTIF(lists!$I$2:$I$258, K642) &gt; 0,"cross.bred","not found")),"NA")</f>
        <v>indigenous</v>
      </c>
      <c r="O642" s="9" t="s">
        <v>109</v>
      </c>
      <c r="P642" s="9" t="s">
        <v>373</v>
      </c>
      <c r="S642" s="9">
        <v>230</v>
      </c>
      <c r="T642" s="9">
        <v>100.8</v>
      </c>
      <c r="U642" s="9">
        <v>187.5</v>
      </c>
      <c r="V642" s="9">
        <v>900</v>
      </c>
      <c r="W642" s="9">
        <v>95</v>
      </c>
      <c r="X642" s="9">
        <v>640</v>
      </c>
      <c r="Y642" s="9">
        <v>77.3</v>
      </c>
      <c r="Z642" s="37"/>
      <c r="AA642" s="37"/>
      <c r="AB642" s="37"/>
      <c r="AE642"/>
    </row>
    <row r="643" spans="1:31" hidden="1">
      <c r="A643" s="9" t="s">
        <v>1083</v>
      </c>
      <c r="B643" s="9" t="s">
        <v>1084</v>
      </c>
      <c r="C643" s="9" t="s">
        <v>105</v>
      </c>
      <c r="D643" s="9">
        <v>0.85699999999999998</v>
      </c>
      <c r="E643" s="9" t="s">
        <v>106</v>
      </c>
      <c r="F643" s="9" t="s">
        <v>106</v>
      </c>
      <c r="G643" s="9" t="s">
        <v>106</v>
      </c>
      <c r="H643" s="9" t="s">
        <v>106</v>
      </c>
      <c r="J643" s="9" t="s">
        <v>116</v>
      </c>
      <c r="K643" s="9" t="s">
        <v>372</v>
      </c>
      <c r="L643" t="str">
        <f>IF(OR(J643="Cattle",J643="Zebu Cattle"),IF(COUNTIF(lists!$M$2:$M$258, K643) &gt; 0,"bos.indicus",IF(COUNTIF(lists!$L$2:$L$258, K643) &gt; 0,"cross.bred","pure.bred.exotic")),"NA")</f>
        <v>NA</v>
      </c>
      <c r="M643" t="str">
        <f>IF(J643="Sheep",IF(COUNTIF(lists!$H$2:$H$258, K643) &gt; 0,"indigenous",IF(COUNTIF(lists!$G$2:$G$258, K643) &gt; 0,"cross.bred","not found")),"NA")</f>
        <v>NA</v>
      </c>
      <c r="N643" t="str">
        <f>IF(J643="Goat",IF(COUNTIF(lists!$J$2:$J$258, K643) &gt; 0,"indigenous",IF(COUNTIF(lists!$I$2:$I$258, K643) &gt; 0,"cross.bred","not found")),"NA")</f>
        <v>not found</v>
      </c>
      <c r="O643" s="9" t="s">
        <v>109</v>
      </c>
      <c r="P643" s="9" t="s">
        <v>373</v>
      </c>
      <c r="S643" s="9" t="s">
        <v>106</v>
      </c>
      <c r="T643" s="9">
        <v>122.9</v>
      </c>
      <c r="U643" s="9">
        <v>154.69999999999999</v>
      </c>
      <c r="V643" s="9">
        <v>641.70000000000005</v>
      </c>
      <c r="W643" s="9">
        <v>20.6</v>
      </c>
      <c r="X643" s="9" t="s">
        <v>106</v>
      </c>
      <c r="Y643" s="9" t="s">
        <v>106</v>
      </c>
      <c r="Z643" s="37"/>
      <c r="AA643" s="37"/>
      <c r="AB643" s="37"/>
      <c r="AE643"/>
    </row>
    <row r="644" spans="1:31" hidden="1">
      <c r="A644" s="9" t="s">
        <v>1083</v>
      </c>
      <c r="B644" s="9" t="s">
        <v>1085</v>
      </c>
      <c r="C644" s="9" t="s">
        <v>105</v>
      </c>
      <c r="D644" s="9">
        <v>0.95199999999999996</v>
      </c>
      <c r="E644" s="9" t="s">
        <v>106</v>
      </c>
      <c r="F644" s="9" t="s">
        <v>106</v>
      </c>
      <c r="G644" s="9" t="s">
        <v>106</v>
      </c>
      <c r="H644" s="9" t="s">
        <v>106</v>
      </c>
      <c r="J644" s="9" t="s">
        <v>116</v>
      </c>
      <c r="K644" s="9" t="s">
        <v>372</v>
      </c>
      <c r="L644" t="str">
        <f>IF(OR(J644="Cattle",J644="Zebu Cattle"),IF(COUNTIF(lists!$M$2:$M$258, K644) &gt; 0,"bos.indicus",IF(COUNTIF(lists!$L$2:$L$258, K644) &gt; 0,"cross.bred","pure.bred.exotic")),"NA")</f>
        <v>NA</v>
      </c>
      <c r="M644" t="str">
        <f>IF(J644="Sheep",IF(COUNTIF(lists!$H$2:$H$258, K644) &gt; 0,"indigenous",IF(COUNTIF(lists!$G$2:$G$258, K644) &gt; 0,"cross.bred","not found")),"NA")</f>
        <v>NA</v>
      </c>
      <c r="N644" t="str">
        <f>IF(J644="Goat",IF(COUNTIF(lists!$J$2:$J$258, K644) &gt; 0,"indigenous",IF(COUNTIF(lists!$I$2:$I$258, K644) &gt; 0,"cross.bred","not found")),"NA")</f>
        <v>not found</v>
      </c>
      <c r="O644" s="9" t="s">
        <v>109</v>
      </c>
      <c r="P644" s="9" t="s">
        <v>373</v>
      </c>
      <c r="S644" s="9" t="s">
        <v>106</v>
      </c>
      <c r="T644" s="9">
        <v>110.5</v>
      </c>
      <c r="U644" s="9">
        <v>149.6</v>
      </c>
      <c r="V644" s="9">
        <v>647.099999999999</v>
      </c>
      <c r="W644" s="9">
        <v>26.2</v>
      </c>
      <c r="X644" s="9" t="s">
        <v>106</v>
      </c>
      <c r="Y644" s="9" t="s">
        <v>106</v>
      </c>
      <c r="Z644" s="37"/>
      <c r="AA644" s="37"/>
      <c r="AB644" s="37"/>
      <c r="AE644"/>
    </row>
    <row r="645" spans="1:31" hidden="1">
      <c r="A645" s="9" t="s">
        <v>1083</v>
      </c>
      <c r="B645" s="9" t="s">
        <v>1086</v>
      </c>
      <c r="C645" s="9" t="s">
        <v>105</v>
      </c>
      <c r="D645" s="9">
        <v>0.88100000000000001</v>
      </c>
      <c r="E645" s="9" t="s">
        <v>106</v>
      </c>
      <c r="F645" s="9" t="s">
        <v>106</v>
      </c>
      <c r="G645" s="9" t="s">
        <v>106</v>
      </c>
      <c r="H645" s="9" t="s">
        <v>106</v>
      </c>
      <c r="J645" s="9" t="s">
        <v>116</v>
      </c>
      <c r="K645" s="9" t="s">
        <v>372</v>
      </c>
      <c r="L645" t="str">
        <f>IF(OR(J645="Cattle",J645="Zebu Cattle"),IF(COUNTIF(lists!$M$2:$M$258, K645) &gt; 0,"bos.indicus",IF(COUNTIF(lists!$L$2:$L$258, K645) &gt; 0,"cross.bred","pure.bred.exotic")),"NA")</f>
        <v>NA</v>
      </c>
      <c r="M645" t="str">
        <f>IF(J645="Sheep",IF(COUNTIF(lists!$H$2:$H$258, K645) &gt; 0,"indigenous",IF(COUNTIF(lists!$G$2:$G$258, K645) &gt; 0,"cross.bred","not found")),"NA")</f>
        <v>NA</v>
      </c>
      <c r="N645" t="str">
        <f>IF(J645="Goat",IF(COUNTIF(lists!$J$2:$J$258, K645) &gt; 0,"indigenous",IF(COUNTIF(lists!$I$2:$I$258, K645) &gt; 0,"cross.bred","not found")),"NA")</f>
        <v>not found</v>
      </c>
      <c r="O645" s="9" t="s">
        <v>109</v>
      </c>
      <c r="P645" s="9" t="s">
        <v>373</v>
      </c>
      <c r="S645" s="9" t="s">
        <v>106</v>
      </c>
      <c r="T645" s="9">
        <v>97.4</v>
      </c>
      <c r="U645" s="9">
        <v>146.9</v>
      </c>
      <c r="V645" s="9">
        <v>650.9</v>
      </c>
      <c r="W645" s="9">
        <v>30.2</v>
      </c>
      <c r="X645" s="9" t="s">
        <v>106</v>
      </c>
      <c r="Y645" s="9" t="s">
        <v>106</v>
      </c>
      <c r="Z645" s="37"/>
      <c r="AA645" s="37"/>
      <c r="AB645" s="37"/>
      <c r="AE645"/>
    </row>
    <row r="646" spans="1:31" hidden="1">
      <c r="A646" s="9" t="s">
        <v>1087</v>
      </c>
      <c r="B646" s="9" t="s">
        <v>151</v>
      </c>
      <c r="C646" s="9" t="s">
        <v>105</v>
      </c>
      <c r="D646" s="9">
        <v>0.21</v>
      </c>
      <c r="E646" s="9">
        <v>2.58</v>
      </c>
      <c r="F646" s="9" t="s">
        <v>106</v>
      </c>
      <c r="G646" s="9" t="s">
        <v>106</v>
      </c>
      <c r="H646" s="9" t="s">
        <v>106</v>
      </c>
      <c r="I646" s="9">
        <v>15</v>
      </c>
      <c r="J646" s="9" t="s">
        <v>116</v>
      </c>
      <c r="K646" s="9" t="s">
        <v>634</v>
      </c>
      <c r="L646" t="str">
        <f>IF(OR(J646="Cattle",J646="Zebu Cattle"),IF(COUNTIF(lists!$M$2:$M$258, K646) &gt; 0,"bos.indicus",IF(COUNTIF(lists!$L$2:$L$258, K646) &gt; 0,"cross.bred","pure.bred.exotic")),"NA")</f>
        <v>NA</v>
      </c>
      <c r="M646" t="str">
        <f>IF(J646="Sheep",IF(COUNTIF(lists!$H$2:$H$258, K646) &gt; 0,"indigenous",IF(COUNTIF(lists!$G$2:$G$258, K646) &gt; 0,"cross.bred","not found")),"NA")</f>
        <v>NA</v>
      </c>
      <c r="N646" t="str">
        <f>IF(J646="Goat",IF(COUNTIF(lists!$J$2:$J$258, K646) &gt; 0,"indigenous",IF(COUNTIF(lists!$I$2:$I$258, K646) &gt; 0,"cross.bred","not found")),"NA")</f>
        <v>indigenous</v>
      </c>
      <c r="O646" s="9" t="s">
        <v>109</v>
      </c>
      <c r="P646" s="9" t="s">
        <v>106</v>
      </c>
      <c r="Q646" s="9" t="s">
        <v>3808</v>
      </c>
      <c r="S646" s="9" t="s">
        <v>106</v>
      </c>
      <c r="T646" s="9">
        <v>80</v>
      </c>
      <c r="U646" s="9">
        <v>100</v>
      </c>
      <c r="V646" s="9" t="s">
        <v>106</v>
      </c>
      <c r="W646" s="9">
        <v>102.6</v>
      </c>
      <c r="X646" s="9" t="s">
        <v>106</v>
      </c>
      <c r="Y646" s="9" t="s">
        <v>106</v>
      </c>
      <c r="Z646" s="37"/>
      <c r="AA646" s="37"/>
      <c r="AB646" s="37"/>
      <c r="AE646">
        <v>0</v>
      </c>
    </row>
    <row r="647" spans="1:31" hidden="1">
      <c r="A647" s="9" t="s">
        <v>1087</v>
      </c>
      <c r="B647" s="9" t="s">
        <v>154</v>
      </c>
      <c r="C647" s="9" t="s">
        <v>105</v>
      </c>
      <c r="D647" s="9">
        <v>0.21</v>
      </c>
      <c r="E647" s="9">
        <v>2.58</v>
      </c>
      <c r="F647" s="9" t="s">
        <v>106</v>
      </c>
      <c r="G647" s="9" t="s">
        <v>106</v>
      </c>
      <c r="H647" s="9" t="s">
        <v>106</v>
      </c>
      <c r="I647" s="9">
        <v>15</v>
      </c>
      <c r="J647" s="9" t="s">
        <v>116</v>
      </c>
      <c r="K647" s="9" t="s">
        <v>634</v>
      </c>
      <c r="L647" t="str">
        <f>IF(OR(J647="Cattle",J647="Zebu Cattle"),IF(COUNTIF(lists!$M$2:$M$258, K647) &gt; 0,"bos.indicus",IF(COUNTIF(lists!$L$2:$L$258, K647) &gt; 0,"cross.bred","pure.bred.exotic")),"NA")</f>
        <v>NA</v>
      </c>
      <c r="M647" t="str">
        <f>IF(J647="Sheep",IF(COUNTIF(lists!$H$2:$H$258, K647) &gt; 0,"indigenous",IF(COUNTIF(lists!$G$2:$G$258, K647) &gt; 0,"cross.bred","not found")),"NA")</f>
        <v>NA</v>
      </c>
      <c r="N647" t="str">
        <f>IF(J647="Goat",IF(COUNTIF(lists!$J$2:$J$258, K647) &gt; 0,"indigenous",IF(COUNTIF(lists!$I$2:$I$258, K647) &gt; 0,"cross.bred","not found")),"NA")</f>
        <v>indigenous</v>
      </c>
      <c r="O647" s="9" t="s">
        <v>109</v>
      </c>
      <c r="P647" s="9" t="s">
        <v>106</v>
      </c>
      <c r="Q647" s="9" t="s">
        <v>3808</v>
      </c>
      <c r="S647" s="9" t="s">
        <v>106</v>
      </c>
      <c r="T647" s="9">
        <v>76.5</v>
      </c>
      <c r="U647" s="9">
        <v>93</v>
      </c>
      <c r="V647" s="9" t="s">
        <v>106</v>
      </c>
      <c r="W647" s="9">
        <v>101.2</v>
      </c>
      <c r="X647" s="9" t="s">
        <v>106</v>
      </c>
      <c r="Y647" s="9" t="s">
        <v>106</v>
      </c>
      <c r="Z647" s="37"/>
      <c r="AA647" s="37"/>
      <c r="AB647" s="37"/>
      <c r="AE647">
        <v>0</v>
      </c>
    </row>
    <row r="648" spans="1:31" hidden="1">
      <c r="A648" s="9" t="s">
        <v>1087</v>
      </c>
      <c r="B648" s="9" t="s">
        <v>155</v>
      </c>
      <c r="C648" s="9" t="s">
        <v>105</v>
      </c>
      <c r="D648" s="9">
        <v>0.24</v>
      </c>
      <c r="E648" s="9">
        <v>2.58</v>
      </c>
      <c r="F648" s="9" t="s">
        <v>106</v>
      </c>
      <c r="G648" s="9" t="s">
        <v>106</v>
      </c>
      <c r="H648" s="9" t="s">
        <v>106</v>
      </c>
      <c r="I648" s="9">
        <v>15</v>
      </c>
      <c r="J648" s="9" t="s">
        <v>116</v>
      </c>
      <c r="K648" s="9" t="s">
        <v>634</v>
      </c>
      <c r="L648" t="str">
        <f>IF(OR(J648="Cattle",J648="Zebu Cattle"),IF(COUNTIF(lists!$M$2:$M$258, K648) &gt; 0,"bos.indicus",IF(COUNTIF(lists!$L$2:$L$258, K648) &gt; 0,"cross.bred","pure.bred.exotic")),"NA")</f>
        <v>NA</v>
      </c>
      <c r="M648" t="str">
        <f>IF(J648="Sheep",IF(COUNTIF(lists!$H$2:$H$258, K648) &gt; 0,"indigenous",IF(COUNTIF(lists!$G$2:$G$258, K648) &gt; 0,"cross.bred","not found")),"NA")</f>
        <v>NA</v>
      </c>
      <c r="N648" t="str">
        <f>IF(J648="Goat",IF(COUNTIF(lists!$J$2:$J$258, K648) &gt; 0,"indigenous",IF(COUNTIF(lists!$I$2:$I$258, K648) &gt; 0,"cross.bred","not found")),"NA")</f>
        <v>indigenous</v>
      </c>
      <c r="O648" s="9" t="s">
        <v>109</v>
      </c>
      <c r="P648" s="9" t="s">
        <v>106</v>
      </c>
      <c r="Q648" s="9" t="s">
        <v>3808</v>
      </c>
      <c r="S648" s="9" t="s">
        <v>106</v>
      </c>
      <c r="T648" s="9">
        <v>74</v>
      </c>
      <c r="U648" s="9">
        <v>90</v>
      </c>
      <c r="V648" s="9" t="s">
        <v>106</v>
      </c>
      <c r="W648" s="9">
        <v>96.5</v>
      </c>
      <c r="X648" s="9" t="s">
        <v>106</v>
      </c>
      <c r="Y648" s="9" t="s">
        <v>106</v>
      </c>
      <c r="Z648" s="37"/>
      <c r="AA648" s="37"/>
      <c r="AB648" s="37"/>
      <c r="AE648">
        <v>0</v>
      </c>
    </row>
    <row r="649" spans="1:31" hidden="1">
      <c r="A649" s="9" t="s">
        <v>1087</v>
      </c>
      <c r="B649" s="9" t="s">
        <v>156</v>
      </c>
      <c r="C649" s="9" t="s">
        <v>105</v>
      </c>
      <c r="D649" s="9">
        <v>0.25</v>
      </c>
      <c r="E649" s="9">
        <v>2.58</v>
      </c>
      <c r="F649" s="9" t="s">
        <v>106</v>
      </c>
      <c r="G649" s="9" t="s">
        <v>106</v>
      </c>
      <c r="H649" s="9" t="s">
        <v>106</v>
      </c>
      <c r="I649" s="9">
        <v>15</v>
      </c>
      <c r="J649" s="9" t="s">
        <v>116</v>
      </c>
      <c r="K649" s="9" t="s">
        <v>634</v>
      </c>
      <c r="L649" t="str">
        <f>IF(OR(J649="Cattle",J649="Zebu Cattle"),IF(COUNTIF(lists!$M$2:$M$258, K649) &gt; 0,"bos.indicus",IF(COUNTIF(lists!$L$2:$L$258, K649) &gt; 0,"cross.bred","pure.bred.exotic")),"NA")</f>
        <v>NA</v>
      </c>
      <c r="M649" t="str">
        <f>IF(J649="Sheep",IF(COUNTIF(lists!$H$2:$H$258, K649) &gt; 0,"indigenous",IF(COUNTIF(lists!$G$2:$G$258, K649) &gt; 0,"cross.bred","not found")),"NA")</f>
        <v>NA</v>
      </c>
      <c r="N649" t="str">
        <f>IF(J649="Goat",IF(COUNTIF(lists!$J$2:$J$258, K649) &gt; 0,"indigenous",IF(COUNTIF(lists!$I$2:$I$258, K649) &gt; 0,"cross.bred","not found")),"NA")</f>
        <v>indigenous</v>
      </c>
      <c r="O649" s="9" t="s">
        <v>109</v>
      </c>
      <c r="P649" s="9" t="s">
        <v>106</v>
      </c>
      <c r="Q649" s="9" t="s">
        <v>3808</v>
      </c>
      <c r="S649" s="9" t="s">
        <v>106</v>
      </c>
      <c r="T649" s="9">
        <v>70</v>
      </c>
      <c r="U649" s="9">
        <v>81</v>
      </c>
      <c r="V649" s="9" t="s">
        <v>106</v>
      </c>
      <c r="W649" s="9">
        <v>97.2</v>
      </c>
      <c r="X649" s="9" t="s">
        <v>106</v>
      </c>
      <c r="Y649" s="9" t="s">
        <v>106</v>
      </c>
      <c r="Z649" s="37"/>
      <c r="AA649" s="37"/>
      <c r="AB649" s="37"/>
      <c r="AE649">
        <v>0</v>
      </c>
    </row>
    <row r="650" spans="1:31" hidden="1">
      <c r="A650" s="9" t="s">
        <v>1087</v>
      </c>
      <c r="B650" s="9" t="s">
        <v>157</v>
      </c>
      <c r="C650" s="9" t="s">
        <v>105</v>
      </c>
      <c r="D650" s="9">
        <v>0.26</v>
      </c>
      <c r="E650" s="9">
        <v>2.58</v>
      </c>
      <c r="F650" s="9" t="s">
        <v>106</v>
      </c>
      <c r="G650" s="9" t="s">
        <v>106</v>
      </c>
      <c r="H650" s="9" t="s">
        <v>106</v>
      </c>
      <c r="I650" s="9">
        <v>15</v>
      </c>
      <c r="J650" s="9" t="s">
        <v>116</v>
      </c>
      <c r="K650" s="9" t="s">
        <v>634</v>
      </c>
      <c r="L650" t="str">
        <f>IF(OR(J650="Cattle",J650="Zebu Cattle"),IF(COUNTIF(lists!$M$2:$M$258, K650) &gt; 0,"bos.indicus",IF(COUNTIF(lists!$L$2:$L$258, K650) &gt; 0,"cross.bred","pure.bred.exotic")),"NA")</f>
        <v>NA</v>
      </c>
      <c r="M650" t="str">
        <f>IF(J650="Sheep",IF(COUNTIF(lists!$H$2:$H$258, K650) &gt; 0,"indigenous",IF(COUNTIF(lists!$G$2:$G$258, K650) &gt; 0,"cross.bred","not found")),"NA")</f>
        <v>NA</v>
      </c>
      <c r="N650" t="str">
        <f>IF(J650="Goat",IF(COUNTIF(lists!$J$2:$J$258, K650) &gt; 0,"indigenous",IF(COUNTIF(lists!$I$2:$I$258, K650) &gt; 0,"cross.bred","not found")),"NA")</f>
        <v>indigenous</v>
      </c>
      <c r="O650" s="9" t="s">
        <v>109</v>
      </c>
      <c r="P650" s="9" t="s">
        <v>106</v>
      </c>
      <c r="Q650" s="9" t="s">
        <v>3808</v>
      </c>
      <c r="S650" s="9" t="s">
        <v>106</v>
      </c>
      <c r="T650" s="9">
        <v>66.900000000000006</v>
      </c>
      <c r="U650" s="9">
        <v>74</v>
      </c>
      <c r="V650" s="9" t="s">
        <v>106</v>
      </c>
      <c r="W650" s="9">
        <v>94.7</v>
      </c>
      <c r="X650" s="9" t="s">
        <v>106</v>
      </c>
      <c r="Y650" s="9" t="s">
        <v>106</v>
      </c>
      <c r="Z650" s="37"/>
      <c r="AA650" s="37"/>
      <c r="AB650" s="37"/>
      <c r="AE650">
        <v>0</v>
      </c>
    </row>
    <row r="651" spans="1:31" hidden="1">
      <c r="A651" s="9" t="s">
        <v>1088</v>
      </c>
      <c r="B651" s="9" t="s">
        <v>151</v>
      </c>
      <c r="C651" s="9" t="s">
        <v>105</v>
      </c>
      <c r="D651" s="9">
        <v>0.42099999999999999</v>
      </c>
      <c r="E651" s="9">
        <v>5.86</v>
      </c>
      <c r="F651" s="9" t="s">
        <v>106</v>
      </c>
      <c r="G651" s="9" t="s">
        <v>106</v>
      </c>
      <c r="H651" s="9" t="s">
        <v>106</v>
      </c>
      <c r="I651" s="9">
        <v>25</v>
      </c>
      <c r="J651" s="9" t="s">
        <v>116</v>
      </c>
      <c r="K651" s="9" t="s">
        <v>117</v>
      </c>
      <c r="L651" t="str">
        <f>IF(OR(J651="Cattle",J651="Zebu Cattle"),IF(COUNTIF(lists!$M$2:$M$258, K651) &gt; 0,"bos.indicus",IF(COUNTIF(lists!$L$2:$L$258, K651) &gt; 0,"cross.bred","pure.bred.exotic")),"NA")</f>
        <v>NA</v>
      </c>
      <c r="M651" t="str">
        <f>IF(J651="Sheep",IF(COUNTIF(lists!$H$2:$H$258, K651) &gt; 0,"indigenous",IF(COUNTIF(lists!$G$2:$G$258, K651) &gt; 0,"cross.bred","not found")),"NA")</f>
        <v>NA</v>
      </c>
      <c r="N651" t="str">
        <f>IF(J651="Goat",IF(COUNTIF(lists!$J$2:$J$258, K651) &gt; 0,"indigenous",IF(COUNTIF(lists!$I$2:$I$258, K651) &gt; 0,"cross.bred","not found")),"NA")</f>
        <v>indigenous</v>
      </c>
      <c r="O651" s="9" t="s">
        <v>109</v>
      </c>
      <c r="P651" s="9" t="s">
        <v>106</v>
      </c>
      <c r="Q651" s="9" t="s">
        <v>3800</v>
      </c>
      <c r="S651" s="9" t="s">
        <v>106</v>
      </c>
      <c r="T651" s="9">
        <v>53</v>
      </c>
      <c r="U651" s="9">
        <v>145</v>
      </c>
      <c r="V651" s="9">
        <v>935</v>
      </c>
      <c r="W651" s="9">
        <v>75</v>
      </c>
      <c r="X651" s="9" t="s">
        <v>106</v>
      </c>
      <c r="Y651" s="9" t="s">
        <v>106</v>
      </c>
      <c r="Z651" s="37"/>
      <c r="AA651" s="37"/>
      <c r="AB651" s="37"/>
      <c r="AE651">
        <v>0</v>
      </c>
    </row>
    <row r="652" spans="1:31" hidden="1">
      <c r="A652" s="9" t="s">
        <v>1088</v>
      </c>
      <c r="B652" s="9" t="s">
        <v>154</v>
      </c>
      <c r="C652" s="9" t="s">
        <v>105</v>
      </c>
      <c r="D652" s="9">
        <v>0.39600000000000002</v>
      </c>
      <c r="E652" s="9">
        <v>5.86</v>
      </c>
      <c r="F652" s="9" t="s">
        <v>106</v>
      </c>
      <c r="G652" s="9" t="s">
        <v>106</v>
      </c>
      <c r="H652" s="9" t="s">
        <v>106</v>
      </c>
      <c r="I652" s="9">
        <v>25</v>
      </c>
      <c r="J652" s="9" t="s">
        <v>116</v>
      </c>
      <c r="K652" s="9" t="s">
        <v>117</v>
      </c>
      <c r="L652" t="str">
        <f>IF(OR(J652="Cattle",J652="Zebu Cattle"),IF(COUNTIF(lists!$M$2:$M$258, K652) &gt; 0,"bos.indicus",IF(COUNTIF(lists!$L$2:$L$258, K652) &gt; 0,"cross.bred","pure.bred.exotic")),"NA")</f>
        <v>NA</v>
      </c>
      <c r="M652" t="str">
        <f>IF(J652="Sheep",IF(COUNTIF(lists!$H$2:$H$258, K652) &gt; 0,"indigenous",IF(COUNTIF(lists!$G$2:$G$258, K652) &gt; 0,"cross.bred","not found")),"NA")</f>
        <v>NA</v>
      </c>
      <c r="N652" t="str">
        <f>IF(J652="Goat",IF(COUNTIF(lists!$J$2:$J$258, K652) &gt; 0,"indigenous",IF(COUNTIF(lists!$I$2:$I$258, K652) &gt; 0,"cross.bred","not found")),"NA")</f>
        <v>indigenous</v>
      </c>
      <c r="O652" s="9" t="s">
        <v>109</v>
      </c>
      <c r="P652" s="9" t="s">
        <v>106</v>
      </c>
      <c r="Q652" s="9" t="s">
        <v>3800</v>
      </c>
      <c r="S652" s="9" t="s">
        <v>106</v>
      </c>
      <c r="T652" s="9">
        <v>54.5</v>
      </c>
      <c r="U652" s="9">
        <v>140</v>
      </c>
      <c r="V652" s="9">
        <v>941</v>
      </c>
      <c r="W652" s="9">
        <v>66</v>
      </c>
      <c r="X652" s="9" t="s">
        <v>106</v>
      </c>
      <c r="Y652" s="9" t="s">
        <v>106</v>
      </c>
      <c r="Z652" s="37"/>
      <c r="AA652" s="37"/>
      <c r="AB652" s="37"/>
      <c r="AE652">
        <v>0</v>
      </c>
    </row>
    <row r="653" spans="1:31" hidden="1">
      <c r="A653" s="9" t="s">
        <v>1088</v>
      </c>
      <c r="B653" s="9" t="s">
        <v>155</v>
      </c>
      <c r="C653" s="9" t="s">
        <v>105</v>
      </c>
      <c r="D653" s="9">
        <v>0.40300000000000002</v>
      </c>
      <c r="E653" s="9">
        <v>5.86</v>
      </c>
      <c r="F653" s="9" t="s">
        <v>106</v>
      </c>
      <c r="G653" s="9" t="s">
        <v>106</v>
      </c>
      <c r="H653" s="9" t="s">
        <v>106</v>
      </c>
      <c r="I653" s="9">
        <v>25</v>
      </c>
      <c r="J653" s="9" t="s">
        <v>116</v>
      </c>
      <c r="K653" s="9" t="s">
        <v>117</v>
      </c>
      <c r="L653" t="str">
        <f>IF(OR(J653="Cattle",J653="Zebu Cattle"),IF(COUNTIF(lists!$M$2:$M$258, K653) &gt; 0,"bos.indicus",IF(COUNTIF(lists!$L$2:$L$258, K653) &gt; 0,"cross.bred","pure.bred.exotic")),"NA")</f>
        <v>NA</v>
      </c>
      <c r="M653" t="str">
        <f>IF(J653="Sheep",IF(COUNTIF(lists!$H$2:$H$258, K653) &gt; 0,"indigenous",IF(COUNTIF(lists!$G$2:$G$258, K653) &gt; 0,"cross.bred","not found")),"NA")</f>
        <v>NA</v>
      </c>
      <c r="N653" t="str">
        <f>IF(J653="Goat",IF(COUNTIF(lists!$J$2:$J$258, K653) &gt; 0,"indigenous",IF(COUNTIF(lists!$I$2:$I$258, K653) &gt; 0,"cross.bred","not found")),"NA")</f>
        <v>indigenous</v>
      </c>
      <c r="O653" s="9" t="s">
        <v>109</v>
      </c>
      <c r="P653" s="9" t="s">
        <v>106</v>
      </c>
      <c r="Q653" s="9" t="s">
        <v>3800</v>
      </c>
      <c r="S653" s="9" t="s">
        <v>106</v>
      </c>
      <c r="T653" s="9">
        <v>64</v>
      </c>
      <c r="U653" s="9">
        <v>154</v>
      </c>
      <c r="V653" s="9">
        <v>912</v>
      </c>
      <c r="W653" s="9">
        <v>41</v>
      </c>
      <c r="X653" s="9" t="s">
        <v>106</v>
      </c>
      <c r="Y653" s="9" t="s">
        <v>106</v>
      </c>
      <c r="Z653" s="37"/>
      <c r="AA653" s="37"/>
      <c r="AB653" s="37"/>
      <c r="AE653">
        <v>0</v>
      </c>
    </row>
    <row r="654" spans="1:31" hidden="1">
      <c r="A654" s="9" t="s">
        <v>1088</v>
      </c>
      <c r="B654" s="9" t="s">
        <v>156</v>
      </c>
      <c r="C654" s="9" t="s">
        <v>105</v>
      </c>
      <c r="D654" s="9">
        <v>0.40899999999999997</v>
      </c>
      <c r="E654" s="9">
        <v>5.86</v>
      </c>
      <c r="F654" s="9" t="s">
        <v>106</v>
      </c>
      <c r="G654" s="9" t="s">
        <v>106</v>
      </c>
      <c r="H654" s="9" t="s">
        <v>106</v>
      </c>
      <c r="I654" s="9">
        <v>25</v>
      </c>
      <c r="J654" s="9" t="s">
        <v>116</v>
      </c>
      <c r="K654" s="9" t="s">
        <v>117</v>
      </c>
      <c r="L654" t="str">
        <f>IF(OR(J654="Cattle",J654="Zebu Cattle"),IF(COUNTIF(lists!$M$2:$M$258, K654) &gt; 0,"bos.indicus",IF(COUNTIF(lists!$L$2:$L$258, K654) &gt; 0,"cross.bred","pure.bred.exotic")),"NA")</f>
        <v>NA</v>
      </c>
      <c r="M654" t="str">
        <f>IF(J654="Sheep",IF(COUNTIF(lists!$H$2:$H$258, K654) &gt; 0,"indigenous",IF(COUNTIF(lists!$G$2:$G$258, K654) &gt; 0,"cross.bred","not found")),"NA")</f>
        <v>NA</v>
      </c>
      <c r="N654" t="str">
        <f>IF(J654="Goat",IF(COUNTIF(lists!$J$2:$J$258, K654) &gt; 0,"indigenous",IF(COUNTIF(lists!$I$2:$I$258, K654) &gt; 0,"cross.bred","not found")),"NA")</f>
        <v>indigenous</v>
      </c>
      <c r="O654" s="9" t="s">
        <v>109</v>
      </c>
      <c r="P654" s="9" t="s">
        <v>106</v>
      </c>
      <c r="Q654" s="9" t="s">
        <v>3800</v>
      </c>
      <c r="S654" s="9" t="s">
        <v>106</v>
      </c>
      <c r="T654" s="9">
        <v>67.5</v>
      </c>
      <c r="U654" s="9">
        <v>157</v>
      </c>
      <c r="V654" s="9">
        <v>942</v>
      </c>
      <c r="W654" s="9">
        <v>42</v>
      </c>
      <c r="X654" s="9" t="s">
        <v>106</v>
      </c>
      <c r="Y654" s="9" t="s">
        <v>106</v>
      </c>
      <c r="Z654" s="37"/>
      <c r="AA654" s="37"/>
      <c r="AB654" s="37"/>
      <c r="AE654">
        <v>0</v>
      </c>
    </row>
    <row r="655" spans="1:31" hidden="1">
      <c r="A655" s="9" t="s">
        <v>1088</v>
      </c>
      <c r="B655" s="9" t="s">
        <v>157</v>
      </c>
      <c r="C655" s="9" t="s">
        <v>105</v>
      </c>
      <c r="D655" s="9">
        <v>0.35199999999999998</v>
      </c>
      <c r="E655" s="9">
        <v>5.86</v>
      </c>
      <c r="F655" s="9" t="s">
        <v>106</v>
      </c>
      <c r="G655" s="9" t="s">
        <v>106</v>
      </c>
      <c r="H655" s="9" t="s">
        <v>106</v>
      </c>
      <c r="I655" s="9">
        <v>25</v>
      </c>
      <c r="J655" s="9" t="s">
        <v>116</v>
      </c>
      <c r="K655" s="9" t="s">
        <v>117</v>
      </c>
      <c r="L655" t="str">
        <f>IF(OR(J655="Cattle",J655="Zebu Cattle"),IF(COUNTIF(lists!$M$2:$M$258, K655) &gt; 0,"bos.indicus",IF(COUNTIF(lists!$L$2:$L$258, K655) &gt; 0,"cross.bred","pure.bred.exotic")),"NA")</f>
        <v>NA</v>
      </c>
      <c r="M655" t="str">
        <f>IF(J655="Sheep",IF(COUNTIF(lists!$H$2:$H$258, K655) &gt; 0,"indigenous",IF(COUNTIF(lists!$G$2:$G$258, K655) &gt; 0,"cross.bred","not found")),"NA")</f>
        <v>NA</v>
      </c>
      <c r="N655" t="str">
        <f>IF(J655="Goat",IF(COUNTIF(lists!$J$2:$J$258, K655) &gt; 0,"indigenous",IF(COUNTIF(lists!$I$2:$I$258, K655) &gt; 0,"cross.bred","not found")),"NA")</f>
        <v>indigenous</v>
      </c>
      <c r="O655" s="9" t="s">
        <v>109</v>
      </c>
      <c r="P655" s="9" t="s">
        <v>106</v>
      </c>
      <c r="Q655" s="9" t="s">
        <v>3800</v>
      </c>
      <c r="S655" s="9" t="s">
        <v>106</v>
      </c>
      <c r="T655" s="9">
        <v>92</v>
      </c>
      <c r="U655" s="9">
        <v>140</v>
      </c>
      <c r="V655" s="9">
        <v>941</v>
      </c>
      <c r="W655" s="9">
        <v>70</v>
      </c>
      <c r="X655" s="9" t="s">
        <v>106</v>
      </c>
      <c r="Y655" s="9" t="s">
        <v>106</v>
      </c>
      <c r="Z655" s="37"/>
      <c r="AA655" s="37"/>
      <c r="AB655" s="37"/>
      <c r="AE655">
        <v>0</v>
      </c>
    </row>
    <row r="656" spans="1:31" hidden="1">
      <c r="A656" s="9" t="s">
        <v>1119</v>
      </c>
      <c r="B656" s="9" t="s">
        <v>151</v>
      </c>
      <c r="C656" s="9" t="s">
        <v>105</v>
      </c>
      <c r="D656" s="9">
        <v>1.0574610317667099</v>
      </c>
      <c r="E656" s="9" t="s">
        <v>106</v>
      </c>
      <c r="F656" s="9" t="s">
        <v>106</v>
      </c>
      <c r="G656" s="9" t="s">
        <v>106</v>
      </c>
      <c r="H656" s="9" t="s">
        <v>106</v>
      </c>
      <c r="I656" s="9">
        <v>20</v>
      </c>
      <c r="J656" s="9" t="s">
        <v>116</v>
      </c>
      <c r="K656" s="9" t="s">
        <v>117</v>
      </c>
      <c r="L656" t="str">
        <f>IF(OR(J656="Cattle",J656="Zebu Cattle"),IF(COUNTIF(lists!$M$2:$M$258, K656) &gt; 0,"bos.indicus",IF(COUNTIF(lists!$L$2:$L$258, K656) &gt; 0,"cross.bred","pure.bred.exotic")),"NA")</f>
        <v>NA</v>
      </c>
      <c r="M656" t="str">
        <f>IF(J656="Sheep",IF(COUNTIF(lists!$H$2:$H$258, K656) &gt; 0,"indigenous",IF(COUNTIF(lists!$G$2:$G$258, K656) &gt; 0,"cross.bred","not found")),"NA")</f>
        <v>NA</v>
      </c>
      <c r="N656" t="str">
        <f>IF(J656="Goat",IF(COUNTIF(lists!$J$2:$J$258, K656) &gt; 0,"indigenous",IF(COUNTIF(lists!$I$2:$I$258, K656) &gt; 0,"cross.bred","not found")),"NA")</f>
        <v>indigenous</v>
      </c>
      <c r="O656" s="9" t="s">
        <v>109</v>
      </c>
      <c r="P656" s="9" t="s">
        <v>106</v>
      </c>
      <c r="Q656" s="9" t="s">
        <v>3806</v>
      </c>
      <c r="S656" s="9">
        <v>581.1</v>
      </c>
      <c r="T656" s="9">
        <v>121.6</v>
      </c>
      <c r="U656" s="9">
        <v>114</v>
      </c>
      <c r="V656" s="9">
        <v>890.3</v>
      </c>
      <c r="W656" s="9">
        <v>16.100000000000001</v>
      </c>
      <c r="X656" s="9">
        <v>701.7</v>
      </c>
      <c r="Y656" s="9">
        <v>66.400000000000006</v>
      </c>
      <c r="Z656" s="37"/>
      <c r="AA656" s="37"/>
      <c r="AB656" s="37"/>
      <c r="AE656">
        <v>0</v>
      </c>
    </row>
    <row r="657" spans="1:31" hidden="1">
      <c r="A657" s="9" t="s">
        <v>1119</v>
      </c>
      <c r="B657" s="9" t="s">
        <v>154</v>
      </c>
      <c r="C657" s="9" t="s">
        <v>105</v>
      </c>
      <c r="D657" s="9">
        <v>1.1696408410568</v>
      </c>
      <c r="E657" s="9" t="s">
        <v>106</v>
      </c>
      <c r="F657" s="9" t="s">
        <v>106</v>
      </c>
      <c r="G657" s="9" t="s">
        <v>106</v>
      </c>
      <c r="H657" s="9" t="s">
        <v>106</v>
      </c>
      <c r="I657" s="9">
        <v>20</v>
      </c>
      <c r="J657" s="9" t="s">
        <v>116</v>
      </c>
      <c r="K657" s="9" t="s">
        <v>117</v>
      </c>
      <c r="L657" t="str">
        <f>IF(OR(J657="Cattle",J657="Zebu Cattle"),IF(COUNTIF(lists!$M$2:$M$258, K657) &gt; 0,"bos.indicus",IF(COUNTIF(lists!$L$2:$L$258, K657) &gt; 0,"cross.bred","pure.bred.exotic")),"NA")</f>
        <v>NA</v>
      </c>
      <c r="M657" t="str">
        <f>IF(J657="Sheep",IF(COUNTIF(lists!$H$2:$H$258, K657) &gt; 0,"indigenous",IF(COUNTIF(lists!$G$2:$G$258, K657) &gt; 0,"cross.bred","not found")),"NA")</f>
        <v>NA</v>
      </c>
      <c r="N657" t="str">
        <f>IF(J657="Goat",IF(COUNTIF(lists!$J$2:$J$258, K657) &gt; 0,"indigenous",IF(COUNTIF(lists!$I$2:$I$258, K657) &gt; 0,"cross.bred","not found")),"NA")</f>
        <v>indigenous</v>
      </c>
      <c r="O657" s="9" t="s">
        <v>109</v>
      </c>
      <c r="P657" s="9" t="s">
        <v>106</v>
      </c>
      <c r="Q657" s="9" t="s">
        <v>3806</v>
      </c>
      <c r="S657" s="9">
        <v>457.1</v>
      </c>
      <c r="T657" s="9">
        <v>110.6</v>
      </c>
      <c r="U657" s="9">
        <v>137.19999999999999</v>
      </c>
      <c r="V657" s="9">
        <v>901.6</v>
      </c>
      <c r="W657" s="9">
        <v>21.4</v>
      </c>
      <c r="X657" s="9">
        <v>664.099999999999</v>
      </c>
      <c r="Y657" s="9">
        <v>74.3</v>
      </c>
      <c r="Z657" s="37"/>
      <c r="AA657" s="37"/>
      <c r="AB657" s="37"/>
      <c r="AE657">
        <v>0</v>
      </c>
    </row>
    <row r="658" spans="1:31" hidden="1">
      <c r="A658" s="9" t="s">
        <v>1119</v>
      </c>
      <c r="B658" s="9" t="s">
        <v>155</v>
      </c>
      <c r="C658" s="9" t="s">
        <v>105</v>
      </c>
      <c r="D658" s="9">
        <v>1.2141975555607101</v>
      </c>
      <c r="E658" s="9" t="s">
        <v>106</v>
      </c>
      <c r="F658" s="9" t="s">
        <v>106</v>
      </c>
      <c r="G658" s="9" t="s">
        <v>106</v>
      </c>
      <c r="H658" s="9" t="s">
        <v>106</v>
      </c>
      <c r="I658" s="9">
        <v>20</v>
      </c>
      <c r="J658" s="9" t="s">
        <v>116</v>
      </c>
      <c r="K658" s="9" t="s">
        <v>117</v>
      </c>
      <c r="L658" t="str">
        <f>IF(OR(J658="Cattle",J658="Zebu Cattle"),IF(COUNTIF(lists!$M$2:$M$258, K658) &gt; 0,"bos.indicus",IF(COUNTIF(lists!$L$2:$L$258, K658) &gt; 0,"cross.bred","pure.bred.exotic")),"NA")</f>
        <v>NA</v>
      </c>
      <c r="M658" t="str">
        <f>IF(J658="Sheep",IF(COUNTIF(lists!$H$2:$H$258, K658) &gt; 0,"indigenous",IF(COUNTIF(lists!$G$2:$G$258, K658) &gt; 0,"cross.bred","not found")),"NA")</f>
        <v>NA</v>
      </c>
      <c r="N658" t="str">
        <f>IF(J658="Goat",IF(COUNTIF(lists!$J$2:$J$258, K658) &gt; 0,"indigenous",IF(COUNTIF(lists!$I$2:$I$258, K658) &gt; 0,"cross.bred","not found")),"NA")</f>
        <v>indigenous</v>
      </c>
      <c r="O658" s="9" t="s">
        <v>109</v>
      </c>
      <c r="P658" s="9" t="s">
        <v>106</v>
      </c>
      <c r="Q658" s="9" t="s">
        <v>3806</v>
      </c>
      <c r="S658" s="9">
        <v>372.29999999999899</v>
      </c>
      <c r="T658" s="9">
        <v>106.3</v>
      </c>
      <c r="U658" s="9">
        <v>163.9</v>
      </c>
      <c r="V658" s="9">
        <v>896.8</v>
      </c>
      <c r="W658" s="9">
        <v>16.599999999999898</v>
      </c>
      <c r="X658" s="9">
        <v>512</v>
      </c>
      <c r="Y658" s="9">
        <v>76.599999999999994</v>
      </c>
      <c r="Z658" s="37"/>
      <c r="AA658" s="37"/>
      <c r="AB658" s="37"/>
      <c r="AE658">
        <v>0</v>
      </c>
    </row>
    <row r="659" spans="1:31" hidden="1">
      <c r="A659" s="9" t="s">
        <v>1119</v>
      </c>
      <c r="B659" s="9" t="s">
        <v>156</v>
      </c>
      <c r="C659" s="9" t="s">
        <v>105</v>
      </c>
      <c r="D659" s="9">
        <v>1.2455030678066099</v>
      </c>
      <c r="E659" s="9" t="s">
        <v>106</v>
      </c>
      <c r="F659" s="9" t="s">
        <v>106</v>
      </c>
      <c r="G659" s="9" t="s">
        <v>106</v>
      </c>
      <c r="H659" s="9" t="s">
        <v>106</v>
      </c>
      <c r="I659" s="9">
        <v>20</v>
      </c>
      <c r="J659" s="9" t="s">
        <v>116</v>
      </c>
      <c r="K659" s="9" t="s">
        <v>117</v>
      </c>
      <c r="L659" t="str">
        <f>IF(OR(J659="Cattle",J659="Zebu Cattle"),IF(COUNTIF(lists!$M$2:$M$258, K659) &gt; 0,"bos.indicus",IF(COUNTIF(lists!$L$2:$L$258, K659) &gt; 0,"cross.bred","pure.bred.exotic")),"NA")</f>
        <v>NA</v>
      </c>
      <c r="M659" t="str">
        <f>IF(J659="Sheep",IF(COUNTIF(lists!$H$2:$H$258, K659) &gt; 0,"indigenous",IF(COUNTIF(lists!$G$2:$G$258, K659) &gt; 0,"cross.bred","not found")),"NA")</f>
        <v>NA</v>
      </c>
      <c r="N659" t="str">
        <f>IF(J659="Goat",IF(COUNTIF(lists!$J$2:$J$258, K659) &gt; 0,"indigenous",IF(COUNTIF(lists!$I$2:$I$258, K659) &gt; 0,"cross.bred","not found")),"NA")</f>
        <v>indigenous</v>
      </c>
      <c r="O659" s="9" t="s">
        <v>109</v>
      </c>
      <c r="P659" s="9" t="s">
        <v>106</v>
      </c>
      <c r="Q659" s="9" t="s">
        <v>3806</v>
      </c>
      <c r="S659" s="9">
        <v>348.6</v>
      </c>
      <c r="T659" s="9">
        <v>98.1</v>
      </c>
      <c r="U659" s="9">
        <v>182.8</v>
      </c>
      <c r="V659" s="9">
        <v>891.4</v>
      </c>
      <c r="W659" s="9">
        <v>15.1</v>
      </c>
      <c r="X659" s="9">
        <v>458</v>
      </c>
      <c r="Y659" s="9">
        <v>76.7</v>
      </c>
      <c r="Z659" s="37"/>
      <c r="AA659" s="37"/>
      <c r="AB659" s="37"/>
      <c r="AE659">
        <v>0</v>
      </c>
    </row>
    <row r="660" spans="1:31" hidden="1">
      <c r="A660" s="9" t="s">
        <v>1119</v>
      </c>
      <c r="B660" s="9" t="s">
        <v>157</v>
      </c>
      <c r="C660" s="9" t="s">
        <v>105</v>
      </c>
      <c r="D660" s="9">
        <v>1.28144825476855</v>
      </c>
      <c r="E660" s="9" t="s">
        <v>106</v>
      </c>
      <c r="F660" s="9" t="s">
        <v>106</v>
      </c>
      <c r="G660" s="9" t="s">
        <v>106</v>
      </c>
      <c r="H660" s="9" t="s">
        <v>106</v>
      </c>
      <c r="I660" s="9">
        <v>20</v>
      </c>
      <c r="J660" s="9" t="s">
        <v>116</v>
      </c>
      <c r="K660" s="9" t="s">
        <v>117</v>
      </c>
      <c r="L660" t="str">
        <f>IF(OR(J660="Cattle",J660="Zebu Cattle"),IF(COUNTIF(lists!$M$2:$M$258, K660) &gt; 0,"bos.indicus",IF(COUNTIF(lists!$L$2:$L$258, K660) &gt; 0,"cross.bred","pure.bred.exotic")),"NA")</f>
        <v>NA</v>
      </c>
      <c r="M660" t="str">
        <f>IF(J660="Sheep",IF(COUNTIF(lists!$H$2:$H$258, K660) &gt; 0,"indigenous",IF(COUNTIF(lists!$G$2:$G$258, K660) &gt; 0,"cross.bred","not found")),"NA")</f>
        <v>NA</v>
      </c>
      <c r="N660" t="str">
        <f>IF(J660="Goat",IF(COUNTIF(lists!$J$2:$J$258, K660) &gt; 0,"indigenous",IF(COUNTIF(lists!$I$2:$I$258, K660) &gt; 0,"cross.bred","not found")),"NA")</f>
        <v>indigenous</v>
      </c>
      <c r="O660" s="9" t="s">
        <v>109</v>
      </c>
      <c r="P660" s="9" t="s">
        <v>106</v>
      </c>
      <c r="Q660" s="9" t="s">
        <v>3806</v>
      </c>
      <c r="S660" s="9">
        <v>279.5</v>
      </c>
      <c r="T660" s="9">
        <v>79.400000000000006</v>
      </c>
      <c r="U660" s="9">
        <v>210.5</v>
      </c>
      <c r="V660" s="9">
        <v>891.8</v>
      </c>
      <c r="W660" s="9">
        <v>17.100000000000001</v>
      </c>
      <c r="X660" s="9">
        <v>388.8</v>
      </c>
      <c r="Y660" s="9">
        <v>76.599999999999994</v>
      </c>
      <c r="Z660" s="37"/>
      <c r="AA660" s="37"/>
      <c r="AB660" s="37"/>
      <c r="AE660">
        <v>0</v>
      </c>
    </row>
    <row r="661" spans="1:31" hidden="1">
      <c r="A661" s="9" t="s">
        <v>1131</v>
      </c>
      <c r="B661" s="9" t="s">
        <v>151</v>
      </c>
      <c r="C661" s="9" t="s">
        <v>105</v>
      </c>
      <c r="D661" s="9">
        <v>0.51716999999999902</v>
      </c>
      <c r="E661" s="9">
        <v>0.27</v>
      </c>
      <c r="F661" s="9" t="s">
        <v>106</v>
      </c>
      <c r="G661" s="9" t="s">
        <v>106</v>
      </c>
      <c r="H661" s="9" t="s">
        <v>106</v>
      </c>
      <c r="J661" s="9" t="s">
        <v>116</v>
      </c>
      <c r="K661" s="9" t="s">
        <v>117</v>
      </c>
      <c r="L661" t="str">
        <f>IF(OR(J661="Cattle",J661="Zebu Cattle"),IF(COUNTIF(lists!$M$2:$M$258, K661) &gt; 0,"bos.indicus",IF(COUNTIF(lists!$L$2:$L$258, K661) &gt; 0,"cross.bred","pure.bred.exotic")),"NA")</f>
        <v>NA</v>
      </c>
      <c r="M661" t="str">
        <f>IF(J661="Sheep",IF(COUNTIF(lists!$H$2:$H$258, K661) &gt; 0,"indigenous",IF(COUNTIF(lists!$G$2:$G$258, K661) &gt; 0,"cross.bred","not found")),"NA")</f>
        <v>NA</v>
      </c>
      <c r="N661" t="str">
        <f>IF(J661="Goat",IF(COUNTIF(lists!$J$2:$J$258, K661) &gt; 0,"indigenous",IF(COUNTIF(lists!$I$2:$I$258, K661) &gt; 0,"cross.bred","not found")),"NA")</f>
        <v>indigenous</v>
      </c>
      <c r="O661" s="9" t="s">
        <v>109</v>
      </c>
      <c r="P661" s="9" t="s">
        <v>373</v>
      </c>
      <c r="S661" s="9">
        <v>178</v>
      </c>
      <c r="T661" s="9">
        <v>55.5</v>
      </c>
      <c r="U661" s="9">
        <v>99.5</v>
      </c>
      <c r="V661" s="9">
        <v>856</v>
      </c>
      <c r="W661" s="9">
        <v>31.299999999999901</v>
      </c>
      <c r="X661" s="9">
        <v>292.2</v>
      </c>
      <c r="Y661" s="9" t="s">
        <v>106</v>
      </c>
      <c r="Z661" s="37"/>
      <c r="AA661" s="37"/>
      <c r="AB661" s="37"/>
      <c r="AE661"/>
    </row>
    <row r="662" spans="1:31" hidden="1">
      <c r="A662" s="9" t="s">
        <v>1131</v>
      </c>
      <c r="B662" s="9" t="s">
        <v>154</v>
      </c>
      <c r="C662" s="9" t="s">
        <v>105</v>
      </c>
      <c r="D662" s="9">
        <v>0.56537000000000004</v>
      </c>
      <c r="E662" s="9">
        <v>0.27</v>
      </c>
      <c r="F662" s="9" t="s">
        <v>106</v>
      </c>
      <c r="G662" s="9" t="s">
        <v>106</v>
      </c>
      <c r="H662" s="9" t="s">
        <v>106</v>
      </c>
      <c r="J662" s="9" t="s">
        <v>116</v>
      </c>
      <c r="K662" s="9" t="s">
        <v>117</v>
      </c>
      <c r="L662" t="str">
        <f>IF(OR(J662="Cattle",J662="Zebu Cattle"),IF(COUNTIF(lists!$M$2:$M$258, K662) &gt; 0,"bos.indicus",IF(COUNTIF(lists!$L$2:$L$258, K662) &gt; 0,"cross.bred","pure.bred.exotic")),"NA")</f>
        <v>NA</v>
      </c>
      <c r="M662" t="str">
        <f>IF(J662="Sheep",IF(COUNTIF(lists!$H$2:$H$258, K662) &gt; 0,"indigenous",IF(COUNTIF(lists!$G$2:$G$258, K662) &gt; 0,"cross.bred","not found")),"NA")</f>
        <v>NA</v>
      </c>
      <c r="N662" t="str">
        <f>IF(J662="Goat",IF(COUNTIF(lists!$J$2:$J$258, K662) &gt; 0,"indigenous",IF(COUNTIF(lists!$I$2:$I$258, K662) &gt; 0,"cross.bred","not found")),"NA")</f>
        <v>indigenous</v>
      </c>
      <c r="O662" s="9" t="s">
        <v>109</v>
      </c>
      <c r="P662" s="9" t="s">
        <v>373</v>
      </c>
      <c r="S662" s="9">
        <v>260.5</v>
      </c>
      <c r="T662" s="9">
        <v>52.5</v>
      </c>
      <c r="U662" s="9">
        <v>118.9</v>
      </c>
      <c r="V662" s="9">
        <v>832.3</v>
      </c>
      <c r="W662" s="9">
        <v>32.5</v>
      </c>
      <c r="X662" s="9">
        <v>399.5</v>
      </c>
      <c r="Y662" s="9" t="s">
        <v>106</v>
      </c>
      <c r="Z662" s="37"/>
      <c r="AA662" s="37"/>
      <c r="AB662" s="37"/>
      <c r="AE662"/>
    </row>
    <row r="663" spans="1:31" hidden="1">
      <c r="A663" s="9" t="s">
        <v>1131</v>
      </c>
      <c r="B663" s="9" t="s">
        <v>155</v>
      </c>
      <c r="C663" s="9" t="s">
        <v>105</v>
      </c>
      <c r="D663" s="9">
        <v>0.51222999999999996</v>
      </c>
      <c r="E663" s="9">
        <v>0.27</v>
      </c>
      <c r="F663" s="9" t="s">
        <v>106</v>
      </c>
      <c r="G663" s="9" t="s">
        <v>106</v>
      </c>
      <c r="H663" s="9" t="s">
        <v>106</v>
      </c>
      <c r="J663" s="9" t="s">
        <v>116</v>
      </c>
      <c r="K663" s="9" t="s">
        <v>117</v>
      </c>
      <c r="L663" t="str">
        <f>IF(OR(J663="Cattle",J663="Zebu Cattle"),IF(COUNTIF(lists!$M$2:$M$258, K663) &gt; 0,"bos.indicus",IF(COUNTIF(lists!$L$2:$L$258, K663) &gt; 0,"cross.bred","pure.bred.exotic")),"NA")</f>
        <v>NA</v>
      </c>
      <c r="M663" t="str">
        <f>IF(J663="Sheep",IF(COUNTIF(lists!$H$2:$H$258, K663) &gt; 0,"indigenous",IF(COUNTIF(lists!$G$2:$G$258, K663) &gt; 0,"cross.bred","not found")),"NA")</f>
        <v>NA</v>
      </c>
      <c r="N663" t="str">
        <f>IF(J663="Goat",IF(COUNTIF(lists!$J$2:$J$258, K663) &gt; 0,"indigenous",IF(COUNTIF(lists!$I$2:$I$258, K663) &gt; 0,"cross.bred","not found")),"NA")</f>
        <v>indigenous</v>
      </c>
      <c r="O663" s="9" t="s">
        <v>109</v>
      </c>
      <c r="P663" s="9" t="s">
        <v>373</v>
      </c>
      <c r="S663" s="9">
        <v>318.5</v>
      </c>
      <c r="T663" s="9">
        <v>57.7</v>
      </c>
      <c r="U663" s="9">
        <v>110.9</v>
      </c>
      <c r="V663" s="9">
        <v>836.3</v>
      </c>
      <c r="W663" s="9">
        <v>32.5</v>
      </c>
      <c r="X663" s="9">
        <v>500.1</v>
      </c>
      <c r="Y663" s="9" t="s">
        <v>106</v>
      </c>
      <c r="Z663" s="37"/>
      <c r="AA663" s="37"/>
      <c r="AB663" s="37"/>
      <c r="AE663"/>
    </row>
    <row r="664" spans="1:31" hidden="1">
      <c r="A664" s="9" t="s">
        <v>1131</v>
      </c>
      <c r="B664" s="9" t="s">
        <v>156</v>
      </c>
      <c r="C664" s="9" t="s">
        <v>105</v>
      </c>
      <c r="D664" s="9">
        <v>0.50560000000000005</v>
      </c>
      <c r="E664" s="9">
        <v>0.27</v>
      </c>
      <c r="F664" s="9" t="s">
        <v>106</v>
      </c>
      <c r="G664" s="9" t="s">
        <v>106</v>
      </c>
      <c r="H664" s="9" t="s">
        <v>106</v>
      </c>
      <c r="J664" s="9" t="s">
        <v>116</v>
      </c>
      <c r="K664" s="9" t="s">
        <v>117</v>
      </c>
      <c r="L664" t="str">
        <f>IF(OR(J664="Cattle",J664="Zebu Cattle"),IF(COUNTIF(lists!$M$2:$M$258, K664) &gt; 0,"bos.indicus",IF(COUNTIF(lists!$L$2:$L$258, K664) &gt; 0,"cross.bred","pure.bred.exotic")),"NA")</f>
        <v>NA</v>
      </c>
      <c r="M664" t="str">
        <f>IF(J664="Sheep",IF(COUNTIF(lists!$H$2:$H$258, K664) &gt; 0,"indigenous",IF(COUNTIF(lists!$G$2:$G$258, K664) &gt; 0,"cross.bred","not found")),"NA")</f>
        <v>NA</v>
      </c>
      <c r="N664" t="str">
        <f>IF(J664="Goat",IF(COUNTIF(lists!$J$2:$J$258, K664) &gt; 0,"indigenous",IF(COUNTIF(lists!$I$2:$I$258, K664) &gt; 0,"cross.bred","not found")),"NA")</f>
        <v>indigenous</v>
      </c>
      <c r="O664" s="9" t="s">
        <v>109</v>
      </c>
      <c r="P664" s="9" t="s">
        <v>373</v>
      </c>
      <c r="S664" s="9">
        <v>159</v>
      </c>
      <c r="T664" s="9">
        <v>51.5</v>
      </c>
      <c r="U664" s="9">
        <v>107</v>
      </c>
      <c r="V664" s="9">
        <v>844</v>
      </c>
      <c r="W664" s="9">
        <v>32</v>
      </c>
      <c r="X664" s="9">
        <v>290</v>
      </c>
      <c r="Y664" s="9" t="s">
        <v>106</v>
      </c>
      <c r="Z664" s="37"/>
      <c r="AA664" s="37"/>
      <c r="AB664" s="37"/>
      <c r="AE664"/>
    </row>
    <row r="665" spans="1:31" hidden="1">
      <c r="A665" s="9" t="s">
        <v>1131</v>
      </c>
      <c r="B665" s="9" t="s">
        <v>157</v>
      </c>
      <c r="C665" s="9" t="s">
        <v>105</v>
      </c>
      <c r="D665" s="9">
        <v>0.50076999999999905</v>
      </c>
      <c r="E665" s="9">
        <v>0.27</v>
      </c>
      <c r="F665" s="9" t="s">
        <v>106</v>
      </c>
      <c r="G665" s="9" t="s">
        <v>106</v>
      </c>
      <c r="H665" s="9" t="s">
        <v>106</v>
      </c>
      <c r="J665" s="9" t="s">
        <v>116</v>
      </c>
      <c r="K665" s="9" t="s">
        <v>117</v>
      </c>
      <c r="L665" t="str">
        <f>IF(OR(J665="Cattle",J665="Zebu Cattle"),IF(COUNTIF(lists!$M$2:$M$258, K665) &gt; 0,"bos.indicus",IF(COUNTIF(lists!$L$2:$L$258, K665) &gt; 0,"cross.bred","pure.bred.exotic")),"NA")</f>
        <v>NA</v>
      </c>
      <c r="M665" t="str">
        <f>IF(J665="Sheep",IF(COUNTIF(lists!$H$2:$H$258, K665) &gt; 0,"indigenous",IF(COUNTIF(lists!$G$2:$G$258, K665) &gt; 0,"cross.bred","not found")),"NA")</f>
        <v>NA</v>
      </c>
      <c r="N665" t="str">
        <f>IF(J665="Goat",IF(COUNTIF(lists!$J$2:$J$258, K665) &gt; 0,"indigenous",IF(COUNTIF(lists!$I$2:$I$258, K665) &gt; 0,"cross.bred","not found")),"NA")</f>
        <v>indigenous</v>
      </c>
      <c r="O665" s="9" t="s">
        <v>109</v>
      </c>
      <c r="P665" s="9" t="s">
        <v>373</v>
      </c>
      <c r="S665" s="9">
        <v>252.3</v>
      </c>
      <c r="T665" s="9">
        <v>48.5</v>
      </c>
      <c r="U665" s="9">
        <v>108.9</v>
      </c>
      <c r="V665" s="9">
        <v>823.8</v>
      </c>
      <c r="W665" s="9">
        <v>29.9</v>
      </c>
      <c r="X665" s="9">
        <v>397.29999999999899</v>
      </c>
      <c r="Y665" s="9" t="s">
        <v>106</v>
      </c>
      <c r="Z665" s="37"/>
      <c r="AA665" s="37"/>
      <c r="AB665" s="37"/>
      <c r="AE665"/>
    </row>
    <row r="666" spans="1:31" hidden="1">
      <c r="A666" s="9" t="s">
        <v>1132</v>
      </c>
      <c r="B666" s="9" t="s">
        <v>1133</v>
      </c>
      <c r="C666" s="9" t="s">
        <v>105</v>
      </c>
      <c r="D666" s="9">
        <v>19.059999999999999</v>
      </c>
      <c r="E666" s="9" t="s">
        <v>106</v>
      </c>
      <c r="F666" s="9" t="s">
        <v>106</v>
      </c>
      <c r="G666" s="9" t="s">
        <v>106</v>
      </c>
      <c r="H666" s="9" t="s">
        <v>106</v>
      </c>
      <c r="J666" s="9" t="s">
        <v>116</v>
      </c>
      <c r="K666" s="9" t="s">
        <v>117</v>
      </c>
      <c r="L666" t="str">
        <f>IF(OR(J666="Cattle",J666="Zebu Cattle"),IF(COUNTIF(lists!$M$2:$M$258, K666) &gt; 0,"bos.indicus",IF(COUNTIF(lists!$L$2:$L$258, K666) &gt; 0,"cross.bred","pure.bred.exotic")),"NA")</f>
        <v>NA</v>
      </c>
      <c r="M666" t="str">
        <f>IF(J666="Sheep",IF(COUNTIF(lists!$H$2:$H$258, K666) &gt; 0,"indigenous",IF(COUNTIF(lists!$G$2:$G$258, K666) &gt; 0,"cross.bred","not found")),"NA")</f>
        <v>NA</v>
      </c>
      <c r="N666" t="str">
        <f>IF(J666="Goat",IF(COUNTIF(lists!$J$2:$J$258, K666) &gt; 0,"indigenous",IF(COUNTIF(lists!$I$2:$I$258, K666) &gt; 0,"cross.bred","not found")),"NA")</f>
        <v>indigenous</v>
      </c>
      <c r="O666" s="9" t="s">
        <v>109</v>
      </c>
      <c r="P666" s="9" t="s">
        <v>373</v>
      </c>
      <c r="S666" s="9" t="s">
        <v>106</v>
      </c>
      <c r="T666" s="9" t="s">
        <v>106</v>
      </c>
      <c r="U666" s="9" t="s">
        <v>106</v>
      </c>
      <c r="V666" s="9" t="s">
        <v>106</v>
      </c>
      <c r="W666" s="9" t="s">
        <v>106</v>
      </c>
      <c r="X666" s="9" t="s">
        <v>106</v>
      </c>
      <c r="Y666" s="9" t="s">
        <v>106</v>
      </c>
      <c r="Z666" s="37"/>
      <c r="AA666" s="37"/>
      <c r="AB666" s="37"/>
      <c r="AE666"/>
    </row>
    <row r="667" spans="1:31" hidden="1">
      <c r="A667" s="9" t="s">
        <v>1132</v>
      </c>
      <c r="B667" s="9" t="s">
        <v>1134</v>
      </c>
      <c r="C667" s="9" t="s">
        <v>105</v>
      </c>
      <c r="D667" s="9">
        <v>20.18</v>
      </c>
      <c r="E667" s="9" t="s">
        <v>106</v>
      </c>
      <c r="F667" s="9" t="s">
        <v>106</v>
      </c>
      <c r="G667" s="9" t="s">
        <v>106</v>
      </c>
      <c r="H667" s="9" t="s">
        <v>106</v>
      </c>
      <c r="J667" s="9" t="s">
        <v>116</v>
      </c>
      <c r="K667" s="9" t="s">
        <v>117</v>
      </c>
      <c r="L667" t="str">
        <f>IF(OR(J667="Cattle",J667="Zebu Cattle"),IF(COUNTIF(lists!$M$2:$M$258, K667) &gt; 0,"bos.indicus",IF(COUNTIF(lists!$L$2:$L$258, K667) &gt; 0,"cross.bred","pure.bred.exotic")),"NA")</f>
        <v>NA</v>
      </c>
      <c r="M667" t="str">
        <f>IF(J667="Sheep",IF(COUNTIF(lists!$H$2:$H$258, K667) &gt; 0,"indigenous",IF(COUNTIF(lists!$G$2:$G$258, K667) &gt; 0,"cross.bred","not found")),"NA")</f>
        <v>NA</v>
      </c>
      <c r="N667" t="str">
        <f>IF(J667="Goat",IF(COUNTIF(lists!$J$2:$J$258, K667) &gt; 0,"indigenous",IF(COUNTIF(lists!$I$2:$I$258, K667) &gt; 0,"cross.bred","not found")),"NA")</f>
        <v>indigenous</v>
      </c>
      <c r="O667" s="9" t="s">
        <v>109</v>
      </c>
      <c r="P667" s="9" t="s">
        <v>373</v>
      </c>
      <c r="S667" s="9" t="s">
        <v>106</v>
      </c>
      <c r="T667" s="9" t="s">
        <v>106</v>
      </c>
      <c r="U667" s="9" t="s">
        <v>106</v>
      </c>
      <c r="V667" s="9" t="s">
        <v>106</v>
      </c>
      <c r="W667" s="9" t="s">
        <v>106</v>
      </c>
      <c r="X667" s="9" t="s">
        <v>106</v>
      </c>
      <c r="Y667" s="9" t="s">
        <v>106</v>
      </c>
      <c r="Z667" s="37"/>
      <c r="AA667" s="37"/>
      <c r="AB667" s="37"/>
      <c r="AE667"/>
    </row>
    <row r="668" spans="1:31" hidden="1">
      <c r="A668" s="9" t="s">
        <v>1132</v>
      </c>
      <c r="B668" s="9" t="s">
        <v>1135</v>
      </c>
      <c r="C668" s="9" t="s">
        <v>105</v>
      </c>
      <c r="D668" s="9">
        <v>27.65</v>
      </c>
      <c r="E668" s="9" t="s">
        <v>106</v>
      </c>
      <c r="F668" s="9" t="s">
        <v>106</v>
      </c>
      <c r="G668" s="9" t="s">
        <v>106</v>
      </c>
      <c r="H668" s="9" t="s">
        <v>106</v>
      </c>
      <c r="J668" s="9" t="s">
        <v>116</v>
      </c>
      <c r="K668" s="9" t="s">
        <v>117</v>
      </c>
      <c r="L668" t="str">
        <f>IF(OR(J668="Cattle",J668="Zebu Cattle"),IF(COUNTIF(lists!$M$2:$M$258, K668) &gt; 0,"bos.indicus",IF(COUNTIF(lists!$L$2:$L$258, K668) &gt; 0,"cross.bred","pure.bred.exotic")),"NA")</f>
        <v>NA</v>
      </c>
      <c r="M668" t="str">
        <f>IF(J668="Sheep",IF(COUNTIF(lists!$H$2:$H$258, K668) &gt; 0,"indigenous",IF(COUNTIF(lists!$G$2:$G$258, K668) &gt; 0,"cross.bred","not found")),"NA")</f>
        <v>NA</v>
      </c>
      <c r="N668" t="str">
        <f>IF(J668="Goat",IF(COUNTIF(lists!$J$2:$J$258, K668) &gt; 0,"indigenous",IF(COUNTIF(lists!$I$2:$I$258, K668) &gt; 0,"cross.bred","not found")),"NA")</f>
        <v>indigenous</v>
      </c>
      <c r="O668" s="9" t="s">
        <v>109</v>
      </c>
      <c r="P668" s="9" t="s">
        <v>373</v>
      </c>
      <c r="S668" s="9" t="s">
        <v>106</v>
      </c>
      <c r="T668" s="9" t="s">
        <v>106</v>
      </c>
      <c r="U668" s="9" t="s">
        <v>106</v>
      </c>
      <c r="V668" s="9" t="s">
        <v>106</v>
      </c>
      <c r="W668" s="9" t="s">
        <v>106</v>
      </c>
      <c r="X668" s="9" t="s">
        <v>106</v>
      </c>
      <c r="Y668" s="9" t="s">
        <v>106</v>
      </c>
      <c r="Z668" s="37"/>
      <c r="AA668" s="37"/>
      <c r="AB668" s="37"/>
      <c r="AE668"/>
    </row>
    <row r="669" spans="1:31" hidden="1">
      <c r="A669" s="9" t="s">
        <v>1132</v>
      </c>
      <c r="B669" s="9" t="s">
        <v>1136</v>
      </c>
      <c r="C669" s="9" t="s">
        <v>105</v>
      </c>
      <c r="D669" s="9">
        <v>26.58</v>
      </c>
      <c r="E669" s="9" t="s">
        <v>106</v>
      </c>
      <c r="F669" s="9" t="s">
        <v>106</v>
      </c>
      <c r="G669" s="9" t="s">
        <v>106</v>
      </c>
      <c r="H669" s="9" t="s">
        <v>106</v>
      </c>
      <c r="J669" s="9" t="s">
        <v>116</v>
      </c>
      <c r="K669" s="9" t="s">
        <v>117</v>
      </c>
      <c r="L669" t="str">
        <f>IF(OR(J669="Cattle",J669="Zebu Cattle"),IF(COUNTIF(lists!$M$2:$M$258, K669) &gt; 0,"bos.indicus",IF(COUNTIF(lists!$L$2:$L$258, K669) &gt; 0,"cross.bred","pure.bred.exotic")),"NA")</f>
        <v>NA</v>
      </c>
      <c r="M669" t="str">
        <f>IF(J669="Sheep",IF(COUNTIF(lists!$H$2:$H$258, K669) &gt; 0,"indigenous",IF(COUNTIF(lists!$G$2:$G$258, K669) &gt; 0,"cross.bred","not found")),"NA")</f>
        <v>NA</v>
      </c>
      <c r="N669" t="str">
        <f>IF(J669="Goat",IF(COUNTIF(lists!$J$2:$J$258, K669) &gt; 0,"indigenous",IF(COUNTIF(lists!$I$2:$I$258, K669) &gt; 0,"cross.bred","not found")),"NA")</f>
        <v>indigenous</v>
      </c>
      <c r="O669" s="9" t="s">
        <v>109</v>
      </c>
      <c r="P669" s="9" t="s">
        <v>373</v>
      </c>
      <c r="S669" s="9" t="s">
        <v>106</v>
      </c>
      <c r="T669" s="9" t="s">
        <v>106</v>
      </c>
      <c r="U669" s="9" t="s">
        <v>106</v>
      </c>
      <c r="V669" s="9" t="s">
        <v>106</v>
      </c>
      <c r="W669" s="9" t="s">
        <v>106</v>
      </c>
      <c r="X669" s="9" t="s">
        <v>106</v>
      </c>
      <c r="Y669" s="9" t="s">
        <v>106</v>
      </c>
      <c r="Z669" s="37"/>
      <c r="AA669" s="37"/>
      <c r="AB669" s="37"/>
      <c r="AE669"/>
    </row>
    <row r="670" spans="1:31" hidden="1">
      <c r="A670" s="9" t="s">
        <v>1132</v>
      </c>
      <c r="B670" s="9" t="s">
        <v>1137</v>
      </c>
      <c r="C670" s="9" t="s">
        <v>105</v>
      </c>
      <c r="D670" s="9">
        <v>0.55384615384615399</v>
      </c>
      <c r="E670" s="9" t="s">
        <v>106</v>
      </c>
      <c r="F670" s="9" t="s">
        <v>106</v>
      </c>
      <c r="G670" s="9" t="s">
        <v>106</v>
      </c>
      <c r="H670" s="9" t="s">
        <v>106</v>
      </c>
      <c r="J670" s="9" t="s">
        <v>116</v>
      </c>
      <c r="K670" s="9" t="s">
        <v>117</v>
      </c>
      <c r="L670" t="str">
        <f>IF(OR(J670="Cattle",J670="Zebu Cattle"),IF(COUNTIF(lists!$M$2:$M$258, K670) &gt; 0,"bos.indicus",IF(COUNTIF(lists!$L$2:$L$258, K670) &gt; 0,"cross.bred","pure.bred.exotic")),"NA")</f>
        <v>NA</v>
      </c>
      <c r="M670" t="str">
        <f>IF(J670="Sheep",IF(COUNTIF(lists!$H$2:$H$258, K670) &gt; 0,"indigenous",IF(COUNTIF(lists!$G$2:$G$258, K670) &gt; 0,"cross.bred","not found")),"NA")</f>
        <v>NA</v>
      </c>
      <c r="N670" t="str">
        <f>IF(J670="Goat",IF(COUNTIF(lists!$J$2:$J$258, K670) &gt; 0,"indigenous",IF(COUNTIF(lists!$I$2:$I$258, K670) &gt; 0,"cross.bred","not found")),"NA")</f>
        <v>indigenous</v>
      </c>
      <c r="O670" s="9" t="s">
        <v>109</v>
      </c>
      <c r="P670" s="9" t="s">
        <v>373</v>
      </c>
      <c r="S670" s="9" t="s">
        <v>106</v>
      </c>
      <c r="T670" s="9" t="s">
        <v>106</v>
      </c>
      <c r="U670" s="9" t="s">
        <v>106</v>
      </c>
      <c r="V670" s="9" t="s">
        <v>106</v>
      </c>
      <c r="W670" s="9" t="s">
        <v>106</v>
      </c>
      <c r="X670" s="9" t="s">
        <v>106</v>
      </c>
      <c r="Y670" s="9" t="s">
        <v>106</v>
      </c>
      <c r="Z670" s="37"/>
      <c r="AA670" s="37"/>
      <c r="AB670" s="37"/>
      <c r="AE670"/>
    </row>
    <row r="671" spans="1:31" hidden="1">
      <c r="A671" s="9" t="s">
        <v>1132</v>
      </c>
      <c r="B671" s="9" t="s">
        <v>1138</v>
      </c>
      <c r="C671" s="9" t="s">
        <v>105</v>
      </c>
      <c r="D671" s="9">
        <v>34.700000000000003</v>
      </c>
      <c r="E671" s="9" t="s">
        <v>106</v>
      </c>
      <c r="F671" s="9" t="s">
        <v>106</v>
      </c>
      <c r="G671" s="9" t="s">
        <v>106</v>
      </c>
      <c r="H671" s="9" t="s">
        <v>106</v>
      </c>
      <c r="J671" s="9" t="s">
        <v>116</v>
      </c>
      <c r="K671" s="9" t="s">
        <v>117</v>
      </c>
      <c r="L671" t="str">
        <f>IF(OR(J671="Cattle",J671="Zebu Cattle"),IF(COUNTIF(lists!$M$2:$M$258, K671) &gt; 0,"bos.indicus",IF(COUNTIF(lists!$L$2:$L$258, K671) &gt; 0,"cross.bred","pure.bred.exotic")),"NA")</f>
        <v>NA</v>
      </c>
      <c r="M671" t="str">
        <f>IF(J671="Sheep",IF(COUNTIF(lists!$H$2:$H$258, K671) &gt; 0,"indigenous",IF(COUNTIF(lists!$G$2:$G$258, K671) &gt; 0,"cross.bred","not found")),"NA")</f>
        <v>NA</v>
      </c>
      <c r="N671" t="str">
        <f>IF(J671="Goat",IF(COUNTIF(lists!$J$2:$J$258, K671) &gt; 0,"indigenous",IF(COUNTIF(lists!$I$2:$I$258, K671) &gt; 0,"cross.bred","not found")),"NA")</f>
        <v>indigenous</v>
      </c>
      <c r="O671" s="9" t="s">
        <v>109</v>
      </c>
      <c r="P671" s="9" t="s">
        <v>373</v>
      </c>
      <c r="S671" s="9" t="s">
        <v>106</v>
      </c>
      <c r="T671" s="9" t="s">
        <v>106</v>
      </c>
      <c r="U671" s="9" t="s">
        <v>106</v>
      </c>
      <c r="V671" s="9" t="s">
        <v>106</v>
      </c>
      <c r="W671" s="9" t="s">
        <v>106</v>
      </c>
      <c r="X671" s="9" t="s">
        <v>106</v>
      </c>
      <c r="Y671" s="9" t="s">
        <v>106</v>
      </c>
      <c r="Z671" s="37"/>
      <c r="AA671" s="37"/>
      <c r="AB671" s="37"/>
      <c r="AE671"/>
    </row>
    <row r="672" spans="1:31" hidden="1">
      <c r="A672" s="9" t="s">
        <v>1159</v>
      </c>
      <c r="B672" s="9" t="s">
        <v>1160</v>
      </c>
      <c r="C672" s="9" t="s">
        <v>105</v>
      </c>
      <c r="D672" s="9">
        <v>0.93899999999999995</v>
      </c>
      <c r="E672" s="9">
        <v>20.7</v>
      </c>
      <c r="F672" s="9">
        <v>16.52</v>
      </c>
      <c r="G672" s="9">
        <v>11514</v>
      </c>
      <c r="H672" s="9" t="s">
        <v>106</v>
      </c>
      <c r="I672" s="9">
        <v>42</v>
      </c>
      <c r="J672" s="9" t="s">
        <v>116</v>
      </c>
      <c r="K672" s="9" t="s">
        <v>1161</v>
      </c>
      <c r="L672" t="str">
        <f>IF(OR(J672="Cattle",J672="Zebu Cattle"),IF(COUNTIF(lists!$M$2:$M$258, K672) &gt; 0,"bos.indicus",IF(COUNTIF(lists!$L$2:$L$258, K672) &gt; 0,"cross.bred","pure.bred.exotic")),"NA")</f>
        <v>NA</v>
      </c>
      <c r="M672" t="str">
        <f>IF(J672="Sheep",IF(COUNTIF(lists!$H$2:$H$258, K672) &gt; 0,"indigenous",IF(COUNTIF(lists!$G$2:$G$258, K672) &gt; 0,"cross.bred","not found")),"NA")</f>
        <v>NA</v>
      </c>
      <c r="N672" t="str">
        <f>IF(J672="Goat",IF(COUNTIF(lists!$J$2:$J$258, K672) &gt; 0,"indigenous",IF(COUNTIF(lists!$I$2:$I$258, K672) &gt; 0,"cross.bred","not found")),"NA")</f>
        <v>not found</v>
      </c>
      <c r="O672" s="9" t="s">
        <v>109</v>
      </c>
      <c r="P672" s="9" t="s">
        <v>106</v>
      </c>
      <c r="Q672" s="9" t="s">
        <v>3804</v>
      </c>
      <c r="S672" s="9" t="s">
        <v>106</v>
      </c>
      <c r="T672" s="9" t="s">
        <v>106</v>
      </c>
      <c r="U672" s="9" t="s">
        <v>106</v>
      </c>
      <c r="V672" s="9" t="s">
        <v>106</v>
      </c>
      <c r="W672" s="9" t="s">
        <v>106</v>
      </c>
      <c r="X672" s="9" t="s">
        <v>106</v>
      </c>
      <c r="Y672" s="9" t="s">
        <v>106</v>
      </c>
      <c r="Z672" s="37"/>
      <c r="AA672" s="37"/>
      <c r="AB672" s="37"/>
      <c r="AE672">
        <v>0</v>
      </c>
    </row>
    <row r="673" spans="1:31" hidden="1">
      <c r="A673" s="9" t="s">
        <v>1159</v>
      </c>
      <c r="B673" s="9" t="s">
        <v>1162</v>
      </c>
      <c r="C673" s="9" t="s">
        <v>105</v>
      </c>
      <c r="D673" s="9">
        <v>0.79600000000000004</v>
      </c>
      <c r="E673" s="9">
        <v>20.7</v>
      </c>
      <c r="F673" s="9">
        <v>14.56</v>
      </c>
      <c r="G673" s="9">
        <v>10886.25</v>
      </c>
      <c r="H673" s="9" t="s">
        <v>106</v>
      </c>
      <c r="I673" s="9">
        <v>42</v>
      </c>
      <c r="J673" s="9" t="s">
        <v>116</v>
      </c>
      <c r="K673" s="9" t="s">
        <v>1161</v>
      </c>
      <c r="L673" t="str">
        <f>IF(OR(J673="Cattle",J673="Zebu Cattle"),IF(COUNTIF(lists!$M$2:$M$258, K673) &gt; 0,"bos.indicus",IF(COUNTIF(lists!$L$2:$L$258, K673) &gt; 0,"cross.bred","pure.bred.exotic")),"NA")</f>
        <v>NA</v>
      </c>
      <c r="M673" t="str">
        <f>IF(J673="Sheep",IF(COUNTIF(lists!$H$2:$H$258, K673) &gt; 0,"indigenous",IF(COUNTIF(lists!$G$2:$G$258, K673) &gt; 0,"cross.bred","not found")),"NA")</f>
        <v>NA</v>
      </c>
      <c r="N673" t="str">
        <f>IF(J673="Goat",IF(COUNTIF(lists!$J$2:$J$258, K673) &gt; 0,"indigenous",IF(COUNTIF(lists!$I$2:$I$258, K673) &gt; 0,"cross.bred","not found")),"NA")</f>
        <v>not found</v>
      </c>
      <c r="O673" s="9" t="s">
        <v>109</v>
      </c>
      <c r="P673" s="9" t="s">
        <v>106</v>
      </c>
      <c r="Q673" s="9" t="s">
        <v>3804</v>
      </c>
      <c r="S673" s="9" t="s">
        <v>106</v>
      </c>
      <c r="T673" s="9" t="s">
        <v>106</v>
      </c>
      <c r="U673" s="9" t="s">
        <v>106</v>
      </c>
      <c r="V673" s="9" t="s">
        <v>106</v>
      </c>
      <c r="W673" s="9" t="s">
        <v>106</v>
      </c>
      <c r="X673" s="9" t="s">
        <v>106</v>
      </c>
      <c r="Y673" s="9" t="s">
        <v>106</v>
      </c>
      <c r="Z673" s="37"/>
      <c r="AA673" s="37"/>
      <c r="AB673" s="37"/>
      <c r="AE673">
        <v>0</v>
      </c>
    </row>
    <row r="674" spans="1:31" hidden="1">
      <c r="A674" s="9" t="s">
        <v>1159</v>
      </c>
      <c r="B674" s="9" t="s">
        <v>1163</v>
      </c>
      <c r="C674" s="9" t="s">
        <v>105</v>
      </c>
      <c r="D674" s="9">
        <v>0.74299999999999999</v>
      </c>
      <c r="E674" s="9">
        <v>20.7</v>
      </c>
      <c r="F674" s="9">
        <v>16.28</v>
      </c>
      <c r="G674" s="9">
        <v>9556</v>
      </c>
      <c r="H674" s="9" t="s">
        <v>106</v>
      </c>
      <c r="I674" s="9">
        <v>42</v>
      </c>
      <c r="J674" s="9" t="s">
        <v>116</v>
      </c>
      <c r="K674" s="9" t="s">
        <v>1161</v>
      </c>
      <c r="L674" t="str">
        <f>IF(OR(J674="Cattle",J674="Zebu Cattle"),IF(COUNTIF(lists!$M$2:$M$258, K674) &gt; 0,"bos.indicus",IF(COUNTIF(lists!$L$2:$L$258, K674) &gt; 0,"cross.bred","pure.bred.exotic")),"NA")</f>
        <v>NA</v>
      </c>
      <c r="M674" t="str">
        <f>IF(J674="Sheep",IF(COUNTIF(lists!$H$2:$H$258, K674) &gt; 0,"indigenous",IF(COUNTIF(lists!$G$2:$G$258, K674) &gt; 0,"cross.bred","not found")),"NA")</f>
        <v>NA</v>
      </c>
      <c r="N674" t="str">
        <f>IF(J674="Goat",IF(COUNTIF(lists!$J$2:$J$258, K674) &gt; 0,"indigenous",IF(COUNTIF(lists!$I$2:$I$258, K674) &gt; 0,"cross.bred","not found")),"NA")</f>
        <v>not found</v>
      </c>
      <c r="O674" s="9" t="s">
        <v>109</v>
      </c>
      <c r="P674" s="9" t="s">
        <v>106</v>
      </c>
      <c r="Q674" s="9" t="s">
        <v>3804</v>
      </c>
      <c r="S674" s="9" t="s">
        <v>106</v>
      </c>
      <c r="T674" s="9" t="s">
        <v>106</v>
      </c>
      <c r="U674" s="9" t="s">
        <v>106</v>
      </c>
      <c r="V674" s="9" t="s">
        <v>106</v>
      </c>
      <c r="W674" s="9" t="s">
        <v>106</v>
      </c>
      <c r="X674" s="9" t="s">
        <v>106</v>
      </c>
      <c r="Y674" s="9" t="s">
        <v>106</v>
      </c>
      <c r="Z674" s="37"/>
      <c r="AA674" s="37"/>
      <c r="AB674" s="37"/>
      <c r="AE674">
        <v>0</v>
      </c>
    </row>
    <row r="675" spans="1:31" hidden="1">
      <c r="A675" s="9" t="s">
        <v>1159</v>
      </c>
      <c r="B675" s="9" t="s">
        <v>1164</v>
      </c>
      <c r="C675" s="9" t="s">
        <v>105</v>
      </c>
      <c r="D675" s="9">
        <v>0.66</v>
      </c>
      <c r="E675" s="9">
        <v>20.7</v>
      </c>
      <c r="F675" s="9">
        <v>15.16</v>
      </c>
      <c r="G675" s="9">
        <v>10515.25</v>
      </c>
      <c r="H675" s="9" t="s">
        <v>106</v>
      </c>
      <c r="I675" s="9">
        <v>42</v>
      </c>
      <c r="J675" s="9" t="s">
        <v>116</v>
      </c>
      <c r="K675" s="9" t="s">
        <v>1161</v>
      </c>
      <c r="L675" t="str">
        <f>IF(OR(J675="Cattle",J675="Zebu Cattle"),IF(COUNTIF(lists!$M$2:$M$258, K675) &gt; 0,"bos.indicus",IF(COUNTIF(lists!$L$2:$L$258, K675) &gt; 0,"cross.bred","pure.bred.exotic")),"NA")</f>
        <v>NA</v>
      </c>
      <c r="M675" t="str">
        <f>IF(J675="Sheep",IF(COUNTIF(lists!$H$2:$H$258, K675) &gt; 0,"indigenous",IF(COUNTIF(lists!$G$2:$G$258, K675) &gt; 0,"cross.bred","not found")),"NA")</f>
        <v>NA</v>
      </c>
      <c r="N675" t="str">
        <f>IF(J675="Goat",IF(COUNTIF(lists!$J$2:$J$258, K675) &gt; 0,"indigenous",IF(COUNTIF(lists!$I$2:$I$258, K675) &gt; 0,"cross.bred","not found")),"NA")</f>
        <v>not found</v>
      </c>
      <c r="O675" s="9" t="s">
        <v>109</v>
      </c>
      <c r="P675" s="9" t="s">
        <v>106</v>
      </c>
      <c r="Q675" s="9" t="s">
        <v>3804</v>
      </c>
      <c r="S675" s="9" t="s">
        <v>106</v>
      </c>
      <c r="T675" s="9" t="s">
        <v>106</v>
      </c>
      <c r="U675" s="9" t="s">
        <v>106</v>
      </c>
      <c r="V675" s="9" t="s">
        <v>106</v>
      </c>
      <c r="W675" s="9" t="s">
        <v>106</v>
      </c>
      <c r="X675" s="9" t="s">
        <v>106</v>
      </c>
      <c r="Y675" s="9" t="s">
        <v>106</v>
      </c>
      <c r="Z675" s="37"/>
      <c r="AA675" s="37"/>
      <c r="AB675" s="37"/>
      <c r="AE675">
        <v>0</v>
      </c>
    </row>
    <row r="676" spans="1:31" hidden="1">
      <c r="A676" s="9" t="s">
        <v>1173</v>
      </c>
      <c r="B676" s="9" t="s">
        <v>1174</v>
      </c>
      <c r="C676" s="9" t="s">
        <v>105</v>
      </c>
      <c r="D676" s="9">
        <v>0.73499999999999999</v>
      </c>
      <c r="E676" s="9">
        <v>20.86</v>
      </c>
      <c r="F676" s="9">
        <v>20.93</v>
      </c>
      <c r="G676" s="9">
        <v>105</v>
      </c>
      <c r="H676" s="9" t="s">
        <v>106</v>
      </c>
      <c r="I676" s="9">
        <v>12</v>
      </c>
      <c r="J676" s="9" t="s">
        <v>116</v>
      </c>
      <c r="K676" s="9" t="s">
        <v>106</v>
      </c>
      <c r="L676" t="str">
        <f>IF(OR(J676="Cattle",J676="Zebu Cattle"),IF(COUNTIF(lists!$M$2:$M$258, K676) &gt; 0,"bos.indicus",IF(COUNTIF(lists!$L$2:$L$258, K676) &gt; 0,"cross.bred","pure.bred.exotic")),"NA")</f>
        <v>NA</v>
      </c>
      <c r="M676" t="str">
        <f>IF(J676="Sheep",IF(COUNTIF(lists!$H$2:$H$258, K676) &gt; 0,"indigenous",IF(COUNTIF(lists!$G$2:$G$258, K676) &gt; 0,"cross.bred","not found")),"NA")</f>
        <v>NA</v>
      </c>
      <c r="N676" t="str">
        <f>IF(J676="Goat",IF(COUNTIF(lists!$J$2:$J$258, K676) &gt; 0,"indigenous",IF(COUNTIF(lists!$I$2:$I$258, K676) &gt; 0,"cross.bred","not found")),"NA")</f>
        <v>not found</v>
      </c>
      <c r="O676" s="9" t="s">
        <v>180</v>
      </c>
      <c r="P676" s="9" t="s">
        <v>106</v>
      </c>
      <c r="Q676" s="9" t="s">
        <v>3804</v>
      </c>
      <c r="S676" s="9">
        <v>360</v>
      </c>
      <c r="T676" s="9">
        <v>91.4</v>
      </c>
      <c r="U676" s="9">
        <v>111</v>
      </c>
      <c r="V676" s="9">
        <v>861.1</v>
      </c>
      <c r="W676" s="9">
        <v>21.299999999999901</v>
      </c>
      <c r="X676" s="9">
        <v>567.70000000000005</v>
      </c>
      <c r="Y676" s="9">
        <v>65.75</v>
      </c>
      <c r="Z676" s="37"/>
      <c r="AA676" s="37"/>
      <c r="AB676" s="37"/>
      <c r="AE676">
        <v>0</v>
      </c>
    </row>
    <row r="677" spans="1:31" hidden="1">
      <c r="A677" s="9" t="s">
        <v>1173</v>
      </c>
      <c r="B677" s="9" t="s">
        <v>1175</v>
      </c>
      <c r="C677" s="9" t="s">
        <v>105</v>
      </c>
      <c r="D677" s="9">
        <v>0.62983999999999996</v>
      </c>
      <c r="E677" s="9">
        <v>20.86</v>
      </c>
      <c r="F677" s="9">
        <v>18.329999999999998</v>
      </c>
      <c r="G677" s="9">
        <v>90</v>
      </c>
      <c r="H677" s="9" t="s">
        <v>106</v>
      </c>
      <c r="I677" s="9">
        <v>12</v>
      </c>
      <c r="J677" s="9" t="s">
        <v>116</v>
      </c>
      <c r="K677" s="9" t="s">
        <v>106</v>
      </c>
      <c r="L677" t="str">
        <f>IF(OR(J677="Cattle",J677="Zebu Cattle"),IF(COUNTIF(lists!$M$2:$M$258, K677) &gt; 0,"bos.indicus",IF(COUNTIF(lists!$L$2:$L$258, K677) &gt; 0,"cross.bred","pure.bred.exotic")),"NA")</f>
        <v>NA</v>
      </c>
      <c r="M677" t="str">
        <f>IF(J677="Sheep",IF(COUNTIF(lists!$H$2:$H$258, K677) &gt; 0,"indigenous",IF(COUNTIF(lists!$G$2:$G$258, K677) &gt; 0,"cross.bred","not found")),"NA")</f>
        <v>NA</v>
      </c>
      <c r="N677" t="str">
        <f>IF(J677="Goat",IF(COUNTIF(lists!$J$2:$J$258, K677) &gt; 0,"indigenous",IF(COUNTIF(lists!$I$2:$I$258, K677) &gt; 0,"cross.bred","not found")),"NA")</f>
        <v>not found</v>
      </c>
      <c r="O677" s="9" t="s">
        <v>180</v>
      </c>
      <c r="P677" s="9" t="s">
        <v>106</v>
      </c>
      <c r="Q677" s="9" t="s">
        <v>3804</v>
      </c>
      <c r="S677" s="9">
        <v>332.5</v>
      </c>
      <c r="T677" s="9">
        <v>82.1</v>
      </c>
      <c r="U677" s="9">
        <v>117.2</v>
      </c>
      <c r="V677" s="9">
        <v>866.8</v>
      </c>
      <c r="W677" s="9">
        <v>21</v>
      </c>
      <c r="X677" s="9">
        <v>525.4</v>
      </c>
      <c r="Y677" s="9">
        <v>59.58</v>
      </c>
      <c r="Z677" s="37"/>
      <c r="AA677" s="37"/>
      <c r="AB677" s="37"/>
      <c r="AE677">
        <v>0</v>
      </c>
    </row>
    <row r="678" spans="1:31" hidden="1">
      <c r="A678" s="9" t="s">
        <v>1173</v>
      </c>
      <c r="B678" s="9" t="s">
        <v>1176</v>
      </c>
      <c r="C678" s="9" t="s">
        <v>105</v>
      </c>
      <c r="D678" s="9">
        <v>0.66500000000000004</v>
      </c>
      <c r="E678" s="9">
        <v>20.86</v>
      </c>
      <c r="F678" s="9">
        <v>21.33</v>
      </c>
      <c r="G678" s="9">
        <v>95</v>
      </c>
      <c r="H678" s="9" t="s">
        <v>106</v>
      </c>
      <c r="I678" s="9">
        <v>12</v>
      </c>
      <c r="J678" s="9" t="s">
        <v>116</v>
      </c>
      <c r="K678" s="9" t="s">
        <v>106</v>
      </c>
      <c r="L678" t="str">
        <f>IF(OR(J678="Cattle",J678="Zebu Cattle"),IF(COUNTIF(lists!$M$2:$M$258, K678) &gt; 0,"bos.indicus",IF(COUNTIF(lists!$L$2:$L$258, K678) &gt; 0,"cross.bred","pure.bred.exotic")),"NA")</f>
        <v>NA</v>
      </c>
      <c r="M678" t="str">
        <f>IF(J678="Sheep",IF(COUNTIF(lists!$H$2:$H$258, K678) &gt; 0,"indigenous",IF(COUNTIF(lists!$G$2:$G$258, K678) &gt; 0,"cross.bred","not found")),"NA")</f>
        <v>NA</v>
      </c>
      <c r="N678" t="str">
        <f>IF(J678="Goat",IF(COUNTIF(lists!$J$2:$J$258, K678) &gt; 0,"indigenous",IF(COUNTIF(lists!$I$2:$I$258, K678) &gt; 0,"cross.bred","not found")),"NA")</f>
        <v>not found</v>
      </c>
      <c r="O678" s="9" t="s">
        <v>180</v>
      </c>
      <c r="P678" s="9" t="s">
        <v>106</v>
      </c>
      <c r="Q678" s="9" t="s">
        <v>3804</v>
      </c>
      <c r="S678" s="9">
        <v>345.7</v>
      </c>
      <c r="T678" s="9">
        <v>82.1</v>
      </c>
      <c r="U678" s="9">
        <v>113.1</v>
      </c>
      <c r="V678" s="9">
        <v>863.9</v>
      </c>
      <c r="W678" s="9">
        <v>21.9</v>
      </c>
      <c r="X678" s="9">
        <v>542.5</v>
      </c>
      <c r="Y678" s="9">
        <v>62.75</v>
      </c>
      <c r="Z678" s="37"/>
      <c r="AA678" s="37"/>
      <c r="AB678" s="37"/>
      <c r="AE678">
        <v>0</v>
      </c>
    </row>
    <row r="679" spans="1:31" hidden="1">
      <c r="A679" s="9" t="s">
        <v>1173</v>
      </c>
      <c r="B679" s="9" t="s">
        <v>1177</v>
      </c>
      <c r="C679" s="9" t="s">
        <v>105</v>
      </c>
      <c r="D679" s="9">
        <v>0.71565999999999996</v>
      </c>
      <c r="E679" s="9">
        <v>20.86</v>
      </c>
      <c r="F679" s="9">
        <v>16.670000000000002</v>
      </c>
      <c r="G679" s="9">
        <v>102</v>
      </c>
      <c r="H679" s="9" t="s">
        <v>106</v>
      </c>
      <c r="I679" s="9">
        <v>12</v>
      </c>
      <c r="J679" s="9" t="s">
        <v>116</v>
      </c>
      <c r="K679" s="9" t="s">
        <v>106</v>
      </c>
      <c r="L679" t="str">
        <f>IF(OR(J679="Cattle",J679="Zebu Cattle"),IF(COUNTIF(lists!$M$2:$M$258, K679) &gt; 0,"bos.indicus",IF(COUNTIF(lists!$L$2:$L$258, K679) &gt; 0,"cross.bred","pure.bred.exotic")),"NA")</f>
        <v>NA</v>
      </c>
      <c r="M679" t="str">
        <f>IF(J679="Sheep",IF(COUNTIF(lists!$H$2:$H$258, K679) &gt; 0,"indigenous",IF(COUNTIF(lists!$G$2:$G$258, K679) &gt; 0,"cross.bred","not found")),"NA")</f>
        <v>NA</v>
      </c>
      <c r="N679" t="str">
        <f>IF(J679="Goat",IF(COUNTIF(lists!$J$2:$J$258, K679) &gt; 0,"indigenous",IF(COUNTIF(lists!$I$2:$I$258, K679) &gt; 0,"cross.bred","not found")),"NA")</f>
        <v>not found</v>
      </c>
      <c r="O679" s="9" t="s">
        <v>180</v>
      </c>
      <c r="P679" s="9" t="s">
        <v>106</v>
      </c>
      <c r="Q679" s="9" t="s">
        <v>3804</v>
      </c>
      <c r="S679" s="9">
        <v>321</v>
      </c>
      <c r="T679" s="9">
        <v>79.900000000000006</v>
      </c>
      <c r="U679" s="9">
        <v>122.5</v>
      </c>
      <c r="V679" s="9">
        <v>882.5</v>
      </c>
      <c r="W679" s="9">
        <v>21.299999999999901</v>
      </c>
      <c r="X679" s="9">
        <v>512.5</v>
      </c>
      <c r="Y679" s="9">
        <v>53.9</v>
      </c>
      <c r="Z679" s="37"/>
      <c r="AA679" s="37"/>
      <c r="AB679" s="37"/>
      <c r="AE679">
        <v>0</v>
      </c>
    </row>
    <row r="680" spans="1:31" hidden="1">
      <c r="A680" s="9" t="s">
        <v>1199</v>
      </c>
      <c r="B680" s="9" t="s">
        <v>1200</v>
      </c>
      <c r="C680" s="9" t="s">
        <v>105</v>
      </c>
      <c r="D680" s="9">
        <v>0.90200000000000002</v>
      </c>
      <c r="E680" s="9">
        <v>30</v>
      </c>
      <c r="F680" s="9">
        <v>33.299999999999997</v>
      </c>
      <c r="G680" s="9">
        <v>-26.6</v>
      </c>
      <c r="H680" s="9">
        <v>8.5999999999999993E-2</v>
      </c>
      <c r="I680" s="9">
        <v>24</v>
      </c>
      <c r="J680" s="9" t="s">
        <v>116</v>
      </c>
      <c r="K680" s="9" t="s">
        <v>1201</v>
      </c>
      <c r="L680" t="str">
        <f>IF(OR(J680="Cattle",J680="Zebu Cattle"),IF(COUNTIF(lists!$M$2:$M$258, K680) &gt; 0,"bos.indicus",IF(COUNTIF(lists!$L$2:$L$258, K680) &gt; 0,"cross.bred","pure.bred.exotic")),"NA")</f>
        <v>NA</v>
      </c>
      <c r="M680" t="str">
        <f>IF(J680="Sheep",IF(COUNTIF(lists!$H$2:$H$258, K680) &gt; 0,"indigenous",IF(COUNTIF(lists!$G$2:$G$258, K680) &gt; 0,"cross.bred","not found")),"NA")</f>
        <v>NA</v>
      </c>
      <c r="N680" t="str">
        <f>IF(J680="Goat",IF(COUNTIF(lists!$J$2:$J$258, K680) &gt; 0,"indigenous",IF(COUNTIF(lists!$I$2:$I$258, K680) &gt; 0,"cross.bred","not found")),"NA")</f>
        <v>not found</v>
      </c>
      <c r="O680" s="9" t="s">
        <v>124</v>
      </c>
      <c r="P680" s="9" t="s">
        <v>106</v>
      </c>
      <c r="Q680" s="9" t="s">
        <v>3809</v>
      </c>
      <c r="S680" s="9" t="s">
        <v>106</v>
      </c>
      <c r="T680" s="9" t="s">
        <v>106</v>
      </c>
      <c r="U680" s="9" t="s">
        <v>106</v>
      </c>
      <c r="V680" s="9" t="s">
        <v>106</v>
      </c>
      <c r="W680" s="9" t="s">
        <v>106</v>
      </c>
      <c r="X680" s="9" t="s">
        <v>106</v>
      </c>
      <c r="Y680" s="9">
        <v>52.6</v>
      </c>
      <c r="Z680" s="37"/>
      <c r="AA680" s="37"/>
      <c r="AB680" s="37"/>
      <c r="AE680">
        <v>0</v>
      </c>
    </row>
    <row r="681" spans="1:31" hidden="1">
      <c r="A681" s="9" t="s">
        <v>1199</v>
      </c>
      <c r="B681" s="9" t="s">
        <v>1202</v>
      </c>
      <c r="C681" s="9" t="s">
        <v>105</v>
      </c>
      <c r="D681" s="9">
        <v>1.0880000000000001</v>
      </c>
      <c r="E681" s="9">
        <v>33</v>
      </c>
      <c r="F681" s="9">
        <v>33.700000000000003</v>
      </c>
      <c r="G681" s="9">
        <v>-10.7</v>
      </c>
      <c r="H681" s="9">
        <v>0.13900000000000001</v>
      </c>
      <c r="I681" s="9">
        <v>24</v>
      </c>
      <c r="J681" s="9" t="s">
        <v>116</v>
      </c>
      <c r="K681" s="9" t="s">
        <v>1201</v>
      </c>
      <c r="L681" t="str">
        <f>IF(OR(J681="Cattle",J681="Zebu Cattle"),IF(COUNTIF(lists!$M$2:$M$258, K681) &gt; 0,"bos.indicus",IF(COUNTIF(lists!$L$2:$L$258, K681) &gt; 0,"cross.bred","pure.bred.exotic")),"NA")</f>
        <v>NA</v>
      </c>
      <c r="M681" t="str">
        <f>IF(J681="Sheep",IF(COUNTIF(lists!$H$2:$H$258, K681) &gt; 0,"indigenous",IF(COUNTIF(lists!$G$2:$G$258, K681) &gt; 0,"cross.bred","not found")),"NA")</f>
        <v>NA</v>
      </c>
      <c r="N681" t="str">
        <f>IF(J681="Goat",IF(COUNTIF(lists!$J$2:$J$258, K681) &gt; 0,"indigenous",IF(COUNTIF(lists!$I$2:$I$258, K681) &gt; 0,"cross.bred","not found")),"NA")</f>
        <v>not found</v>
      </c>
      <c r="O681" s="9" t="s">
        <v>124</v>
      </c>
      <c r="P681" s="9" t="s">
        <v>106</v>
      </c>
      <c r="Q681" s="9" t="s">
        <v>3809</v>
      </c>
      <c r="S681" s="9" t="s">
        <v>106</v>
      </c>
      <c r="T681" s="9" t="s">
        <v>106</v>
      </c>
      <c r="U681" s="9" t="s">
        <v>106</v>
      </c>
      <c r="V681" s="9" t="s">
        <v>106</v>
      </c>
      <c r="W681" s="9" t="s">
        <v>106</v>
      </c>
      <c r="X681" s="9" t="s">
        <v>106</v>
      </c>
      <c r="Y681" s="9" t="s">
        <v>106</v>
      </c>
      <c r="Z681" s="37"/>
      <c r="AA681" s="37"/>
      <c r="AB681" s="37"/>
      <c r="AE681">
        <v>0</v>
      </c>
    </row>
    <row r="682" spans="1:31" hidden="1">
      <c r="A682" s="9" t="s">
        <v>1199</v>
      </c>
      <c r="B682" s="9" t="s">
        <v>1203</v>
      </c>
      <c r="C682" s="9" t="s">
        <v>105</v>
      </c>
      <c r="D682" s="9">
        <v>0.84799999999999998</v>
      </c>
      <c r="E682" s="9">
        <v>31</v>
      </c>
      <c r="F682" s="9">
        <v>33.299999999999997</v>
      </c>
      <c r="G682" s="9">
        <v>-87.1</v>
      </c>
      <c r="H682" s="9">
        <v>8.8999999999999996E-2</v>
      </c>
      <c r="I682" s="9">
        <v>24</v>
      </c>
      <c r="J682" s="9" t="s">
        <v>116</v>
      </c>
      <c r="K682" s="9" t="s">
        <v>1201</v>
      </c>
      <c r="L682" t="str">
        <f>IF(OR(J682="Cattle",J682="Zebu Cattle"),IF(COUNTIF(lists!$M$2:$M$258, K682) &gt; 0,"bos.indicus",IF(COUNTIF(lists!$L$2:$L$258, K682) &gt; 0,"cross.bred","pure.bred.exotic")),"NA")</f>
        <v>NA</v>
      </c>
      <c r="M682" t="str">
        <f>IF(J682="Sheep",IF(COUNTIF(lists!$H$2:$H$258, K682) &gt; 0,"indigenous",IF(COUNTIF(lists!$G$2:$G$258, K682) &gt; 0,"cross.bred","not found")),"NA")</f>
        <v>NA</v>
      </c>
      <c r="N682" t="str">
        <f>IF(J682="Goat",IF(COUNTIF(lists!$J$2:$J$258, K682) &gt; 0,"indigenous",IF(COUNTIF(lists!$I$2:$I$258, K682) &gt; 0,"cross.bred","not found")),"NA")</f>
        <v>not found</v>
      </c>
      <c r="O682" s="9" t="s">
        <v>124</v>
      </c>
      <c r="P682" s="9" t="s">
        <v>106</v>
      </c>
      <c r="Q682" s="9" t="s">
        <v>3809</v>
      </c>
      <c r="S682" s="9" t="s">
        <v>106</v>
      </c>
      <c r="T682" s="9" t="s">
        <v>106</v>
      </c>
      <c r="U682" s="9" t="s">
        <v>106</v>
      </c>
      <c r="V682" s="9" t="s">
        <v>106</v>
      </c>
      <c r="W682" s="9" t="s">
        <v>106</v>
      </c>
      <c r="X682" s="9" t="s">
        <v>106</v>
      </c>
      <c r="Y682" s="9">
        <v>57</v>
      </c>
      <c r="Z682" s="37"/>
      <c r="AA682" s="37"/>
      <c r="AB682" s="37"/>
      <c r="AE682">
        <v>0</v>
      </c>
    </row>
    <row r="683" spans="1:31" hidden="1">
      <c r="A683" s="9" t="s">
        <v>1199</v>
      </c>
      <c r="B683" s="9" t="s">
        <v>1204</v>
      </c>
      <c r="C683" s="9" t="s">
        <v>105</v>
      </c>
      <c r="D683" s="9">
        <v>1.196</v>
      </c>
      <c r="E683" s="9">
        <v>30</v>
      </c>
      <c r="F683" s="9">
        <v>33.5</v>
      </c>
      <c r="G683" s="9">
        <v>14.3</v>
      </c>
      <c r="H683" s="9">
        <v>0.15</v>
      </c>
      <c r="I683" s="9">
        <v>24</v>
      </c>
      <c r="J683" s="9" t="s">
        <v>116</v>
      </c>
      <c r="K683" s="9" t="s">
        <v>1201</v>
      </c>
      <c r="L683" t="str">
        <f>IF(OR(J683="Cattle",J683="Zebu Cattle"),IF(COUNTIF(lists!$M$2:$M$258, K683) &gt; 0,"bos.indicus",IF(COUNTIF(lists!$L$2:$L$258, K683) &gt; 0,"cross.bred","pure.bred.exotic")),"NA")</f>
        <v>NA</v>
      </c>
      <c r="M683" t="str">
        <f>IF(J683="Sheep",IF(COUNTIF(lists!$H$2:$H$258, K683) &gt; 0,"indigenous",IF(COUNTIF(lists!$G$2:$G$258, K683) &gt; 0,"cross.bred","not found")),"NA")</f>
        <v>NA</v>
      </c>
      <c r="N683" t="str">
        <f>IF(J683="Goat",IF(COUNTIF(lists!$J$2:$J$258, K683) &gt; 0,"indigenous",IF(COUNTIF(lists!$I$2:$I$258, K683) &gt; 0,"cross.bred","not found")),"NA")</f>
        <v>not found</v>
      </c>
      <c r="O683" s="9" t="s">
        <v>124</v>
      </c>
      <c r="P683" s="9" t="s">
        <v>106</v>
      </c>
      <c r="Q683" s="9" t="s">
        <v>3809</v>
      </c>
      <c r="S683" s="9" t="s">
        <v>106</v>
      </c>
      <c r="T683" s="9" t="s">
        <v>106</v>
      </c>
      <c r="U683" s="9" t="s">
        <v>106</v>
      </c>
      <c r="V683" s="9" t="s">
        <v>106</v>
      </c>
      <c r="W683" s="9" t="s">
        <v>106</v>
      </c>
      <c r="X683" s="9" t="s">
        <v>106</v>
      </c>
      <c r="Y683" s="9">
        <v>59.1</v>
      </c>
      <c r="Z683" s="37"/>
      <c r="AA683" s="37"/>
      <c r="AB683" s="37"/>
      <c r="AE683">
        <v>0</v>
      </c>
    </row>
    <row r="684" spans="1:31" hidden="1">
      <c r="A684" s="9" t="s">
        <v>1205</v>
      </c>
      <c r="B684" s="9" t="s">
        <v>1206</v>
      </c>
      <c r="C684" s="9" t="s">
        <v>105</v>
      </c>
      <c r="D684" s="9">
        <v>0.34150000000000003</v>
      </c>
      <c r="E684" s="9" t="s">
        <v>106</v>
      </c>
      <c r="F684" s="9">
        <v>17.3</v>
      </c>
      <c r="G684" s="9">
        <v>-2.46E-2</v>
      </c>
      <c r="H684" s="9" t="s">
        <v>106</v>
      </c>
      <c r="I684" s="9">
        <v>32</v>
      </c>
      <c r="J684" s="9" t="s">
        <v>116</v>
      </c>
      <c r="K684" s="9" t="s">
        <v>1207</v>
      </c>
      <c r="L684" t="str">
        <f>IF(OR(J684="Cattle",J684="Zebu Cattle"),IF(COUNTIF(lists!$M$2:$M$258, K684) &gt; 0,"bos.indicus",IF(COUNTIF(lists!$L$2:$L$258, K684) &gt; 0,"cross.bred","pure.bred.exotic")),"NA")</f>
        <v>NA</v>
      </c>
      <c r="M684" t="str">
        <f>IF(J684="Sheep",IF(COUNTIF(lists!$H$2:$H$258, K684) &gt; 0,"indigenous",IF(COUNTIF(lists!$G$2:$G$258, K684) &gt; 0,"cross.bred","not found")),"NA")</f>
        <v>NA</v>
      </c>
      <c r="N684" t="str">
        <f>IF(J684="Goat",IF(COUNTIF(lists!$J$2:$J$258, K684) &gt; 0,"indigenous",IF(COUNTIF(lists!$I$2:$I$258, K684) &gt; 0,"cross.bred","not found")),"NA")</f>
        <v>not found</v>
      </c>
      <c r="O684" s="9" t="s">
        <v>124</v>
      </c>
      <c r="P684" s="9" t="s">
        <v>106</v>
      </c>
      <c r="Q684" s="9" t="s">
        <v>3804</v>
      </c>
      <c r="S684" s="9" t="s">
        <v>106</v>
      </c>
      <c r="T684" s="9" t="s">
        <v>106</v>
      </c>
      <c r="U684" s="9" t="s">
        <v>106</v>
      </c>
      <c r="V684" s="9" t="s">
        <v>106</v>
      </c>
      <c r="W684" s="9" t="s">
        <v>106</v>
      </c>
      <c r="X684" s="9" t="s">
        <v>106</v>
      </c>
      <c r="Y684" s="9" t="s">
        <v>106</v>
      </c>
      <c r="Z684" s="37"/>
      <c r="AA684" s="37"/>
      <c r="AB684" s="37"/>
      <c r="AE684">
        <v>0</v>
      </c>
    </row>
    <row r="685" spans="1:31" hidden="1">
      <c r="A685" s="9" t="s">
        <v>1205</v>
      </c>
      <c r="B685" s="9" t="s">
        <v>1208</v>
      </c>
      <c r="C685" s="9" t="s">
        <v>105</v>
      </c>
      <c r="D685" s="9">
        <v>0.49419999999999997</v>
      </c>
      <c r="E685" s="9" t="s">
        <v>106</v>
      </c>
      <c r="F685" s="9">
        <v>16.75</v>
      </c>
      <c r="G685" s="9">
        <v>5.6499999999999898E-2</v>
      </c>
      <c r="H685" s="9" t="s">
        <v>106</v>
      </c>
      <c r="I685" s="9">
        <v>32</v>
      </c>
      <c r="J685" s="9" t="s">
        <v>116</v>
      </c>
      <c r="K685" s="9" t="s">
        <v>1207</v>
      </c>
      <c r="L685" t="str">
        <f>IF(OR(J685="Cattle",J685="Zebu Cattle"),IF(COUNTIF(lists!$M$2:$M$258, K685) &gt; 0,"bos.indicus",IF(COUNTIF(lists!$L$2:$L$258, K685) &gt; 0,"cross.bred","pure.bred.exotic")),"NA")</f>
        <v>NA</v>
      </c>
      <c r="M685" t="str">
        <f>IF(J685="Sheep",IF(COUNTIF(lists!$H$2:$H$258, K685) &gt; 0,"indigenous",IF(COUNTIF(lists!$G$2:$G$258, K685) &gt; 0,"cross.bred","not found")),"NA")</f>
        <v>NA</v>
      </c>
      <c r="N685" t="str">
        <f>IF(J685="Goat",IF(COUNTIF(lists!$J$2:$J$258, K685) &gt; 0,"indigenous",IF(COUNTIF(lists!$I$2:$I$258, K685) &gt; 0,"cross.bred","not found")),"NA")</f>
        <v>not found</v>
      </c>
      <c r="O685" s="9" t="s">
        <v>124</v>
      </c>
      <c r="P685" s="9" t="s">
        <v>106</v>
      </c>
      <c r="Q685" s="9" t="s">
        <v>3804</v>
      </c>
      <c r="S685" s="9" t="s">
        <v>106</v>
      </c>
      <c r="T685" s="9" t="s">
        <v>106</v>
      </c>
      <c r="U685" s="9" t="s">
        <v>106</v>
      </c>
      <c r="V685" s="9" t="s">
        <v>106</v>
      </c>
      <c r="W685" s="9" t="s">
        <v>106</v>
      </c>
      <c r="X685" s="9" t="s">
        <v>106</v>
      </c>
      <c r="Y685" s="9" t="s">
        <v>106</v>
      </c>
      <c r="Z685" s="37"/>
      <c r="AA685" s="37"/>
      <c r="AB685" s="37"/>
      <c r="AE685">
        <v>0</v>
      </c>
    </row>
    <row r="686" spans="1:31" hidden="1">
      <c r="A686" s="9" t="s">
        <v>1205</v>
      </c>
      <c r="B686" s="9" t="s">
        <v>1209</v>
      </c>
      <c r="C686" s="9" t="s">
        <v>105</v>
      </c>
      <c r="D686" s="9">
        <v>0.66310000000000002</v>
      </c>
      <c r="E686" s="9" t="s">
        <v>106</v>
      </c>
      <c r="F686" s="9">
        <v>17.399999999999999</v>
      </c>
      <c r="G686" s="9">
        <v>9.5699999999999993E-2</v>
      </c>
      <c r="H686" s="9" t="s">
        <v>106</v>
      </c>
      <c r="I686" s="9">
        <v>32</v>
      </c>
      <c r="J686" s="9" t="s">
        <v>116</v>
      </c>
      <c r="K686" s="9" t="s">
        <v>1207</v>
      </c>
      <c r="L686" t="str">
        <f>IF(OR(J686="Cattle",J686="Zebu Cattle"),IF(COUNTIF(lists!$M$2:$M$258, K686) &gt; 0,"bos.indicus",IF(COUNTIF(lists!$L$2:$L$258, K686) &gt; 0,"cross.bred","pure.bred.exotic")),"NA")</f>
        <v>NA</v>
      </c>
      <c r="M686" t="str">
        <f>IF(J686="Sheep",IF(COUNTIF(lists!$H$2:$H$258, K686) &gt; 0,"indigenous",IF(COUNTIF(lists!$G$2:$G$258, K686) &gt; 0,"cross.bred","not found")),"NA")</f>
        <v>NA</v>
      </c>
      <c r="N686" t="str">
        <f>IF(J686="Goat",IF(COUNTIF(lists!$J$2:$J$258, K686) &gt; 0,"indigenous",IF(COUNTIF(lists!$I$2:$I$258, K686) &gt; 0,"cross.bred","not found")),"NA")</f>
        <v>not found</v>
      </c>
      <c r="O686" s="9" t="s">
        <v>124</v>
      </c>
      <c r="P686" s="9" t="s">
        <v>106</v>
      </c>
      <c r="Q686" s="9" t="s">
        <v>3804</v>
      </c>
      <c r="S686" s="9" t="s">
        <v>106</v>
      </c>
      <c r="T686" s="9" t="s">
        <v>106</v>
      </c>
      <c r="U686" s="9" t="s">
        <v>106</v>
      </c>
      <c r="V686" s="9" t="s">
        <v>106</v>
      </c>
      <c r="W686" s="9" t="s">
        <v>106</v>
      </c>
      <c r="X686" s="9" t="s">
        <v>106</v>
      </c>
      <c r="Y686" s="9" t="s">
        <v>106</v>
      </c>
      <c r="Z686" s="37"/>
      <c r="AA686" s="37"/>
      <c r="AB686" s="37"/>
      <c r="AE686">
        <v>0</v>
      </c>
    </row>
    <row r="687" spans="1:31" hidden="1">
      <c r="A687" s="9" t="s">
        <v>1210</v>
      </c>
      <c r="B687" s="9" t="s">
        <v>1211</v>
      </c>
      <c r="C687" s="9" t="s">
        <v>105</v>
      </c>
      <c r="D687" s="9">
        <v>0.30219999999999902</v>
      </c>
      <c r="E687" s="9">
        <v>4.5</v>
      </c>
      <c r="F687" s="9">
        <v>9.8000000000000007</v>
      </c>
      <c r="G687" s="9">
        <v>22.1</v>
      </c>
      <c r="H687" s="9" t="s">
        <v>106</v>
      </c>
      <c r="I687" s="9">
        <v>40</v>
      </c>
      <c r="J687" s="9" t="s">
        <v>116</v>
      </c>
      <c r="K687" s="9" t="s">
        <v>1212</v>
      </c>
      <c r="L687" t="str">
        <f>IF(OR(J687="Cattle",J687="Zebu Cattle"),IF(COUNTIF(lists!$M$2:$M$258, K687) &gt; 0,"bos.indicus",IF(COUNTIF(lists!$L$2:$L$258, K687) &gt; 0,"cross.bred","pure.bred.exotic")),"NA")</f>
        <v>NA</v>
      </c>
      <c r="M687" t="str">
        <f>IF(J687="Sheep",IF(COUNTIF(lists!$H$2:$H$258, K687) &gt; 0,"indigenous",IF(COUNTIF(lists!$G$2:$G$258, K687) &gt; 0,"cross.bred","not found")),"NA")</f>
        <v>NA</v>
      </c>
      <c r="N687" t="str">
        <f>IF(J687="Goat",IF(COUNTIF(lists!$J$2:$J$258, K687) &gt; 0,"indigenous",IF(COUNTIF(lists!$I$2:$I$258, K687) &gt; 0,"cross.bred","not found")),"NA")</f>
        <v>not found</v>
      </c>
      <c r="O687" s="9" t="s">
        <v>124</v>
      </c>
      <c r="P687" s="9" t="s">
        <v>106</v>
      </c>
      <c r="Q687" s="9" t="s">
        <v>3806</v>
      </c>
      <c r="S687" s="9">
        <v>290.5</v>
      </c>
      <c r="T687" s="9">
        <v>86</v>
      </c>
      <c r="U687" s="9">
        <v>225.2</v>
      </c>
      <c r="V687" s="9">
        <v>840.3</v>
      </c>
      <c r="W687" s="9" t="s">
        <v>106</v>
      </c>
      <c r="X687" s="9">
        <v>539</v>
      </c>
      <c r="Y687" s="9" t="s">
        <v>106</v>
      </c>
      <c r="Z687" s="37"/>
      <c r="AA687" s="37"/>
      <c r="AB687" s="37"/>
      <c r="AE687">
        <v>0</v>
      </c>
    </row>
    <row r="688" spans="1:31" hidden="1">
      <c r="A688" s="9" t="s">
        <v>1210</v>
      </c>
      <c r="B688" s="9" t="s">
        <v>1213</v>
      </c>
      <c r="C688" s="9" t="s">
        <v>105</v>
      </c>
      <c r="D688" s="9">
        <v>0.31609999999999999</v>
      </c>
      <c r="E688" s="9">
        <v>4.3600000000000003</v>
      </c>
      <c r="F688" s="9">
        <v>9.9</v>
      </c>
      <c r="G688" s="9">
        <v>33.099999999999902</v>
      </c>
      <c r="H688" s="9" t="s">
        <v>106</v>
      </c>
      <c r="I688" s="9">
        <v>40</v>
      </c>
      <c r="J688" s="9" t="s">
        <v>116</v>
      </c>
      <c r="K688" s="9" t="s">
        <v>1212</v>
      </c>
      <c r="L688" t="str">
        <f>IF(OR(J688="Cattle",J688="Zebu Cattle"),IF(COUNTIF(lists!$M$2:$M$258, K688) &gt; 0,"bos.indicus",IF(COUNTIF(lists!$L$2:$L$258, K688) &gt; 0,"cross.bred","pure.bred.exotic")),"NA")</f>
        <v>NA</v>
      </c>
      <c r="M688" t="str">
        <f>IF(J688="Sheep",IF(COUNTIF(lists!$H$2:$H$258, K688) &gt; 0,"indigenous",IF(COUNTIF(lists!$G$2:$G$258, K688) &gt; 0,"cross.bred","not found")),"NA")</f>
        <v>NA</v>
      </c>
      <c r="N688" t="str">
        <f>IF(J688="Goat",IF(COUNTIF(lists!$J$2:$J$258, K688) &gt; 0,"indigenous",IF(COUNTIF(lists!$I$2:$I$258, K688) &gt; 0,"cross.bred","not found")),"NA")</f>
        <v>not found</v>
      </c>
      <c r="O688" s="9" t="s">
        <v>124</v>
      </c>
      <c r="P688" s="9" t="s">
        <v>106</v>
      </c>
      <c r="Q688" s="9" t="s">
        <v>3806</v>
      </c>
      <c r="S688" s="9">
        <v>307.3</v>
      </c>
      <c r="T688" s="9">
        <v>68.8</v>
      </c>
      <c r="U688" s="9">
        <v>223.4</v>
      </c>
      <c r="V688" s="9">
        <v>843.6</v>
      </c>
      <c r="W688" s="9" t="s">
        <v>106</v>
      </c>
      <c r="X688" s="9">
        <v>452.7</v>
      </c>
      <c r="Y688" s="9" t="s">
        <v>106</v>
      </c>
      <c r="Z688" s="37"/>
      <c r="AA688" s="37"/>
      <c r="AB688" s="37"/>
      <c r="AE688">
        <v>0</v>
      </c>
    </row>
    <row r="689" spans="1:31" hidden="1">
      <c r="A689" s="9" t="s">
        <v>1210</v>
      </c>
      <c r="B689" s="9" t="s">
        <v>1214</v>
      </c>
      <c r="C689" s="9" t="s">
        <v>105</v>
      </c>
      <c r="D689" s="9">
        <v>0.307</v>
      </c>
      <c r="E689" s="9">
        <v>4.3600000000000003</v>
      </c>
      <c r="F689" s="9">
        <v>9.8000000000000007</v>
      </c>
      <c r="G689" s="9">
        <v>25.4</v>
      </c>
      <c r="H689" s="9" t="s">
        <v>106</v>
      </c>
      <c r="I689" s="9">
        <v>40</v>
      </c>
      <c r="J689" s="9" t="s">
        <v>116</v>
      </c>
      <c r="K689" s="9" t="s">
        <v>1212</v>
      </c>
      <c r="L689" t="str">
        <f>IF(OR(J689="Cattle",J689="Zebu Cattle"),IF(COUNTIF(lists!$M$2:$M$258, K689) &gt; 0,"bos.indicus",IF(COUNTIF(lists!$L$2:$L$258, K689) &gt; 0,"cross.bred","pure.bred.exotic")),"NA")</f>
        <v>NA</v>
      </c>
      <c r="M689" t="str">
        <f>IF(J689="Sheep",IF(COUNTIF(lists!$H$2:$H$258, K689) &gt; 0,"indigenous",IF(COUNTIF(lists!$G$2:$G$258, K689) &gt; 0,"cross.bred","not found")),"NA")</f>
        <v>NA</v>
      </c>
      <c r="N689" t="str">
        <f>IF(J689="Goat",IF(COUNTIF(lists!$J$2:$J$258, K689) &gt; 0,"indigenous",IF(COUNTIF(lists!$I$2:$I$258, K689) &gt; 0,"cross.bred","not found")),"NA")</f>
        <v>not found</v>
      </c>
      <c r="O689" s="9" t="s">
        <v>124</v>
      </c>
      <c r="P689" s="9" t="s">
        <v>106</v>
      </c>
      <c r="Q689" s="9" t="s">
        <v>3806</v>
      </c>
      <c r="S689" s="9">
        <v>203</v>
      </c>
      <c r="T689" s="9">
        <v>118.4</v>
      </c>
      <c r="U689" s="9">
        <v>223.3</v>
      </c>
      <c r="V689" s="9">
        <v>809.4</v>
      </c>
      <c r="W689" s="9" t="s">
        <v>106</v>
      </c>
      <c r="X689" s="9">
        <v>381.8</v>
      </c>
      <c r="Y689" s="9" t="s">
        <v>106</v>
      </c>
      <c r="Z689" s="37"/>
      <c r="AA689" s="37"/>
      <c r="AB689" s="37"/>
      <c r="AE689">
        <v>0</v>
      </c>
    </row>
    <row r="690" spans="1:31" hidden="1">
      <c r="A690" s="9" t="s">
        <v>1210</v>
      </c>
      <c r="B690" s="9" t="s">
        <v>1215</v>
      </c>
      <c r="C690" s="9" t="s">
        <v>105</v>
      </c>
      <c r="D690" s="9">
        <v>0.307</v>
      </c>
      <c r="E690" s="9">
        <v>4.45</v>
      </c>
      <c r="F690" s="9">
        <v>9.8000000000000007</v>
      </c>
      <c r="G690" s="9">
        <v>24</v>
      </c>
      <c r="H690" s="9" t="s">
        <v>106</v>
      </c>
      <c r="I690" s="9">
        <v>40</v>
      </c>
      <c r="J690" s="9" t="s">
        <v>116</v>
      </c>
      <c r="K690" s="9" t="s">
        <v>1212</v>
      </c>
      <c r="L690" t="str">
        <f>IF(OR(J690="Cattle",J690="Zebu Cattle"),IF(COUNTIF(lists!$M$2:$M$258, K690) &gt; 0,"bos.indicus",IF(COUNTIF(lists!$L$2:$L$258, K690) &gt; 0,"cross.bred","pure.bred.exotic")),"NA")</f>
        <v>NA</v>
      </c>
      <c r="M690" t="str">
        <f>IF(J690="Sheep",IF(COUNTIF(lists!$H$2:$H$258, K690) &gt; 0,"indigenous",IF(COUNTIF(lists!$G$2:$G$258, K690) &gt; 0,"cross.bred","not found")),"NA")</f>
        <v>NA</v>
      </c>
      <c r="N690" t="str">
        <f>IF(J690="Goat",IF(COUNTIF(lists!$J$2:$J$258, K690) &gt; 0,"indigenous",IF(COUNTIF(lists!$I$2:$I$258, K690) &gt; 0,"cross.bred","not found")),"NA")</f>
        <v>not found</v>
      </c>
      <c r="O690" s="9" t="s">
        <v>124</v>
      </c>
      <c r="P690" s="9" t="s">
        <v>106</v>
      </c>
      <c r="Q690" s="9" t="s">
        <v>3806</v>
      </c>
      <c r="S690" s="9">
        <v>297.5</v>
      </c>
      <c r="T690" s="9">
        <v>130.9</v>
      </c>
      <c r="U690" s="9">
        <v>227.1</v>
      </c>
      <c r="V690" s="9">
        <v>844.3</v>
      </c>
      <c r="W690" s="9" t="s">
        <v>106</v>
      </c>
      <c r="X690" s="9">
        <v>414</v>
      </c>
      <c r="Y690" s="9" t="s">
        <v>106</v>
      </c>
      <c r="Z690" s="37"/>
      <c r="AA690" s="37"/>
      <c r="AB690" s="37"/>
      <c r="AE690">
        <v>0</v>
      </c>
    </row>
    <row r="691" spans="1:31" hidden="1">
      <c r="A691" s="9" t="s">
        <v>1210</v>
      </c>
      <c r="B691" s="9" t="s">
        <v>1216</v>
      </c>
      <c r="C691" s="9" t="s">
        <v>105</v>
      </c>
      <c r="D691" s="9">
        <v>0.30280000000000001</v>
      </c>
      <c r="E691" s="9">
        <v>4.38</v>
      </c>
      <c r="F691" s="9">
        <v>9.8000000000000007</v>
      </c>
      <c r="G691" s="9">
        <v>23.7</v>
      </c>
      <c r="H691" s="9" t="s">
        <v>106</v>
      </c>
      <c r="I691" s="9">
        <v>40</v>
      </c>
      <c r="J691" s="9" t="s">
        <v>116</v>
      </c>
      <c r="K691" s="9" t="s">
        <v>1212</v>
      </c>
      <c r="L691" t="str">
        <f>IF(OR(J691="Cattle",J691="Zebu Cattle"),IF(COUNTIF(lists!$M$2:$M$258, K691) &gt; 0,"bos.indicus",IF(COUNTIF(lists!$L$2:$L$258, K691) &gt; 0,"cross.bred","pure.bred.exotic")),"NA")</f>
        <v>NA</v>
      </c>
      <c r="M691" t="str">
        <f>IF(J691="Sheep",IF(COUNTIF(lists!$H$2:$H$258, K691) &gt; 0,"indigenous",IF(COUNTIF(lists!$G$2:$G$258, K691) &gt; 0,"cross.bred","not found")),"NA")</f>
        <v>NA</v>
      </c>
      <c r="N691" t="str">
        <f>IF(J691="Goat",IF(COUNTIF(lists!$J$2:$J$258, K691) &gt; 0,"indigenous",IF(COUNTIF(lists!$I$2:$I$258, K691) &gt; 0,"cross.bred","not found")),"NA")</f>
        <v>not found</v>
      </c>
      <c r="O691" s="9" t="s">
        <v>124</v>
      </c>
      <c r="P691" s="9" t="s">
        <v>106</v>
      </c>
      <c r="Q691" s="9" t="s">
        <v>3806</v>
      </c>
      <c r="S691" s="9">
        <v>243.5</v>
      </c>
      <c r="T691" s="9">
        <v>105.4</v>
      </c>
      <c r="U691" s="9">
        <v>222.4</v>
      </c>
      <c r="V691" s="9">
        <v>822.8</v>
      </c>
      <c r="W691" s="9" t="s">
        <v>106</v>
      </c>
      <c r="X691" s="9">
        <v>425.2</v>
      </c>
      <c r="Y691" s="9" t="s">
        <v>106</v>
      </c>
      <c r="Z691" s="37"/>
      <c r="AA691" s="37"/>
      <c r="AB691" s="37"/>
      <c r="AE691">
        <v>0</v>
      </c>
    </row>
    <row r="692" spans="1:31" hidden="1">
      <c r="A692" s="9" t="s">
        <v>1217</v>
      </c>
      <c r="B692" s="9" t="s">
        <v>1218</v>
      </c>
      <c r="C692" s="9" t="s">
        <v>105</v>
      </c>
      <c r="D692" s="9">
        <v>0.42258999999999902</v>
      </c>
      <c r="E692" s="9">
        <v>8.73</v>
      </c>
      <c r="F692" s="9">
        <v>11.97</v>
      </c>
      <c r="G692" s="9">
        <v>36.44</v>
      </c>
      <c r="H692" s="9" t="s">
        <v>106</v>
      </c>
      <c r="I692" s="9">
        <v>24</v>
      </c>
      <c r="J692" s="9" t="s">
        <v>116</v>
      </c>
      <c r="K692" s="9" t="s">
        <v>1219</v>
      </c>
      <c r="L692" t="str">
        <f>IF(OR(J692="Cattle",J692="Zebu Cattle"),IF(COUNTIF(lists!$M$2:$M$258, K692) &gt; 0,"bos.indicus",IF(COUNTIF(lists!$L$2:$L$258, K692) &gt; 0,"cross.bred","pure.bred.exotic")),"NA")</f>
        <v>NA</v>
      </c>
      <c r="M692" t="str">
        <f>IF(J692="Sheep",IF(COUNTIF(lists!$H$2:$H$258, K692) &gt; 0,"indigenous",IF(COUNTIF(lists!$G$2:$G$258, K692) &gt; 0,"cross.bred","not found")),"NA")</f>
        <v>NA</v>
      </c>
      <c r="N692" t="str">
        <f>IF(J692="Goat",IF(COUNTIF(lists!$J$2:$J$258, K692) &gt; 0,"indigenous",IF(COUNTIF(lists!$I$2:$I$258, K692) &gt; 0,"cross.bred","not found")),"NA")</f>
        <v>not found</v>
      </c>
      <c r="O692" s="9" t="s">
        <v>124</v>
      </c>
      <c r="P692" s="9" t="s">
        <v>106</v>
      </c>
      <c r="Q692" s="9" t="s">
        <v>3806</v>
      </c>
      <c r="S692" s="9" t="s">
        <v>106</v>
      </c>
      <c r="T692" s="9" t="s">
        <v>106</v>
      </c>
      <c r="U692" s="9" t="s">
        <v>106</v>
      </c>
      <c r="V692" s="9" t="s">
        <v>106</v>
      </c>
      <c r="W692" s="9" t="s">
        <v>106</v>
      </c>
      <c r="X692" s="9" t="s">
        <v>106</v>
      </c>
      <c r="Y692" s="9">
        <v>73.45</v>
      </c>
      <c r="Z692" s="37"/>
      <c r="AA692" s="37"/>
      <c r="AB692" s="37"/>
      <c r="AE692">
        <v>0</v>
      </c>
    </row>
    <row r="693" spans="1:31" hidden="1">
      <c r="A693" s="9" t="s">
        <v>1217</v>
      </c>
      <c r="B693" s="9" t="s">
        <v>1220</v>
      </c>
      <c r="C693" s="9" t="s">
        <v>105</v>
      </c>
      <c r="D693" s="9">
        <v>0.43148999999999998</v>
      </c>
      <c r="E693" s="9">
        <v>8.73</v>
      </c>
      <c r="F693" s="9">
        <v>12.39</v>
      </c>
      <c r="G693" s="9">
        <v>41.14</v>
      </c>
      <c r="H693" s="9" t="s">
        <v>106</v>
      </c>
      <c r="I693" s="9">
        <v>24</v>
      </c>
      <c r="J693" s="9" t="s">
        <v>116</v>
      </c>
      <c r="K693" s="9" t="s">
        <v>1219</v>
      </c>
      <c r="L693" t="str">
        <f>IF(OR(J693="Cattle",J693="Zebu Cattle"),IF(COUNTIF(lists!$M$2:$M$258, K693) &gt; 0,"bos.indicus",IF(COUNTIF(lists!$L$2:$L$258, K693) &gt; 0,"cross.bred","pure.bred.exotic")),"NA")</f>
        <v>NA</v>
      </c>
      <c r="M693" t="str">
        <f>IF(J693="Sheep",IF(COUNTIF(lists!$H$2:$H$258, K693) &gt; 0,"indigenous",IF(COUNTIF(lists!$G$2:$G$258, K693) &gt; 0,"cross.bred","not found")),"NA")</f>
        <v>NA</v>
      </c>
      <c r="N693" t="str">
        <f>IF(J693="Goat",IF(COUNTIF(lists!$J$2:$J$258, K693) &gt; 0,"indigenous",IF(COUNTIF(lists!$I$2:$I$258, K693) &gt; 0,"cross.bred","not found")),"NA")</f>
        <v>not found</v>
      </c>
      <c r="O693" s="9" t="s">
        <v>124</v>
      </c>
      <c r="P693" s="9" t="s">
        <v>106</v>
      </c>
      <c r="Q693" s="9" t="s">
        <v>3806</v>
      </c>
      <c r="S693" s="9" t="s">
        <v>106</v>
      </c>
      <c r="T693" s="9" t="s">
        <v>106</v>
      </c>
      <c r="U693" s="9" t="s">
        <v>106</v>
      </c>
      <c r="V693" s="9" t="s">
        <v>106</v>
      </c>
      <c r="W693" s="9" t="s">
        <v>106</v>
      </c>
      <c r="X693" s="9" t="s">
        <v>106</v>
      </c>
      <c r="Y693" s="9">
        <v>74.319999999999993</v>
      </c>
      <c r="Z693" s="37"/>
      <c r="AA693" s="37"/>
      <c r="AB693" s="37"/>
      <c r="AE693">
        <v>0</v>
      </c>
    </row>
    <row r="694" spans="1:31" hidden="1">
      <c r="A694" s="9" t="s">
        <v>1217</v>
      </c>
      <c r="B694" s="9" t="s">
        <v>1221</v>
      </c>
      <c r="C694" s="9" t="s">
        <v>105</v>
      </c>
      <c r="D694" s="9">
        <v>0.44091000000000002</v>
      </c>
      <c r="E694" s="9">
        <v>8.73</v>
      </c>
      <c r="F694" s="9">
        <v>12.52</v>
      </c>
      <c r="G694" s="9">
        <v>40.15</v>
      </c>
      <c r="H694" s="9" t="s">
        <v>106</v>
      </c>
      <c r="I694" s="9">
        <v>24</v>
      </c>
      <c r="J694" s="9" t="s">
        <v>116</v>
      </c>
      <c r="K694" s="9" t="s">
        <v>1219</v>
      </c>
      <c r="L694" t="str">
        <f>IF(OR(J694="Cattle",J694="Zebu Cattle"),IF(COUNTIF(lists!$M$2:$M$258, K694) &gt; 0,"bos.indicus",IF(COUNTIF(lists!$L$2:$L$258, K694) &gt; 0,"cross.bred","pure.bred.exotic")),"NA")</f>
        <v>NA</v>
      </c>
      <c r="M694" t="str">
        <f>IF(J694="Sheep",IF(COUNTIF(lists!$H$2:$H$258, K694) &gt; 0,"indigenous",IF(COUNTIF(lists!$G$2:$G$258, K694) &gt; 0,"cross.bred","not found")),"NA")</f>
        <v>NA</v>
      </c>
      <c r="N694" t="str">
        <f>IF(J694="Goat",IF(COUNTIF(lists!$J$2:$J$258, K694) &gt; 0,"indigenous",IF(COUNTIF(lists!$I$2:$I$258, K694) &gt; 0,"cross.bred","not found")),"NA")</f>
        <v>not found</v>
      </c>
      <c r="O694" s="9" t="s">
        <v>124</v>
      </c>
      <c r="P694" s="9" t="s">
        <v>106</v>
      </c>
      <c r="Q694" s="9" t="s">
        <v>3806</v>
      </c>
      <c r="S694" s="9" t="s">
        <v>106</v>
      </c>
      <c r="T694" s="9" t="s">
        <v>106</v>
      </c>
      <c r="U694" s="9" t="s">
        <v>106</v>
      </c>
      <c r="V694" s="9" t="s">
        <v>106</v>
      </c>
      <c r="W694" s="9" t="s">
        <v>106</v>
      </c>
      <c r="X694" s="9" t="s">
        <v>106</v>
      </c>
      <c r="Y694" s="9">
        <v>72.95</v>
      </c>
      <c r="Z694" s="37"/>
      <c r="AA694" s="37"/>
      <c r="AB694" s="37"/>
      <c r="AE694">
        <v>0</v>
      </c>
    </row>
    <row r="695" spans="1:31" hidden="1">
      <c r="A695" s="9" t="s">
        <v>1217</v>
      </c>
      <c r="B695" s="9" t="s">
        <v>1222</v>
      </c>
      <c r="C695" s="9" t="s">
        <v>105</v>
      </c>
      <c r="D695" s="9">
        <v>0.43569999999999998</v>
      </c>
      <c r="E695" s="9">
        <v>8.73</v>
      </c>
      <c r="F695" s="9">
        <v>13.65</v>
      </c>
      <c r="G695" s="9">
        <v>39.4</v>
      </c>
      <c r="H695" s="9" t="s">
        <v>106</v>
      </c>
      <c r="I695" s="9">
        <v>24</v>
      </c>
      <c r="J695" s="9" t="s">
        <v>116</v>
      </c>
      <c r="K695" s="9" t="s">
        <v>1219</v>
      </c>
      <c r="L695" t="str">
        <f>IF(OR(J695="Cattle",J695="Zebu Cattle"),IF(COUNTIF(lists!$M$2:$M$258, K695) &gt; 0,"bos.indicus",IF(COUNTIF(lists!$L$2:$L$258, K695) &gt; 0,"cross.bred","pure.bred.exotic")),"NA")</f>
        <v>NA</v>
      </c>
      <c r="M695" t="str">
        <f>IF(J695="Sheep",IF(COUNTIF(lists!$H$2:$H$258, K695) &gt; 0,"indigenous",IF(COUNTIF(lists!$G$2:$G$258, K695) &gt; 0,"cross.bred","not found")),"NA")</f>
        <v>NA</v>
      </c>
      <c r="N695" t="str">
        <f>IF(J695="Goat",IF(COUNTIF(lists!$J$2:$J$258, K695) &gt; 0,"indigenous",IF(COUNTIF(lists!$I$2:$I$258, K695) &gt; 0,"cross.bred","not found")),"NA")</f>
        <v>not found</v>
      </c>
      <c r="O695" s="9" t="s">
        <v>124</v>
      </c>
      <c r="P695" s="9" t="s">
        <v>106</v>
      </c>
      <c r="Q695" s="9" t="s">
        <v>3806</v>
      </c>
      <c r="S695" s="9" t="s">
        <v>106</v>
      </c>
      <c r="T695" s="9" t="s">
        <v>106</v>
      </c>
      <c r="U695" s="9" t="s">
        <v>106</v>
      </c>
      <c r="V695" s="9" t="s">
        <v>106</v>
      </c>
      <c r="W695" s="9" t="s">
        <v>106</v>
      </c>
      <c r="X695" s="9" t="s">
        <v>106</v>
      </c>
      <c r="Y695" s="9">
        <v>67.11</v>
      </c>
      <c r="Z695" s="37"/>
      <c r="AA695" s="37"/>
      <c r="AB695" s="37"/>
      <c r="AE695">
        <v>0</v>
      </c>
    </row>
    <row r="696" spans="1:31" hidden="1">
      <c r="A696" s="9" t="s">
        <v>1225</v>
      </c>
      <c r="B696" s="9" t="s">
        <v>1226</v>
      </c>
      <c r="C696" s="9" t="s">
        <v>105</v>
      </c>
      <c r="D696" s="9">
        <v>0.49919999999999998</v>
      </c>
      <c r="E696" s="9" t="s">
        <v>106</v>
      </c>
      <c r="F696" s="9">
        <v>14.8</v>
      </c>
      <c r="G696" s="9">
        <v>157.1</v>
      </c>
      <c r="H696" s="9" t="s">
        <v>106</v>
      </c>
      <c r="I696" s="9">
        <v>20</v>
      </c>
      <c r="J696" s="9" t="s">
        <v>116</v>
      </c>
      <c r="K696" s="9" t="s">
        <v>524</v>
      </c>
      <c r="L696" t="str">
        <f>IF(OR(J696="Cattle",J696="Zebu Cattle"),IF(COUNTIF(lists!$M$2:$M$258, K696) &gt; 0,"bos.indicus",IF(COUNTIF(lists!$L$2:$L$258, K696) &gt; 0,"cross.bred","pure.bred.exotic")),"NA")</f>
        <v>NA</v>
      </c>
      <c r="M696" t="str">
        <f>IF(J696="Sheep",IF(COUNTIF(lists!$H$2:$H$258, K696) &gt; 0,"indigenous",IF(COUNTIF(lists!$G$2:$G$258, K696) &gt; 0,"cross.bred","not found")),"NA")</f>
        <v>NA</v>
      </c>
      <c r="N696" t="str">
        <f>IF(J696="Goat",IF(COUNTIF(lists!$J$2:$J$258, K696) &gt; 0,"indigenous",IF(COUNTIF(lists!$I$2:$I$258, K696) &gt; 0,"cross.bred","not found")),"NA")</f>
        <v>not found</v>
      </c>
      <c r="O696" s="9" t="s">
        <v>109</v>
      </c>
      <c r="P696" s="9" t="s">
        <v>106</v>
      </c>
      <c r="Q696" s="9" t="s">
        <v>3804</v>
      </c>
      <c r="S696" s="9" t="s">
        <v>106</v>
      </c>
      <c r="T696" s="9" t="s">
        <v>106</v>
      </c>
      <c r="U696" s="9" t="s">
        <v>106</v>
      </c>
      <c r="V696" s="9" t="s">
        <v>106</v>
      </c>
      <c r="W696" s="9" t="s">
        <v>106</v>
      </c>
      <c r="X696" s="9" t="s">
        <v>106</v>
      </c>
      <c r="Y696" s="9" t="s">
        <v>106</v>
      </c>
      <c r="Z696" s="37"/>
      <c r="AA696" s="37"/>
      <c r="AB696" s="37"/>
      <c r="AE696">
        <v>0</v>
      </c>
    </row>
    <row r="697" spans="1:31" hidden="1">
      <c r="A697" s="9" t="s">
        <v>1225</v>
      </c>
      <c r="B697" s="9" t="s">
        <v>1227</v>
      </c>
      <c r="C697" s="9" t="s">
        <v>105</v>
      </c>
      <c r="D697" s="9">
        <v>0.46710000000000002</v>
      </c>
      <c r="E697" s="9" t="s">
        <v>106</v>
      </c>
      <c r="F697" s="9">
        <v>14.4</v>
      </c>
      <c r="G697" s="9">
        <v>114.3</v>
      </c>
      <c r="H697" s="9" t="s">
        <v>106</v>
      </c>
      <c r="I697" s="9">
        <v>20</v>
      </c>
      <c r="J697" s="9" t="s">
        <v>116</v>
      </c>
      <c r="K697" s="9" t="s">
        <v>524</v>
      </c>
      <c r="L697" t="str">
        <f>IF(OR(J697="Cattle",J697="Zebu Cattle"),IF(COUNTIF(lists!$M$2:$M$258, K697) &gt; 0,"bos.indicus",IF(COUNTIF(lists!$L$2:$L$258, K697) &gt; 0,"cross.bred","pure.bred.exotic")),"NA")</f>
        <v>NA</v>
      </c>
      <c r="M697" t="str">
        <f>IF(J697="Sheep",IF(COUNTIF(lists!$H$2:$H$258, K697) &gt; 0,"indigenous",IF(COUNTIF(lists!$G$2:$G$258, K697) &gt; 0,"cross.bred","not found")),"NA")</f>
        <v>NA</v>
      </c>
      <c r="N697" t="str">
        <f>IF(J697="Goat",IF(COUNTIF(lists!$J$2:$J$258, K697) &gt; 0,"indigenous",IF(COUNTIF(lists!$I$2:$I$258, K697) &gt; 0,"cross.bred","not found")),"NA")</f>
        <v>not found</v>
      </c>
      <c r="O697" s="9" t="s">
        <v>109</v>
      </c>
      <c r="P697" s="9" t="s">
        <v>106</v>
      </c>
      <c r="Q697" s="9" t="s">
        <v>3804</v>
      </c>
      <c r="S697" s="9" t="s">
        <v>106</v>
      </c>
      <c r="T697" s="9" t="s">
        <v>106</v>
      </c>
      <c r="U697" s="9" t="s">
        <v>106</v>
      </c>
      <c r="V697" s="9" t="s">
        <v>106</v>
      </c>
      <c r="W697" s="9" t="s">
        <v>106</v>
      </c>
      <c r="X697" s="9" t="s">
        <v>106</v>
      </c>
      <c r="Y697" s="9" t="s">
        <v>106</v>
      </c>
      <c r="Z697" s="37"/>
      <c r="AA697" s="37"/>
      <c r="AB697" s="37"/>
      <c r="AE697">
        <v>0</v>
      </c>
    </row>
    <row r="698" spans="1:31" hidden="1">
      <c r="A698" s="9" t="s">
        <v>1225</v>
      </c>
      <c r="B698" s="9" t="s">
        <v>363</v>
      </c>
      <c r="C698" s="9" t="s">
        <v>105</v>
      </c>
      <c r="D698" s="9">
        <v>0.3599</v>
      </c>
      <c r="E698" s="9" t="s">
        <v>106</v>
      </c>
      <c r="F698" s="9">
        <v>14.4</v>
      </c>
      <c r="G698" s="9">
        <v>-71.400000000000006</v>
      </c>
      <c r="H698" s="9" t="s">
        <v>106</v>
      </c>
      <c r="I698" s="9">
        <v>20</v>
      </c>
      <c r="J698" s="9" t="s">
        <v>116</v>
      </c>
      <c r="K698" s="9" t="s">
        <v>524</v>
      </c>
      <c r="L698" t="str">
        <f>IF(OR(J698="Cattle",J698="Zebu Cattle"),IF(COUNTIF(lists!$M$2:$M$258, K698) &gt; 0,"bos.indicus",IF(COUNTIF(lists!$L$2:$L$258, K698) &gt; 0,"cross.bred","pure.bred.exotic")),"NA")</f>
        <v>NA</v>
      </c>
      <c r="M698" t="str">
        <f>IF(J698="Sheep",IF(COUNTIF(lists!$H$2:$H$258, K698) &gt; 0,"indigenous",IF(COUNTIF(lists!$G$2:$G$258, K698) &gt; 0,"cross.bred","not found")),"NA")</f>
        <v>NA</v>
      </c>
      <c r="N698" t="str">
        <f>IF(J698="Goat",IF(COUNTIF(lists!$J$2:$J$258, K698) &gt; 0,"indigenous",IF(COUNTIF(lists!$I$2:$I$258, K698) &gt; 0,"cross.bred","not found")),"NA")</f>
        <v>not found</v>
      </c>
      <c r="O698" s="9" t="s">
        <v>109</v>
      </c>
      <c r="P698" s="9" t="s">
        <v>106</v>
      </c>
      <c r="Q698" s="9" t="s">
        <v>3804</v>
      </c>
      <c r="S698" s="9" t="s">
        <v>106</v>
      </c>
      <c r="T698" s="9" t="s">
        <v>106</v>
      </c>
      <c r="U698" s="9" t="s">
        <v>106</v>
      </c>
      <c r="V698" s="9" t="s">
        <v>106</v>
      </c>
      <c r="W698" s="9" t="s">
        <v>106</v>
      </c>
      <c r="X698" s="9" t="s">
        <v>106</v>
      </c>
      <c r="Y698" s="9" t="s">
        <v>106</v>
      </c>
      <c r="Z698" s="37"/>
      <c r="AA698" s="37"/>
      <c r="AB698" s="37"/>
      <c r="AE698">
        <v>0</v>
      </c>
    </row>
    <row r="699" spans="1:31" hidden="1">
      <c r="A699" s="9" t="s">
        <v>1225</v>
      </c>
      <c r="B699" s="9" t="s">
        <v>1228</v>
      </c>
      <c r="C699" s="9" t="s">
        <v>105</v>
      </c>
      <c r="D699" s="9">
        <v>0.47770000000000001</v>
      </c>
      <c r="E699" s="9" t="s">
        <v>106</v>
      </c>
      <c r="F699" s="9">
        <v>14.7</v>
      </c>
      <c r="G699" s="9">
        <v>42.9</v>
      </c>
      <c r="H699" s="9" t="s">
        <v>106</v>
      </c>
      <c r="I699" s="9">
        <v>20</v>
      </c>
      <c r="J699" s="9" t="s">
        <v>116</v>
      </c>
      <c r="K699" s="9" t="s">
        <v>524</v>
      </c>
      <c r="L699" t="str">
        <f>IF(OR(J699="Cattle",J699="Zebu Cattle"),IF(COUNTIF(lists!$M$2:$M$258, K699) &gt; 0,"bos.indicus",IF(COUNTIF(lists!$L$2:$L$258, K699) &gt; 0,"cross.bred","pure.bred.exotic")),"NA")</f>
        <v>NA</v>
      </c>
      <c r="M699" t="str">
        <f>IF(J699="Sheep",IF(COUNTIF(lists!$H$2:$H$258, K699) &gt; 0,"indigenous",IF(COUNTIF(lists!$G$2:$G$258, K699) &gt; 0,"cross.bred","not found")),"NA")</f>
        <v>NA</v>
      </c>
      <c r="N699" t="str">
        <f>IF(J699="Goat",IF(COUNTIF(lists!$J$2:$J$258, K699) &gt; 0,"indigenous",IF(COUNTIF(lists!$I$2:$I$258, K699) &gt; 0,"cross.bred","not found")),"NA")</f>
        <v>not found</v>
      </c>
      <c r="O699" s="9" t="s">
        <v>109</v>
      </c>
      <c r="P699" s="9" t="s">
        <v>106</v>
      </c>
      <c r="Q699" s="9" t="s">
        <v>3804</v>
      </c>
      <c r="S699" s="9" t="s">
        <v>106</v>
      </c>
      <c r="T699" s="9" t="s">
        <v>106</v>
      </c>
      <c r="U699" s="9" t="s">
        <v>106</v>
      </c>
      <c r="V699" s="9" t="s">
        <v>106</v>
      </c>
      <c r="W699" s="9" t="s">
        <v>106</v>
      </c>
      <c r="X699" s="9" t="s">
        <v>106</v>
      </c>
      <c r="Y699" s="9" t="s">
        <v>106</v>
      </c>
      <c r="Z699" s="37"/>
      <c r="AA699" s="37"/>
      <c r="AB699" s="37"/>
      <c r="AE699">
        <v>0</v>
      </c>
    </row>
    <row r="700" spans="1:31" hidden="1">
      <c r="A700" s="9" t="s">
        <v>1240</v>
      </c>
      <c r="B700" s="9" t="s">
        <v>1241</v>
      </c>
      <c r="C700" s="9" t="s">
        <v>105</v>
      </c>
      <c r="D700" s="9">
        <v>0.31459999999999999</v>
      </c>
      <c r="E700" s="9" t="s">
        <v>106</v>
      </c>
      <c r="F700" s="9">
        <v>12.7</v>
      </c>
      <c r="G700" s="9">
        <v>8.1</v>
      </c>
      <c r="H700" s="9" t="s">
        <v>106</v>
      </c>
      <c r="I700" s="9">
        <v>32</v>
      </c>
      <c r="J700" s="9" t="s">
        <v>116</v>
      </c>
      <c r="K700" s="9" t="s">
        <v>524</v>
      </c>
      <c r="L700" t="str">
        <f>IF(OR(J700="Cattle",J700="Zebu Cattle"),IF(COUNTIF(lists!$M$2:$M$258, K700) &gt; 0,"bos.indicus",IF(COUNTIF(lists!$L$2:$L$258, K700) &gt; 0,"cross.bred","pure.bred.exotic")),"NA")</f>
        <v>NA</v>
      </c>
      <c r="M700" t="str">
        <f>IF(J700="Sheep",IF(COUNTIF(lists!$H$2:$H$258, K700) &gt; 0,"indigenous",IF(COUNTIF(lists!$G$2:$G$258, K700) &gt; 0,"cross.bred","not found")),"NA")</f>
        <v>NA</v>
      </c>
      <c r="N700" t="str">
        <f>IF(J700="Goat",IF(COUNTIF(lists!$J$2:$J$258, K700) &gt; 0,"indigenous",IF(COUNTIF(lists!$I$2:$I$258, K700) &gt; 0,"cross.bred","not found")),"NA")</f>
        <v>not found</v>
      </c>
      <c r="O700" s="9" t="s">
        <v>109</v>
      </c>
      <c r="P700" s="9" t="s">
        <v>106</v>
      </c>
      <c r="Q700" s="9" t="s">
        <v>3804</v>
      </c>
      <c r="S700" s="9" t="s">
        <v>106</v>
      </c>
      <c r="T700" s="9" t="s">
        <v>106</v>
      </c>
      <c r="U700" s="9" t="s">
        <v>106</v>
      </c>
      <c r="V700" s="9" t="s">
        <v>106</v>
      </c>
      <c r="W700" s="9" t="s">
        <v>106</v>
      </c>
      <c r="X700" s="9" t="s">
        <v>106</v>
      </c>
      <c r="Y700" s="9" t="s">
        <v>106</v>
      </c>
      <c r="Z700" s="37"/>
      <c r="AA700" s="37"/>
      <c r="AB700" s="37"/>
      <c r="AE700">
        <v>0</v>
      </c>
    </row>
    <row r="701" spans="1:31" hidden="1">
      <c r="A701" s="9" t="s">
        <v>1240</v>
      </c>
      <c r="B701" s="9" t="s">
        <v>1242</v>
      </c>
      <c r="C701" s="9" t="s">
        <v>105</v>
      </c>
      <c r="D701" s="9">
        <v>0.31459999999999999</v>
      </c>
      <c r="E701" s="9" t="s">
        <v>106</v>
      </c>
      <c r="F701" s="9">
        <v>12.7</v>
      </c>
      <c r="G701" s="9">
        <v>8.1</v>
      </c>
      <c r="H701" s="9" t="s">
        <v>106</v>
      </c>
      <c r="I701" s="9">
        <v>32</v>
      </c>
      <c r="J701" s="9" t="s">
        <v>116</v>
      </c>
      <c r="K701" s="9" t="s">
        <v>524</v>
      </c>
      <c r="L701" t="str">
        <f>IF(OR(J701="Cattle",J701="Zebu Cattle"),IF(COUNTIF(lists!$M$2:$M$258, K701) &gt; 0,"bos.indicus",IF(COUNTIF(lists!$L$2:$L$258, K701) &gt; 0,"cross.bred","pure.bred.exotic")),"NA")</f>
        <v>NA</v>
      </c>
      <c r="M701" t="str">
        <f>IF(J701="Sheep",IF(COUNTIF(lists!$H$2:$H$258, K701) &gt; 0,"indigenous",IF(COUNTIF(lists!$G$2:$G$258, K701) &gt; 0,"cross.bred","not found")),"NA")</f>
        <v>NA</v>
      </c>
      <c r="N701" t="str">
        <f>IF(J701="Goat",IF(COUNTIF(lists!$J$2:$J$258, K701) &gt; 0,"indigenous",IF(COUNTIF(lists!$I$2:$I$258, K701) &gt; 0,"cross.bred","not found")),"NA")</f>
        <v>not found</v>
      </c>
      <c r="O701" s="9" t="s">
        <v>109</v>
      </c>
      <c r="P701" s="9" t="s">
        <v>106</v>
      </c>
      <c r="Q701" s="9" t="s">
        <v>3804</v>
      </c>
      <c r="S701" s="9" t="s">
        <v>106</v>
      </c>
      <c r="T701" s="9" t="s">
        <v>106</v>
      </c>
      <c r="U701" s="9" t="s">
        <v>106</v>
      </c>
      <c r="V701" s="9" t="s">
        <v>106</v>
      </c>
      <c r="W701" s="9" t="s">
        <v>106</v>
      </c>
      <c r="X701" s="9" t="s">
        <v>106</v>
      </c>
      <c r="Y701" s="9" t="s">
        <v>106</v>
      </c>
      <c r="Z701" s="37"/>
      <c r="AA701" s="37"/>
      <c r="AB701" s="37"/>
      <c r="AE701">
        <v>0</v>
      </c>
    </row>
    <row r="702" spans="1:31" hidden="1">
      <c r="A702" s="9" t="s">
        <v>1240</v>
      </c>
      <c r="B702" s="9" t="s">
        <v>1243</v>
      </c>
      <c r="C702" s="9" t="s">
        <v>105</v>
      </c>
      <c r="D702" s="9">
        <v>0.38919999999999999</v>
      </c>
      <c r="E702" s="9" t="s">
        <v>106</v>
      </c>
      <c r="F702" s="9">
        <v>12.7</v>
      </c>
      <c r="G702" s="9">
        <v>13.6</v>
      </c>
      <c r="H702" s="9" t="s">
        <v>106</v>
      </c>
      <c r="I702" s="9">
        <v>32</v>
      </c>
      <c r="J702" s="9" t="s">
        <v>116</v>
      </c>
      <c r="K702" s="9" t="s">
        <v>524</v>
      </c>
      <c r="L702" t="str">
        <f>IF(OR(J702="Cattle",J702="Zebu Cattle"),IF(COUNTIF(lists!$M$2:$M$258, K702) &gt; 0,"bos.indicus",IF(COUNTIF(lists!$L$2:$L$258, K702) &gt; 0,"cross.bred","pure.bred.exotic")),"NA")</f>
        <v>NA</v>
      </c>
      <c r="M702" t="str">
        <f>IF(J702="Sheep",IF(COUNTIF(lists!$H$2:$H$258, K702) &gt; 0,"indigenous",IF(COUNTIF(lists!$G$2:$G$258, K702) &gt; 0,"cross.bred","not found")),"NA")</f>
        <v>NA</v>
      </c>
      <c r="N702" t="str">
        <f>IF(J702="Goat",IF(COUNTIF(lists!$J$2:$J$258, K702) &gt; 0,"indigenous",IF(COUNTIF(lists!$I$2:$I$258, K702) &gt; 0,"cross.bred","not found")),"NA")</f>
        <v>not found</v>
      </c>
      <c r="O702" s="9" t="s">
        <v>109</v>
      </c>
      <c r="P702" s="9" t="s">
        <v>106</v>
      </c>
      <c r="Q702" s="9" t="s">
        <v>3804</v>
      </c>
      <c r="S702" s="9" t="s">
        <v>106</v>
      </c>
      <c r="T702" s="9" t="s">
        <v>106</v>
      </c>
      <c r="U702" s="9" t="s">
        <v>106</v>
      </c>
      <c r="V702" s="9" t="s">
        <v>106</v>
      </c>
      <c r="W702" s="9" t="s">
        <v>106</v>
      </c>
      <c r="X702" s="9" t="s">
        <v>106</v>
      </c>
      <c r="Y702" s="9" t="s">
        <v>106</v>
      </c>
      <c r="Z702" s="37"/>
      <c r="AA702" s="37"/>
      <c r="AB702" s="37"/>
      <c r="AE702">
        <v>0</v>
      </c>
    </row>
    <row r="703" spans="1:31" hidden="1">
      <c r="A703" s="9" t="s">
        <v>1240</v>
      </c>
      <c r="B703" s="9" t="s">
        <v>1244</v>
      </c>
      <c r="C703" s="9" t="s">
        <v>105</v>
      </c>
      <c r="D703" s="9">
        <v>0.43809999999999999</v>
      </c>
      <c r="E703" s="9" t="s">
        <v>106</v>
      </c>
      <c r="F703" s="9">
        <v>12.7</v>
      </c>
      <c r="G703" s="9">
        <v>16.899999999999999</v>
      </c>
      <c r="H703" s="9" t="s">
        <v>106</v>
      </c>
      <c r="I703" s="9">
        <v>32</v>
      </c>
      <c r="J703" s="9" t="s">
        <v>116</v>
      </c>
      <c r="K703" s="9" t="s">
        <v>524</v>
      </c>
      <c r="L703" t="str">
        <f>IF(OR(J703="Cattle",J703="Zebu Cattle"),IF(COUNTIF(lists!$M$2:$M$258, K703) &gt; 0,"bos.indicus",IF(COUNTIF(lists!$L$2:$L$258, K703) &gt; 0,"cross.bred","pure.bred.exotic")),"NA")</f>
        <v>NA</v>
      </c>
      <c r="M703" t="str">
        <f>IF(J703="Sheep",IF(COUNTIF(lists!$H$2:$H$258, K703) &gt; 0,"indigenous",IF(COUNTIF(lists!$G$2:$G$258, K703) &gt; 0,"cross.bred","not found")),"NA")</f>
        <v>NA</v>
      </c>
      <c r="N703" t="str">
        <f>IF(J703="Goat",IF(COUNTIF(lists!$J$2:$J$258, K703) &gt; 0,"indigenous",IF(COUNTIF(lists!$I$2:$I$258, K703) &gt; 0,"cross.bred","not found")),"NA")</f>
        <v>not found</v>
      </c>
      <c r="O703" s="9" t="s">
        <v>109</v>
      </c>
      <c r="P703" s="9" t="s">
        <v>106</v>
      </c>
      <c r="Q703" s="9" t="s">
        <v>3804</v>
      </c>
      <c r="S703" s="9" t="s">
        <v>106</v>
      </c>
      <c r="T703" s="9" t="s">
        <v>106</v>
      </c>
      <c r="U703" s="9" t="s">
        <v>106</v>
      </c>
      <c r="V703" s="9" t="s">
        <v>106</v>
      </c>
      <c r="W703" s="9" t="s">
        <v>106</v>
      </c>
      <c r="X703" s="9" t="s">
        <v>106</v>
      </c>
      <c r="Y703" s="9" t="s">
        <v>106</v>
      </c>
      <c r="Z703" s="37"/>
      <c r="AA703" s="37"/>
      <c r="AB703" s="37"/>
      <c r="AE703">
        <v>0</v>
      </c>
    </row>
    <row r="704" spans="1:31" hidden="1">
      <c r="A704" s="9" t="s">
        <v>1240</v>
      </c>
      <c r="B704" s="9" t="s">
        <v>1245</v>
      </c>
      <c r="C704" s="9" t="s">
        <v>105</v>
      </c>
      <c r="D704" s="9">
        <v>0.43809999999999999</v>
      </c>
      <c r="E704" s="9" t="s">
        <v>106</v>
      </c>
      <c r="F704" s="9">
        <v>12.7</v>
      </c>
      <c r="G704" s="9">
        <v>16.899999999999999</v>
      </c>
      <c r="H704" s="9" t="s">
        <v>106</v>
      </c>
      <c r="I704" s="9">
        <v>32</v>
      </c>
      <c r="J704" s="9" t="s">
        <v>116</v>
      </c>
      <c r="K704" s="9" t="s">
        <v>524</v>
      </c>
      <c r="L704" t="str">
        <f>IF(OR(J704="Cattle",J704="Zebu Cattle"),IF(COUNTIF(lists!$M$2:$M$258, K704) &gt; 0,"bos.indicus",IF(COUNTIF(lists!$L$2:$L$258, K704) &gt; 0,"cross.bred","pure.bred.exotic")),"NA")</f>
        <v>NA</v>
      </c>
      <c r="M704" t="str">
        <f>IF(J704="Sheep",IF(COUNTIF(lists!$H$2:$H$258, K704) &gt; 0,"indigenous",IF(COUNTIF(lists!$G$2:$G$258, K704) &gt; 0,"cross.bred","not found")),"NA")</f>
        <v>NA</v>
      </c>
      <c r="N704" t="str">
        <f>IF(J704="Goat",IF(COUNTIF(lists!$J$2:$J$258, K704) &gt; 0,"indigenous",IF(COUNTIF(lists!$I$2:$I$258, K704) &gt; 0,"cross.bred","not found")),"NA")</f>
        <v>not found</v>
      </c>
      <c r="O704" s="9" t="s">
        <v>109</v>
      </c>
      <c r="P704" s="9" t="s">
        <v>106</v>
      </c>
      <c r="Q704" s="9" t="s">
        <v>3804</v>
      </c>
      <c r="S704" s="9" t="s">
        <v>106</v>
      </c>
      <c r="T704" s="9" t="s">
        <v>106</v>
      </c>
      <c r="U704" s="9" t="s">
        <v>106</v>
      </c>
      <c r="V704" s="9" t="s">
        <v>106</v>
      </c>
      <c r="W704" s="9" t="s">
        <v>106</v>
      </c>
      <c r="X704" s="9" t="s">
        <v>106</v>
      </c>
      <c r="Y704" s="9" t="s">
        <v>106</v>
      </c>
      <c r="Z704" s="37"/>
      <c r="AA704" s="37"/>
      <c r="AB704" s="37"/>
      <c r="AE704">
        <v>0</v>
      </c>
    </row>
    <row r="705" spans="1:31" hidden="1">
      <c r="A705" s="9" t="s">
        <v>1240</v>
      </c>
      <c r="B705" s="9" t="s">
        <v>1246</v>
      </c>
      <c r="C705" s="9" t="s">
        <v>105</v>
      </c>
      <c r="D705" s="9">
        <v>0.44259999999999999</v>
      </c>
      <c r="E705" s="9" t="s">
        <v>106</v>
      </c>
      <c r="F705" s="9">
        <v>12.7</v>
      </c>
      <c r="G705" s="9">
        <v>26.8</v>
      </c>
      <c r="H705" s="9" t="s">
        <v>106</v>
      </c>
      <c r="I705" s="9">
        <v>32</v>
      </c>
      <c r="J705" s="9" t="s">
        <v>116</v>
      </c>
      <c r="K705" s="9" t="s">
        <v>524</v>
      </c>
      <c r="L705" t="str">
        <f>IF(OR(J705="Cattle",J705="Zebu Cattle"),IF(COUNTIF(lists!$M$2:$M$258, K705) &gt; 0,"bos.indicus",IF(COUNTIF(lists!$L$2:$L$258, K705) &gt; 0,"cross.bred","pure.bred.exotic")),"NA")</f>
        <v>NA</v>
      </c>
      <c r="M705" t="str">
        <f>IF(J705="Sheep",IF(COUNTIF(lists!$H$2:$H$258, K705) &gt; 0,"indigenous",IF(COUNTIF(lists!$G$2:$G$258, K705) &gt; 0,"cross.bred","not found")),"NA")</f>
        <v>NA</v>
      </c>
      <c r="N705" t="str">
        <f>IF(J705="Goat",IF(COUNTIF(lists!$J$2:$J$258, K705) &gt; 0,"indigenous",IF(COUNTIF(lists!$I$2:$I$258, K705) &gt; 0,"cross.bred","not found")),"NA")</f>
        <v>not found</v>
      </c>
      <c r="O705" s="9" t="s">
        <v>109</v>
      </c>
      <c r="P705" s="9" t="s">
        <v>106</v>
      </c>
      <c r="Q705" s="9" t="s">
        <v>3804</v>
      </c>
      <c r="S705" s="9" t="s">
        <v>106</v>
      </c>
      <c r="T705" s="9" t="s">
        <v>106</v>
      </c>
      <c r="U705" s="9" t="s">
        <v>106</v>
      </c>
      <c r="V705" s="9" t="s">
        <v>106</v>
      </c>
      <c r="W705" s="9" t="s">
        <v>106</v>
      </c>
      <c r="X705" s="9" t="s">
        <v>106</v>
      </c>
      <c r="Y705" s="9" t="s">
        <v>106</v>
      </c>
      <c r="Z705" s="37"/>
      <c r="AA705" s="37"/>
      <c r="AB705" s="37"/>
      <c r="AE705">
        <v>0</v>
      </c>
    </row>
    <row r="706" spans="1:31" hidden="1">
      <c r="A706" s="9" t="s">
        <v>1240</v>
      </c>
      <c r="B706" s="9" t="s">
        <v>1247</v>
      </c>
      <c r="C706" s="9" t="s">
        <v>105</v>
      </c>
      <c r="D706" s="9">
        <v>0.44259999999999999</v>
      </c>
      <c r="E706" s="9" t="s">
        <v>106</v>
      </c>
      <c r="F706" s="9">
        <v>12.7</v>
      </c>
      <c r="G706" s="9">
        <v>26.8</v>
      </c>
      <c r="H706" s="9" t="s">
        <v>106</v>
      </c>
      <c r="I706" s="9">
        <v>32</v>
      </c>
      <c r="J706" s="9" t="s">
        <v>116</v>
      </c>
      <c r="K706" s="9" t="s">
        <v>524</v>
      </c>
      <c r="L706" t="str">
        <f>IF(OR(J706="Cattle",J706="Zebu Cattle"),IF(COUNTIF(lists!$M$2:$M$258, K706) &gt; 0,"bos.indicus",IF(COUNTIF(lists!$L$2:$L$258, K706) &gt; 0,"cross.bred","pure.bred.exotic")),"NA")</f>
        <v>NA</v>
      </c>
      <c r="M706" t="str">
        <f>IF(J706="Sheep",IF(COUNTIF(lists!$H$2:$H$258, K706) &gt; 0,"indigenous",IF(COUNTIF(lists!$G$2:$G$258, K706) &gt; 0,"cross.bred","not found")),"NA")</f>
        <v>NA</v>
      </c>
      <c r="N706" t="str">
        <f>IF(J706="Goat",IF(COUNTIF(lists!$J$2:$J$258, K706) &gt; 0,"indigenous",IF(COUNTIF(lists!$I$2:$I$258, K706) &gt; 0,"cross.bred","not found")),"NA")</f>
        <v>not found</v>
      </c>
      <c r="O706" s="9" t="s">
        <v>109</v>
      </c>
      <c r="P706" s="9" t="s">
        <v>106</v>
      </c>
      <c r="Q706" s="9" t="s">
        <v>3804</v>
      </c>
      <c r="S706" s="9" t="s">
        <v>106</v>
      </c>
      <c r="T706" s="9" t="s">
        <v>106</v>
      </c>
      <c r="U706" s="9" t="s">
        <v>106</v>
      </c>
      <c r="V706" s="9" t="s">
        <v>106</v>
      </c>
      <c r="W706" s="9" t="s">
        <v>106</v>
      </c>
      <c r="X706" s="9" t="s">
        <v>106</v>
      </c>
      <c r="Y706" s="9" t="s">
        <v>106</v>
      </c>
      <c r="Z706" s="37"/>
      <c r="AA706" s="37"/>
      <c r="AB706" s="37"/>
      <c r="AE706">
        <v>0</v>
      </c>
    </row>
    <row r="707" spans="1:31" hidden="1">
      <c r="A707" s="9" t="s">
        <v>1258</v>
      </c>
      <c r="B707" s="9" t="s">
        <v>1259</v>
      </c>
      <c r="C707" s="9" t="s">
        <v>105</v>
      </c>
      <c r="D707" s="9">
        <v>0.25800000000000001</v>
      </c>
      <c r="E707" s="9">
        <v>5.4</v>
      </c>
      <c r="F707" s="9">
        <v>9.4</v>
      </c>
      <c r="G707" s="9">
        <v>12.9</v>
      </c>
      <c r="H707" s="9" t="s">
        <v>106</v>
      </c>
      <c r="I707" s="9">
        <v>20</v>
      </c>
      <c r="J707" s="9" t="s">
        <v>116</v>
      </c>
      <c r="K707" s="9" t="s">
        <v>524</v>
      </c>
      <c r="L707" t="str">
        <f>IF(OR(J707="Cattle",J707="Zebu Cattle"),IF(COUNTIF(lists!$M$2:$M$258, K707) &gt; 0,"bos.indicus",IF(COUNTIF(lists!$L$2:$L$258, K707) &gt; 0,"cross.bred","pure.bred.exotic")),"NA")</f>
        <v>NA</v>
      </c>
      <c r="M707" t="str">
        <f>IF(J707="Sheep",IF(COUNTIF(lists!$H$2:$H$258, K707) &gt; 0,"indigenous",IF(COUNTIF(lists!$G$2:$G$258, K707) &gt; 0,"cross.bred","not found")),"NA")</f>
        <v>NA</v>
      </c>
      <c r="N707" t="str">
        <f>IF(J707="Goat",IF(COUNTIF(lists!$J$2:$J$258, K707) &gt; 0,"indigenous",IF(COUNTIF(lists!$I$2:$I$258, K707) &gt; 0,"cross.bred","not found")),"NA")</f>
        <v>not found</v>
      </c>
      <c r="O707" s="9" t="s">
        <v>109</v>
      </c>
      <c r="P707" s="9" t="s">
        <v>106</v>
      </c>
      <c r="Q707" s="9" t="s">
        <v>3804</v>
      </c>
      <c r="S707" s="9" t="s">
        <v>106</v>
      </c>
      <c r="T707" s="9" t="s">
        <v>106</v>
      </c>
      <c r="U707" s="9">
        <v>161</v>
      </c>
      <c r="V707" s="9">
        <v>938</v>
      </c>
      <c r="W707" s="9" t="s">
        <v>106</v>
      </c>
      <c r="X707" s="9">
        <v>428</v>
      </c>
      <c r="Y707" s="9">
        <v>40.4</v>
      </c>
      <c r="Z707" s="37"/>
      <c r="AA707" s="37"/>
      <c r="AB707" s="37"/>
      <c r="AE707">
        <v>0</v>
      </c>
    </row>
    <row r="708" spans="1:31" hidden="1">
      <c r="A708" s="9" t="s">
        <v>1258</v>
      </c>
      <c r="B708" s="9" t="s">
        <v>1260</v>
      </c>
      <c r="C708" s="9" t="s">
        <v>105</v>
      </c>
      <c r="D708" s="9">
        <v>0.251</v>
      </c>
      <c r="E708" s="9">
        <v>5.4</v>
      </c>
      <c r="F708" s="9">
        <v>9</v>
      </c>
      <c r="G708" s="9">
        <v>16.100000000000001</v>
      </c>
      <c r="H708" s="9" t="s">
        <v>106</v>
      </c>
      <c r="I708" s="9">
        <v>20</v>
      </c>
      <c r="J708" s="9" t="s">
        <v>116</v>
      </c>
      <c r="K708" s="9" t="s">
        <v>524</v>
      </c>
      <c r="L708" t="str">
        <f>IF(OR(J708="Cattle",J708="Zebu Cattle"),IF(COUNTIF(lists!$M$2:$M$258, K708) &gt; 0,"bos.indicus",IF(COUNTIF(lists!$L$2:$L$258, K708) &gt; 0,"cross.bred","pure.bred.exotic")),"NA")</f>
        <v>NA</v>
      </c>
      <c r="M708" t="str">
        <f>IF(J708="Sheep",IF(COUNTIF(lists!$H$2:$H$258, K708) &gt; 0,"indigenous",IF(COUNTIF(lists!$G$2:$G$258, K708) &gt; 0,"cross.bred","not found")),"NA")</f>
        <v>NA</v>
      </c>
      <c r="N708" t="str">
        <f>IF(J708="Goat",IF(COUNTIF(lists!$J$2:$J$258, K708) &gt; 0,"indigenous",IF(COUNTIF(lists!$I$2:$I$258, K708) &gt; 0,"cross.bred","not found")),"NA")</f>
        <v>not found</v>
      </c>
      <c r="O708" s="9" t="s">
        <v>109</v>
      </c>
      <c r="P708" s="9" t="s">
        <v>106</v>
      </c>
      <c r="Q708" s="9" t="s">
        <v>3804</v>
      </c>
      <c r="S708" s="9" t="s">
        <v>106</v>
      </c>
      <c r="T708" s="9" t="s">
        <v>106</v>
      </c>
      <c r="U708" s="9">
        <v>161</v>
      </c>
      <c r="V708" s="9">
        <v>933</v>
      </c>
      <c r="W708" s="9" t="s">
        <v>106</v>
      </c>
      <c r="X708" s="9">
        <v>530</v>
      </c>
      <c r="Y708" s="9">
        <v>49.5</v>
      </c>
      <c r="Z708" s="37"/>
      <c r="AA708" s="37"/>
      <c r="AB708" s="37"/>
      <c r="AE708">
        <v>0</v>
      </c>
    </row>
    <row r="709" spans="1:31" hidden="1">
      <c r="A709" s="9" t="s">
        <v>1258</v>
      </c>
      <c r="B709" s="9" t="s">
        <v>1261</v>
      </c>
      <c r="C709" s="9" t="s">
        <v>105</v>
      </c>
      <c r="D709" s="9">
        <v>0.33500000000000002</v>
      </c>
      <c r="E709" s="9">
        <v>5.4</v>
      </c>
      <c r="F709" s="9">
        <v>10.8</v>
      </c>
      <c r="G709" s="9">
        <v>15</v>
      </c>
      <c r="H709" s="9" t="s">
        <v>106</v>
      </c>
      <c r="I709" s="9">
        <v>20</v>
      </c>
      <c r="J709" s="9" t="s">
        <v>116</v>
      </c>
      <c r="K709" s="9" t="s">
        <v>524</v>
      </c>
      <c r="L709" t="str">
        <f>IF(OR(J709="Cattle",J709="Zebu Cattle"),IF(COUNTIF(lists!$M$2:$M$258, K709) &gt; 0,"bos.indicus",IF(COUNTIF(lists!$L$2:$L$258, K709) &gt; 0,"cross.bred","pure.bred.exotic")),"NA")</f>
        <v>NA</v>
      </c>
      <c r="M709" t="str">
        <f>IF(J709="Sheep",IF(COUNTIF(lists!$H$2:$H$258, K709) &gt; 0,"indigenous",IF(COUNTIF(lists!$G$2:$G$258, K709) &gt; 0,"cross.bred","not found")),"NA")</f>
        <v>NA</v>
      </c>
      <c r="N709" t="str">
        <f>IF(J709="Goat",IF(COUNTIF(lists!$J$2:$J$258, K709) &gt; 0,"indigenous",IF(COUNTIF(lists!$I$2:$I$258, K709) &gt; 0,"cross.bred","not found")),"NA")</f>
        <v>not found</v>
      </c>
      <c r="O709" s="9" t="s">
        <v>109</v>
      </c>
      <c r="P709" s="9" t="s">
        <v>106</v>
      </c>
      <c r="Q709" s="9" t="s">
        <v>3804</v>
      </c>
      <c r="S709" s="9" t="s">
        <v>106</v>
      </c>
      <c r="T709" s="9" t="s">
        <v>106</v>
      </c>
      <c r="U709" s="9">
        <v>161</v>
      </c>
      <c r="V709" s="9">
        <v>939</v>
      </c>
      <c r="W709" s="9" t="s">
        <v>106</v>
      </c>
      <c r="X709" s="9">
        <v>695</v>
      </c>
      <c r="Y709" s="9">
        <v>54.3</v>
      </c>
      <c r="Z709" s="37"/>
      <c r="AA709" s="37"/>
      <c r="AB709" s="37"/>
      <c r="AE709">
        <v>0</v>
      </c>
    </row>
    <row r="710" spans="1:31" hidden="1">
      <c r="A710" s="9" t="s">
        <v>1258</v>
      </c>
      <c r="B710" s="9" t="s">
        <v>1262</v>
      </c>
      <c r="C710" s="9" t="s">
        <v>105</v>
      </c>
      <c r="D710" s="9">
        <v>0.311</v>
      </c>
      <c r="E710" s="9">
        <v>5.4</v>
      </c>
      <c r="F710" s="9">
        <v>10.6</v>
      </c>
      <c r="G710" s="9">
        <v>13.6</v>
      </c>
      <c r="H710" s="9" t="s">
        <v>106</v>
      </c>
      <c r="I710" s="9">
        <v>20</v>
      </c>
      <c r="J710" s="9" t="s">
        <v>116</v>
      </c>
      <c r="K710" s="9" t="s">
        <v>524</v>
      </c>
      <c r="L710" t="str">
        <f>IF(OR(J710="Cattle",J710="Zebu Cattle"),IF(COUNTIF(lists!$M$2:$M$258, K710) &gt; 0,"bos.indicus",IF(COUNTIF(lists!$L$2:$L$258, K710) &gt; 0,"cross.bred","pure.bred.exotic")),"NA")</f>
        <v>NA</v>
      </c>
      <c r="M710" t="str">
        <f>IF(J710="Sheep",IF(COUNTIF(lists!$H$2:$H$258, K710) &gt; 0,"indigenous",IF(COUNTIF(lists!$G$2:$G$258, K710) &gt; 0,"cross.bred","not found")),"NA")</f>
        <v>NA</v>
      </c>
      <c r="N710" t="str">
        <f>IF(J710="Goat",IF(COUNTIF(lists!$J$2:$J$258, K710) &gt; 0,"indigenous",IF(COUNTIF(lists!$I$2:$I$258, K710) &gt; 0,"cross.bred","not found")),"NA")</f>
        <v>not found</v>
      </c>
      <c r="O710" s="9" t="s">
        <v>109</v>
      </c>
      <c r="P710" s="9" t="s">
        <v>106</v>
      </c>
      <c r="Q710" s="9" t="s">
        <v>3804</v>
      </c>
      <c r="S710" s="9" t="s">
        <v>106</v>
      </c>
      <c r="T710" s="9" t="s">
        <v>106</v>
      </c>
      <c r="U710" s="9">
        <v>161</v>
      </c>
      <c r="V710" s="9">
        <v>927</v>
      </c>
      <c r="W710" s="9" t="s">
        <v>106</v>
      </c>
      <c r="X710" s="9">
        <v>367</v>
      </c>
      <c r="Y710" s="9">
        <v>48.1</v>
      </c>
      <c r="Z710" s="37"/>
      <c r="AA710" s="37"/>
      <c r="AB710" s="37"/>
      <c r="AE710">
        <v>0</v>
      </c>
    </row>
    <row r="711" spans="1:31" hidden="1">
      <c r="A711" s="9" t="s">
        <v>1284</v>
      </c>
      <c r="B711" s="9" t="s">
        <v>1285</v>
      </c>
      <c r="C711" s="9" t="s">
        <v>105</v>
      </c>
      <c r="D711" s="9">
        <v>0.70577000000000001</v>
      </c>
      <c r="E711" s="9">
        <v>10.220000000000001</v>
      </c>
      <c r="F711" s="9">
        <v>18.8</v>
      </c>
      <c r="G711" s="9">
        <v>94.64</v>
      </c>
      <c r="H711" s="9" t="s">
        <v>106</v>
      </c>
      <c r="I711" s="9">
        <v>40</v>
      </c>
      <c r="J711" s="9" t="s">
        <v>116</v>
      </c>
      <c r="K711" s="9" t="s">
        <v>1127</v>
      </c>
      <c r="L711" t="str">
        <f>IF(OR(J711="Cattle",J711="Zebu Cattle"),IF(COUNTIF(lists!$M$2:$M$258, K711) &gt; 0,"bos.indicus",IF(COUNTIF(lists!$L$2:$L$258, K711) &gt; 0,"cross.bred","pure.bred.exotic")),"NA")</f>
        <v>NA</v>
      </c>
      <c r="M711" t="str">
        <f>IF(J711="Sheep",IF(COUNTIF(lists!$H$2:$H$258, K711) &gt; 0,"indigenous",IF(COUNTIF(lists!$G$2:$G$258, K711) &gt; 0,"cross.bred","not found")),"NA")</f>
        <v>NA</v>
      </c>
      <c r="N711" t="str">
        <f>IF(J711="Goat",IF(COUNTIF(lists!$J$2:$J$258, K711) &gt; 0,"indigenous",IF(COUNTIF(lists!$I$2:$I$258, K711) &gt; 0,"cross.bred","not found")),"NA")</f>
        <v>not found</v>
      </c>
      <c r="O711" s="9" t="s">
        <v>109</v>
      </c>
      <c r="P711" s="9" t="s">
        <v>106</v>
      </c>
      <c r="Q711" s="9" t="s">
        <v>3806</v>
      </c>
      <c r="S711" s="9" t="s">
        <v>106</v>
      </c>
      <c r="T711" s="9" t="s">
        <v>106</v>
      </c>
      <c r="U711" s="9" t="s">
        <v>106</v>
      </c>
      <c r="V711" s="9" t="s">
        <v>106</v>
      </c>
      <c r="W711" s="9" t="s">
        <v>106</v>
      </c>
      <c r="X711" s="9" t="s">
        <v>106</v>
      </c>
      <c r="Y711" s="9" t="s">
        <v>106</v>
      </c>
      <c r="Z711" s="37"/>
      <c r="AA711" s="37"/>
      <c r="AB711" s="37"/>
      <c r="AE711">
        <v>0</v>
      </c>
    </row>
    <row r="712" spans="1:31" hidden="1">
      <c r="A712" s="9" t="s">
        <v>1284</v>
      </c>
      <c r="B712" s="9" t="s">
        <v>1286</v>
      </c>
      <c r="C712" s="9" t="s">
        <v>105</v>
      </c>
      <c r="D712" s="9">
        <v>0.67059999999999997</v>
      </c>
      <c r="E712" s="9">
        <v>9.66</v>
      </c>
      <c r="F712" s="9">
        <v>17.3</v>
      </c>
      <c r="G712" s="9">
        <v>101.785</v>
      </c>
      <c r="H712" s="9" t="s">
        <v>106</v>
      </c>
      <c r="I712" s="9">
        <v>40</v>
      </c>
      <c r="J712" s="9" t="s">
        <v>116</v>
      </c>
      <c r="K712" s="9" t="s">
        <v>1127</v>
      </c>
      <c r="L712" t="str">
        <f>IF(OR(J712="Cattle",J712="Zebu Cattle"),IF(COUNTIF(lists!$M$2:$M$258, K712) &gt; 0,"bos.indicus",IF(COUNTIF(lists!$L$2:$L$258, K712) &gt; 0,"cross.bred","pure.bred.exotic")),"NA")</f>
        <v>NA</v>
      </c>
      <c r="M712" t="str">
        <f>IF(J712="Sheep",IF(COUNTIF(lists!$H$2:$H$258, K712) &gt; 0,"indigenous",IF(COUNTIF(lists!$G$2:$G$258, K712) &gt; 0,"cross.bred","not found")),"NA")</f>
        <v>NA</v>
      </c>
      <c r="N712" t="str">
        <f>IF(J712="Goat",IF(COUNTIF(lists!$J$2:$J$258, K712) &gt; 0,"indigenous",IF(COUNTIF(lists!$I$2:$I$258, K712) &gt; 0,"cross.bred","not found")),"NA")</f>
        <v>not found</v>
      </c>
      <c r="O712" s="9" t="s">
        <v>109</v>
      </c>
      <c r="P712" s="9" t="s">
        <v>106</v>
      </c>
      <c r="Q712" s="9" t="s">
        <v>3806</v>
      </c>
      <c r="S712" s="9" t="s">
        <v>106</v>
      </c>
      <c r="T712" s="9" t="s">
        <v>106</v>
      </c>
      <c r="U712" s="9" t="s">
        <v>106</v>
      </c>
      <c r="V712" s="9" t="s">
        <v>106</v>
      </c>
      <c r="W712" s="9" t="s">
        <v>106</v>
      </c>
      <c r="X712" s="9" t="s">
        <v>106</v>
      </c>
      <c r="Y712" s="9" t="s">
        <v>106</v>
      </c>
      <c r="Z712" s="37"/>
      <c r="AA712" s="37"/>
      <c r="AB712" s="37"/>
      <c r="AE712">
        <v>0</v>
      </c>
    </row>
    <row r="713" spans="1:31" hidden="1">
      <c r="A713" s="9" t="s">
        <v>1284</v>
      </c>
      <c r="B713" s="9" t="s">
        <v>1287</v>
      </c>
      <c r="C713" s="9" t="s">
        <v>105</v>
      </c>
      <c r="D713" s="9">
        <v>0.66810000000000003</v>
      </c>
      <c r="E713" s="9">
        <v>10.7</v>
      </c>
      <c r="F713" s="9">
        <v>19</v>
      </c>
      <c r="G713" s="9">
        <v>94.045000000000002</v>
      </c>
      <c r="H713" s="9" t="s">
        <v>106</v>
      </c>
      <c r="I713" s="9">
        <v>40</v>
      </c>
      <c r="J713" s="9" t="s">
        <v>116</v>
      </c>
      <c r="K713" s="9" t="s">
        <v>1127</v>
      </c>
      <c r="L713" t="str">
        <f>IF(OR(J713="Cattle",J713="Zebu Cattle"),IF(COUNTIF(lists!$M$2:$M$258, K713) &gt; 0,"bos.indicus",IF(COUNTIF(lists!$L$2:$L$258, K713) &gt; 0,"cross.bred","pure.bred.exotic")),"NA")</f>
        <v>NA</v>
      </c>
      <c r="M713" t="str">
        <f>IF(J713="Sheep",IF(COUNTIF(lists!$H$2:$H$258, K713) &gt; 0,"indigenous",IF(COUNTIF(lists!$G$2:$G$258, K713) &gt; 0,"cross.bred","not found")),"NA")</f>
        <v>NA</v>
      </c>
      <c r="N713" t="str">
        <f>IF(J713="Goat",IF(COUNTIF(lists!$J$2:$J$258, K713) &gt; 0,"indigenous",IF(COUNTIF(lists!$I$2:$I$258, K713) &gt; 0,"cross.bred","not found")),"NA")</f>
        <v>not found</v>
      </c>
      <c r="O713" s="9" t="s">
        <v>109</v>
      </c>
      <c r="P713" s="9" t="s">
        <v>106</v>
      </c>
      <c r="Q713" s="9" t="s">
        <v>3806</v>
      </c>
      <c r="S713" s="9" t="s">
        <v>106</v>
      </c>
      <c r="T713" s="9" t="s">
        <v>106</v>
      </c>
      <c r="U713" s="9" t="s">
        <v>106</v>
      </c>
      <c r="V713" s="9" t="s">
        <v>106</v>
      </c>
      <c r="W713" s="9" t="s">
        <v>106</v>
      </c>
      <c r="X713" s="9" t="s">
        <v>106</v>
      </c>
      <c r="Y713" s="9" t="s">
        <v>106</v>
      </c>
      <c r="Z713" s="37"/>
      <c r="AA713" s="37"/>
      <c r="AB713" s="37"/>
      <c r="AE713">
        <v>0</v>
      </c>
    </row>
    <row r="714" spans="1:31" hidden="1">
      <c r="A714" s="9" t="s">
        <v>1284</v>
      </c>
      <c r="B714" s="9" t="s">
        <v>1288</v>
      </c>
      <c r="C714" s="9" t="s">
        <v>105</v>
      </c>
      <c r="D714" s="9">
        <v>0.69333999999999996</v>
      </c>
      <c r="E714" s="9">
        <v>9.1199999999999992</v>
      </c>
      <c r="F714" s="9">
        <v>17.899999999999999</v>
      </c>
      <c r="G714" s="9">
        <v>85.715000000000003</v>
      </c>
      <c r="H714" s="9" t="s">
        <v>106</v>
      </c>
      <c r="I714" s="9">
        <v>40</v>
      </c>
      <c r="J714" s="9" t="s">
        <v>116</v>
      </c>
      <c r="K714" s="9" t="s">
        <v>1127</v>
      </c>
      <c r="L714" t="str">
        <f>IF(OR(J714="Cattle",J714="Zebu Cattle"),IF(COUNTIF(lists!$M$2:$M$258, K714) &gt; 0,"bos.indicus",IF(COUNTIF(lists!$L$2:$L$258, K714) &gt; 0,"cross.bred","pure.bred.exotic")),"NA")</f>
        <v>NA</v>
      </c>
      <c r="M714" t="str">
        <f>IF(J714="Sheep",IF(COUNTIF(lists!$H$2:$H$258, K714) &gt; 0,"indigenous",IF(COUNTIF(lists!$G$2:$G$258, K714) &gt; 0,"cross.bred","not found")),"NA")</f>
        <v>NA</v>
      </c>
      <c r="N714" t="str">
        <f>IF(J714="Goat",IF(COUNTIF(lists!$J$2:$J$258, K714) &gt; 0,"indigenous",IF(COUNTIF(lists!$I$2:$I$258, K714) &gt; 0,"cross.bred","not found")),"NA")</f>
        <v>not found</v>
      </c>
      <c r="O714" s="9" t="s">
        <v>109</v>
      </c>
      <c r="P714" s="9" t="s">
        <v>106</v>
      </c>
      <c r="Q714" s="9" t="s">
        <v>3806</v>
      </c>
      <c r="S714" s="9" t="s">
        <v>106</v>
      </c>
      <c r="T714" s="9" t="s">
        <v>106</v>
      </c>
      <c r="U714" s="9" t="s">
        <v>106</v>
      </c>
      <c r="V714" s="9" t="s">
        <v>106</v>
      </c>
      <c r="W714" s="9" t="s">
        <v>106</v>
      </c>
      <c r="X714" s="9" t="s">
        <v>106</v>
      </c>
      <c r="Y714" s="9" t="s">
        <v>106</v>
      </c>
      <c r="Z714" s="37"/>
      <c r="AA714" s="37"/>
      <c r="AB714" s="37"/>
      <c r="AE714">
        <v>0</v>
      </c>
    </row>
    <row r="715" spans="1:31" hidden="1">
      <c r="A715" s="9" t="s">
        <v>1289</v>
      </c>
      <c r="B715" s="9" t="s">
        <v>1290</v>
      </c>
      <c r="C715" s="9" t="s">
        <v>105</v>
      </c>
      <c r="D715" s="9">
        <v>0.76990000000000003</v>
      </c>
      <c r="E715" s="9">
        <v>12.4</v>
      </c>
      <c r="F715" s="9">
        <v>17.8</v>
      </c>
      <c r="G715" s="9">
        <v>77</v>
      </c>
      <c r="H715" s="9" t="s">
        <v>106</v>
      </c>
      <c r="I715" s="9">
        <v>20</v>
      </c>
      <c r="J715" s="9" t="s">
        <v>116</v>
      </c>
      <c r="K715" s="9" t="s">
        <v>1127</v>
      </c>
      <c r="L715" t="str">
        <f>IF(OR(J715="Cattle",J715="Zebu Cattle"),IF(COUNTIF(lists!$M$2:$M$258, K715) &gt; 0,"bos.indicus",IF(COUNTIF(lists!$L$2:$L$258, K715) &gt; 0,"cross.bred","pure.bred.exotic")),"NA")</f>
        <v>NA</v>
      </c>
      <c r="M715" t="str">
        <f>IF(J715="Sheep",IF(COUNTIF(lists!$H$2:$H$258, K715) &gt; 0,"indigenous",IF(COUNTIF(lists!$G$2:$G$258, K715) &gt; 0,"cross.bred","not found")),"NA")</f>
        <v>NA</v>
      </c>
      <c r="N715" t="str">
        <f>IF(J715="Goat",IF(COUNTIF(lists!$J$2:$J$258, K715) &gt; 0,"indigenous",IF(COUNTIF(lists!$I$2:$I$258, K715) &gt; 0,"cross.bred","not found")),"NA")</f>
        <v>not found</v>
      </c>
      <c r="O715" s="9" t="s">
        <v>109</v>
      </c>
      <c r="P715" s="9" t="s">
        <v>106</v>
      </c>
      <c r="Q715" s="9" t="s">
        <v>3804</v>
      </c>
      <c r="S715" s="9">
        <v>186</v>
      </c>
      <c r="T715" s="9">
        <v>66</v>
      </c>
      <c r="U715" s="9">
        <v>109</v>
      </c>
      <c r="V715" s="9">
        <v>475</v>
      </c>
      <c r="W715" s="9" t="s">
        <v>106</v>
      </c>
      <c r="X715" s="9">
        <v>278</v>
      </c>
      <c r="Y715" s="9" t="s">
        <v>106</v>
      </c>
      <c r="Z715" s="37"/>
      <c r="AA715" s="37"/>
      <c r="AB715" s="37"/>
      <c r="AE715">
        <v>0</v>
      </c>
    </row>
    <row r="716" spans="1:31" hidden="1">
      <c r="A716" s="9" t="s">
        <v>1289</v>
      </c>
      <c r="B716" s="9" t="s">
        <v>1291</v>
      </c>
      <c r="C716" s="9" t="s">
        <v>105</v>
      </c>
      <c r="D716" s="9">
        <v>0.70220000000000005</v>
      </c>
      <c r="E716" s="9">
        <v>8.6999999999999993</v>
      </c>
      <c r="F716" s="9">
        <v>17.8</v>
      </c>
      <c r="G716" s="9">
        <v>78</v>
      </c>
      <c r="H716" s="9" t="s">
        <v>106</v>
      </c>
      <c r="I716" s="9">
        <v>20</v>
      </c>
      <c r="J716" s="9" t="s">
        <v>116</v>
      </c>
      <c r="K716" s="9" t="s">
        <v>1127</v>
      </c>
      <c r="L716" t="str">
        <f>IF(OR(J716="Cattle",J716="Zebu Cattle"),IF(COUNTIF(lists!$M$2:$M$258, K716) &gt; 0,"bos.indicus",IF(COUNTIF(lists!$L$2:$L$258, K716) &gt; 0,"cross.bred","pure.bred.exotic")),"NA")</f>
        <v>NA</v>
      </c>
      <c r="M716" t="str">
        <f>IF(J716="Sheep",IF(COUNTIF(lists!$H$2:$H$258, K716) &gt; 0,"indigenous",IF(COUNTIF(lists!$G$2:$G$258, K716) &gt; 0,"cross.bred","not found")),"NA")</f>
        <v>NA</v>
      </c>
      <c r="N716" t="str">
        <f>IF(J716="Goat",IF(COUNTIF(lists!$J$2:$J$258, K716) &gt; 0,"indigenous",IF(COUNTIF(lists!$I$2:$I$258, K716) &gt; 0,"cross.bred","not found")),"NA")</f>
        <v>not found</v>
      </c>
      <c r="O716" s="9" t="s">
        <v>109</v>
      </c>
      <c r="P716" s="9" t="s">
        <v>106</v>
      </c>
      <c r="Q716" s="9" t="s">
        <v>3804</v>
      </c>
      <c r="S716" s="9" t="s">
        <v>106</v>
      </c>
      <c r="T716" s="9" t="s">
        <v>106</v>
      </c>
      <c r="U716" s="9" t="s">
        <v>106</v>
      </c>
      <c r="V716" s="9" t="s">
        <v>106</v>
      </c>
      <c r="W716" s="9" t="s">
        <v>106</v>
      </c>
      <c r="X716" s="9" t="s">
        <v>106</v>
      </c>
      <c r="Y716" s="9" t="s">
        <v>106</v>
      </c>
      <c r="Z716" s="37"/>
      <c r="AA716" s="37"/>
      <c r="AB716" s="37"/>
      <c r="AE716">
        <v>0</v>
      </c>
    </row>
    <row r="717" spans="1:31" hidden="1">
      <c r="A717" s="9" t="s">
        <v>1289</v>
      </c>
      <c r="B717" s="9" t="s">
        <v>1292</v>
      </c>
      <c r="C717" s="9" t="s">
        <v>105</v>
      </c>
      <c r="D717" s="9">
        <v>0.75249999999999995</v>
      </c>
      <c r="E717" s="9">
        <v>15.8</v>
      </c>
      <c r="F717" s="9">
        <v>17.8</v>
      </c>
      <c r="G717" s="9">
        <v>67</v>
      </c>
      <c r="H717" s="9" t="s">
        <v>106</v>
      </c>
      <c r="I717" s="9">
        <v>20</v>
      </c>
      <c r="J717" s="9" t="s">
        <v>116</v>
      </c>
      <c r="K717" s="9" t="s">
        <v>1127</v>
      </c>
      <c r="L717" t="str">
        <f>IF(OR(J717="Cattle",J717="Zebu Cattle"),IF(COUNTIF(lists!$M$2:$M$258, K717) &gt; 0,"bos.indicus",IF(COUNTIF(lists!$L$2:$L$258, K717) &gt; 0,"cross.bred","pure.bred.exotic")),"NA")</f>
        <v>NA</v>
      </c>
      <c r="M717" t="str">
        <f>IF(J717="Sheep",IF(COUNTIF(lists!$H$2:$H$258, K717) &gt; 0,"indigenous",IF(COUNTIF(lists!$G$2:$G$258, K717) &gt; 0,"cross.bred","not found")),"NA")</f>
        <v>NA</v>
      </c>
      <c r="N717" t="str">
        <f>IF(J717="Goat",IF(COUNTIF(lists!$J$2:$J$258, K717) &gt; 0,"indigenous",IF(COUNTIF(lists!$I$2:$I$258, K717) &gt; 0,"cross.bred","not found")),"NA")</f>
        <v>not found</v>
      </c>
      <c r="O717" s="9" t="s">
        <v>109</v>
      </c>
      <c r="P717" s="9" t="s">
        <v>106</v>
      </c>
      <c r="Q717" s="9" t="s">
        <v>3804</v>
      </c>
      <c r="S717" s="9">
        <v>322</v>
      </c>
      <c r="T717" s="9">
        <v>59</v>
      </c>
      <c r="U717" s="9">
        <v>86</v>
      </c>
      <c r="V717" s="9">
        <v>517</v>
      </c>
      <c r="W717" s="9" t="s">
        <v>106</v>
      </c>
      <c r="X717" s="9">
        <v>592</v>
      </c>
      <c r="Y717" s="9" t="s">
        <v>106</v>
      </c>
      <c r="Z717" s="37"/>
      <c r="AA717" s="37"/>
      <c r="AB717" s="37"/>
      <c r="AE717">
        <v>0</v>
      </c>
    </row>
    <row r="718" spans="1:31" hidden="1">
      <c r="A718" s="9" t="s">
        <v>1289</v>
      </c>
      <c r="B718" s="9" t="s">
        <v>1293</v>
      </c>
      <c r="C718" s="9" t="s">
        <v>105</v>
      </c>
      <c r="D718" s="9">
        <v>0.77659999999999996</v>
      </c>
      <c r="E718" s="9">
        <v>10</v>
      </c>
      <c r="F718" s="9">
        <v>17.8</v>
      </c>
      <c r="G718" s="9">
        <v>64</v>
      </c>
      <c r="H718" s="9" t="s">
        <v>106</v>
      </c>
      <c r="I718" s="9">
        <v>20</v>
      </c>
      <c r="J718" s="9" t="s">
        <v>116</v>
      </c>
      <c r="K718" s="9" t="s">
        <v>1127</v>
      </c>
      <c r="L718" t="str">
        <f>IF(OR(J718="Cattle",J718="Zebu Cattle"),IF(COUNTIF(lists!$M$2:$M$258, K718) &gt; 0,"bos.indicus",IF(COUNTIF(lists!$L$2:$L$258, K718) &gt; 0,"cross.bred","pure.bred.exotic")),"NA")</f>
        <v>NA</v>
      </c>
      <c r="M718" t="str">
        <f>IF(J718="Sheep",IF(COUNTIF(lists!$H$2:$H$258, K718) &gt; 0,"indigenous",IF(COUNTIF(lists!$G$2:$G$258, K718) &gt; 0,"cross.bred","not found")),"NA")</f>
        <v>NA</v>
      </c>
      <c r="N718" t="str">
        <f>IF(J718="Goat",IF(COUNTIF(lists!$J$2:$J$258, K718) &gt; 0,"indigenous",IF(COUNTIF(lists!$I$2:$I$258, K718) &gt; 0,"cross.bred","not found")),"NA")</f>
        <v>not found</v>
      </c>
      <c r="O718" s="9" t="s">
        <v>109</v>
      </c>
      <c r="P718" s="9" t="s">
        <v>106</v>
      </c>
      <c r="Q718" s="9" t="s">
        <v>3804</v>
      </c>
      <c r="S718" s="9" t="s">
        <v>106</v>
      </c>
      <c r="T718" s="9" t="s">
        <v>106</v>
      </c>
      <c r="U718" s="9" t="s">
        <v>106</v>
      </c>
      <c r="V718" s="9" t="s">
        <v>106</v>
      </c>
      <c r="W718" s="9" t="s">
        <v>106</v>
      </c>
      <c r="X718" s="9" t="s">
        <v>106</v>
      </c>
      <c r="Y718" s="9" t="s">
        <v>106</v>
      </c>
      <c r="Z718" s="37"/>
      <c r="AA718" s="37"/>
      <c r="AB718" s="37"/>
      <c r="AE718">
        <v>0</v>
      </c>
    </row>
    <row r="719" spans="1:31" hidden="1">
      <c r="A719" s="9" t="s">
        <v>1294</v>
      </c>
      <c r="B719" s="9" t="s">
        <v>1295</v>
      </c>
      <c r="C719" s="9" t="s">
        <v>105</v>
      </c>
      <c r="D719" s="9">
        <v>0.65638469316978698</v>
      </c>
      <c r="E719" s="9">
        <v>1.77</v>
      </c>
      <c r="F719" s="9">
        <v>16.8</v>
      </c>
      <c r="G719" s="9">
        <v>62.199999999999903</v>
      </c>
      <c r="H719" s="9" t="s">
        <v>106</v>
      </c>
      <c r="I719" s="9">
        <v>20</v>
      </c>
      <c r="J719" s="9" t="s">
        <v>116</v>
      </c>
      <c r="K719" s="9" t="s">
        <v>1296</v>
      </c>
      <c r="L719" t="str">
        <f>IF(OR(J719="Cattle",J719="Zebu Cattle"),IF(COUNTIF(lists!$M$2:$M$258, K719) &gt; 0,"bos.indicus",IF(COUNTIF(lists!$L$2:$L$258, K719) &gt; 0,"cross.bred","pure.bred.exotic")),"NA")</f>
        <v>NA</v>
      </c>
      <c r="M719" t="str">
        <f>IF(J719="Sheep",IF(COUNTIF(lists!$H$2:$H$258, K719) &gt; 0,"indigenous",IF(COUNTIF(lists!$G$2:$G$258, K719) &gt; 0,"cross.bred","not found")),"NA")</f>
        <v>NA</v>
      </c>
      <c r="N719" t="str">
        <f>IF(J719="Goat",IF(COUNTIF(lists!$J$2:$J$258, K719) &gt; 0,"indigenous",IF(COUNTIF(lists!$I$2:$I$258, K719) &gt; 0,"cross.bred","not found")),"NA")</f>
        <v>not found</v>
      </c>
      <c r="O719" s="9" t="s">
        <v>109</v>
      </c>
      <c r="P719" s="9" t="s">
        <v>106</v>
      </c>
      <c r="Q719" s="9" t="s">
        <v>3804</v>
      </c>
      <c r="S719" s="9" t="s">
        <v>106</v>
      </c>
      <c r="T719" s="9" t="s">
        <v>106</v>
      </c>
      <c r="U719" s="9" t="s">
        <v>106</v>
      </c>
      <c r="V719" s="9" t="s">
        <v>106</v>
      </c>
      <c r="W719" s="9" t="s">
        <v>106</v>
      </c>
      <c r="X719" s="9" t="s">
        <v>106</v>
      </c>
      <c r="Y719" s="9">
        <v>0.66</v>
      </c>
      <c r="Z719" s="37"/>
      <c r="AA719" s="37"/>
      <c r="AB719" s="37"/>
      <c r="AE719">
        <v>0</v>
      </c>
    </row>
    <row r="720" spans="1:31" hidden="1">
      <c r="A720" s="9" t="s">
        <v>1294</v>
      </c>
      <c r="B720" s="9" t="s">
        <v>119</v>
      </c>
      <c r="C720" s="9" t="s">
        <v>105</v>
      </c>
      <c r="D720" s="9">
        <v>0.57930888866076702</v>
      </c>
      <c r="E720" s="9">
        <v>1.78</v>
      </c>
      <c r="F720" s="9">
        <v>15.8</v>
      </c>
      <c r="G720" s="9">
        <v>21.1</v>
      </c>
      <c r="H720" s="9" t="s">
        <v>106</v>
      </c>
      <c r="I720" s="9">
        <v>20</v>
      </c>
      <c r="J720" s="9" t="s">
        <v>116</v>
      </c>
      <c r="K720" s="9" t="s">
        <v>1296</v>
      </c>
      <c r="L720" t="str">
        <f>IF(OR(J720="Cattle",J720="Zebu Cattle"),IF(COUNTIF(lists!$M$2:$M$258, K720) &gt; 0,"bos.indicus",IF(COUNTIF(lists!$L$2:$L$258, K720) &gt; 0,"cross.bred","pure.bred.exotic")),"NA")</f>
        <v>NA</v>
      </c>
      <c r="M720" t="str">
        <f>IF(J720="Sheep",IF(COUNTIF(lists!$H$2:$H$258, K720) &gt; 0,"indigenous",IF(COUNTIF(lists!$G$2:$G$258, K720) &gt; 0,"cross.bred","not found")),"NA")</f>
        <v>NA</v>
      </c>
      <c r="N720" t="str">
        <f>IF(J720="Goat",IF(COUNTIF(lists!$J$2:$J$258, K720) &gt; 0,"indigenous",IF(COUNTIF(lists!$I$2:$I$258, K720) &gt; 0,"cross.bred","not found")),"NA")</f>
        <v>not found</v>
      </c>
      <c r="O720" s="9" t="s">
        <v>109</v>
      </c>
      <c r="P720" s="9" t="s">
        <v>106</v>
      </c>
      <c r="Q720" s="9" t="s">
        <v>3804</v>
      </c>
      <c r="S720" s="9" t="s">
        <v>106</v>
      </c>
      <c r="T720" s="9" t="s">
        <v>106</v>
      </c>
      <c r="U720" s="9" t="s">
        <v>106</v>
      </c>
      <c r="V720" s="9" t="s">
        <v>106</v>
      </c>
      <c r="W720" s="9" t="s">
        <v>106</v>
      </c>
      <c r="X720" s="9" t="s">
        <v>106</v>
      </c>
      <c r="Y720" s="9">
        <v>0.63</v>
      </c>
      <c r="Z720" s="37"/>
      <c r="AA720" s="37"/>
      <c r="AB720" s="37"/>
      <c r="AE720">
        <v>0</v>
      </c>
    </row>
    <row r="721" spans="1:31" hidden="1">
      <c r="A721" s="9" t="s">
        <v>1294</v>
      </c>
      <c r="B721" s="9" t="s">
        <v>1297</v>
      </c>
      <c r="C721" s="9" t="s">
        <v>105</v>
      </c>
      <c r="D721" s="9">
        <v>0.67381083546633003</v>
      </c>
      <c r="E721" s="9">
        <v>1.77</v>
      </c>
      <c r="F721" s="9">
        <v>16.8</v>
      </c>
      <c r="G721" s="9">
        <v>60</v>
      </c>
      <c r="H721" s="9" t="s">
        <v>106</v>
      </c>
      <c r="I721" s="9">
        <v>20</v>
      </c>
      <c r="J721" s="9" t="s">
        <v>116</v>
      </c>
      <c r="K721" s="9" t="s">
        <v>1296</v>
      </c>
      <c r="L721" t="str">
        <f>IF(OR(J721="Cattle",J721="Zebu Cattle"),IF(COUNTIF(lists!$M$2:$M$258, K721) &gt; 0,"bos.indicus",IF(COUNTIF(lists!$L$2:$L$258, K721) &gt; 0,"cross.bred","pure.bred.exotic")),"NA")</f>
        <v>NA</v>
      </c>
      <c r="M721" t="str">
        <f>IF(J721="Sheep",IF(COUNTIF(lists!$H$2:$H$258, K721) &gt; 0,"indigenous",IF(COUNTIF(lists!$G$2:$G$258, K721) &gt; 0,"cross.bred","not found")),"NA")</f>
        <v>NA</v>
      </c>
      <c r="N721" t="str">
        <f>IF(J721="Goat",IF(COUNTIF(lists!$J$2:$J$258, K721) &gt; 0,"indigenous",IF(COUNTIF(lists!$I$2:$I$258, K721) &gt; 0,"cross.bred","not found")),"NA")</f>
        <v>not found</v>
      </c>
      <c r="O721" s="9" t="s">
        <v>109</v>
      </c>
      <c r="P721" s="9" t="s">
        <v>106</v>
      </c>
      <c r="Q721" s="9" t="s">
        <v>3804</v>
      </c>
      <c r="S721" s="9" t="s">
        <v>106</v>
      </c>
      <c r="T721" s="9" t="s">
        <v>106</v>
      </c>
      <c r="U721" s="9" t="s">
        <v>106</v>
      </c>
      <c r="V721" s="9" t="s">
        <v>106</v>
      </c>
      <c r="W721" s="9" t="s">
        <v>106</v>
      </c>
      <c r="X721" s="9" t="s">
        <v>106</v>
      </c>
      <c r="Y721" s="9">
        <v>0.61</v>
      </c>
      <c r="Z721" s="37"/>
      <c r="AA721" s="37"/>
      <c r="AB721" s="37"/>
      <c r="AE721">
        <v>0</v>
      </c>
    </row>
    <row r="722" spans="1:31" hidden="1">
      <c r="A722" s="9" t="s">
        <v>1294</v>
      </c>
      <c r="B722" s="9" t="s">
        <v>1298</v>
      </c>
      <c r="C722" s="9" t="s">
        <v>105</v>
      </c>
      <c r="D722" s="9">
        <v>0.58914660811182695</v>
      </c>
      <c r="E722" s="9">
        <v>1.77</v>
      </c>
      <c r="F722" s="9">
        <v>16.100000000000001</v>
      </c>
      <c r="G722" s="9">
        <v>27.799999999999901</v>
      </c>
      <c r="H722" s="9" t="s">
        <v>106</v>
      </c>
      <c r="I722" s="9">
        <v>20</v>
      </c>
      <c r="J722" s="9" t="s">
        <v>116</v>
      </c>
      <c r="K722" s="9" t="s">
        <v>1296</v>
      </c>
      <c r="L722" t="str">
        <f>IF(OR(J722="Cattle",J722="Zebu Cattle"),IF(COUNTIF(lists!$M$2:$M$258, K722) &gt; 0,"bos.indicus",IF(COUNTIF(lists!$L$2:$L$258, K722) &gt; 0,"cross.bred","pure.bred.exotic")),"NA")</f>
        <v>NA</v>
      </c>
      <c r="M722" t="str">
        <f>IF(J722="Sheep",IF(COUNTIF(lists!$H$2:$H$258, K722) &gt; 0,"indigenous",IF(COUNTIF(lists!$G$2:$G$258, K722) &gt; 0,"cross.bred","not found")),"NA")</f>
        <v>NA</v>
      </c>
      <c r="N722" t="str">
        <f>IF(J722="Goat",IF(COUNTIF(lists!$J$2:$J$258, K722) &gt; 0,"indigenous",IF(COUNTIF(lists!$I$2:$I$258, K722) &gt; 0,"cross.bred","not found")),"NA")</f>
        <v>not found</v>
      </c>
      <c r="O722" s="9" t="s">
        <v>109</v>
      </c>
      <c r="P722" s="9" t="s">
        <v>106</v>
      </c>
      <c r="Q722" s="9" t="s">
        <v>3804</v>
      </c>
      <c r="S722" s="9" t="s">
        <v>106</v>
      </c>
      <c r="T722" s="9" t="s">
        <v>106</v>
      </c>
      <c r="U722" s="9" t="s">
        <v>106</v>
      </c>
      <c r="V722" s="9" t="s">
        <v>106</v>
      </c>
      <c r="W722" s="9" t="s">
        <v>106</v>
      </c>
      <c r="X722" s="9" t="s">
        <v>106</v>
      </c>
      <c r="Y722" s="9">
        <v>0.59</v>
      </c>
      <c r="Z722" s="37"/>
      <c r="AA722" s="37"/>
      <c r="AB722" s="37"/>
      <c r="AE722">
        <v>0</v>
      </c>
    </row>
    <row r="723" spans="1:31" hidden="1">
      <c r="A723" s="9" t="s">
        <v>1357</v>
      </c>
      <c r="B723" s="9" t="s">
        <v>1352</v>
      </c>
      <c r="C723" s="9" t="s">
        <v>105</v>
      </c>
      <c r="D723" s="9">
        <v>0.489192854280533</v>
      </c>
      <c r="E723" s="9">
        <v>2.67</v>
      </c>
      <c r="F723" s="9">
        <v>18.7</v>
      </c>
      <c r="G723" s="9">
        <v>4.9000000000000004</v>
      </c>
      <c r="H723" s="9" t="s">
        <v>106</v>
      </c>
      <c r="I723" s="9">
        <v>25</v>
      </c>
      <c r="J723" s="9" t="s">
        <v>116</v>
      </c>
      <c r="K723" s="9" t="s">
        <v>524</v>
      </c>
      <c r="L723" t="str">
        <f>IF(OR(J723="Cattle",J723="Zebu Cattle"),IF(COUNTIF(lists!$M$2:$M$258, K723) &gt; 0,"bos.indicus",IF(COUNTIF(lists!$L$2:$L$258, K723) &gt; 0,"cross.bred","pure.bred.exotic")),"NA")</f>
        <v>NA</v>
      </c>
      <c r="M723" t="str">
        <f>IF(J723="Sheep",IF(COUNTIF(lists!$H$2:$H$258, K723) &gt; 0,"indigenous",IF(COUNTIF(lists!$G$2:$G$258, K723) &gt; 0,"cross.bred","not found")),"NA")</f>
        <v>NA</v>
      </c>
      <c r="N723" t="str">
        <f>IF(J723="Goat",IF(COUNTIF(lists!$J$2:$J$258, K723) &gt; 0,"indigenous",IF(COUNTIF(lists!$I$2:$I$258, K723) &gt; 0,"cross.bred","not found")),"NA")</f>
        <v>not found</v>
      </c>
      <c r="O723" s="9" t="s">
        <v>109</v>
      </c>
      <c r="P723" s="9" t="s">
        <v>106</v>
      </c>
      <c r="Q723" s="9" t="s">
        <v>3804</v>
      </c>
      <c r="S723" s="9" t="s">
        <v>106</v>
      </c>
      <c r="T723" s="9" t="s">
        <v>106</v>
      </c>
      <c r="U723" s="9" t="s">
        <v>106</v>
      </c>
      <c r="V723" s="9" t="s">
        <v>106</v>
      </c>
      <c r="W723" s="9" t="s">
        <v>106</v>
      </c>
      <c r="X723" s="9" t="s">
        <v>106</v>
      </c>
      <c r="Y723" s="9" t="s">
        <v>106</v>
      </c>
      <c r="Z723" s="37"/>
      <c r="AA723" s="37"/>
      <c r="AB723" s="37"/>
      <c r="AE723">
        <v>0</v>
      </c>
    </row>
    <row r="724" spans="1:31" hidden="1">
      <c r="A724" s="9" t="s">
        <v>1357</v>
      </c>
      <c r="B724" s="9" t="s">
        <v>1353</v>
      </c>
      <c r="C724" s="9" t="s">
        <v>105</v>
      </c>
      <c r="D724" s="9">
        <v>0.53215750288659103</v>
      </c>
      <c r="E724" s="9">
        <v>2.67</v>
      </c>
      <c r="F724" s="9">
        <v>18.399999999999999</v>
      </c>
      <c r="G724" s="9">
        <v>11.7</v>
      </c>
      <c r="H724" s="9" t="s">
        <v>106</v>
      </c>
      <c r="I724" s="9">
        <v>25</v>
      </c>
      <c r="J724" s="9" t="s">
        <v>116</v>
      </c>
      <c r="K724" s="9" t="s">
        <v>524</v>
      </c>
      <c r="L724" t="str">
        <f>IF(OR(J724="Cattle",J724="Zebu Cattle"),IF(COUNTIF(lists!$M$2:$M$258, K724) &gt; 0,"bos.indicus",IF(COUNTIF(lists!$L$2:$L$258, K724) &gt; 0,"cross.bred","pure.bred.exotic")),"NA")</f>
        <v>NA</v>
      </c>
      <c r="M724" t="str">
        <f>IF(J724="Sheep",IF(COUNTIF(lists!$H$2:$H$258, K724) &gt; 0,"indigenous",IF(COUNTIF(lists!$G$2:$G$258, K724) &gt; 0,"cross.bred","not found")),"NA")</f>
        <v>NA</v>
      </c>
      <c r="N724" t="str">
        <f>IF(J724="Goat",IF(COUNTIF(lists!$J$2:$J$258, K724) &gt; 0,"indigenous",IF(COUNTIF(lists!$I$2:$I$258, K724) &gt; 0,"cross.bred","not found")),"NA")</f>
        <v>not found</v>
      </c>
      <c r="O724" s="9" t="s">
        <v>109</v>
      </c>
      <c r="P724" s="9" t="s">
        <v>106</v>
      </c>
      <c r="Q724" s="9" t="s">
        <v>3804</v>
      </c>
      <c r="S724" s="9" t="s">
        <v>106</v>
      </c>
      <c r="T724" s="9" t="s">
        <v>106</v>
      </c>
      <c r="U724" s="9" t="s">
        <v>106</v>
      </c>
      <c r="V724" s="9" t="s">
        <v>106</v>
      </c>
      <c r="W724" s="9" t="s">
        <v>106</v>
      </c>
      <c r="X724" s="9" t="s">
        <v>106</v>
      </c>
      <c r="Y724" s="9" t="s">
        <v>106</v>
      </c>
      <c r="Z724" s="37"/>
      <c r="AA724" s="37"/>
      <c r="AB724" s="37"/>
      <c r="AE724">
        <v>0</v>
      </c>
    </row>
    <row r="725" spans="1:31" hidden="1">
      <c r="A725" s="9" t="s">
        <v>1357</v>
      </c>
      <c r="B725" s="9" t="s">
        <v>1354</v>
      </c>
      <c r="C725" s="9" t="s">
        <v>105</v>
      </c>
      <c r="D725" s="9">
        <v>0.52986500970323402</v>
      </c>
      <c r="E725" s="9">
        <v>2.67</v>
      </c>
      <c r="F725" s="9">
        <v>18.5</v>
      </c>
      <c r="G725" s="9">
        <v>-0.3</v>
      </c>
      <c r="H725" s="9" t="s">
        <v>106</v>
      </c>
      <c r="I725" s="9">
        <v>25</v>
      </c>
      <c r="J725" s="9" t="s">
        <v>116</v>
      </c>
      <c r="K725" s="9" t="s">
        <v>524</v>
      </c>
      <c r="L725" t="str">
        <f>IF(OR(J725="Cattle",J725="Zebu Cattle"),IF(COUNTIF(lists!$M$2:$M$258, K725) &gt; 0,"bos.indicus",IF(COUNTIF(lists!$L$2:$L$258, K725) &gt; 0,"cross.bred","pure.bred.exotic")),"NA")</f>
        <v>NA</v>
      </c>
      <c r="M725" t="str">
        <f>IF(J725="Sheep",IF(COUNTIF(lists!$H$2:$H$258, K725) &gt; 0,"indigenous",IF(COUNTIF(lists!$G$2:$G$258, K725) &gt; 0,"cross.bred","not found")),"NA")</f>
        <v>NA</v>
      </c>
      <c r="N725" t="str">
        <f>IF(J725="Goat",IF(COUNTIF(lists!$J$2:$J$258, K725) &gt; 0,"indigenous",IF(COUNTIF(lists!$I$2:$I$258, K725) &gt; 0,"cross.bred","not found")),"NA")</f>
        <v>not found</v>
      </c>
      <c r="O725" s="9" t="s">
        <v>109</v>
      </c>
      <c r="P725" s="9" t="s">
        <v>106</v>
      </c>
      <c r="Q725" s="9" t="s">
        <v>3804</v>
      </c>
      <c r="S725" s="9" t="s">
        <v>106</v>
      </c>
      <c r="T725" s="9" t="s">
        <v>106</v>
      </c>
      <c r="U725" s="9" t="s">
        <v>106</v>
      </c>
      <c r="V725" s="9" t="s">
        <v>106</v>
      </c>
      <c r="W725" s="9" t="s">
        <v>106</v>
      </c>
      <c r="X725" s="9" t="s">
        <v>106</v>
      </c>
      <c r="Y725" s="9" t="s">
        <v>106</v>
      </c>
      <c r="Z725" s="37"/>
      <c r="AA725" s="37"/>
      <c r="AB725" s="37"/>
      <c r="AE725">
        <v>0</v>
      </c>
    </row>
    <row r="726" spans="1:31" hidden="1">
      <c r="A726" s="9" t="s">
        <v>1357</v>
      </c>
      <c r="B726" s="9" t="s">
        <v>1355</v>
      </c>
      <c r="C726" s="9" t="s">
        <v>105</v>
      </c>
      <c r="D726" s="9">
        <v>0.64836038223577996</v>
      </c>
      <c r="E726" s="9">
        <v>2.67</v>
      </c>
      <c r="F726" s="9">
        <v>18.7</v>
      </c>
      <c r="G726" s="9">
        <v>32.299999999999997</v>
      </c>
      <c r="H726" s="9" t="s">
        <v>106</v>
      </c>
      <c r="I726" s="9">
        <v>25</v>
      </c>
      <c r="J726" s="9" t="s">
        <v>116</v>
      </c>
      <c r="K726" s="9" t="s">
        <v>524</v>
      </c>
      <c r="L726" t="str">
        <f>IF(OR(J726="Cattle",J726="Zebu Cattle"),IF(COUNTIF(lists!$M$2:$M$258, K726) &gt; 0,"bos.indicus",IF(COUNTIF(lists!$L$2:$L$258, K726) &gt; 0,"cross.bred","pure.bred.exotic")),"NA")</f>
        <v>NA</v>
      </c>
      <c r="M726" t="str">
        <f>IF(J726="Sheep",IF(COUNTIF(lists!$H$2:$H$258, K726) &gt; 0,"indigenous",IF(COUNTIF(lists!$G$2:$G$258, K726) &gt; 0,"cross.bred","not found")),"NA")</f>
        <v>NA</v>
      </c>
      <c r="N726" t="str">
        <f>IF(J726="Goat",IF(COUNTIF(lists!$J$2:$J$258, K726) &gt; 0,"indigenous",IF(COUNTIF(lists!$I$2:$I$258, K726) &gt; 0,"cross.bred","not found")),"NA")</f>
        <v>not found</v>
      </c>
      <c r="O726" s="9" t="s">
        <v>109</v>
      </c>
      <c r="P726" s="9" t="s">
        <v>106</v>
      </c>
      <c r="Q726" s="9" t="s">
        <v>3804</v>
      </c>
      <c r="S726" s="9" t="s">
        <v>106</v>
      </c>
      <c r="T726" s="9" t="s">
        <v>106</v>
      </c>
      <c r="U726" s="9" t="s">
        <v>106</v>
      </c>
      <c r="V726" s="9" t="s">
        <v>106</v>
      </c>
      <c r="W726" s="9" t="s">
        <v>106</v>
      </c>
      <c r="X726" s="9" t="s">
        <v>106</v>
      </c>
      <c r="Y726" s="9" t="s">
        <v>106</v>
      </c>
      <c r="Z726" s="37"/>
      <c r="AA726" s="37"/>
      <c r="AB726" s="37"/>
      <c r="AE726">
        <v>0</v>
      </c>
    </row>
    <row r="727" spans="1:31" hidden="1">
      <c r="A727" s="9" t="s">
        <v>1357</v>
      </c>
      <c r="B727" s="9" t="s">
        <v>1356</v>
      </c>
      <c r="C727" s="9" t="s">
        <v>105</v>
      </c>
      <c r="D727" s="9">
        <v>0.62206763850023805</v>
      </c>
      <c r="E727" s="9">
        <v>2.67</v>
      </c>
      <c r="F727" s="9">
        <v>18.8</v>
      </c>
      <c r="G727" s="9">
        <v>-1</v>
      </c>
      <c r="H727" s="9" t="s">
        <v>106</v>
      </c>
      <c r="I727" s="9">
        <v>25</v>
      </c>
      <c r="J727" s="9" t="s">
        <v>116</v>
      </c>
      <c r="K727" s="9" t="s">
        <v>524</v>
      </c>
      <c r="L727" t="str">
        <f>IF(OR(J727="Cattle",J727="Zebu Cattle"),IF(COUNTIF(lists!$M$2:$M$258, K727) &gt; 0,"bos.indicus",IF(COUNTIF(lists!$L$2:$L$258, K727) &gt; 0,"cross.bred","pure.bred.exotic")),"NA")</f>
        <v>NA</v>
      </c>
      <c r="M727" t="str">
        <f>IF(J727="Sheep",IF(COUNTIF(lists!$H$2:$H$258, K727) &gt; 0,"indigenous",IF(COUNTIF(lists!$G$2:$G$258, K727) &gt; 0,"cross.bred","not found")),"NA")</f>
        <v>NA</v>
      </c>
      <c r="N727" t="str">
        <f>IF(J727="Goat",IF(COUNTIF(lists!$J$2:$J$258, K727) &gt; 0,"indigenous",IF(COUNTIF(lists!$I$2:$I$258, K727) &gt; 0,"cross.bred","not found")),"NA")</f>
        <v>not found</v>
      </c>
      <c r="O727" s="9" t="s">
        <v>109</v>
      </c>
      <c r="P727" s="9" t="s">
        <v>106</v>
      </c>
      <c r="Q727" s="9" t="s">
        <v>3804</v>
      </c>
      <c r="S727" s="9" t="s">
        <v>106</v>
      </c>
      <c r="T727" s="9" t="s">
        <v>106</v>
      </c>
      <c r="U727" s="9" t="s">
        <v>106</v>
      </c>
      <c r="V727" s="9" t="s">
        <v>106</v>
      </c>
      <c r="W727" s="9" t="s">
        <v>106</v>
      </c>
      <c r="X727" s="9" t="s">
        <v>106</v>
      </c>
      <c r="Y727" s="9" t="s">
        <v>106</v>
      </c>
      <c r="Z727" s="37"/>
      <c r="AA727" s="37"/>
      <c r="AB727" s="37"/>
      <c r="AE727">
        <v>0</v>
      </c>
    </row>
    <row r="728" spans="1:31" hidden="1">
      <c r="A728" s="9" t="s">
        <v>1387</v>
      </c>
      <c r="B728" s="9" t="s">
        <v>1388</v>
      </c>
      <c r="C728" s="9" t="s">
        <v>105</v>
      </c>
      <c r="D728" s="9">
        <v>0.37208999999999998</v>
      </c>
      <c r="E728" s="9">
        <v>11.89</v>
      </c>
      <c r="F728" s="9">
        <v>6.4</v>
      </c>
      <c r="G728" s="9">
        <v>21.55</v>
      </c>
      <c r="H728" s="9" t="s">
        <v>106</v>
      </c>
      <c r="I728" s="9">
        <v>30</v>
      </c>
      <c r="J728" s="9" t="s">
        <v>116</v>
      </c>
      <c r="K728" s="9" t="s">
        <v>117</v>
      </c>
      <c r="L728" t="str">
        <f>IF(OR(J728="Cattle",J728="Zebu Cattle"),IF(COUNTIF(lists!$M$2:$M$258, K728) &gt; 0,"bos.indicus",IF(COUNTIF(lists!$L$2:$L$258, K728) &gt; 0,"cross.bred","pure.bred.exotic")),"NA")</f>
        <v>NA</v>
      </c>
      <c r="M728" t="str">
        <f>IF(J728="Sheep",IF(COUNTIF(lists!$H$2:$H$258, K728) &gt; 0,"indigenous",IF(COUNTIF(lists!$G$2:$G$258, K728) &gt; 0,"cross.bred","not found")),"NA")</f>
        <v>NA</v>
      </c>
      <c r="N728" t="str">
        <f>IF(J728="Goat",IF(COUNTIF(lists!$J$2:$J$258, K728) &gt; 0,"indigenous",IF(COUNTIF(lists!$I$2:$I$258, K728) &gt; 0,"cross.bred","not found")),"NA")</f>
        <v>indigenous</v>
      </c>
      <c r="O728" s="9" t="s">
        <v>109</v>
      </c>
      <c r="P728" s="9" t="s">
        <v>106</v>
      </c>
      <c r="Q728" s="9" t="s">
        <v>3804</v>
      </c>
      <c r="S728" s="9">
        <v>340</v>
      </c>
      <c r="T728" s="9">
        <v>7.5</v>
      </c>
      <c r="U728" s="9">
        <v>153</v>
      </c>
      <c r="V728" s="9">
        <v>985</v>
      </c>
      <c r="W728" s="9">
        <v>10.5</v>
      </c>
      <c r="X728" s="9">
        <v>660</v>
      </c>
      <c r="Y728" s="9">
        <v>702.6</v>
      </c>
      <c r="Z728" s="37"/>
      <c r="AA728" s="37"/>
      <c r="AB728" s="37"/>
      <c r="AE728">
        <v>0</v>
      </c>
    </row>
    <row r="729" spans="1:31" hidden="1">
      <c r="A729" s="9" t="s">
        <v>1387</v>
      </c>
      <c r="B729" s="9" t="s">
        <v>154</v>
      </c>
      <c r="C729" s="9" t="s">
        <v>105</v>
      </c>
      <c r="D729" s="9">
        <v>0.40958999999999901</v>
      </c>
      <c r="E729" s="9">
        <v>11.89</v>
      </c>
      <c r="F729" s="9">
        <v>6.42</v>
      </c>
      <c r="G729" s="9">
        <v>26.55</v>
      </c>
      <c r="H729" s="9" t="s">
        <v>106</v>
      </c>
      <c r="I729" s="9">
        <v>30</v>
      </c>
      <c r="J729" s="9" t="s">
        <v>116</v>
      </c>
      <c r="K729" s="9" t="s">
        <v>117</v>
      </c>
      <c r="L729" t="str">
        <f>IF(OR(J729="Cattle",J729="Zebu Cattle"),IF(COUNTIF(lists!$M$2:$M$258, K729) &gt; 0,"bos.indicus",IF(COUNTIF(lists!$L$2:$L$258, K729) &gt; 0,"cross.bred","pure.bred.exotic")),"NA")</f>
        <v>NA</v>
      </c>
      <c r="M729" t="str">
        <f>IF(J729="Sheep",IF(COUNTIF(lists!$H$2:$H$258, K729) &gt; 0,"indigenous",IF(COUNTIF(lists!$G$2:$G$258, K729) &gt; 0,"cross.bred","not found")),"NA")</f>
        <v>NA</v>
      </c>
      <c r="N729" t="str">
        <f>IF(J729="Goat",IF(COUNTIF(lists!$J$2:$J$258, K729) &gt; 0,"indigenous",IF(COUNTIF(lists!$I$2:$I$258, K729) &gt; 0,"cross.bred","not found")),"NA")</f>
        <v>indigenous</v>
      </c>
      <c r="O729" s="9" t="s">
        <v>109</v>
      </c>
      <c r="P729" s="9" t="s">
        <v>106</v>
      </c>
      <c r="Q729" s="9" t="s">
        <v>3804</v>
      </c>
      <c r="S729" s="9">
        <v>400</v>
      </c>
      <c r="T729" s="9">
        <v>8</v>
      </c>
      <c r="U729" s="9">
        <v>159</v>
      </c>
      <c r="V729" s="9">
        <v>985</v>
      </c>
      <c r="W729" s="9">
        <v>9</v>
      </c>
      <c r="X729" s="9">
        <v>640</v>
      </c>
      <c r="Y729" s="9">
        <v>724.9</v>
      </c>
      <c r="Z729" s="37"/>
      <c r="AA729" s="37"/>
      <c r="AB729" s="37"/>
      <c r="AE729">
        <v>0</v>
      </c>
    </row>
    <row r="730" spans="1:31" hidden="1">
      <c r="A730" s="9" t="s">
        <v>1387</v>
      </c>
      <c r="B730" s="9" t="s">
        <v>155</v>
      </c>
      <c r="C730" s="9" t="s">
        <v>105</v>
      </c>
      <c r="D730" s="9">
        <v>0.43213999999999902</v>
      </c>
      <c r="E730" s="9">
        <v>11.89</v>
      </c>
      <c r="F730" s="9">
        <v>6.43</v>
      </c>
      <c r="G730" s="9">
        <v>32.380000000000003</v>
      </c>
      <c r="H730" s="9" t="s">
        <v>106</v>
      </c>
      <c r="I730" s="9">
        <v>30</v>
      </c>
      <c r="J730" s="9" t="s">
        <v>116</v>
      </c>
      <c r="K730" s="9" t="s">
        <v>117</v>
      </c>
      <c r="L730" t="str">
        <f>IF(OR(J730="Cattle",J730="Zebu Cattle"),IF(COUNTIF(lists!$M$2:$M$258, K730) &gt; 0,"bos.indicus",IF(COUNTIF(lists!$L$2:$L$258, K730) &gt; 0,"cross.bred","pure.bred.exotic")),"NA")</f>
        <v>NA</v>
      </c>
      <c r="M730" t="str">
        <f>IF(J730="Sheep",IF(COUNTIF(lists!$H$2:$H$258, K730) &gt; 0,"indigenous",IF(COUNTIF(lists!$G$2:$G$258, K730) &gt; 0,"cross.bred","not found")),"NA")</f>
        <v>NA</v>
      </c>
      <c r="N730" t="str">
        <f>IF(J730="Goat",IF(COUNTIF(lists!$J$2:$J$258, K730) &gt; 0,"indigenous",IF(COUNTIF(lists!$I$2:$I$258, K730) &gt; 0,"cross.bred","not found")),"NA")</f>
        <v>indigenous</v>
      </c>
      <c r="O730" s="9" t="s">
        <v>109</v>
      </c>
      <c r="P730" s="9" t="s">
        <v>106</v>
      </c>
      <c r="Q730" s="9" t="s">
        <v>3804</v>
      </c>
      <c r="S730" s="9">
        <v>300</v>
      </c>
      <c r="T730" s="9">
        <v>8</v>
      </c>
      <c r="U730" s="9">
        <v>163</v>
      </c>
      <c r="V730" s="9">
        <v>995</v>
      </c>
      <c r="W730" s="9">
        <v>10</v>
      </c>
      <c r="X730" s="9">
        <v>620</v>
      </c>
      <c r="Y730" s="9">
        <v>769</v>
      </c>
      <c r="Z730" s="37"/>
      <c r="AA730" s="37"/>
      <c r="AB730" s="37"/>
      <c r="AE730">
        <v>0</v>
      </c>
    </row>
    <row r="731" spans="1:31" hidden="1">
      <c r="A731" s="9" t="s">
        <v>1387</v>
      </c>
      <c r="B731" s="9" t="s">
        <v>156</v>
      </c>
      <c r="C731" s="9" t="s">
        <v>105</v>
      </c>
      <c r="D731" s="9">
        <v>0.45873000000000003</v>
      </c>
      <c r="E731" s="9">
        <v>11.89</v>
      </c>
      <c r="F731" s="9">
        <v>6.4</v>
      </c>
      <c r="G731" s="9">
        <v>43.09</v>
      </c>
      <c r="H731" s="9" t="s">
        <v>106</v>
      </c>
      <c r="I731" s="9">
        <v>30</v>
      </c>
      <c r="J731" s="9" t="s">
        <v>116</v>
      </c>
      <c r="K731" s="9" t="s">
        <v>117</v>
      </c>
      <c r="L731" t="str">
        <f>IF(OR(J731="Cattle",J731="Zebu Cattle"),IF(COUNTIF(lists!$M$2:$M$258, K731) &gt; 0,"bos.indicus",IF(COUNTIF(lists!$L$2:$L$258, K731) &gt; 0,"cross.bred","pure.bred.exotic")),"NA")</f>
        <v>NA</v>
      </c>
      <c r="M731" t="str">
        <f>IF(J731="Sheep",IF(COUNTIF(lists!$H$2:$H$258, K731) &gt; 0,"indigenous",IF(COUNTIF(lists!$G$2:$G$258, K731) &gt; 0,"cross.bred","not found")),"NA")</f>
        <v>NA</v>
      </c>
      <c r="N731" t="str">
        <f>IF(J731="Goat",IF(COUNTIF(lists!$J$2:$J$258, K731) &gt; 0,"indigenous",IF(COUNTIF(lists!$I$2:$I$258, K731) &gt; 0,"cross.bred","not found")),"NA")</f>
        <v>indigenous</v>
      </c>
      <c r="O731" s="9" t="s">
        <v>109</v>
      </c>
      <c r="P731" s="9" t="s">
        <v>106</v>
      </c>
      <c r="Q731" s="9" t="s">
        <v>3804</v>
      </c>
      <c r="S731" s="9">
        <v>340</v>
      </c>
      <c r="T731" s="9">
        <v>8</v>
      </c>
      <c r="U731" s="9">
        <v>200</v>
      </c>
      <c r="V731" s="9">
        <v>995</v>
      </c>
      <c r="W731" s="9">
        <v>7.5</v>
      </c>
      <c r="X731" s="9">
        <v>600</v>
      </c>
      <c r="Y731" s="9">
        <v>772.6</v>
      </c>
      <c r="Z731" s="37"/>
      <c r="AA731" s="37"/>
      <c r="AB731" s="37"/>
      <c r="AE731">
        <v>0</v>
      </c>
    </row>
    <row r="732" spans="1:31" hidden="1">
      <c r="A732" s="9" t="s">
        <v>1387</v>
      </c>
      <c r="B732" s="9" t="s">
        <v>1389</v>
      </c>
      <c r="C732" s="9" t="s">
        <v>105</v>
      </c>
      <c r="D732" s="9">
        <v>0.35619000000000001</v>
      </c>
      <c r="E732" s="9">
        <v>11.89</v>
      </c>
      <c r="F732" s="9">
        <v>6.45</v>
      </c>
      <c r="G732" s="9">
        <v>25.59</v>
      </c>
      <c r="H732" s="9" t="s">
        <v>106</v>
      </c>
      <c r="I732" s="9">
        <v>30</v>
      </c>
      <c r="J732" s="9" t="s">
        <v>116</v>
      </c>
      <c r="K732" s="9" t="s">
        <v>117</v>
      </c>
      <c r="L732" t="str">
        <f>IF(OR(J732="Cattle",J732="Zebu Cattle"),IF(COUNTIF(lists!$M$2:$M$258, K732) &gt; 0,"bos.indicus",IF(COUNTIF(lists!$L$2:$L$258, K732) &gt; 0,"cross.bred","pure.bred.exotic")),"NA")</f>
        <v>NA</v>
      </c>
      <c r="M732" t="str">
        <f>IF(J732="Sheep",IF(COUNTIF(lists!$H$2:$H$258, K732) &gt; 0,"indigenous",IF(COUNTIF(lists!$G$2:$G$258, K732) &gt; 0,"cross.bred","not found")),"NA")</f>
        <v>NA</v>
      </c>
      <c r="N732" t="str">
        <f>IF(J732="Goat",IF(COUNTIF(lists!$J$2:$J$258, K732) &gt; 0,"indigenous",IF(COUNTIF(lists!$I$2:$I$258, K732) &gt; 0,"cross.bred","not found")),"NA")</f>
        <v>indigenous</v>
      </c>
      <c r="O732" s="9" t="s">
        <v>109</v>
      </c>
      <c r="P732" s="9" t="s">
        <v>106</v>
      </c>
      <c r="Q732" s="9" t="s">
        <v>3804</v>
      </c>
      <c r="S732" s="9">
        <v>280</v>
      </c>
      <c r="T732" s="9">
        <v>8.5</v>
      </c>
      <c r="U732" s="9">
        <v>206</v>
      </c>
      <c r="V732" s="9">
        <v>975</v>
      </c>
      <c r="W732" s="9">
        <v>13.5</v>
      </c>
      <c r="X732" s="9">
        <v>570</v>
      </c>
      <c r="Y732" s="9">
        <v>719.1</v>
      </c>
      <c r="Z732" s="37"/>
      <c r="AA732" s="37"/>
      <c r="AB732" s="37"/>
      <c r="AE732">
        <v>0</v>
      </c>
    </row>
    <row r="733" spans="1:31" hidden="1">
      <c r="A733" s="9" t="s">
        <v>1423</v>
      </c>
      <c r="B733" s="9" t="s">
        <v>119</v>
      </c>
      <c r="C733" s="9" t="s">
        <v>105</v>
      </c>
      <c r="D733" s="9">
        <v>0.19969999999999999</v>
      </c>
      <c r="E733" s="9">
        <v>7.4</v>
      </c>
      <c r="F733" s="9">
        <v>7.5</v>
      </c>
      <c r="G733" s="9">
        <v>24</v>
      </c>
      <c r="H733" s="9" t="s">
        <v>106</v>
      </c>
      <c r="I733" s="9">
        <v>20</v>
      </c>
      <c r="J733" s="9" t="s">
        <v>116</v>
      </c>
      <c r="K733" s="9" t="s">
        <v>634</v>
      </c>
      <c r="L733" t="str">
        <f>IF(OR(J733="Cattle",J733="Zebu Cattle"),IF(COUNTIF(lists!$M$2:$M$258, K733) &gt; 0,"bos.indicus",IF(COUNTIF(lists!$L$2:$L$258, K733) &gt; 0,"cross.bred","pure.bred.exotic")),"NA")</f>
        <v>NA</v>
      </c>
      <c r="M733" t="str">
        <f>IF(J733="Sheep",IF(COUNTIF(lists!$H$2:$H$258, K733) &gt; 0,"indigenous",IF(COUNTIF(lists!$G$2:$G$258, K733) &gt; 0,"cross.bred","not found")),"NA")</f>
        <v>NA</v>
      </c>
      <c r="N733" t="str">
        <f>IF(J733="Goat",IF(COUNTIF(lists!$J$2:$J$258, K733) &gt; 0,"indigenous",IF(COUNTIF(lists!$I$2:$I$258, K733) &gt; 0,"cross.bred","not found")),"NA")</f>
        <v>indigenous</v>
      </c>
      <c r="O733" s="9" t="s">
        <v>109</v>
      </c>
      <c r="P733" s="9" t="s">
        <v>106</v>
      </c>
      <c r="Q733" s="9" t="s">
        <v>3804</v>
      </c>
      <c r="S733" s="9">
        <v>391</v>
      </c>
      <c r="T733" s="9" t="s">
        <v>106</v>
      </c>
      <c r="U733" s="9">
        <v>92</v>
      </c>
      <c r="V733" s="9">
        <v>286</v>
      </c>
      <c r="W733" s="9" t="s">
        <v>106</v>
      </c>
      <c r="X733" s="9">
        <v>692</v>
      </c>
      <c r="Y733" s="9">
        <v>0.51</v>
      </c>
      <c r="Z733" s="37"/>
      <c r="AA733" s="37"/>
      <c r="AB733" s="37"/>
      <c r="AE733">
        <v>0</v>
      </c>
    </row>
    <row r="734" spans="1:31" hidden="1">
      <c r="A734" s="9" t="s">
        <v>1423</v>
      </c>
      <c r="B734" s="9" t="s">
        <v>1424</v>
      </c>
      <c r="C734" s="9" t="s">
        <v>105</v>
      </c>
      <c r="D734" s="9">
        <v>0.27760000000000001</v>
      </c>
      <c r="E734" s="9">
        <v>9.1199999999999992</v>
      </c>
      <c r="F734" s="9">
        <v>7.4</v>
      </c>
      <c r="G734" s="9">
        <v>56</v>
      </c>
      <c r="H734" s="9" t="s">
        <v>106</v>
      </c>
      <c r="I734" s="9">
        <v>20</v>
      </c>
      <c r="J734" s="9" t="s">
        <v>116</v>
      </c>
      <c r="K734" s="9" t="s">
        <v>634</v>
      </c>
      <c r="L734" t="str">
        <f>IF(OR(J734="Cattle",J734="Zebu Cattle"),IF(COUNTIF(lists!$M$2:$M$258, K734) &gt; 0,"bos.indicus",IF(COUNTIF(lists!$L$2:$L$258, K734) &gt; 0,"cross.bred","pure.bred.exotic")),"NA")</f>
        <v>NA</v>
      </c>
      <c r="M734" t="str">
        <f>IF(J734="Sheep",IF(COUNTIF(lists!$H$2:$H$258, K734) &gt; 0,"indigenous",IF(COUNTIF(lists!$G$2:$G$258, K734) &gt; 0,"cross.bred","not found")),"NA")</f>
        <v>NA</v>
      </c>
      <c r="N734" t="str">
        <f>IF(J734="Goat",IF(COUNTIF(lists!$J$2:$J$258, K734) &gt; 0,"indigenous",IF(COUNTIF(lists!$I$2:$I$258, K734) &gt; 0,"cross.bred","not found")),"NA")</f>
        <v>indigenous</v>
      </c>
      <c r="O734" s="9" t="s">
        <v>109</v>
      </c>
      <c r="P734" s="9" t="s">
        <v>106</v>
      </c>
      <c r="Q734" s="9" t="s">
        <v>3804</v>
      </c>
      <c r="S734" s="9">
        <v>388</v>
      </c>
      <c r="T734" s="9" t="s">
        <v>106</v>
      </c>
      <c r="U734" s="9">
        <v>110</v>
      </c>
      <c r="V734" s="9">
        <v>277</v>
      </c>
      <c r="W734" s="9" t="s">
        <v>106</v>
      </c>
      <c r="X734" s="9">
        <v>651</v>
      </c>
      <c r="Y734" s="9">
        <v>0.59</v>
      </c>
      <c r="Z734" s="37"/>
      <c r="AA734" s="37"/>
      <c r="AB734" s="37"/>
      <c r="AE734">
        <v>0</v>
      </c>
    </row>
    <row r="735" spans="1:31" hidden="1">
      <c r="A735" s="9" t="s">
        <v>1423</v>
      </c>
      <c r="B735" s="9" t="s">
        <v>1425</v>
      </c>
      <c r="C735" s="9" t="s">
        <v>105</v>
      </c>
      <c r="D735" s="9">
        <v>0.28000000000000003</v>
      </c>
      <c r="E735" s="9">
        <v>9.1199999999999992</v>
      </c>
      <c r="F735" s="9">
        <v>7.4</v>
      </c>
      <c r="G735" s="9">
        <v>58</v>
      </c>
      <c r="H735" s="9" t="s">
        <v>106</v>
      </c>
      <c r="I735" s="9">
        <v>20</v>
      </c>
      <c r="J735" s="9" t="s">
        <v>116</v>
      </c>
      <c r="K735" s="9" t="s">
        <v>634</v>
      </c>
      <c r="L735" t="str">
        <f>IF(OR(J735="Cattle",J735="Zebu Cattle"),IF(COUNTIF(lists!$M$2:$M$258, K735) &gt; 0,"bos.indicus",IF(COUNTIF(lists!$L$2:$L$258, K735) &gt; 0,"cross.bred","pure.bred.exotic")),"NA")</f>
        <v>NA</v>
      </c>
      <c r="M735" t="str">
        <f>IF(J735="Sheep",IF(COUNTIF(lists!$H$2:$H$258, K735) &gt; 0,"indigenous",IF(COUNTIF(lists!$G$2:$G$258, K735) &gt; 0,"cross.bred","not found")),"NA")</f>
        <v>NA</v>
      </c>
      <c r="N735" t="str">
        <f>IF(J735="Goat",IF(COUNTIF(lists!$J$2:$J$258, K735) &gt; 0,"indigenous",IF(COUNTIF(lists!$I$2:$I$258, K735) &gt; 0,"cross.bred","not found")),"NA")</f>
        <v>indigenous</v>
      </c>
      <c r="O735" s="9" t="s">
        <v>109</v>
      </c>
      <c r="P735" s="9" t="s">
        <v>106</v>
      </c>
      <c r="Q735" s="9" t="s">
        <v>3804</v>
      </c>
      <c r="S735" s="9">
        <v>384</v>
      </c>
      <c r="T735" s="9" t="s">
        <v>106</v>
      </c>
      <c r="U735" s="9">
        <v>129</v>
      </c>
      <c r="V735" s="9">
        <v>267</v>
      </c>
      <c r="W735" s="9" t="s">
        <v>106</v>
      </c>
      <c r="X735" s="9">
        <v>609</v>
      </c>
      <c r="Y735" s="9">
        <v>0.59</v>
      </c>
      <c r="Z735" s="37"/>
      <c r="AA735" s="37"/>
      <c r="AB735" s="37"/>
      <c r="AE735">
        <v>0</v>
      </c>
    </row>
    <row r="736" spans="1:31" hidden="1">
      <c r="A736" s="9" t="s">
        <v>1423</v>
      </c>
      <c r="B736" s="9" t="s">
        <v>1426</v>
      </c>
      <c r="C736" s="9" t="s">
        <v>105</v>
      </c>
      <c r="D736" s="9">
        <v>0.28189999999999998</v>
      </c>
      <c r="E736" s="9">
        <v>9.1199999999999992</v>
      </c>
      <c r="F736" s="9">
        <v>7.5</v>
      </c>
      <c r="G736" s="9">
        <v>59</v>
      </c>
      <c r="H736" s="9" t="s">
        <v>106</v>
      </c>
      <c r="I736" s="9">
        <v>20</v>
      </c>
      <c r="J736" s="9" t="s">
        <v>116</v>
      </c>
      <c r="K736" s="9" t="s">
        <v>634</v>
      </c>
      <c r="L736" t="str">
        <f>IF(OR(J736="Cattle",J736="Zebu Cattle"),IF(COUNTIF(lists!$M$2:$M$258, K736) &gt; 0,"bos.indicus",IF(COUNTIF(lists!$L$2:$L$258, K736) &gt; 0,"cross.bred","pure.bred.exotic")),"NA")</f>
        <v>NA</v>
      </c>
      <c r="M736" t="str">
        <f>IF(J736="Sheep",IF(COUNTIF(lists!$H$2:$H$258, K736) &gt; 0,"indigenous",IF(COUNTIF(lists!$G$2:$G$258, K736) &gt; 0,"cross.bred","not found")),"NA")</f>
        <v>NA</v>
      </c>
      <c r="N736" t="str">
        <f>IF(J736="Goat",IF(COUNTIF(lists!$J$2:$J$258, K736) &gt; 0,"indigenous",IF(COUNTIF(lists!$I$2:$I$258, K736) &gt; 0,"cross.bred","not found")),"NA")</f>
        <v>indigenous</v>
      </c>
      <c r="O736" s="9" t="s">
        <v>109</v>
      </c>
      <c r="P736" s="9" t="s">
        <v>106</v>
      </c>
      <c r="Q736" s="9" t="s">
        <v>3804</v>
      </c>
      <c r="S736" s="9">
        <v>380</v>
      </c>
      <c r="T736" s="9" t="s">
        <v>106</v>
      </c>
      <c r="U736" s="9">
        <v>144</v>
      </c>
      <c r="V736" s="9">
        <v>258</v>
      </c>
      <c r="W736" s="9" t="s">
        <v>106</v>
      </c>
      <c r="X736" s="9">
        <v>567</v>
      </c>
      <c r="Y736" s="9">
        <v>0.61</v>
      </c>
      <c r="Z736" s="37"/>
      <c r="AA736" s="37"/>
      <c r="AB736" s="37"/>
      <c r="AE736">
        <v>0</v>
      </c>
    </row>
    <row r="737" spans="1:31" hidden="1">
      <c r="A737" s="9" t="s">
        <v>1423</v>
      </c>
      <c r="B737" s="9" t="s">
        <v>1427</v>
      </c>
      <c r="C737" s="9" t="s">
        <v>105</v>
      </c>
      <c r="D737" s="9">
        <v>0.1971</v>
      </c>
      <c r="E737" s="9">
        <v>7.69</v>
      </c>
      <c r="F737" s="9">
        <v>7.5</v>
      </c>
      <c r="G737" s="9">
        <v>33</v>
      </c>
      <c r="H737" s="9" t="s">
        <v>106</v>
      </c>
      <c r="I737" s="9">
        <v>20</v>
      </c>
      <c r="J737" s="9" t="s">
        <v>116</v>
      </c>
      <c r="K737" s="9" t="s">
        <v>634</v>
      </c>
      <c r="L737" t="str">
        <f>IF(OR(J737="Cattle",J737="Zebu Cattle"),IF(COUNTIF(lists!$M$2:$M$258, K737) &gt; 0,"bos.indicus",IF(COUNTIF(lists!$L$2:$L$258, K737) &gt; 0,"cross.bred","pure.bred.exotic")),"NA")</f>
        <v>NA</v>
      </c>
      <c r="M737" t="str">
        <f>IF(J737="Sheep",IF(COUNTIF(lists!$H$2:$H$258, K737) &gt; 0,"indigenous",IF(COUNTIF(lists!$G$2:$G$258, K737) &gt; 0,"cross.bred","not found")),"NA")</f>
        <v>NA</v>
      </c>
      <c r="N737" t="str">
        <f>IF(J737="Goat",IF(COUNTIF(lists!$J$2:$J$258, K737) &gt; 0,"indigenous",IF(COUNTIF(lists!$I$2:$I$258, K737) &gt; 0,"cross.bred","not found")),"NA")</f>
        <v>indigenous</v>
      </c>
      <c r="O737" s="9" t="s">
        <v>109</v>
      </c>
      <c r="P737" s="9" t="s">
        <v>106</v>
      </c>
      <c r="Q737" s="9" t="s">
        <v>3804</v>
      </c>
      <c r="S737" s="9">
        <v>376</v>
      </c>
      <c r="T737" s="9" t="s">
        <v>106</v>
      </c>
      <c r="U737" s="9">
        <v>160</v>
      </c>
      <c r="V737" s="9">
        <v>248</v>
      </c>
      <c r="W737" s="9" t="s">
        <v>106</v>
      </c>
      <c r="X737" s="9">
        <v>524</v>
      </c>
      <c r="Y737" s="9">
        <v>0.54</v>
      </c>
      <c r="Z737" s="37"/>
      <c r="AA737" s="37"/>
      <c r="AB737" s="37"/>
      <c r="AE737">
        <v>0</v>
      </c>
    </row>
    <row r="738" spans="1:31" hidden="1">
      <c r="A738" s="9" t="s">
        <v>1432</v>
      </c>
      <c r="B738" s="9" t="s">
        <v>149</v>
      </c>
      <c r="C738" s="9" t="s">
        <v>105</v>
      </c>
      <c r="D738" s="9">
        <v>1.145</v>
      </c>
      <c r="E738" s="9">
        <v>24.8</v>
      </c>
      <c r="F738" s="9" t="s">
        <v>106</v>
      </c>
      <c r="G738" s="9" t="s">
        <v>106</v>
      </c>
      <c r="H738" s="9">
        <v>0.442</v>
      </c>
      <c r="I738" s="9">
        <v>30</v>
      </c>
      <c r="J738" s="9" t="s">
        <v>116</v>
      </c>
      <c r="K738" s="9" t="s">
        <v>1433</v>
      </c>
      <c r="L738" t="str">
        <f>IF(OR(J738="Cattle",J738="Zebu Cattle"),IF(COUNTIF(lists!$M$2:$M$258, K738) &gt; 0,"bos.indicus",IF(COUNTIF(lists!$L$2:$L$258, K738) &gt; 0,"cross.bred","pure.bred.exotic")),"NA")</f>
        <v>NA</v>
      </c>
      <c r="M738" t="str">
        <f>IF(J738="Sheep",IF(COUNTIF(lists!$H$2:$H$258, K738) &gt; 0,"indigenous",IF(COUNTIF(lists!$G$2:$G$258, K738) &gt; 0,"cross.bred","not found")),"NA")</f>
        <v>NA</v>
      </c>
      <c r="N738" t="str">
        <f>IF(J738="Goat",IF(COUNTIF(lists!$J$2:$J$258, K738) &gt; 0,"indigenous",IF(COUNTIF(lists!$I$2:$I$258, K738) &gt; 0,"cross.bred","not found")),"NA")</f>
        <v>not found</v>
      </c>
      <c r="O738" s="9" t="s">
        <v>109</v>
      </c>
      <c r="P738" s="9" t="s">
        <v>106</v>
      </c>
      <c r="Q738" s="9" t="s">
        <v>3801</v>
      </c>
      <c r="S738" s="9" t="s">
        <v>106</v>
      </c>
      <c r="T738" s="9" t="s">
        <v>106</v>
      </c>
      <c r="U738" s="9">
        <v>136</v>
      </c>
      <c r="V738" s="9">
        <v>888</v>
      </c>
      <c r="W738" s="9" t="s">
        <v>106</v>
      </c>
      <c r="X738" s="9" t="s">
        <v>106</v>
      </c>
      <c r="Y738" s="9">
        <v>0.66</v>
      </c>
      <c r="Z738" s="37"/>
      <c r="AA738" s="37"/>
      <c r="AB738" s="37"/>
      <c r="AE738">
        <v>0</v>
      </c>
    </row>
    <row r="739" spans="1:31" hidden="1">
      <c r="A739" s="9" t="s">
        <v>1432</v>
      </c>
      <c r="B739" s="9" t="s">
        <v>1434</v>
      </c>
      <c r="C739" s="9" t="s">
        <v>105</v>
      </c>
      <c r="D739" s="9">
        <v>1.085</v>
      </c>
      <c r="E739" s="9">
        <v>24.8</v>
      </c>
      <c r="F739" s="9" t="s">
        <v>106</v>
      </c>
      <c r="G739" s="9" t="s">
        <v>106</v>
      </c>
      <c r="H739" s="9">
        <v>0.58199999999999996</v>
      </c>
      <c r="I739" s="9">
        <v>30</v>
      </c>
      <c r="J739" s="9" t="s">
        <v>116</v>
      </c>
      <c r="K739" s="9" t="s">
        <v>1433</v>
      </c>
      <c r="L739" t="str">
        <f>IF(OR(J739="Cattle",J739="Zebu Cattle"),IF(COUNTIF(lists!$M$2:$M$258, K739) &gt; 0,"bos.indicus",IF(COUNTIF(lists!$L$2:$L$258, K739) &gt; 0,"cross.bred","pure.bred.exotic")),"NA")</f>
        <v>NA</v>
      </c>
      <c r="M739" t="str">
        <f>IF(J739="Sheep",IF(COUNTIF(lists!$H$2:$H$258, K739) &gt; 0,"indigenous",IF(COUNTIF(lists!$G$2:$G$258, K739) &gt; 0,"cross.bred","not found")),"NA")</f>
        <v>NA</v>
      </c>
      <c r="N739" t="str">
        <f>IF(J739="Goat",IF(COUNTIF(lists!$J$2:$J$258, K739) &gt; 0,"indigenous",IF(COUNTIF(lists!$I$2:$I$258, K739) &gt; 0,"cross.bred","not found")),"NA")</f>
        <v>not found</v>
      </c>
      <c r="O739" s="9" t="s">
        <v>109</v>
      </c>
      <c r="P739" s="9" t="s">
        <v>106</v>
      </c>
      <c r="Q739" s="9" t="s">
        <v>3801</v>
      </c>
      <c r="S739" s="9" t="s">
        <v>106</v>
      </c>
      <c r="T739" s="9" t="s">
        <v>106</v>
      </c>
      <c r="U739" s="9">
        <v>143</v>
      </c>
      <c r="V739" s="9">
        <v>911</v>
      </c>
      <c r="W739" s="9" t="s">
        <v>106</v>
      </c>
      <c r="X739" s="9" t="s">
        <v>106</v>
      </c>
      <c r="Y739" s="9">
        <v>0.59</v>
      </c>
      <c r="Z739" s="37"/>
      <c r="AA739" s="37"/>
      <c r="AB739" s="37"/>
      <c r="AE739">
        <v>0</v>
      </c>
    </row>
    <row r="740" spans="1:31" hidden="1">
      <c r="A740" s="9" t="s">
        <v>1432</v>
      </c>
      <c r="B740" s="9" t="s">
        <v>1435</v>
      </c>
      <c r="C740" s="9" t="s">
        <v>105</v>
      </c>
      <c r="D740" s="9">
        <v>1.075</v>
      </c>
      <c r="E740" s="9">
        <v>24.8</v>
      </c>
      <c r="F740" s="9" t="s">
        <v>106</v>
      </c>
      <c r="G740" s="9" t="s">
        <v>106</v>
      </c>
      <c r="H740" s="9">
        <v>0.69399999999999995</v>
      </c>
      <c r="I740" s="9">
        <v>30</v>
      </c>
      <c r="J740" s="9" t="s">
        <v>116</v>
      </c>
      <c r="K740" s="9" t="s">
        <v>1433</v>
      </c>
      <c r="L740" t="str">
        <f>IF(OR(J740="Cattle",J740="Zebu Cattle"),IF(COUNTIF(lists!$M$2:$M$258, K740) &gt; 0,"bos.indicus",IF(COUNTIF(lists!$L$2:$L$258, K740) &gt; 0,"cross.bred","pure.bred.exotic")),"NA")</f>
        <v>NA</v>
      </c>
      <c r="M740" t="str">
        <f>IF(J740="Sheep",IF(COUNTIF(lists!$H$2:$H$258, K740) &gt; 0,"indigenous",IF(COUNTIF(lists!$G$2:$G$258, K740) &gt; 0,"cross.bred","not found")),"NA")</f>
        <v>NA</v>
      </c>
      <c r="N740" t="str">
        <f>IF(J740="Goat",IF(COUNTIF(lists!$J$2:$J$258, K740) &gt; 0,"indigenous",IF(COUNTIF(lists!$I$2:$I$258, K740) &gt; 0,"cross.bred","not found")),"NA")</f>
        <v>not found</v>
      </c>
      <c r="O740" s="9" t="s">
        <v>109</v>
      </c>
      <c r="P740" s="9" t="s">
        <v>106</v>
      </c>
      <c r="Q740" s="9" t="s">
        <v>3801</v>
      </c>
      <c r="S740" s="9" t="s">
        <v>106</v>
      </c>
      <c r="T740" s="9" t="s">
        <v>106</v>
      </c>
      <c r="U740" s="9">
        <v>136</v>
      </c>
      <c r="V740" s="9">
        <v>890</v>
      </c>
      <c r="W740" s="9" t="s">
        <v>106</v>
      </c>
      <c r="X740" s="9" t="s">
        <v>106</v>
      </c>
      <c r="Y740" s="9">
        <v>0.59</v>
      </c>
      <c r="Z740" s="37"/>
      <c r="AA740" s="37"/>
      <c r="AB740" s="37"/>
      <c r="AE740">
        <v>0</v>
      </c>
    </row>
    <row r="741" spans="1:31" hidden="1">
      <c r="A741" s="9" t="s">
        <v>1454</v>
      </c>
      <c r="B741" s="9" t="s">
        <v>1455</v>
      </c>
      <c r="C741" s="9" t="s">
        <v>105</v>
      </c>
      <c r="D741" s="9">
        <v>0.753</v>
      </c>
      <c r="E741" s="9">
        <v>13.4</v>
      </c>
      <c r="F741" s="9">
        <v>15.4</v>
      </c>
      <c r="G741" s="9">
        <v>77.099999999999994</v>
      </c>
      <c r="H741" s="9" t="s">
        <v>106</v>
      </c>
      <c r="I741" s="9">
        <v>24</v>
      </c>
      <c r="J741" s="9" t="s">
        <v>116</v>
      </c>
      <c r="K741" s="9" t="s">
        <v>1456</v>
      </c>
      <c r="L741" t="str">
        <f>IF(OR(J741="Cattle",J741="Zebu Cattle"),IF(COUNTIF(lists!$M$2:$M$258, K741) &gt; 0,"bos.indicus",IF(COUNTIF(lists!$L$2:$L$258, K741) &gt; 0,"cross.bred","pure.bred.exotic")),"NA")</f>
        <v>NA</v>
      </c>
      <c r="M741" t="str">
        <f>IF(J741="Sheep",IF(COUNTIF(lists!$H$2:$H$258, K741) &gt; 0,"indigenous",IF(COUNTIF(lists!$G$2:$G$258, K741) &gt; 0,"cross.bred","not found")),"NA")</f>
        <v>NA</v>
      </c>
      <c r="N741" t="str">
        <f>IF(J741="Goat",IF(COUNTIF(lists!$J$2:$J$258, K741) &gt; 0,"indigenous",IF(COUNTIF(lists!$I$2:$I$258, K741) &gt; 0,"cross.bred","not found")),"NA")</f>
        <v>not found</v>
      </c>
      <c r="O741" s="9" t="s">
        <v>109</v>
      </c>
      <c r="P741" s="9" t="s">
        <v>106</v>
      </c>
      <c r="Q741" s="9" t="s">
        <v>3806</v>
      </c>
      <c r="S741" s="9" t="s">
        <v>106</v>
      </c>
      <c r="T741" s="9" t="s">
        <v>106</v>
      </c>
      <c r="U741" s="9" t="s">
        <v>106</v>
      </c>
      <c r="V741" s="9" t="s">
        <v>106</v>
      </c>
      <c r="W741" s="9" t="s">
        <v>106</v>
      </c>
      <c r="X741" s="9" t="s">
        <v>106</v>
      </c>
      <c r="Y741" s="9" t="s">
        <v>106</v>
      </c>
      <c r="Z741" s="37"/>
      <c r="AA741" s="37"/>
      <c r="AB741" s="37"/>
      <c r="AE741">
        <v>0</v>
      </c>
    </row>
    <row r="742" spans="1:31" hidden="1">
      <c r="A742" s="9" t="s">
        <v>1454</v>
      </c>
      <c r="B742" s="9" t="s">
        <v>1457</v>
      </c>
      <c r="C742" s="9" t="s">
        <v>105</v>
      </c>
      <c r="D742" s="9">
        <v>0.78300000000000003</v>
      </c>
      <c r="E742" s="9">
        <v>13.4</v>
      </c>
      <c r="F742" s="9">
        <v>15.4</v>
      </c>
      <c r="G742" s="9">
        <v>41.8</v>
      </c>
      <c r="H742" s="9" t="s">
        <v>106</v>
      </c>
      <c r="I742" s="9">
        <v>24</v>
      </c>
      <c r="J742" s="9" t="s">
        <v>116</v>
      </c>
      <c r="K742" s="9" t="s">
        <v>1456</v>
      </c>
      <c r="L742" t="str">
        <f>IF(OR(J742="Cattle",J742="Zebu Cattle"),IF(COUNTIF(lists!$M$2:$M$258, K742) &gt; 0,"bos.indicus",IF(COUNTIF(lists!$L$2:$L$258, K742) &gt; 0,"cross.bred","pure.bred.exotic")),"NA")</f>
        <v>NA</v>
      </c>
      <c r="M742" t="str">
        <f>IF(J742="Sheep",IF(COUNTIF(lists!$H$2:$H$258, K742) &gt; 0,"indigenous",IF(COUNTIF(lists!$G$2:$G$258, K742) &gt; 0,"cross.bred","not found")),"NA")</f>
        <v>NA</v>
      </c>
      <c r="N742" t="str">
        <f>IF(J742="Goat",IF(COUNTIF(lists!$J$2:$J$258, K742) &gt; 0,"indigenous",IF(COUNTIF(lists!$I$2:$I$258, K742) &gt; 0,"cross.bred","not found")),"NA")</f>
        <v>not found</v>
      </c>
      <c r="O742" s="9" t="s">
        <v>109</v>
      </c>
      <c r="P742" s="9" t="s">
        <v>106</v>
      </c>
      <c r="Q742" s="9" t="s">
        <v>3806</v>
      </c>
      <c r="S742" s="9" t="s">
        <v>106</v>
      </c>
      <c r="T742" s="9" t="s">
        <v>106</v>
      </c>
      <c r="U742" s="9" t="s">
        <v>106</v>
      </c>
      <c r="V742" s="9" t="s">
        <v>106</v>
      </c>
      <c r="W742" s="9" t="s">
        <v>106</v>
      </c>
      <c r="X742" s="9" t="s">
        <v>106</v>
      </c>
      <c r="Y742" s="9" t="s">
        <v>106</v>
      </c>
      <c r="Z742" s="37"/>
      <c r="AA742" s="37"/>
      <c r="AB742" s="37"/>
      <c r="AE742">
        <v>0</v>
      </c>
    </row>
    <row r="743" spans="1:31" hidden="1">
      <c r="A743" s="9" t="s">
        <v>1454</v>
      </c>
      <c r="B743" s="9" t="s">
        <v>1458</v>
      </c>
      <c r="C743" s="9" t="s">
        <v>105</v>
      </c>
      <c r="D743" s="9">
        <v>0.70499999999999996</v>
      </c>
      <c r="E743" s="9">
        <v>13.4</v>
      </c>
      <c r="F743" s="9">
        <v>15.4</v>
      </c>
      <c r="G743" s="9">
        <v>47.6</v>
      </c>
      <c r="H743" s="9" t="s">
        <v>106</v>
      </c>
      <c r="I743" s="9">
        <v>24</v>
      </c>
      <c r="J743" s="9" t="s">
        <v>116</v>
      </c>
      <c r="K743" s="9" t="s">
        <v>1456</v>
      </c>
      <c r="L743" t="str">
        <f>IF(OR(J743="Cattle",J743="Zebu Cattle"),IF(COUNTIF(lists!$M$2:$M$258, K743) &gt; 0,"bos.indicus",IF(COUNTIF(lists!$L$2:$L$258, K743) &gt; 0,"cross.bred","pure.bred.exotic")),"NA")</f>
        <v>NA</v>
      </c>
      <c r="M743" t="str">
        <f>IF(J743="Sheep",IF(COUNTIF(lists!$H$2:$H$258, K743) &gt; 0,"indigenous",IF(COUNTIF(lists!$G$2:$G$258, K743) &gt; 0,"cross.bred","not found")),"NA")</f>
        <v>NA</v>
      </c>
      <c r="N743" t="str">
        <f>IF(J743="Goat",IF(COUNTIF(lists!$J$2:$J$258, K743) &gt; 0,"indigenous",IF(COUNTIF(lists!$I$2:$I$258, K743) &gt; 0,"cross.bred","not found")),"NA")</f>
        <v>not found</v>
      </c>
      <c r="O743" s="9" t="s">
        <v>109</v>
      </c>
      <c r="P743" s="9" t="s">
        <v>106</v>
      </c>
      <c r="Q743" s="9" t="s">
        <v>3806</v>
      </c>
      <c r="S743" s="9" t="s">
        <v>106</v>
      </c>
      <c r="T743" s="9" t="s">
        <v>106</v>
      </c>
      <c r="U743" s="9" t="s">
        <v>106</v>
      </c>
      <c r="V743" s="9" t="s">
        <v>106</v>
      </c>
      <c r="W743" s="9" t="s">
        <v>106</v>
      </c>
      <c r="X743" s="9" t="s">
        <v>106</v>
      </c>
      <c r="Y743" s="9" t="s">
        <v>106</v>
      </c>
      <c r="Z743" s="37"/>
      <c r="AA743" s="37"/>
      <c r="AB743" s="37"/>
      <c r="AE743">
        <v>0</v>
      </c>
    </row>
    <row r="744" spans="1:31" hidden="1">
      <c r="A744" s="9" t="s">
        <v>1454</v>
      </c>
      <c r="B744" s="9" t="s">
        <v>1459</v>
      </c>
      <c r="C744" s="9" t="s">
        <v>105</v>
      </c>
      <c r="D744" s="9">
        <v>0.85499999999999998</v>
      </c>
      <c r="E744" s="9">
        <v>13.4</v>
      </c>
      <c r="F744" s="9">
        <v>15.4</v>
      </c>
      <c r="G744" s="9">
        <v>56.8</v>
      </c>
      <c r="H744" s="9" t="s">
        <v>106</v>
      </c>
      <c r="I744" s="9">
        <v>24</v>
      </c>
      <c r="J744" s="9" t="s">
        <v>116</v>
      </c>
      <c r="K744" s="9" t="s">
        <v>1456</v>
      </c>
      <c r="L744" t="str">
        <f>IF(OR(J744="Cattle",J744="Zebu Cattle"),IF(COUNTIF(lists!$M$2:$M$258, K744) &gt; 0,"bos.indicus",IF(COUNTIF(lists!$L$2:$L$258, K744) &gt; 0,"cross.bred","pure.bred.exotic")),"NA")</f>
        <v>NA</v>
      </c>
      <c r="M744" t="str">
        <f>IF(J744="Sheep",IF(COUNTIF(lists!$H$2:$H$258, K744) &gt; 0,"indigenous",IF(COUNTIF(lists!$G$2:$G$258, K744) &gt; 0,"cross.bred","not found")),"NA")</f>
        <v>NA</v>
      </c>
      <c r="N744" t="str">
        <f>IF(J744="Goat",IF(COUNTIF(lists!$J$2:$J$258, K744) &gt; 0,"indigenous",IF(COUNTIF(lists!$I$2:$I$258, K744) &gt; 0,"cross.bred","not found")),"NA")</f>
        <v>not found</v>
      </c>
      <c r="O744" s="9" t="s">
        <v>109</v>
      </c>
      <c r="P744" s="9" t="s">
        <v>106</v>
      </c>
      <c r="Q744" s="9" t="s">
        <v>3806</v>
      </c>
      <c r="S744" s="9" t="s">
        <v>106</v>
      </c>
      <c r="T744" s="9" t="s">
        <v>106</v>
      </c>
      <c r="U744" s="9" t="s">
        <v>106</v>
      </c>
      <c r="V744" s="9" t="s">
        <v>106</v>
      </c>
      <c r="W744" s="9" t="s">
        <v>106</v>
      </c>
      <c r="X744" s="9" t="s">
        <v>106</v>
      </c>
      <c r="Y744" s="9" t="s">
        <v>106</v>
      </c>
      <c r="Z744" s="37"/>
      <c r="AA744" s="37"/>
      <c r="AB744" s="37"/>
      <c r="AE744">
        <v>0</v>
      </c>
    </row>
    <row r="745" spans="1:31" hidden="1">
      <c r="A745" s="9" t="s">
        <v>1466</v>
      </c>
      <c r="B745" s="9" t="s">
        <v>455</v>
      </c>
      <c r="C745" s="9" t="s">
        <v>105</v>
      </c>
      <c r="D745" s="9">
        <v>0.78828999999999905</v>
      </c>
      <c r="E745" s="9">
        <v>16.899999999999999</v>
      </c>
      <c r="F745" s="9" t="s">
        <v>106</v>
      </c>
      <c r="G745" s="9" t="s">
        <v>106</v>
      </c>
      <c r="H745" s="9">
        <v>0.25608700000000001</v>
      </c>
      <c r="I745" s="9">
        <v>24</v>
      </c>
      <c r="J745" s="9" t="s">
        <v>116</v>
      </c>
      <c r="K745" s="9" t="s">
        <v>117</v>
      </c>
      <c r="L745" t="str">
        <f>IF(OR(J745="Cattle",J745="Zebu Cattle"),IF(COUNTIF(lists!$M$2:$M$258, K745) &gt; 0,"bos.indicus",IF(COUNTIF(lists!$L$2:$L$258, K745) &gt; 0,"cross.bred","pure.bred.exotic")),"NA")</f>
        <v>NA</v>
      </c>
      <c r="M745" t="str">
        <f>IF(J745="Sheep",IF(COUNTIF(lists!$H$2:$H$258, K745) &gt; 0,"indigenous",IF(COUNTIF(lists!$G$2:$G$258, K745) &gt; 0,"cross.bred","not found")),"NA")</f>
        <v>NA</v>
      </c>
      <c r="N745" t="str">
        <f>IF(J745="Goat",IF(COUNTIF(lists!$J$2:$J$258, K745) &gt; 0,"indigenous",IF(COUNTIF(lists!$I$2:$I$258, K745) &gt; 0,"cross.bred","not found")),"NA")</f>
        <v>indigenous</v>
      </c>
      <c r="O745" s="9" t="s">
        <v>109</v>
      </c>
      <c r="P745" s="9" t="s">
        <v>106</v>
      </c>
      <c r="Q745" s="9" t="s">
        <v>3812</v>
      </c>
      <c r="S745" s="9" t="s">
        <v>106</v>
      </c>
      <c r="T745" s="9" t="s">
        <v>106</v>
      </c>
      <c r="U745" s="9" t="s">
        <v>106</v>
      </c>
      <c r="V745" s="9" t="s">
        <v>106</v>
      </c>
      <c r="W745" s="9" t="s">
        <v>106</v>
      </c>
      <c r="X745" s="9" t="s">
        <v>106</v>
      </c>
      <c r="Y745" s="9" t="s">
        <v>106</v>
      </c>
      <c r="Z745" s="37"/>
      <c r="AA745" s="37"/>
      <c r="AB745" s="37"/>
      <c r="AE745">
        <v>0</v>
      </c>
    </row>
    <row r="746" spans="1:31" hidden="1">
      <c r="A746" s="9" t="s">
        <v>1466</v>
      </c>
      <c r="B746" s="9" t="s">
        <v>1467</v>
      </c>
      <c r="C746" s="9" t="s">
        <v>105</v>
      </c>
      <c r="D746" s="9">
        <v>0.78828999999999905</v>
      </c>
      <c r="E746" s="9">
        <v>16.899999999999999</v>
      </c>
      <c r="F746" s="9" t="s">
        <v>106</v>
      </c>
      <c r="G746" s="9" t="s">
        <v>106</v>
      </c>
      <c r="H746" s="9">
        <v>0.39222899999999999</v>
      </c>
      <c r="I746" s="9">
        <v>24</v>
      </c>
      <c r="J746" s="9" t="s">
        <v>116</v>
      </c>
      <c r="K746" s="9" t="s">
        <v>117</v>
      </c>
      <c r="L746" t="str">
        <f>IF(OR(J746="Cattle",J746="Zebu Cattle"),IF(COUNTIF(lists!$M$2:$M$258, K746) &gt; 0,"bos.indicus",IF(COUNTIF(lists!$L$2:$L$258, K746) &gt; 0,"cross.bred","pure.bred.exotic")),"NA")</f>
        <v>NA</v>
      </c>
      <c r="M746" t="str">
        <f>IF(J746="Sheep",IF(COUNTIF(lists!$H$2:$H$258, K746) &gt; 0,"indigenous",IF(COUNTIF(lists!$G$2:$G$258, K746) &gt; 0,"cross.bred","not found")),"NA")</f>
        <v>NA</v>
      </c>
      <c r="N746" t="str">
        <f>IF(J746="Goat",IF(COUNTIF(lists!$J$2:$J$258, K746) &gt; 0,"indigenous",IF(COUNTIF(lists!$I$2:$I$258, K746) &gt; 0,"cross.bred","not found")),"NA")</f>
        <v>indigenous</v>
      </c>
      <c r="O746" s="9" t="s">
        <v>109</v>
      </c>
      <c r="P746" s="9" t="s">
        <v>106</v>
      </c>
      <c r="Q746" s="9" t="s">
        <v>3812</v>
      </c>
      <c r="S746" s="9" t="s">
        <v>106</v>
      </c>
      <c r="T746" s="9" t="s">
        <v>106</v>
      </c>
      <c r="U746" s="9" t="s">
        <v>106</v>
      </c>
      <c r="V746" s="9" t="s">
        <v>106</v>
      </c>
      <c r="W746" s="9" t="s">
        <v>106</v>
      </c>
      <c r="X746" s="9" t="s">
        <v>106</v>
      </c>
      <c r="Y746" s="9" t="s">
        <v>106</v>
      </c>
      <c r="Z746" s="37"/>
      <c r="AA746" s="37"/>
      <c r="AB746" s="37"/>
      <c r="AE746">
        <v>0</v>
      </c>
    </row>
    <row r="747" spans="1:31" hidden="1">
      <c r="A747" s="9" t="s">
        <v>1470</v>
      </c>
      <c r="B747" s="9">
        <v>1</v>
      </c>
      <c r="C747" s="9" t="s">
        <v>105</v>
      </c>
      <c r="D747" s="9">
        <v>0.35006763476326702</v>
      </c>
      <c r="E747" s="9">
        <v>0.24</v>
      </c>
      <c r="F747" s="9">
        <v>26.35</v>
      </c>
      <c r="G747" s="9">
        <v>171</v>
      </c>
      <c r="H747" s="9" t="s">
        <v>106</v>
      </c>
      <c r="I747" s="9">
        <v>30</v>
      </c>
      <c r="J747" s="9" t="s">
        <v>116</v>
      </c>
      <c r="K747" s="9" t="s">
        <v>1471</v>
      </c>
      <c r="L747" t="str">
        <f>IF(OR(J747="Cattle",J747="Zebu Cattle"),IF(COUNTIF(lists!$M$2:$M$258, K747) &gt; 0,"bos.indicus",IF(COUNTIF(lists!$L$2:$L$258, K747) &gt; 0,"cross.bred","pure.bred.exotic")),"NA")</f>
        <v>NA</v>
      </c>
      <c r="M747" t="str">
        <f>IF(J747="Sheep",IF(COUNTIF(lists!$H$2:$H$258, K747) &gt; 0,"indigenous",IF(COUNTIF(lists!$G$2:$G$258, K747) &gt; 0,"cross.bred","not found")),"NA")</f>
        <v>NA</v>
      </c>
      <c r="N747" t="str">
        <f>IF(J747="Goat",IF(COUNTIF(lists!$J$2:$J$258, K747) &gt; 0,"indigenous",IF(COUNTIF(lists!$I$2:$I$258, K747) &gt; 0,"cross.bred","not found")),"NA")</f>
        <v>not found</v>
      </c>
      <c r="O747" s="9" t="s">
        <v>109</v>
      </c>
      <c r="P747" s="9" t="s">
        <v>106</v>
      </c>
      <c r="Q747" s="9" t="s">
        <v>3801</v>
      </c>
      <c r="S747" s="9">
        <v>219</v>
      </c>
      <c r="T747" s="9">
        <v>42</v>
      </c>
      <c r="U747" s="9">
        <v>186</v>
      </c>
      <c r="V747" s="9">
        <v>902</v>
      </c>
      <c r="W747" s="9">
        <v>46</v>
      </c>
      <c r="X747" s="9">
        <v>557</v>
      </c>
      <c r="Y747" s="9" t="s">
        <v>106</v>
      </c>
      <c r="Z747" s="37"/>
      <c r="AA747" s="37"/>
      <c r="AB747" s="37"/>
      <c r="AE747">
        <v>0</v>
      </c>
    </row>
    <row r="748" spans="1:31" hidden="1">
      <c r="A748" s="9" t="s">
        <v>1470</v>
      </c>
      <c r="B748" s="9">
        <v>2</v>
      </c>
      <c r="C748" s="9" t="s">
        <v>105</v>
      </c>
      <c r="D748" s="9">
        <v>0.35937175794634402</v>
      </c>
      <c r="E748" s="9">
        <v>0.24</v>
      </c>
      <c r="F748" s="9">
        <v>26.35</v>
      </c>
      <c r="G748" s="9">
        <v>170</v>
      </c>
      <c r="H748" s="9" t="s">
        <v>106</v>
      </c>
      <c r="I748" s="9">
        <v>30</v>
      </c>
      <c r="J748" s="9" t="s">
        <v>116</v>
      </c>
      <c r="K748" s="9" t="s">
        <v>1471</v>
      </c>
      <c r="L748" t="str">
        <f>IF(OR(J748="Cattle",J748="Zebu Cattle"),IF(COUNTIF(lists!$M$2:$M$258, K748) &gt; 0,"bos.indicus",IF(COUNTIF(lists!$L$2:$L$258, K748) &gt; 0,"cross.bred","pure.bred.exotic")),"NA")</f>
        <v>NA</v>
      </c>
      <c r="M748" t="str">
        <f>IF(J748="Sheep",IF(COUNTIF(lists!$H$2:$H$258, K748) &gt; 0,"indigenous",IF(COUNTIF(lists!$G$2:$G$258, K748) &gt; 0,"cross.bred","not found")),"NA")</f>
        <v>NA</v>
      </c>
      <c r="N748" t="str">
        <f>IF(J748="Goat",IF(COUNTIF(lists!$J$2:$J$258, K748) &gt; 0,"indigenous",IF(COUNTIF(lists!$I$2:$I$258, K748) &gt; 0,"cross.bred","not found")),"NA")</f>
        <v>not found</v>
      </c>
      <c r="O748" s="9" t="s">
        <v>109</v>
      </c>
      <c r="P748" s="9" t="s">
        <v>106</v>
      </c>
      <c r="Q748" s="9" t="s">
        <v>3801</v>
      </c>
      <c r="S748" s="9">
        <v>235</v>
      </c>
      <c r="T748" s="9">
        <v>110</v>
      </c>
      <c r="U748" s="9">
        <v>165</v>
      </c>
      <c r="V748" s="9">
        <v>931</v>
      </c>
      <c r="W748" s="9">
        <v>42</v>
      </c>
      <c r="X748" s="9">
        <v>446</v>
      </c>
      <c r="Y748" s="9" t="s">
        <v>106</v>
      </c>
      <c r="Z748" s="37"/>
      <c r="AA748" s="37"/>
      <c r="AB748" s="37"/>
      <c r="AE748">
        <v>0</v>
      </c>
    </row>
    <row r="749" spans="1:31" hidden="1">
      <c r="A749" s="9" t="s">
        <v>1470</v>
      </c>
      <c r="B749" s="9">
        <v>3</v>
      </c>
      <c r="C749" s="9" t="s">
        <v>105</v>
      </c>
      <c r="D749" s="9">
        <v>0.34657858856961299</v>
      </c>
      <c r="E749" s="9">
        <v>0.24</v>
      </c>
      <c r="F749" s="9">
        <v>26.35</v>
      </c>
      <c r="G749" s="9">
        <v>167</v>
      </c>
      <c r="H749" s="9" t="s">
        <v>106</v>
      </c>
      <c r="I749" s="9">
        <v>30</v>
      </c>
      <c r="J749" s="9" t="s">
        <v>116</v>
      </c>
      <c r="K749" s="9" t="s">
        <v>1471</v>
      </c>
      <c r="L749" t="str">
        <f>IF(OR(J749="Cattle",J749="Zebu Cattle"),IF(COUNTIF(lists!$M$2:$M$258, K749) &gt; 0,"bos.indicus",IF(COUNTIF(lists!$L$2:$L$258, K749) &gt; 0,"cross.bred","pure.bred.exotic")),"NA")</f>
        <v>NA</v>
      </c>
      <c r="M749" t="str">
        <f>IF(J749="Sheep",IF(COUNTIF(lists!$H$2:$H$258, K749) &gt; 0,"indigenous",IF(COUNTIF(lists!$G$2:$G$258, K749) &gt; 0,"cross.bred","not found")),"NA")</f>
        <v>NA</v>
      </c>
      <c r="N749" t="str">
        <f>IF(J749="Goat",IF(COUNTIF(lists!$J$2:$J$258, K749) &gt; 0,"indigenous",IF(COUNTIF(lists!$I$2:$I$258, K749) &gt; 0,"cross.bred","not found")),"NA")</f>
        <v>not found</v>
      </c>
      <c r="O749" s="9" t="s">
        <v>109</v>
      </c>
      <c r="P749" s="9" t="s">
        <v>106</v>
      </c>
      <c r="Q749" s="9" t="s">
        <v>3801</v>
      </c>
      <c r="S749" s="9">
        <v>300</v>
      </c>
      <c r="T749" s="9">
        <v>52</v>
      </c>
      <c r="U749" s="9">
        <v>136</v>
      </c>
      <c r="V749" s="9">
        <v>907</v>
      </c>
      <c r="W749" s="9">
        <v>29</v>
      </c>
      <c r="X749" s="9">
        <v>492</v>
      </c>
      <c r="Y749" s="9" t="s">
        <v>106</v>
      </c>
      <c r="Z749" s="37"/>
      <c r="AA749" s="37"/>
      <c r="AB749" s="37"/>
      <c r="AE749">
        <v>0</v>
      </c>
    </row>
    <row r="750" spans="1:31" hidden="1">
      <c r="A750" s="9" t="s">
        <v>1470</v>
      </c>
      <c r="B750" s="9">
        <v>4</v>
      </c>
      <c r="C750" s="9" t="s">
        <v>105</v>
      </c>
      <c r="D750" s="9">
        <v>0.345415573171729</v>
      </c>
      <c r="E750" s="9">
        <v>0.24</v>
      </c>
      <c r="F750" s="9">
        <v>26.35</v>
      </c>
      <c r="G750" s="9">
        <v>143</v>
      </c>
      <c r="H750" s="9" t="s">
        <v>106</v>
      </c>
      <c r="I750" s="9">
        <v>30</v>
      </c>
      <c r="J750" s="9" t="s">
        <v>116</v>
      </c>
      <c r="K750" s="9" t="s">
        <v>1471</v>
      </c>
      <c r="L750" t="str">
        <f>IF(OR(J750="Cattle",J750="Zebu Cattle"),IF(COUNTIF(lists!$M$2:$M$258, K750) &gt; 0,"bos.indicus",IF(COUNTIF(lists!$L$2:$L$258, K750) &gt; 0,"cross.bred","pure.bred.exotic")),"NA")</f>
        <v>NA</v>
      </c>
      <c r="M750" t="str">
        <f>IF(J750="Sheep",IF(COUNTIF(lists!$H$2:$H$258, K750) &gt; 0,"indigenous",IF(COUNTIF(lists!$G$2:$G$258, K750) &gt; 0,"cross.bred","not found")),"NA")</f>
        <v>NA</v>
      </c>
      <c r="N750" t="str">
        <f>IF(J750="Goat",IF(COUNTIF(lists!$J$2:$J$258, K750) &gt; 0,"indigenous",IF(COUNTIF(lists!$I$2:$I$258, K750) &gt; 0,"cross.bred","not found")),"NA")</f>
        <v>not found</v>
      </c>
      <c r="O750" s="9" t="s">
        <v>109</v>
      </c>
      <c r="P750" s="9" t="s">
        <v>106</v>
      </c>
      <c r="Q750" s="9" t="s">
        <v>3801</v>
      </c>
      <c r="S750" s="9">
        <v>310</v>
      </c>
      <c r="T750" s="9">
        <v>71</v>
      </c>
      <c r="U750" s="9">
        <v>129</v>
      </c>
      <c r="V750" s="9">
        <v>913</v>
      </c>
      <c r="W750" s="9">
        <v>15</v>
      </c>
      <c r="X750" s="9">
        <v>469</v>
      </c>
      <c r="Y750" s="9" t="s">
        <v>106</v>
      </c>
      <c r="Z750" s="37"/>
      <c r="AA750" s="37"/>
      <c r="AB750" s="37"/>
      <c r="AE750">
        <v>0</v>
      </c>
    </row>
    <row r="751" spans="1:31" hidden="1">
      <c r="A751" s="9" t="s">
        <v>1470</v>
      </c>
      <c r="B751" s="9">
        <v>5</v>
      </c>
      <c r="C751" s="9" t="s">
        <v>105</v>
      </c>
      <c r="D751" s="9">
        <v>0.30471003424576698</v>
      </c>
      <c r="E751" s="9">
        <v>0.24</v>
      </c>
      <c r="F751" s="9">
        <v>26.35</v>
      </c>
      <c r="G751" s="9">
        <v>143</v>
      </c>
      <c r="H751" s="9" t="s">
        <v>106</v>
      </c>
      <c r="I751" s="9">
        <v>30</v>
      </c>
      <c r="J751" s="9" t="s">
        <v>116</v>
      </c>
      <c r="K751" s="9" t="s">
        <v>1471</v>
      </c>
      <c r="L751" t="str">
        <f>IF(OR(J751="Cattle",J751="Zebu Cattle"),IF(COUNTIF(lists!$M$2:$M$258, K751) &gt; 0,"bos.indicus",IF(COUNTIF(lists!$L$2:$L$258, K751) &gt; 0,"cross.bred","pure.bred.exotic")),"NA")</f>
        <v>NA</v>
      </c>
      <c r="M751" t="str">
        <f>IF(J751="Sheep",IF(COUNTIF(lists!$H$2:$H$258, K751) &gt; 0,"indigenous",IF(COUNTIF(lists!$G$2:$G$258, K751) &gt; 0,"cross.bred","not found")),"NA")</f>
        <v>NA</v>
      </c>
      <c r="N751" t="str">
        <f>IF(J751="Goat",IF(COUNTIF(lists!$J$2:$J$258, K751) &gt; 0,"indigenous",IF(COUNTIF(lists!$I$2:$I$258, K751) &gt; 0,"cross.bred","not found")),"NA")</f>
        <v>not found</v>
      </c>
      <c r="O751" s="9" t="s">
        <v>109</v>
      </c>
      <c r="P751" s="9" t="s">
        <v>106</v>
      </c>
      <c r="Q751" s="9" t="s">
        <v>3801</v>
      </c>
      <c r="S751" s="9">
        <v>356</v>
      </c>
      <c r="T751" s="9">
        <v>72</v>
      </c>
      <c r="U751" s="9">
        <v>114</v>
      </c>
      <c r="V751" s="9">
        <v>880</v>
      </c>
      <c r="W751" s="9">
        <v>34</v>
      </c>
      <c r="X751" s="9">
        <v>541</v>
      </c>
      <c r="Y751" s="9" t="s">
        <v>106</v>
      </c>
      <c r="Z751" s="37"/>
      <c r="AA751" s="37"/>
      <c r="AB751" s="37"/>
      <c r="AE751">
        <v>0</v>
      </c>
    </row>
    <row r="752" spans="1:31" hidden="1">
      <c r="A752" s="9" t="s">
        <v>1470</v>
      </c>
      <c r="B752" s="9">
        <v>6</v>
      </c>
      <c r="C752" s="9" t="s">
        <v>105</v>
      </c>
      <c r="D752" s="9">
        <v>0.36983889652730501</v>
      </c>
      <c r="E752" s="9">
        <v>0.24</v>
      </c>
      <c r="F752" s="9">
        <v>26.35</v>
      </c>
      <c r="G752" s="9">
        <v>147</v>
      </c>
      <c r="H752" s="9" t="s">
        <v>106</v>
      </c>
      <c r="I752" s="9">
        <v>30</v>
      </c>
      <c r="J752" s="9" t="s">
        <v>116</v>
      </c>
      <c r="K752" s="9" t="s">
        <v>1471</v>
      </c>
      <c r="L752" t="str">
        <f>IF(OR(J752="Cattle",J752="Zebu Cattle"),IF(COUNTIF(lists!$M$2:$M$258, K752) &gt; 0,"bos.indicus",IF(COUNTIF(lists!$L$2:$L$258, K752) &gt; 0,"cross.bred","pure.bred.exotic")),"NA")</f>
        <v>NA</v>
      </c>
      <c r="M752" t="str">
        <f>IF(J752="Sheep",IF(COUNTIF(lists!$H$2:$H$258, K752) &gt; 0,"indigenous",IF(COUNTIF(lists!$G$2:$G$258, K752) &gt; 0,"cross.bred","not found")),"NA")</f>
        <v>NA</v>
      </c>
      <c r="N752" t="str">
        <f>IF(J752="Goat",IF(COUNTIF(lists!$J$2:$J$258, K752) &gt; 0,"indigenous",IF(COUNTIF(lists!$I$2:$I$258, K752) &gt; 0,"cross.bred","not found")),"NA")</f>
        <v>not found</v>
      </c>
      <c r="O752" s="9" t="s">
        <v>109</v>
      </c>
      <c r="P752" s="9" t="s">
        <v>106</v>
      </c>
      <c r="Q752" s="9" t="s">
        <v>3801</v>
      </c>
      <c r="S752" s="9">
        <v>417</v>
      </c>
      <c r="T752" s="9">
        <v>52</v>
      </c>
      <c r="U752" s="9">
        <v>235</v>
      </c>
      <c r="V752" s="9">
        <v>934</v>
      </c>
      <c r="W752" s="9">
        <v>47</v>
      </c>
      <c r="X752" s="9">
        <v>660</v>
      </c>
      <c r="Y752" s="9" t="s">
        <v>106</v>
      </c>
      <c r="Z752" s="37"/>
      <c r="AA752" s="37"/>
      <c r="AB752" s="37"/>
      <c r="AE752">
        <v>0</v>
      </c>
    </row>
    <row r="753" spans="1:31" hidden="1">
      <c r="A753" s="9" t="s">
        <v>1526</v>
      </c>
      <c r="B753" s="9" t="s">
        <v>1527</v>
      </c>
      <c r="C753" s="9" t="s">
        <v>105</v>
      </c>
      <c r="D753" s="9">
        <v>2.34918</v>
      </c>
      <c r="E753" s="9">
        <v>45.939</v>
      </c>
      <c r="F753" s="9">
        <v>9</v>
      </c>
      <c r="G753" s="9">
        <v>8.33</v>
      </c>
      <c r="H753" s="9" t="s">
        <v>106</v>
      </c>
      <c r="I753" s="9">
        <v>15</v>
      </c>
      <c r="J753" s="9" t="s">
        <v>116</v>
      </c>
      <c r="K753" s="9" t="s">
        <v>524</v>
      </c>
      <c r="L753" t="str">
        <f>IF(OR(J753="Cattle",J753="Zebu Cattle"),IF(COUNTIF(lists!$M$2:$M$258, K753) &gt; 0,"bos.indicus",IF(COUNTIF(lists!$L$2:$L$258, K753) &gt; 0,"cross.bred","pure.bred.exotic")),"NA")</f>
        <v>NA</v>
      </c>
      <c r="M753" t="str">
        <f>IF(J753="Sheep",IF(COUNTIF(lists!$H$2:$H$258, K753) &gt; 0,"indigenous",IF(COUNTIF(lists!$G$2:$G$258, K753) &gt; 0,"cross.bred","not found")),"NA")</f>
        <v>NA</v>
      </c>
      <c r="N753" t="str">
        <f>IF(J753="Goat",IF(COUNTIF(lists!$J$2:$J$258, K753) &gt; 0,"indigenous",IF(COUNTIF(lists!$I$2:$I$258, K753) &gt; 0,"cross.bred","not found")),"NA")</f>
        <v>not found</v>
      </c>
      <c r="O753" s="9" t="s">
        <v>109</v>
      </c>
      <c r="P753" s="9" t="s">
        <v>106</v>
      </c>
      <c r="Q753" s="9" t="s">
        <v>3806</v>
      </c>
      <c r="S753" s="9" t="s">
        <v>106</v>
      </c>
      <c r="T753" s="9" t="s">
        <v>106</v>
      </c>
      <c r="U753" s="9" t="s">
        <v>106</v>
      </c>
      <c r="V753" s="9" t="s">
        <v>106</v>
      </c>
      <c r="W753" s="9" t="s">
        <v>106</v>
      </c>
      <c r="X753" s="9" t="s">
        <v>106</v>
      </c>
      <c r="Y753" s="9" t="s">
        <v>106</v>
      </c>
      <c r="Z753" s="37"/>
      <c r="AA753" s="37"/>
      <c r="AB753" s="37"/>
      <c r="AE753">
        <v>0</v>
      </c>
    </row>
    <row r="754" spans="1:31" hidden="1">
      <c r="A754" s="9" t="s">
        <v>1526</v>
      </c>
      <c r="B754" s="9" t="s">
        <v>1528</v>
      </c>
      <c r="C754" s="9" t="s">
        <v>105</v>
      </c>
      <c r="D754" s="9">
        <v>2.7223199999999999</v>
      </c>
      <c r="E754" s="9">
        <v>45.939</v>
      </c>
      <c r="F754" s="9">
        <v>9</v>
      </c>
      <c r="G754" s="9">
        <v>22.61</v>
      </c>
      <c r="H754" s="9" t="s">
        <v>106</v>
      </c>
      <c r="I754" s="9">
        <v>15</v>
      </c>
      <c r="J754" s="9" t="s">
        <v>116</v>
      </c>
      <c r="K754" s="9" t="s">
        <v>524</v>
      </c>
      <c r="L754" t="str">
        <f>IF(OR(J754="Cattle",J754="Zebu Cattle"),IF(COUNTIF(lists!$M$2:$M$258, K754) &gt; 0,"bos.indicus",IF(COUNTIF(lists!$L$2:$L$258, K754) &gt; 0,"cross.bred","pure.bred.exotic")),"NA")</f>
        <v>NA</v>
      </c>
      <c r="M754" t="str">
        <f>IF(J754="Sheep",IF(COUNTIF(lists!$H$2:$H$258, K754) &gt; 0,"indigenous",IF(COUNTIF(lists!$G$2:$G$258, K754) &gt; 0,"cross.bred","not found")),"NA")</f>
        <v>NA</v>
      </c>
      <c r="N754" t="str">
        <f>IF(J754="Goat",IF(COUNTIF(lists!$J$2:$J$258, K754) &gt; 0,"indigenous",IF(COUNTIF(lists!$I$2:$I$258, K754) &gt; 0,"cross.bred","not found")),"NA")</f>
        <v>not found</v>
      </c>
      <c r="O754" s="9" t="s">
        <v>109</v>
      </c>
      <c r="P754" s="9" t="s">
        <v>106</v>
      </c>
      <c r="Q754" s="9" t="s">
        <v>3806</v>
      </c>
      <c r="S754" s="9" t="s">
        <v>106</v>
      </c>
      <c r="T754" s="9" t="s">
        <v>106</v>
      </c>
      <c r="U754" s="9" t="s">
        <v>106</v>
      </c>
      <c r="V754" s="9" t="s">
        <v>106</v>
      </c>
      <c r="W754" s="9" t="s">
        <v>106</v>
      </c>
      <c r="X754" s="9" t="s">
        <v>106</v>
      </c>
      <c r="Y754" s="9" t="s">
        <v>106</v>
      </c>
      <c r="Z754" s="37"/>
      <c r="AA754" s="37"/>
      <c r="AB754" s="37"/>
      <c r="AE754">
        <v>0</v>
      </c>
    </row>
    <row r="755" spans="1:31" hidden="1">
      <c r="A755" s="9" t="s">
        <v>1526</v>
      </c>
      <c r="B755" s="9" t="s">
        <v>1529</v>
      </c>
      <c r="C755" s="9" t="s">
        <v>105</v>
      </c>
      <c r="D755" s="9">
        <v>3.2133600000000002</v>
      </c>
      <c r="E755" s="9">
        <v>45.939</v>
      </c>
      <c r="F755" s="9">
        <v>9</v>
      </c>
      <c r="G755" s="9">
        <v>43.25</v>
      </c>
      <c r="H755" s="9" t="s">
        <v>106</v>
      </c>
      <c r="I755" s="9">
        <v>15</v>
      </c>
      <c r="J755" s="9" t="s">
        <v>116</v>
      </c>
      <c r="K755" s="9" t="s">
        <v>524</v>
      </c>
      <c r="L755" t="str">
        <f>IF(OR(J755="Cattle",J755="Zebu Cattle"),IF(COUNTIF(lists!$M$2:$M$258, K755) &gt; 0,"bos.indicus",IF(COUNTIF(lists!$L$2:$L$258, K755) &gt; 0,"cross.bred","pure.bred.exotic")),"NA")</f>
        <v>NA</v>
      </c>
      <c r="M755" t="str">
        <f>IF(J755="Sheep",IF(COUNTIF(lists!$H$2:$H$258, K755) &gt; 0,"indigenous",IF(COUNTIF(lists!$G$2:$G$258, K755) &gt; 0,"cross.bred","not found")),"NA")</f>
        <v>NA</v>
      </c>
      <c r="N755" t="str">
        <f>IF(J755="Goat",IF(COUNTIF(lists!$J$2:$J$258, K755) &gt; 0,"indigenous",IF(COUNTIF(lists!$I$2:$I$258, K755) &gt; 0,"cross.bred","not found")),"NA")</f>
        <v>not found</v>
      </c>
      <c r="O755" s="9" t="s">
        <v>109</v>
      </c>
      <c r="P755" s="9" t="s">
        <v>106</v>
      </c>
      <c r="Q755" s="9" t="s">
        <v>3806</v>
      </c>
      <c r="S755" s="9" t="s">
        <v>106</v>
      </c>
      <c r="T755" s="9" t="s">
        <v>106</v>
      </c>
      <c r="U755" s="9" t="s">
        <v>106</v>
      </c>
      <c r="V755" s="9" t="s">
        <v>106</v>
      </c>
      <c r="W755" s="9" t="s">
        <v>106</v>
      </c>
      <c r="X755" s="9" t="s">
        <v>106</v>
      </c>
      <c r="Y755" s="9" t="s">
        <v>106</v>
      </c>
      <c r="Z755" s="37"/>
      <c r="AA755" s="37"/>
      <c r="AB755" s="37"/>
      <c r="AE755">
        <v>0</v>
      </c>
    </row>
    <row r="756" spans="1:31" hidden="1">
      <c r="A756" s="9" t="s">
        <v>1526</v>
      </c>
      <c r="B756" s="9" t="s">
        <v>1530</v>
      </c>
      <c r="C756" s="9" t="s">
        <v>105</v>
      </c>
      <c r="D756" s="9">
        <v>3.8565</v>
      </c>
      <c r="E756" s="9">
        <v>45.939</v>
      </c>
      <c r="F756" s="9">
        <v>9</v>
      </c>
      <c r="G756" s="9">
        <v>43.65</v>
      </c>
      <c r="H756" s="9" t="s">
        <v>106</v>
      </c>
      <c r="I756" s="9">
        <v>15</v>
      </c>
      <c r="J756" s="9" t="s">
        <v>116</v>
      </c>
      <c r="K756" s="9" t="s">
        <v>524</v>
      </c>
      <c r="L756" t="str">
        <f>IF(OR(J756="Cattle",J756="Zebu Cattle"),IF(COUNTIF(lists!$M$2:$M$258, K756) &gt; 0,"bos.indicus",IF(COUNTIF(lists!$L$2:$L$258, K756) &gt; 0,"cross.bred","pure.bred.exotic")),"NA")</f>
        <v>NA</v>
      </c>
      <c r="M756" t="str">
        <f>IF(J756="Sheep",IF(COUNTIF(lists!$H$2:$H$258, K756) &gt; 0,"indigenous",IF(COUNTIF(lists!$G$2:$G$258, K756) &gt; 0,"cross.bred","not found")),"NA")</f>
        <v>NA</v>
      </c>
      <c r="N756" t="str">
        <f>IF(J756="Goat",IF(COUNTIF(lists!$J$2:$J$258, K756) &gt; 0,"indigenous",IF(COUNTIF(lists!$I$2:$I$258, K756) &gt; 0,"cross.bred","not found")),"NA")</f>
        <v>not found</v>
      </c>
      <c r="O756" s="9" t="s">
        <v>109</v>
      </c>
      <c r="P756" s="9" t="s">
        <v>106</v>
      </c>
      <c r="Q756" s="9" t="s">
        <v>3806</v>
      </c>
      <c r="S756" s="9" t="s">
        <v>106</v>
      </c>
      <c r="T756" s="9" t="s">
        <v>106</v>
      </c>
      <c r="U756" s="9" t="s">
        <v>106</v>
      </c>
      <c r="V756" s="9" t="s">
        <v>106</v>
      </c>
      <c r="W756" s="9" t="s">
        <v>106</v>
      </c>
      <c r="X756" s="9" t="s">
        <v>106</v>
      </c>
      <c r="Y756" s="9" t="s">
        <v>106</v>
      </c>
      <c r="Z756" s="37"/>
      <c r="AA756" s="37"/>
      <c r="AB756" s="37"/>
      <c r="AE756">
        <v>0</v>
      </c>
    </row>
    <row r="757" spans="1:31" hidden="1">
      <c r="A757" s="9" t="s">
        <v>1526</v>
      </c>
      <c r="B757" s="9" t="s">
        <v>1531</v>
      </c>
      <c r="C757" s="9" t="s">
        <v>105</v>
      </c>
      <c r="D757" s="9">
        <v>2.1791700000000001</v>
      </c>
      <c r="E757" s="9">
        <v>29.324000000000002</v>
      </c>
      <c r="F757" s="9">
        <v>9</v>
      </c>
      <c r="G757" s="9">
        <v>-8</v>
      </c>
      <c r="H757" s="9" t="s">
        <v>106</v>
      </c>
      <c r="I757" s="9">
        <v>15</v>
      </c>
      <c r="J757" s="9" t="s">
        <v>116</v>
      </c>
      <c r="K757" s="9" t="s">
        <v>524</v>
      </c>
      <c r="L757" t="str">
        <f>IF(OR(J757="Cattle",J757="Zebu Cattle"),IF(COUNTIF(lists!$M$2:$M$258, K757) &gt; 0,"bos.indicus",IF(COUNTIF(lists!$L$2:$L$258, K757) &gt; 0,"cross.bred","pure.bred.exotic")),"NA")</f>
        <v>NA</v>
      </c>
      <c r="M757" t="str">
        <f>IF(J757="Sheep",IF(COUNTIF(lists!$H$2:$H$258, K757) &gt; 0,"indigenous",IF(COUNTIF(lists!$G$2:$G$258, K757) &gt; 0,"cross.bred","not found")),"NA")</f>
        <v>NA</v>
      </c>
      <c r="N757" t="str">
        <f>IF(J757="Goat",IF(COUNTIF(lists!$J$2:$J$258, K757) &gt; 0,"indigenous",IF(COUNTIF(lists!$I$2:$I$258, K757) &gt; 0,"cross.bred","not found")),"NA")</f>
        <v>not found</v>
      </c>
      <c r="O757" s="9" t="s">
        <v>109</v>
      </c>
      <c r="P757" s="9" t="s">
        <v>106</v>
      </c>
      <c r="Q757" s="9" t="s">
        <v>3806</v>
      </c>
      <c r="S757" s="9" t="s">
        <v>106</v>
      </c>
      <c r="T757" s="9" t="s">
        <v>106</v>
      </c>
      <c r="U757" s="9" t="s">
        <v>106</v>
      </c>
      <c r="V757" s="9" t="s">
        <v>106</v>
      </c>
      <c r="W757" s="9" t="s">
        <v>106</v>
      </c>
      <c r="X757" s="9" t="s">
        <v>106</v>
      </c>
      <c r="Y757" s="9" t="s">
        <v>106</v>
      </c>
      <c r="Z757" s="37"/>
      <c r="AA757" s="37"/>
      <c r="AB757" s="37"/>
      <c r="AE757">
        <v>0</v>
      </c>
    </row>
    <row r="758" spans="1:31" hidden="1">
      <c r="A758" s="9" t="s">
        <v>1564</v>
      </c>
      <c r="B758" s="9" t="s">
        <v>1565</v>
      </c>
      <c r="C758" s="9" t="s">
        <v>105</v>
      </c>
      <c r="D758" s="9">
        <v>0.47399999999999998</v>
      </c>
      <c r="E758" s="9">
        <v>21.7</v>
      </c>
      <c r="F758" s="9">
        <v>18</v>
      </c>
      <c r="G758" s="9">
        <v>26</v>
      </c>
      <c r="H758" s="9" t="s">
        <v>106</v>
      </c>
      <c r="I758" s="9">
        <v>16</v>
      </c>
      <c r="J758" s="9" t="s">
        <v>116</v>
      </c>
      <c r="K758" s="9" t="s">
        <v>1566</v>
      </c>
      <c r="L758" t="str">
        <f>IF(OR(J758="Cattle",J758="Zebu Cattle"),IF(COUNTIF(lists!$M$2:$M$258, K758) &gt; 0,"bos.indicus",IF(COUNTIF(lists!$L$2:$L$258, K758) &gt; 0,"cross.bred","pure.bred.exotic")),"NA")</f>
        <v>NA</v>
      </c>
      <c r="M758" t="str">
        <f>IF(J758="Sheep",IF(COUNTIF(lists!$H$2:$H$258, K758) &gt; 0,"indigenous",IF(COUNTIF(lists!$G$2:$G$258, K758) &gt; 0,"cross.bred","not found")),"NA")</f>
        <v>NA</v>
      </c>
      <c r="N758" t="str">
        <f>IF(J758="Goat",IF(COUNTIF(lists!$J$2:$J$258, K758) &gt; 0,"indigenous",IF(COUNTIF(lists!$I$2:$I$258, K758) &gt; 0,"cross.bred","not found")),"NA")</f>
        <v>not found</v>
      </c>
      <c r="O758" s="9" t="s">
        <v>124</v>
      </c>
      <c r="P758" s="9" t="s">
        <v>106</v>
      </c>
      <c r="Q758" s="9" t="s">
        <v>3806</v>
      </c>
      <c r="S758" s="9" t="s">
        <v>106</v>
      </c>
      <c r="T758" s="9" t="s">
        <v>106</v>
      </c>
      <c r="U758" s="9" t="s">
        <v>106</v>
      </c>
      <c r="V758" s="9" t="s">
        <v>106</v>
      </c>
      <c r="W758" s="9" t="s">
        <v>106</v>
      </c>
      <c r="X758" s="9" t="s">
        <v>106</v>
      </c>
      <c r="Y758" s="9">
        <v>768</v>
      </c>
      <c r="Z758" s="37"/>
      <c r="AA758" s="37"/>
      <c r="AB758" s="37"/>
      <c r="AE758">
        <v>0</v>
      </c>
    </row>
    <row r="759" spans="1:31" hidden="1">
      <c r="A759" s="9" t="s">
        <v>1564</v>
      </c>
      <c r="B759" s="9" t="s">
        <v>1567</v>
      </c>
      <c r="C759" s="9" t="s">
        <v>105</v>
      </c>
      <c r="D759" s="9">
        <v>0.54500000000000004</v>
      </c>
      <c r="E759" s="9">
        <v>21.5</v>
      </c>
      <c r="F759" s="9">
        <v>18</v>
      </c>
      <c r="G759" s="9">
        <v>27</v>
      </c>
      <c r="H759" s="9" t="s">
        <v>106</v>
      </c>
      <c r="I759" s="9">
        <v>16</v>
      </c>
      <c r="J759" s="9" t="s">
        <v>116</v>
      </c>
      <c r="K759" s="9" t="s">
        <v>1566</v>
      </c>
      <c r="L759" t="str">
        <f>IF(OR(J759="Cattle",J759="Zebu Cattle"),IF(COUNTIF(lists!$M$2:$M$258, K759) &gt; 0,"bos.indicus",IF(COUNTIF(lists!$L$2:$L$258, K759) &gt; 0,"cross.bred","pure.bred.exotic")),"NA")</f>
        <v>NA</v>
      </c>
      <c r="M759" t="str">
        <f>IF(J759="Sheep",IF(COUNTIF(lists!$H$2:$H$258, K759) &gt; 0,"indigenous",IF(COUNTIF(lists!$G$2:$G$258, K759) &gt; 0,"cross.bred","not found")),"NA")</f>
        <v>NA</v>
      </c>
      <c r="N759" t="str">
        <f>IF(J759="Goat",IF(COUNTIF(lists!$J$2:$J$258, K759) &gt; 0,"indigenous",IF(COUNTIF(lists!$I$2:$I$258, K759) &gt; 0,"cross.bred","not found")),"NA")</f>
        <v>not found</v>
      </c>
      <c r="O759" s="9" t="s">
        <v>124</v>
      </c>
      <c r="P759" s="9" t="s">
        <v>106</v>
      </c>
      <c r="Q759" s="9" t="s">
        <v>3806</v>
      </c>
      <c r="S759" s="9" t="s">
        <v>106</v>
      </c>
      <c r="T759" s="9" t="s">
        <v>106</v>
      </c>
      <c r="U759" s="9" t="s">
        <v>106</v>
      </c>
      <c r="V759" s="9" t="s">
        <v>106</v>
      </c>
      <c r="W759" s="9" t="s">
        <v>106</v>
      </c>
      <c r="X759" s="9" t="s">
        <v>106</v>
      </c>
      <c r="Y759" s="9">
        <v>635</v>
      </c>
      <c r="Z759" s="37"/>
      <c r="AA759" s="37"/>
      <c r="AB759" s="37"/>
      <c r="AE759">
        <v>0</v>
      </c>
    </row>
    <row r="760" spans="1:31" hidden="1">
      <c r="A760" s="9" t="s">
        <v>1564</v>
      </c>
      <c r="B760" s="9" t="s">
        <v>1568</v>
      </c>
      <c r="C760" s="9" t="s">
        <v>105</v>
      </c>
      <c r="D760" s="9">
        <v>0.54500000000000004</v>
      </c>
      <c r="E760" s="9">
        <v>21.5</v>
      </c>
      <c r="F760" s="9">
        <v>18</v>
      </c>
      <c r="G760" s="9">
        <v>27</v>
      </c>
      <c r="H760" s="9" t="s">
        <v>106</v>
      </c>
      <c r="I760" s="9">
        <v>16</v>
      </c>
      <c r="J760" s="9" t="s">
        <v>116</v>
      </c>
      <c r="K760" s="9" t="s">
        <v>1566</v>
      </c>
      <c r="L760" t="str">
        <f>IF(OR(J760="Cattle",J760="Zebu Cattle"),IF(COUNTIF(lists!$M$2:$M$258, K760) &gt; 0,"bos.indicus",IF(COUNTIF(lists!$L$2:$L$258, K760) &gt; 0,"cross.bred","pure.bred.exotic")),"NA")</f>
        <v>NA</v>
      </c>
      <c r="M760" t="str">
        <f>IF(J760="Sheep",IF(COUNTIF(lists!$H$2:$H$258, K760) &gt; 0,"indigenous",IF(COUNTIF(lists!$G$2:$G$258, K760) &gt; 0,"cross.bred","not found")),"NA")</f>
        <v>NA</v>
      </c>
      <c r="N760" t="str">
        <f>IF(J760="Goat",IF(COUNTIF(lists!$J$2:$J$258, K760) &gt; 0,"indigenous",IF(COUNTIF(lists!$I$2:$I$258, K760) &gt; 0,"cross.bred","not found")),"NA")</f>
        <v>not found</v>
      </c>
      <c r="O760" s="9" t="s">
        <v>124</v>
      </c>
      <c r="P760" s="9" t="s">
        <v>106</v>
      </c>
      <c r="Q760" s="9" t="s">
        <v>3806</v>
      </c>
      <c r="S760" s="9" t="s">
        <v>106</v>
      </c>
      <c r="T760" s="9" t="s">
        <v>106</v>
      </c>
      <c r="U760" s="9" t="s">
        <v>106</v>
      </c>
      <c r="V760" s="9" t="s">
        <v>106</v>
      </c>
      <c r="W760" s="9" t="s">
        <v>106</v>
      </c>
      <c r="X760" s="9" t="s">
        <v>106</v>
      </c>
      <c r="Y760" s="9">
        <v>635</v>
      </c>
      <c r="Z760" s="37"/>
      <c r="AA760" s="37"/>
      <c r="AB760" s="37"/>
      <c r="AE760">
        <v>0</v>
      </c>
    </row>
    <row r="761" spans="1:31" hidden="1">
      <c r="A761" s="9" t="s">
        <v>1564</v>
      </c>
      <c r="B761" s="9" t="s">
        <v>1569</v>
      </c>
      <c r="C761" s="9" t="s">
        <v>105</v>
      </c>
      <c r="D761" s="9">
        <v>0.60399999999999998</v>
      </c>
      <c r="E761" s="9">
        <v>21.5</v>
      </c>
      <c r="F761" s="9">
        <v>18</v>
      </c>
      <c r="G761" s="9">
        <v>43</v>
      </c>
      <c r="H761" s="9" t="s">
        <v>106</v>
      </c>
      <c r="I761" s="9">
        <v>16</v>
      </c>
      <c r="J761" s="9" t="s">
        <v>116</v>
      </c>
      <c r="K761" s="9" t="s">
        <v>1566</v>
      </c>
      <c r="L761" t="str">
        <f>IF(OR(J761="Cattle",J761="Zebu Cattle"),IF(COUNTIF(lists!$M$2:$M$258, K761) &gt; 0,"bos.indicus",IF(COUNTIF(lists!$L$2:$L$258, K761) &gt; 0,"cross.bred","pure.bred.exotic")),"NA")</f>
        <v>NA</v>
      </c>
      <c r="M761" t="str">
        <f>IF(J761="Sheep",IF(COUNTIF(lists!$H$2:$H$258, K761) &gt; 0,"indigenous",IF(COUNTIF(lists!$G$2:$G$258, K761) &gt; 0,"cross.bred","not found")),"NA")</f>
        <v>NA</v>
      </c>
      <c r="N761" t="str">
        <f>IF(J761="Goat",IF(COUNTIF(lists!$J$2:$J$258, K761) &gt; 0,"indigenous",IF(COUNTIF(lists!$I$2:$I$258, K761) &gt; 0,"cross.bred","not found")),"NA")</f>
        <v>not found</v>
      </c>
      <c r="O761" s="9" t="s">
        <v>124</v>
      </c>
      <c r="P761" s="9" t="s">
        <v>106</v>
      </c>
      <c r="Q761" s="9" t="s">
        <v>3806</v>
      </c>
      <c r="S761" s="9" t="s">
        <v>106</v>
      </c>
      <c r="T761" s="9" t="s">
        <v>106</v>
      </c>
      <c r="U761" s="9" t="s">
        <v>106</v>
      </c>
      <c r="V761" s="9" t="s">
        <v>106</v>
      </c>
      <c r="W761" s="9" t="s">
        <v>106</v>
      </c>
      <c r="X761" s="9" t="s">
        <v>106</v>
      </c>
      <c r="Y761" s="9">
        <v>711</v>
      </c>
      <c r="Z761" s="37"/>
      <c r="AA761" s="37"/>
      <c r="AB761" s="37"/>
      <c r="AE761">
        <v>0</v>
      </c>
    </row>
    <row r="762" spans="1:31" hidden="1">
      <c r="A762" s="9" t="s">
        <v>1564</v>
      </c>
      <c r="B762" s="9" t="s">
        <v>1570</v>
      </c>
      <c r="C762" s="9" t="s">
        <v>105</v>
      </c>
      <c r="D762" s="9">
        <v>0.60399999999999998</v>
      </c>
      <c r="E762" s="9">
        <v>21.5</v>
      </c>
      <c r="F762" s="9">
        <v>18</v>
      </c>
      <c r="G762" s="9">
        <v>43</v>
      </c>
      <c r="H762" s="9" t="s">
        <v>106</v>
      </c>
      <c r="I762" s="9">
        <v>16</v>
      </c>
      <c r="J762" s="9" t="s">
        <v>116</v>
      </c>
      <c r="K762" s="9" t="s">
        <v>1566</v>
      </c>
      <c r="L762" t="str">
        <f>IF(OR(J762="Cattle",J762="Zebu Cattle"),IF(COUNTIF(lists!$M$2:$M$258, K762) &gt; 0,"bos.indicus",IF(COUNTIF(lists!$L$2:$L$258, K762) &gt; 0,"cross.bred","pure.bred.exotic")),"NA")</f>
        <v>NA</v>
      </c>
      <c r="M762" t="str">
        <f>IF(J762="Sheep",IF(COUNTIF(lists!$H$2:$H$258, K762) &gt; 0,"indigenous",IF(COUNTIF(lists!$G$2:$G$258, K762) &gt; 0,"cross.bred","not found")),"NA")</f>
        <v>NA</v>
      </c>
      <c r="N762" t="str">
        <f>IF(J762="Goat",IF(COUNTIF(lists!$J$2:$J$258, K762) &gt; 0,"indigenous",IF(COUNTIF(lists!$I$2:$I$258, K762) &gt; 0,"cross.bred","not found")),"NA")</f>
        <v>not found</v>
      </c>
      <c r="O762" s="9" t="s">
        <v>124</v>
      </c>
      <c r="P762" s="9" t="s">
        <v>106</v>
      </c>
      <c r="Q762" s="9" t="s">
        <v>3806</v>
      </c>
      <c r="S762" s="9" t="s">
        <v>106</v>
      </c>
      <c r="T762" s="9" t="s">
        <v>106</v>
      </c>
      <c r="U762" s="9" t="s">
        <v>106</v>
      </c>
      <c r="V762" s="9" t="s">
        <v>106</v>
      </c>
      <c r="W762" s="9" t="s">
        <v>106</v>
      </c>
      <c r="X762" s="9" t="s">
        <v>106</v>
      </c>
      <c r="Y762" s="9">
        <v>711</v>
      </c>
      <c r="Z762" s="37"/>
      <c r="AA762" s="37"/>
      <c r="AB762" s="37"/>
      <c r="AE762">
        <v>0</v>
      </c>
    </row>
    <row r="763" spans="1:31" hidden="1">
      <c r="A763" s="9" t="s">
        <v>1564</v>
      </c>
      <c r="B763" s="9" t="s">
        <v>1571</v>
      </c>
      <c r="C763" s="9" t="s">
        <v>105</v>
      </c>
      <c r="D763" s="9">
        <v>0.56499999999999995</v>
      </c>
      <c r="E763" s="9">
        <v>21.5</v>
      </c>
      <c r="F763" s="9">
        <v>18</v>
      </c>
      <c r="G763" s="9">
        <v>69</v>
      </c>
      <c r="H763" s="9" t="s">
        <v>106</v>
      </c>
      <c r="I763" s="9">
        <v>16</v>
      </c>
      <c r="J763" s="9" t="s">
        <v>116</v>
      </c>
      <c r="K763" s="9" t="s">
        <v>1566</v>
      </c>
      <c r="L763" t="str">
        <f>IF(OR(J763="Cattle",J763="Zebu Cattle"),IF(COUNTIF(lists!$M$2:$M$258, K763) &gt; 0,"bos.indicus",IF(COUNTIF(lists!$L$2:$L$258, K763) &gt; 0,"cross.bred","pure.bred.exotic")),"NA")</f>
        <v>NA</v>
      </c>
      <c r="M763" t="str">
        <f>IF(J763="Sheep",IF(COUNTIF(lists!$H$2:$H$258, K763) &gt; 0,"indigenous",IF(COUNTIF(lists!$G$2:$G$258, K763) &gt; 0,"cross.bred","not found")),"NA")</f>
        <v>NA</v>
      </c>
      <c r="N763" t="str">
        <f>IF(J763="Goat",IF(COUNTIF(lists!$J$2:$J$258, K763) &gt; 0,"indigenous",IF(COUNTIF(lists!$I$2:$I$258, K763) &gt; 0,"cross.bred","not found")),"NA")</f>
        <v>not found</v>
      </c>
      <c r="O763" s="9" t="s">
        <v>124</v>
      </c>
      <c r="P763" s="9" t="s">
        <v>106</v>
      </c>
      <c r="Q763" s="9" t="s">
        <v>3806</v>
      </c>
      <c r="S763" s="9" t="s">
        <v>106</v>
      </c>
      <c r="T763" s="9" t="s">
        <v>106</v>
      </c>
      <c r="U763" s="9" t="s">
        <v>106</v>
      </c>
      <c r="V763" s="9" t="s">
        <v>106</v>
      </c>
      <c r="W763" s="9" t="s">
        <v>106</v>
      </c>
      <c r="X763" s="9" t="s">
        <v>106</v>
      </c>
      <c r="Y763" s="9">
        <v>7553</v>
      </c>
      <c r="Z763" s="37"/>
      <c r="AA763" s="37"/>
      <c r="AB763" s="37"/>
      <c r="AE763">
        <v>0</v>
      </c>
    </row>
    <row r="764" spans="1:31" hidden="1">
      <c r="A764" s="9" t="s">
        <v>1564</v>
      </c>
      <c r="B764" s="9" t="s">
        <v>1572</v>
      </c>
      <c r="C764" s="9" t="s">
        <v>105</v>
      </c>
      <c r="D764" s="9">
        <v>0.56499999999999995</v>
      </c>
      <c r="E764" s="9">
        <v>21.5</v>
      </c>
      <c r="F764" s="9">
        <v>18</v>
      </c>
      <c r="G764" s="9">
        <v>69</v>
      </c>
      <c r="H764" s="9" t="s">
        <v>106</v>
      </c>
      <c r="I764" s="9">
        <v>16</v>
      </c>
      <c r="J764" s="9" t="s">
        <v>116</v>
      </c>
      <c r="K764" s="9" t="s">
        <v>1566</v>
      </c>
      <c r="L764" t="str">
        <f>IF(OR(J764="Cattle",J764="Zebu Cattle"),IF(COUNTIF(lists!$M$2:$M$258, K764) &gt; 0,"bos.indicus",IF(COUNTIF(lists!$L$2:$L$258, K764) &gt; 0,"cross.bred","pure.bred.exotic")),"NA")</f>
        <v>NA</v>
      </c>
      <c r="M764" t="str">
        <f>IF(J764="Sheep",IF(COUNTIF(lists!$H$2:$H$258, K764) &gt; 0,"indigenous",IF(COUNTIF(lists!$G$2:$G$258, K764) &gt; 0,"cross.bred","not found")),"NA")</f>
        <v>NA</v>
      </c>
      <c r="N764" t="str">
        <f>IF(J764="Goat",IF(COUNTIF(lists!$J$2:$J$258, K764) &gt; 0,"indigenous",IF(COUNTIF(lists!$I$2:$I$258, K764) &gt; 0,"cross.bred","not found")),"NA")</f>
        <v>not found</v>
      </c>
      <c r="O764" s="9" t="s">
        <v>124</v>
      </c>
      <c r="P764" s="9" t="s">
        <v>106</v>
      </c>
      <c r="Q764" s="9" t="s">
        <v>3806</v>
      </c>
      <c r="S764" s="9" t="s">
        <v>106</v>
      </c>
      <c r="T764" s="9" t="s">
        <v>106</v>
      </c>
      <c r="U764" s="9" t="s">
        <v>106</v>
      </c>
      <c r="V764" s="9" t="s">
        <v>106</v>
      </c>
      <c r="W764" s="9" t="s">
        <v>106</v>
      </c>
      <c r="X764" s="9" t="s">
        <v>106</v>
      </c>
      <c r="Y764" s="9">
        <v>7553</v>
      </c>
      <c r="Z764" s="37"/>
      <c r="AA764" s="37"/>
      <c r="AB764" s="37"/>
      <c r="AE764">
        <v>0</v>
      </c>
    </row>
    <row r="765" spans="1:31" hidden="1">
      <c r="A765" s="9" t="s">
        <v>1574</v>
      </c>
      <c r="B765" s="9" t="s">
        <v>119</v>
      </c>
      <c r="C765" s="9" t="s">
        <v>105</v>
      </c>
      <c r="D765" s="9">
        <v>0.75209999999999999</v>
      </c>
      <c r="E765" s="9">
        <v>81.900000000000006</v>
      </c>
      <c r="F765" s="9">
        <v>18.600000000000001</v>
      </c>
      <c r="G765" s="9">
        <v>49.6</v>
      </c>
      <c r="H765" s="9" t="s">
        <v>106</v>
      </c>
      <c r="I765" s="9">
        <v>36</v>
      </c>
      <c r="J765" s="9" t="s">
        <v>116</v>
      </c>
      <c r="K765" s="9" t="s">
        <v>1575</v>
      </c>
      <c r="L765" t="str">
        <f>IF(OR(J765="Cattle",J765="Zebu Cattle"),IF(COUNTIF(lists!$M$2:$M$258, K765) &gt; 0,"bos.indicus",IF(COUNTIF(lists!$L$2:$L$258, K765) &gt; 0,"cross.bred","pure.bred.exotic")),"NA")</f>
        <v>NA</v>
      </c>
      <c r="M765" t="str">
        <f>IF(J765="Sheep",IF(COUNTIF(lists!$H$2:$H$258, K765) &gt; 0,"indigenous",IF(COUNTIF(lists!$G$2:$G$258, K765) &gt; 0,"cross.bred","not found")),"NA")</f>
        <v>NA</v>
      </c>
      <c r="N765" t="str">
        <f>IF(J765="Goat",IF(COUNTIF(lists!$J$2:$J$258, K765) &gt; 0,"indigenous",IF(COUNTIF(lists!$I$2:$I$258, K765) &gt; 0,"cross.bred","not found")),"NA")</f>
        <v>not found</v>
      </c>
      <c r="O765" s="9" t="s">
        <v>124</v>
      </c>
      <c r="P765" s="9" t="s">
        <v>106</v>
      </c>
      <c r="Q765" s="9" t="s">
        <v>3806</v>
      </c>
      <c r="S765" s="9">
        <v>318</v>
      </c>
      <c r="T765" s="9">
        <v>80</v>
      </c>
      <c r="U765" s="9">
        <v>225</v>
      </c>
      <c r="V765" s="9">
        <v>911</v>
      </c>
      <c r="W765" s="9">
        <v>39</v>
      </c>
      <c r="X765" s="9">
        <v>394</v>
      </c>
      <c r="Y765" s="9" t="s">
        <v>106</v>
      </c>
      <c r="Z765" s="37"/>
      <c r="AA765" s="37"/>
      <c r="AB765" s="37"/>
      <c r="AE765">
        <v>0</v>
      </c>
    </row>
    <row r="766" spans="1:31" hidden="1">
      <c r="A766" s="9" t="s">
        <v>1574</v>
      </c>
      <c r="B766" s="9" t="s">
        <v>1576</v>
      </c>
      <c r="C766" s="9" t="s">
        <v>105</v>
      </c>
      <c r="D766" s="9">
        <v>0.86119999999999997</v>
      </c>
      <c r="E766" s="9">
        <v>81.900000000000006</v>
      </c>
      <c r="F766" s="9">
        <v>18.600000000000001</v>
      </c>
      <c r="G766" s="9">
        <v>56.8</v>
      </c>
      <c r="H766" s="9" t="s">
        <v>106</v>
      </c>
      <c r="I766" s="9">
        <v>36</v>
      </c>
      <c r="J766" s="9" t="s">
        <v>116</v>
      </c>
      <c r="K766" s="9" t="s">
        <v>1575</v>
      </c>
      <c r="L766" t="str">
        <f>IF(OR(J766="Cattle",J766="Zebu Cattle"),IF(COUNTIF(lists!$M$2:$M$258, K766) &gt; 0,"bos.indicus",IF(COUNTIF(lists!$L$2:$L$258, K766) &gt; 0,"cross.bred","pure.bred.exotic")),"NA")</f>
        <v>NA</v>
      </c>
      <c r="M766" t="str">
        <f>IF(J766="Sheep",IF(COUNTIF(lists!$H$2:$H$258, K766) &gt; 0,"indigenous",IF(COUNTIF(lists!$G$2:$G$258, K766) &gt; 0,"cross.bred","not found")),"NA")</f>
        <v>NA</v>
      </c>
      <c r="N766" t="str">
        <f>IF(J766="Goat",IF(COUNTIF(lists!$J$2:$J$258, K766) &gt; 0,"indigenous",IF(COUNTIF(lists!$I$2:$I$258, K766) &gt; 0,"cross.bred","not found")),"NA")</f>
        <v>not found</v>
      </c>
      <c r="O766" s="9" t="s">
        <v>124</v>
      </c>
      <c r="P766" s="9" t="s">
        <v>106</v>
      </c>
      <c r="Q766" s="9" t="s">
        <v>3806</v>
      </c>
      <c r="S766" s="9">
        <v>411</v>
      </c>
      <c r="T766" s="9">
        <v>39</v>
      </c>
      <c r="U766" s="9">
        <v>214</v>
      </c>
      <c r="V766" s="9">
        <v>915</v>
      </c>
      <c r="W766" s="9">
        <v>8</v>
      </c>
      <c r="X766" s="9">
        <v>511</v>
      </c>
      <c r="Y766" s="9" t="s">
        <v>106</v>
      </c>
      <c r="Z766" s="37"/>
      <c r="AA766" s="37"/>
      <c r="AB766" s="37"/>
      <c r="AE766">
        <v>0</v>
      </c>
    </row>
    <row r="767" spans="1:31" hidden="1">
      <c r="A767" s="9" t="s">
        <v>1574</v>
      </c>
      <c r="B767" s="9" t="s">
        <v>1577</v>
      </c>
      <c r="C767" s="9" t="s">
        <v>105</v>
      </c>
      <c r="D767" s="9">
        <v>0.72050000000000003</v>
      </c>
      <c r="E767" s="9">
        <v>81.900000000000006</v>
      </c>
      <c r="F767" s="9">
        <v>18.600000000000001</v>
      </c>
      <c r="G767" s="9">
        <v>61.6</v>
      </c>
      <c r="H767" s="9" t="s">
        <v>106</v>
      </c>
      <c r="I767" s="9">
        <v>36</v>
      </c>
      <c r="J767" s="9" t="s">
        <v>116</v>
      </c>
      <c r="K767" s="9" t="s">
        <v>1575</v>
      </c>
      <c r="L767" t="str">
        <f>IF(OR(J767="Cattle",J767="Zebu Cattle"),IF(COUNTIF(lists!$M$2:$M$258, K767) &gt; 0,"bos.indicus",IF(COUNTIF(lists!$L$2:$L$258, K767) &gt; 0,"cross.bred","pure.bred.exotic")),"NA")</f>
        <v>NA</v>
      </c>
      <c r="M767" t="str">
        <f>IF(J767="Sheep",IF(COUNTIF(lists!$H$2:$H$258, K767) &gt; 0,"indigenous",IF(COUNTIF(lists!$G$2:$G$258, K767) &gt; 0,"cross.bred","not found")),"NA")</f>
        <v>NA</v>
      </c>
      <c r="N767" t="str">
        <f>IF(J767="Goat",IF(COUNTIF(lists!$J$2:$J$258, K767) &gt; 0,"indigenous",IF(COUNTIF(lists!$I$2:$I$258, K767) &gt; 0,"cross.bred","not found")),"NA")</f>
        <v>not found</v>
      </c>
      <c r="O767" s="9" t="s">
        <v>124</v>
      </c>
      <c r="P767" s="9" t="s">
        <v>106</v>
      </c>
      <c r="Q767" s="9" t="s">
        <v>3806</v>
      </c>
      <c r="S767" s="9">
        <v>310</v>
      </c>
      <c r="T767" s="9">
        <v>55</v>
      </c>
      <c r="U767" s="9">
        <v>161</v>
      </c>
      <c r="V767" s="9">
        <v>914</v>
      </c>
      <c r="W767" s="9">
        <v>36</v>
      </c>
      <c r="X767" s="9">
        <v>375</v>
      </c>
      <c r="Y767" s="9" t="s">
        <v>106</v>
      </c>
      <c r="Z767" s="37"/>
      <c r="AA767" s="37"/>
      <c r="AB767" s="37"/>
      <c r="AE767">
        <v>0</v>
      </c>
    </row>
    <row r="768" spans="1:31" hidden="1">
      <c r="A768" s="9" t="s">
        <v>1574</v>
      </c>
      <c r="B768" s="9" t="s">
        <v>1578</v>
      </c>
      <c r="C768" s="9" t="s">
        <v>105</v>
      </c>
      <c r="D768" s="9">
        <v>0.78400000000000003</v>
      </c>
      <c r="E768" s="9">
        <v>81.900000000000006</v>
      </c>
      <c r="F768" s="9">
        <v>18.600000000000001</v>
      </c>
      <c r="G768" s="9">
        <v>59.1</v>
      </c>
      <c r="H768" s="9" t="s">
        <v>106</v>
      </c>
      <c r="I768" s="9">
        <v>36</v>
      </c>
      <c r="J768" s="9" t="s">
        <v>116</v>
      </c>
      <c r="K768" s="9" t="s">
        <v>1575</v>
      </c>
      <c r="L768" t="str">
        <f>IF(OR(J768="Cattle",J768="Zebu Cattle"),IF(COUNTIF(lists!$M$2:$M$258, K768) &gt; 0,"bos.indicus",IF(COUNTIF(lists!$L$2:$L$258, K768) &gt; 0,"cross.bred","pure.bred.exotic")),"NA")</f>
        <v>NA</v>
      </c>
      <c r="M768" t="str">
        <f>IF(J768="Sheep",IF(COUNTIF(lists!$H$2:$H$258, K768) &gt; 0,"indigenous",IF(COUNTIF(lists!$G$2:$G$258, K768) &gt; 0,"cross.bred","not found")),"NA")</f>
        <v>NA</v>
      </c>
      <c r="N768" t="str">
        <f>IF(J768="Goat",IF(COUNTIF(lists!$J$2:$J$258, K768) &gt; 0,"indigenous",IF(COUNTIF(lists!$I$2:$I$258, K768) &gt; 0,"cross.bred","not found")),"NA")</f>
        <v>not found</v>
      </c>
      <c r="O768" s="9" t="s">
        <v>124</v>
      </c>
      <c r="P768" s="9" t="s">
        <v>106</v>
      </c>
      <c r="Q768" s="9" t="s">
        <v>3806</v>
      </c>
      <c r="S768" s="9">
        <v>350</v>
      </c>
      <c r="T768" s="9">
        <v>89</v>
      </c>
      <c r="U768" s="9">
        <v>243</v>
      </c>
      <c r="V768" s="9">
        <v>926</v>
      </c>
      <c r="W768" s="9">
        <v>37</v>
      </c>
      <c r="X768" s="9">
        <v>380</v>
      </c>
      <c r="Y768" s="9" t="s">
        <v>106</v>
      </c>
      <c r="Z768" s="37"/>
      <c r="AA768" s="37"/>
      <c r="AB768" s="37"/>
      <c r="AE768">
        <v>0</v>
      </c>
    </row>
    <row r="769" spans="1:31" hidden="1">
      <c r="A769" s="9" t="s">
        <v>1574</v>
      </c>
      <c r="B769" s="9" t="s">
        <v>1579</v>
      </c>
      <c r="C769" s="9" t="s">
        <v>105</v>
      </c>
      <c r="D769" s="9">
        <v>0.80189999999999995</v>
      </c>
      <c r="E769" s="9">
        <v>81.900000000000006</v>
      </c>
      <c r="F769" s="9">
        <v>18.600000000000001</v>
      </c>
      <c r="G769" s="9">
        <v>65.5</v>
      </c>
      <c r="H769" s="9" t="s">
        <v>106</v>
      </c>
      <c r="I769" s="9">
        <v>36</v>
      </c>
      <c r="J769" s="9" t="s">
        <v>116</v>
      </c>
      <c r="K769" s="9" t="s">
        <v>1575</v>
      </c>
      <c r="L769" t="str">
        <f>IF(OR(J769="Cattle",J769="Zebu Cattle"),IF(COUNTIF(lists!$M$2:$M$258, K769) &gt; 0,"bos.indicus",IF(COUNTIF(lists!$L$2:$L$258, K769) &gt; 0,"cross.bred","pure.bred.exotic")),"NA")</f>
        <v>NA</v>
      </c>
      <c r="M769" t="str">
        <f>IF(J769="Sheep",IF(COUNTIF(lists!$H$2:$H$258, K769) &gt; 0,"indigenous",IF(COUNTIF(lists!$G$2:$G$258, K769) &gt; 0,"cross.bred","not found")),"NA")</f>
        <v>NA</v>
      </c>
      <c r="N769" t="str">
        <f>IF(J769="Goat",IF(COUNTIF(lists!$J$2:$J$258, K769) &gt; 0,"indigenous",IF(COUNTIF(lists!$I$2:$I$258, K769) &gt; 0,"cross.bred","not found")),"NA")</f>
        <v>not found</v>
      </c>
      <c r="O769" s="9" t="s">
        <v>124</v>
      </c>
      <c r="P769" s="9" t="s">
        <v>106</v>
      </c>
      <c r="Q769" s="9" t="s">
        <v>3806</v>
      </c>
      <c r="S769" s="9">
        <v>207</v>
      </c>
      <c r="T769" s="9">
        <v>35</v>
      </c>
      <c r="U769" s="9">
        <v>135</v>
      </c>
      <c r="V769" s="9">
        <v>918</v>
      </c>
      <c r="W769" s="9">
        <v>17</v>
      </c>
      <c r="X769" s="9">
        <v>227</v>
      </c>
      <c r="Y769" s="9" t="s">
        <v>106</v>
      </c>
      <c r="Z769" s="37"/>
      <c r="AA769" s="37"/>
      <c r="AB769" s="37"/>
      <c r="AE769">
        <v>0</v>
      </c>
    </row>
    <row r="770" spans="1:31" hidden="1">
      <c r="A770" s="9" t="s">
        <v>1574</v>
      </c>
      <c r="B770" s="9" t="s">
        <v>1580</v>
      </c>
      <c r="C770" s="9" t="s">
        <v>105</v>
      </c>
      <c r="D770" s="9">
        <v>0.71579999999999999</v>
      </c>
      <c r="E770" s="9">
        <v>81.900000000000006</v>
      </c>
      <c r="F770" s="9">
        <v>18.600000000000001</v>
      </c>
      <c r="G770" s="9">
        <v>68.5</v>
      </c>
      <c r="H770" s="9" t="s">
        <v>106</v>
      </c>
      <c r="I770" s="9">
        <v>36</v>
      </c>
      <c r="J770" s="9" t="s">
        <v>116</v>
      </c>
      <c r="K770" s="9" t="s">
        <v>1575</v>
      </c>
      <c r="L770" t="str">
        <f>IF(OR(J770="Cattle",J770="Zebu Cattle"),IF(COUNTIF(lists!$M$2:$M$258, K770) &gt; 0,"bos.indicus",IF(COUNTIF(lists!$L$2:$L$258, K770) &gt; 0,"cross.bred","pure.bred.exotic")),"NA")</f>
        <v>NA</v>
      </c>
      <c r="M770" t="str">
        <f>IF(J770="Sheep",IF(COUNTIF(lists!$H$2:$H$258, K770) &gt; 0,"indigenous",IF(COUNTIF(lists!$G$2:$G$258, K770) &gt; 0,"cross.bred","not found")),"NA")</f>
        <v>NA</v>
      </c>
      <c r="N770" t="str">
        <f>IF(J770="Goat",IF(COUNTIF(lists!$J$2:$J$258, K770) &gt; 0,"indigenous",IF(COUNTIF(lists!$I$2:$I$258, K770) &gt; 0,"cross.bred","not found")),"NA")</f>
        <v>not found</v>
      </c>
      <c r="O770" s="9" t="s">
        <v>124</v>
      </c>
      <c r="P770" s="9" t="s">
        <v>106</v>
      </c>
      <c r="Q770" s="9" t="s">
        <v>3806</v>
      </c>
      <c r="S770" s="9">
        <v>310</v>
      </c>
      <c r="T770" s="9">
        <v>55</v>
      </c>
      <c r="U770" s="9">
        <v>205</v>
      </c>
      <c r="V770" s="9">
        <v>913</v>
      </c>
      <c r="W770" s="9">
        <v>10</v>
      </c>
      <c r="X770" s="9">
        <v>382</v>
      </c>
      <c r="Y770" s="9" t="s">
        <v>106</v>
      </c>
      <c r="Z770" s="37"/>
      <c r="AA770" s="37"/>
      <c r="AB770" s="37"/>
      <c r="AE770">
        <v>0</v>
      </c>
    </row>
    <row r="771" spans="1:31" hidden="1">
      <c r="A771" s="9" t="s">
        <v>1582</v>
      </c>
      <c r="B771" s="9" t="s">
        <v>1583</v>
      </c>
      <c r="C771" s="9" t="s">
        <v>105</v>
      </c>
      <c r="D771" s="9">
        <v>1.331</v>
      </c>
      <c r="E771" s="9">
        <v>44</v>
      </c>
      <c r="F771" s="9">
        <v>46</v>
      </c>
      <c r="G771" s="9">
        <v>-19</v>
      </c>
      <c r="H771" s="9">
        <v>0.6</v>
      </c>
      <c r="I771" s="9">
        <v>6</v>
      </c>
      <c r="J771" s="9" t="s">
        <v>116</v>
      </c>
      <c r="K771" s="9" t="s">
        <v>1566</v>
      </c>
      <c r="L771" t="str">
        <f>IF(OR(J771="Cattle",J771="Zebu Cattle"),IF(COUNTIF(lists!$M$2:$M$258, K771) &gt; 0,"bos.indicus",IF(COUNTIF(lists!$L$2:$L$258, K771) &gt; 0,"cross.bred","pure.bred.exotic")),"NA")</f>
        <v>NA</v>
      </c>
      <c r="M771" t="str">
        <f>IF(J771="Sheep",IF(COUNTIF(lists!$H$2:$H$258, K771) &gt; 0,"indigenous",IF(COUNTIF(lists!$G$2:$G$258, K771) &gt; 0,"cross.bred","not found")),"NA")</f>
        <v>NA</v>
      </c>
      <c r="N771" t="str">
        <f>IF(J771="Goat",IF(COUNTIF(lists!$J$2:$J$258, K771) &gt; 0,"indigenous",IF(COUNTIF(lists!$I$2:$I$258, K771) &gt; 0,"cross.bred","not found")),"NA")</f>
        <v>not found</v>
      </c>
      <c r="O771" s="9" t="s">
        <v>124</v>
      </c>
      <c r="P771" s="9" t="s">
        <v>106</v>
      </c>
      <c r="Q771" s="9" t="s">
        <v>3809</v>
      </c>
      <c r="S771" s="9">
        <v>105</v>
      </c>
      <c r="T771" s="9">
        <v>54</v>
      </c>
      <c r="U771" s="9">
        <v>175</v>
      </c>
      <c r="V771" s="9">
        <v>916</v>
      </c>
      <c r="W771" s="9" t="s">
        <v>106</v>
      </c>
      <c r="X771" s="9">
        <v>256</v>
      </c>
      <c r="Y771" s="9" t="s">
        <v>106</v>
      </c>
      <c r="Z771" s="37"/>
      <c r="AA771" s="37"/>
      <c r="AB771" s="37"/>
      <c r="AE771">
        <v>0</v>
      </c>
    </row>
    <row r="772" spans="1:31" hidden="1">
      <c r="A772" s="9" t="s">
        <v>1582</v>
      </c>
      <c r="B772" s="9" t="s">
        <v>1584</v>
      </c>
      <c r="C772" s="9" t="s">
        <v>105</v>
      </c>
      <c r="D772" s="9">
        <v>1.385</v>
      </c>
      <c r="E772" s="9">
        <v>44</v>
      </c>
      <c r="F772" s="9">
        <v>46</v>
      </c>
      <c r="G772" s="9">
        <v>11</v>
      </c>
      <c r="H772" s="9">
        <v>0.5</v>
      </c>
      <c r="I772" s="9">
        <v>6</v>
      </c>
      <c r="J772" s="9" t="s">
        <v>116</v>
      </c>
      <c r="K772" s="9" t="s">
        <v>1566</v>
      </c>
      <c r="L772" t="str">
        <f>IF(OR(J772="Cattle",J772="Zebu Cattle"),IF(COUNTIF(lists!$M$2:$M$258, K772) &gt; 0,"bos.indicus",IF(COUNTIF(lists!$L$2:$L$258, K772) &gt; 0,"cross.bred","pure.bred.exotic")),"NA")</f>
        <v>NA</v>
      </c>
      <c r="M772" t="str">
        <f>IF(J772="Sheep",IF(COUNTIF(lists!$H$2:$H$258, K772) &gt; 0,"indigenous",IF(COUNTIF(lists!$G$2:$G$258, K772) &gt; 0,"cross.bred","not found")),"NA")</f>
        <v>NA</v>
      </c>
      <c r="N772" t="str">
        <f>IF(J772="Goat",IF(COUNTIF(lists!$J$2:$J$258, K772) &gt; 0,"indigenous",IF(COUNTIF(lists!$I$2:$I$258, K772) &gt; 0,"cross.bred","not found")),"NA")</f>
        <v>not found</v>
      </c>
      <c r="O772" s="9" t="s">
        <v>124</v>
      </c>
      <c r="P772" s="9" t="s">
        <v>106</v>
      </c>
      <c r="Q772" s="9" t="s">
        <v>3809</v>
      </c>
      <c r="S772" s="9">
        <v>174</v>
      </c>
      <c r="T772" s="9">
        <v>94</v>
      </c>
      <c r="U772" s="9">
        <v>175</v>
      </c>
      <c r="V772" s="9">
        <v>918</v>
      </c>
      <c r="W772" s="9" t="s">
        <v>106</v>
      </c>
      <c r="X772" s="9">
        <v>511</v>
      </c>
      <c r="Y772" s="9" t="s">
        <v>106</v>
      </c>
      <c r="Z772" s="37"/>
      <c r="AA772" s="37"/>
      <c r="AB772" s="37"/>
      <c r="AE772">
        <v>0</v>
      </c>
    </row>
    <row r="773" spans="1:31" hidden="1">
      <c r="A773" s="9" t="s">
        <v>1582</v>
      </c>
      <c r="B773" s="9" t="s">
        <v>1585</v>
      </c>
      <c r="C773" s="9" t="s">
        <v>105</v>
      </c>
      <c r="D773" s="9">
        <v>1.343</v>
      </c>
      <c r="E773" s="9">
        <v>44</v>
      </c>
      <c r="F773" s="9">
        <v>46</v>
      </c>
      <c r="G773" s="9">
        <v>-13</v>
      </c>
      <c r="H773" s="9">
        <v>0.6</v>
      </c>
      <c r="I773" s="9">
        <v>6</v>
      </c>
      <c r="J773" s="9" t="s">
        <v>116</v>
      </c>
      <c r="K773" s="9" t="s">
        <v>1566</v>
      </c>
      <c r="L773" t="str">
        <f>IF(OR(J773="Cattle",J773="Zebu Cattle"),IF(COUNTIF(lists!$M$2:$M$258, K773) &gt; 0,"bos.indicus",IF(COUNTIF(lists!$L$2:$L$258, K773) &gt; 0,"cross.bred","pure.bred.exotic")),"NA")</f>
        <v>NA</v>
      </c>
      <c r="M773" t="str">
        <f>IF(J773="Sheep",IF(COUNTIF(lists!$H$2:$H$258, K773) &gt; 0,"indigenous",IF(COUNTIF(lists!$G$2:$G$258, K773) &gt; 0,"cross.bred","not found")),"NA")</f>
        <v>NA</v>
      </c>
      <c r="N773" t="str">
        <f>IF(J773="Goat",IF(COUNTIF(lists!$J$2:$J$258, K773) &gt; 0,"indigenous",IF(COUNTIF(lists!$I$2:$I$258, K773) &gt; 0,"cross.bred","not found")),"NA")</f>
        <v>not found</v>
      </c>
      <c r="O773" s="9" t="s">
        <v>124</v>
      </c>
      <c r="P773" s="9" t="s">
        <v>106</v>
      </c>
      <c r="Q773" s="9" t="s">
        <v>3809</v>
      </c>
      <c r="S773" s="9">
        <v>190</v>
      </c>
      <c r="T773" s="9">
        <v>84</v>
      </c>
      <c r="U773" s="9">
        <v>174</v>
      </c>
      <c r="V773" s="9">
        <v>938</v>
      </c>
      <c r="W773" s="9" t="s">
        <v>106</v>
      </c>
      <c r="X773" s="9">
        <v>439</v>
      </c>
      <c r="Y773" s="9" t="s">
        <v>106</v>
      </c>
      <c r="Z773" s="37"/>
      <c r="AA773" s="37"/>
      <c r="AB773" s="37"/>
      <c r="AE773">
        <v>0</v>
      </c>
    </row>
    <row r="774" spans="1:31" hidden="1">
      <c r="A774" s="9" t="s">
        <v>1612</v>
      </c>
      <c r="B774" s="9" t="s">
        <v>342</v>
      </c>
      <c r="C774" s="9" t="s">
        <v>105</v>
      </c>
      <c r="D774" s="9">
        <v>0.24890000000000001</v>
      </c>
      <c r="E774" s="9">
        <v>20</v>
      </c>
      <c r="F774" s="9">
        <v>7</v>
      </c>
      <c r="G774" s="9">
        <v>55.7</v>
      </c>
      <c r="H774" s="9" t="s">
        <v>106</v>
      </c>
      <c r="I774" s="9">
        <v>18</v>
      </c>
      <c r="J774" s="9" t="s">
        <v>116</v>
      </c>
      <c r="K774" s="9" t="s">
        <v>117</v>
      </c>
      <c r="L774" t="str">
        <f>IF(OR(J774="Cattle",J774="Zebu Cattle"),IF(COUNTIF(lists!$M$2:$M$258, K774) &gt; 0,"bos.indicus",IF(COUNTIF(lists!$L$2:$L$258, K774) &gt; 0,"cross.bred","pure.bred.exotic")),"NA")</f>
        <v>NA</v>
      </c>
      <c r="M774" t="str">
        <f>IF(J774="Sheep",IF(COUNTIF(lists!$H$2:$H$258, K774) &gt; 0,"indigenous",IF(COUNTIF(lists!$G$2:$G$258, K774) &gt; 0,"cross.bred","not found")),"NA")</f>
        <v>NA</v>
      </c>
      <c r="N774" t="str">
        <f>IF(J774="Goat",IF(COUNTIF(lists!$J$2:$J$258, K774) &gt; 0,"indigenous",IF(COUNTIF(lists!$I$2:$I$258, K774) &gt; 0,"cross.bred","not found")),"NA")</f>
        <v>indigenous</v>
      </c>
      <c r="O774" s="9" t="s">
        <v>109</v>
      </c>
      <c r="P774" s="9" t="s">
        <v>106</v>
      </c>
      <c r="Q774" s="9" t="s">
        <v>3804</v>
      </c>
      <c r="S774" s="9">
        <v>35.5</v>
      </c>
      <c r="T774" s="9">
        <v>62.1</v>
      </c>
      <c r="U774" s="9">
        <v>209.2</v>
      </c>
      <c r="V774" s="9">
        <v>959.7</v>
      </c>
      <c r="W774" s="9">
        <v>45.6</v>
      </c>
      <c r="X774" s="9">
        <v>55.6</v>
      </c>
      <c r="Y774" s="9" t="s">
        <v>106</v>
      </c>
      <c r="Z774" s="37"/>
      <c r="AA774" s="37"/>
      <c r="AB774" s="37"/>
      <c r="AE774">
        <v>0</v>
      </c>
    </row>
    <row r="775" spans="1:31" hidden="1">
      <c r="A775" s="9" t="s">
        <v>1612</v>
      </c>
      <c r="B775" s="9" t="s">
        <v>343</v>
      </c>
      <c r="C775" s="9" t="s">
        <v>105</v>
      </c>
      <c r="D775" s="9">
        <v>0.2432</v>
      </c>
      <c r="E775" s="9">
        <v>20</v>
      </c>
      <c r="F775" s="9">
        <v>7</v>
      </c>
      <c r="G775" s="9">
        <v>66.7</v>
      </c>
      <c r="H775" s="9" t="s">
        <v>106</v>
      </c>
      <c r="I775" s="9">
        <v>18</v>
      </c>
      <c r="J775" s="9" t="s">
        <v>116</v>
      </c>
      <c r="K775" s="9" t="s">
        <v>117</v>
      </c>
      <c r="L775" t="str">
        <f>IF(OR(J775="Cattle",J775="Zebu Cattle"),IF(COUNTIF(lists!$M$2:$M$258, K775) &gt; 0,"bos.indicus",IF(COUNTIF(lists!$L$2:$L$258, K775) &gt; 0,"cross.bred","pure.bred.exotic")),"NA")</f>
        <v>NA</v>
      </c>
      <c r="M775" t="str">
        <f>IF(J775="Sheep",IF(COUNTIF(lists!$H$2:$H$258, K775) &gt; 0,"indigenous",IF(COUNTIF(lists!$G$2:$G$258, K775) &gt; 0,"cross.bred","not found")),"NA")</f>
        <v>NA</v>
      </c>
      <c r="N775" t="str">
        <f>IF(J775="Goat",IF(COUNTIF(lists!$J$2:$J$258, K775) &gt; 0,"indigenous",IF(COUNTIF(lists!$I$2:$I$258, K775) &gt; 0,"cross.bred","not found")),"NA")</f>
        <v>indigenous</v>
      </c>
      <c r="O775" s="9" t="s">
        <v>109</v>
      </c>
      <c r="P775" s="9" t="s">
        <v>106</v>
      </c>
      <c r="Q775" s="9" t="s">
        <v>3804</v>
      </c>
      <c r="S775" s="9">
        <v>37.5</v>
      </c>
      <c r="T775" s="9">
        <v>69.8</v>
      </c>
      <c r="U775" s="9">
        <v>276.60000000000002</v>
      </c>
      <c r="V775" s="9">
        <v>974</v>
      </c>
      <c r="W775" s="9">
        <v>49.6</v>
      </c>
      <c r="X775" s="9">
        <v>65.099999999999994</v>
      </c>
      <c r="Y775" s="9" t="s">
        <v>106</v>
      </c>
      <c r="Z775" s="37"/>
      <c r="AA775" s="37"/>
      <c r="AB775" s="37"/>
      <c r="AE775">
        <v>0</v>
      </c>
    </row>
    <row r="776" spans="1:31" hidden="1">
      <c r="A776" s="9" t="s">
        <v>1612</v>
      </c>
      <c r="B776" s="9" t="s">
        <v>344</v>
      </c>
      <c r="C776" s="9" t="s">
        <v>105</v>
      </c>
      <c r="D776" s="9">
        <v>0.2253</v>
      </c>
      <c r="E776" s="9">
        <v>20</v>
      </c>
      <c r="F776" s="9">
        <v>6.8</v>
      </c>
      <c r="G776" s="9">
        <v>63.3</v>
      </c>
      <c r="H776" s="9" t="s">
        <v>106</v>
      </c>
      <c r="I776" s="9">
        <v>18</v>
      </c>
      <c r="J776" s="9" t="s">
        <v>116</v>
      </c>
      <c r="K776" s="9" t="s">
        <v>117</v>
      </c>
      <c r="L776" t="str">
        <f>IF(OR(J776="Cattle",J776="Zebu Cattle"),IF(COUNTIF(lists!$M$2:$M$258, K776) &gt; 0,"bos.indicus",IF(COUNTIF(lists!$L$2:$L$258, K776) &gt; 0,"cross.bred","pure.bred.exotic")),"NA")</f>
        <v>NA</v>
      </c>
      <c r="M776" t="str">
        <f>IF(J776="Sheep",IF(COUNTIF(lists!$H$2:$H$258, K776) &gt; 0,"indigenous",IF(COUNTIF(lists!$G$2:$G$258, K776) &gt; 0,"cross.bred","not found")),"NA")</f>
        <v>NA</v>
      </c>
      <c r="N776" t="str">
        <f>IF(J776="Goat",IF(COUNTIF(lists!$J$2:$J$258, K776) &gt; 0,"indigenous",IF(COUNTIF(lists!$I$2:$I$258, K776) &gt; 0,"cross.bred","not found")),"NA")</f>
        <v>indigenous</v>
      </c>
      <c r="O776" s="9" t="s">
        <v>109</v>
      </c>
      <c r="P776" s="9" t="s">
        <v>106</v>
      </c>
      <c r="Q776" s="9" t="s">
        <v>3804</v>
      </c>
      <c r="S776" s="9">
        <v>28.4</v>
      </c>
      <c r="T776" s="9">
        <v>58.2</v>
      </c>
      <c r="U776" s="9">
        <v>255.8</v>
      </c>
      <c r="V776" s="9">
        <v>894.4</v>
      </c>
      <c r="W776" s="9">
        <v>38.5</v>
      </c>
      <c r="X776" s="9">
        <v>43.1</v>
      </c>
      <c r="Y776" s="9" t="s">
        <v>106</v>
      </c>
      <c r="Z776" s="37"/>
      <c r="AA776" s="37"/>
      <c r="AB776" s="37"/>
      <c r="AE776">
        <v>0</v>
      </c>
    </row>
    <row r="777" spans="1:31" hidden="1">
      <c r="A777" s="9" t="s">
        <v>1613</v>
      </c>
      <c r="B777" s="9" t="s">
        <v>119</v>
      </c>
      <c r="C777" s="9" t="s">
        <v>105</v>
      </c>
      <c r="D777" s="9">
        <v>1.3720000000000001</v>
      </c>
      <c r="E777" s="9">
        <v>27.8</v>
      </c>
      <c r="F777" s="9" t="s">
        <v>106</v>
      </c>
      <c r="G777" s="9" t="s">
        <v>106</v>
      </c>
      <c r="H777" s="9" t="s">
        <v>106</v>
      </c>
      <c r="J777" s="9" t="s">
        <v>116</v>
      </c>
      <c r="K777" s="9" t="s">
        <v>160</v>
      </c>
      <c r="L777" t="str">
        <f>IF(OR(J777="Cattle",J777="Zebu Cattle"),IF(COUNTIF(lists!$M$2:$M$258, K777) &gt; 0,"bos.indicus",IF(COUNTIF(lists!$L$2:$L$258, K777) &gt; 0,"cross.bred","pure.bred.exotic")),"NA")</f>
        <v>NA</v>
      </c>
      <c r="M777" t="str">
        <f>IF(J777="Sheep",IF(COUNTIF(lists!$H$2:$H$258, K777) &gt; 0,"indigenous",IF(COUNTIF(lists!$G$2:$G$258, K777) &gt; 0,"cross.bred","not found")),"NA")</f>
        <v>NA</v>
      </c>
      <c r="N777" t="str">
        <f>IF(J777="Goat",IF(COUNTIF(lists!$J$2:$J$258, K777) &gt; 0,"indigenous",IF(COUNTIF(lists!$I$2:$I$258, K777) &gt; 0,"cross.bred","not found")),"NA")</f>
        <v>not found</v>
      </c>
      <c r="O777" s="9" t="s">
        <v>109</v>
      </c>
      <c r="P777" s="9" t="s">
        <v>106</v>
      </c>
      <c r="S777" s="9">
        <v>282</v>
      </c>
      <c r="T777" s="9">
        <v>72</v>
      </c>
      <c r="U777" s="9">
        <v>137</v>
      </c>
      <c r="V777" s="9" t="s">
        <v>106</v>
      </c>
      <c r="W777" s="9" t="s">
        <v>106</v>
      </c>
      <c r="X777" s="9">
        <v>417</v>
      </c>
      <c r="Y777" s="9">
        <v>50.4</v>
      </c>
      <c r="Z777" s="37"/>
      <c r="AA777" s="37"/>
      <c r="AB777" s="37"/>
      <c r="AE777">
        <v>0</v>
      </c>
    </row>
    <row r="778" spans="1:31" hidden="1">
      <c r="A778" s="9" t="s">
        <v>1613</v>
      </c>
      <c r="B778" s="9" t="s">
        <v>1614</v>
      </c>
      <c r="C778" s="9" t="s">
        <v>105</v>
      </c>
      <c r="D778" s="9">
        <v>1.4019999999999999</v>
      </c>
      <c r="E778" s="9">
        <v>27.8</v>
      </c>
      <c r="F778" s="9" t="s">
        <v>106</v>
      </c>
      <c r="G778" s="9" t="s">
        <v>106</v>
      </c>
      <c r="H778" s="9" t="s">
        <v>106</v>
      </c>
      <c r="J778" s="9" t="s">
        <v>116</v>
      </c>
      <c r="K778" s="9" t="s">
        <v>160</v>
      </c>
      <c r="L778" t="str">
        <f>IF(OR(J778="Cattle",J778="Zebu Cattle"),IF(COUNTIF(lists!$M$2:$M$258, K778) &gt; 0,"bos.indicus",IF(COUNTIF(lists!$L$2:$L$258, K778) &gt; 0,"cross.bred","pure.bred.exotic")),"NA")</f>
        <v>NA</v>
      </c>
      <c r="M778" t="str">
        <f>IF(J778="Sheep",IF(COUNTIF(lists!$H$2:$H$258, K778) &gt; 0,"indigenous",IF(COUNTIF(lists!$G$2:$G$258, K778) &gt; 0,"cross.bred","not found")),"NA")</f>
        <v>NA</v>
      </c>
      <c r="N778" t="str">
        <f>IF(J778="Goat",IF(COUNTIF(lists!$J$2:$J$258, K778) &gt; 0,"indigenous",IF(COUNTIF(lists!$I$2:$I$258, K778) &gt; 0,"cross.bred","not found")),"NA")</f>
        <v>not found</v>
      </c>
      <c r="O778" s="9" t="s">
        <v>109</v>
      </c>
      <c r="P778" s="9" t="s">
        <v>106</v>
      </c>
      <c r="S778" s="9">
        <v>284</v>
      </c>
      <c r="T778" s="9">
        <v>74</v>
      </c>
      <c r="U778" s="9">
        <v>134</v>
      </c>
      <c r="V778" s="9" t="s">
        <v>106</v>
      </c>
      <c r="W778" s="9" t="s">
        <v>106</v>
      </c>
      <c r="X778" s="9">
        <v>424</v>
      </c>
      <c r="Y778" s="9">
        <v>49.5</v>
      </c>
      <c r="Z778" s="37"/>
      <c r="AA778" s="37"/>
      <c r="AB778" s="37"/>
      <c r="AE778">
        <v>0</v>
      </c>
    </row>
    <row r="779" spans="1:31" hidden="1">
      <c r="A779" s="9" t="s">
        <v>1613</v>
      </c>
      <c r="B779" s="9" t="s">
        <v>1615</v>
      </c>
      <c r="C779" s="9" t="s">
        <v>105</v>
      </c>
      <c r="D779" s="9">
        <v>1.33</v>
      </c>
      <c r="E779" s="9">
        <v>27.8</v>
      </c>
      <c r="F779" s="9" t="s">
        <v>106</v>
      </c>
      <c r="G779" s="9" t="s">
        <v>106</v>
      </c>
      <c r="H779" s="9" t="s">
        <v>106</v>
      </c>
      <c r="J779" s="9" t="s">
        <v>116</v>
      </c>
      <c r="K779" s="9" t="s">
        <v>160</v>
      </c>
      <c r="L779" t="str">
        <f>IF(OR(J779="Cattle",J779="Zebu Cattle"),IF(COUNTIF(lists!$M$2:$M$258, K779) &gt; 0,"bos.indicus",IF(COUNTIF(lists!$L$2:$L$258, K779) &gt; 0,"cross.bred","pure.bred.exotic")),"NA")</f>
        <v>NA</v>
      </c>
      <c r="M779" t="str">
        <f>IF(J779="Sheep",IF(COUNTIF(lists!$H$2:$H$258, K779) &gt; 0,"indigenous",IF(COUNTIF(lists!$G$2:$G$258, K779) &gt; 0,"cross.bred","not found")),"NA")</f>
        <v>NA</v>
      </c>
      <c r="N779" t="str">
        <f>IF(J779="Goat",IF(COUNTIF(lists!$J$2:$J$258, K779) &gt; 0,"indigenous",IF(COUNTIF(lists!$I$2:$I$258, K779) &gt; 0,"cross.bred","not found")),"NA")</f>
        <v>not found</v>
      </c>
      <c r="O779" s="9" t="s">
        <v>109</v>
      </c>
      <c r="P779" s="9" t="s">
        <v>106</v>
      </c>
      <c r="S779" s="9">
        <v>290</v>
      </c>
      <c r="T779" s="9">
        <v>84</v>
      </c>
      <c r="U779" s="9">
        <v>136</v>
      </c>
      <c r="V779" s="9" t="s">
        <v>106</v>
      </c>
      <c r="W779" s="9" t="s">
        <v>106</v>
      </c>
      <c r="X779" s="9">
        <v>444</v>
      </c>
      <c r="Y779" s="9">
        <v>51.9</v>
      </c>
      <c r="Z779" s="37"/>
      <c r="AA779" s="37"/>
      <c r="AB779" s="37"/>
      <c r="AE779">
        <v>0</v>
      </c>
    </row>
    <row r="780" spans="1:31" hidden="1">
      <c r="A780" s="9" t="s">
        <v>1636</v>
      </c>
      <c r="B780" s="9" t="s">
        <v>1637</v>
      </c>
      <c r="C780" s="9" t="s">
        <v>105</v>
      </c>
      <c r="D780" s="9">
        <v>0.59984038308060506</v>
      </c>
      <c r="E780" s="9">
        <v>25.474860335195402</v>
      </c>
      <c r="F780" s="9">
        <v>16.3</v>
      </c>
      <c r="G780" s="9">
        <v>235.59870549999999</v>
      </c>
      <c r="H780" s="9" t="s">
        <v>106</v>
      </c>
      <c r="I780" s="9">
        <v>16</v>
      </c>
      <c r="J780" s="9" t="s">
        <v>116</v>
      </c>
      <c r="K780" s="9" t="s">
        <v>524</v>
      </c>
      <c r="L780" t="str">
        <f>IF(OR(J780="Cattle",J780="Zebu Cattle"),IF(COUNTIF(lists!$M$2:$M$258, K780) &gt; 0,"bos.indicus",IF(COUNTIF(lists!$L$2:$L$258, K780) &gt; 0,"cross.bred","pure.bred.exotic")),"NA")</f>
        <v>NA</v>
      </c>
      <c r="M780" t="str">
        <f>IF(J780="Sheep",IF(COUNTIF(lists!$H$2:$H$258, K780) &gt; 0,"indigenous",IF(COUNTIF(lists!$G$2:$G$258, K780) &gt; 0,"cross.bred","not found")),"NA")</f>
        <v>NA</v>
      </c>
      <c r="N780" t="str">
        <f>IF(J780="Goat",IF(COUNTIF(lists!$J$2:$J$258, K780) &gt; 0,"indigenous",IF(COUNTIF(lists!$I$2:$I$258, K780) &gt; 0,"cross.bred","not found")),"NA")</f>
        <v>not found</v>
      </c>
      <c r="O780" s="9" t="s">
        <v>109</v>
      </c>
      <c r="P780" s="9" t="s">
        <v>106</v>
      </c>
      <c r="Q780" s="9" t="s">
        <v>3804</v>
      </c>
      <c r="S780" s="9">
        <v>231</v>
      </c>
      <c r="T780" s="9">
        <v>109</v>
      </c>
      <c r="U780" s="9" t="s">
        <v>106</v>
      </c>
      <c r="V780" s="9">
        <v>457</v>
      </c>
      <c r="W780" s="9" t="s">
        <v>106</v>
      </c>
      <c r="X780" s="9">
        <v>295</v>
      </c>
      <c r="Y780" s="9" t="s">
        <v>106</v>
      </c>
      <c r="Z780" s="37"/>
      <c r="AA780" s="37"/>
      <c r="AB780" s="37"/>
      <c r="AE780">
        <v>0</v>
      </c>
    </row>
    <row r="781" spans="1:31" hidden="1">
      <c r="A781" s="9" t="s">
        <v>1636</v>
      </c>
      <c r="B781" s="9" t="s">
        <v>1638</v>
      </c>
      <c r="C781" s="9" t="s">
        <v>105</v>
      </c>
      <c r="D781" s="9">
        <v>0.64096834264432001</v>
      </c>
      <c r="E781" s="9">
        <v>21.005586592178599</v>
      </c>
      <c r="F781" s="9">
        <v>16.3</v>
      </c>
      <c r="G781" s="9">
        <v>279.44983818770203</v>
      </c>
      <c r="H781" s="9" t="s">
        <v>106</v>
      </c>
      <c r="I781" s="9">
        <v>16</v>
      </c>
      <c r="J781" s="9" t="s">
        <v>116</v>
      </c>
      <c r="K781" s="9" t="s">
        <v>524</v>
      </c>
      <c r="L781" t="str">
        <f>IF(OR(J781="Cattle",J781="Zebu Cattle"),IF(COUNTIF(lists!$M$2:$M$258, K781) &gt; 0,"bos.indicus",IF(COUNTIF(lists!$L$2:$L$258, K781) &gt; 0,"cross.bred","pure.bred.exotic")),"NA")</f>
        <v>NA</v>
      </c>
      <c r="M781" t="str">
        <f>IF(J781="Sheep",IF(COUNTIF(lists!$H$2:$H$258, K781) &gt; 0,"indigenous",IF(COUNTIF(lists!$G$2:$G$258, K781) &gt; 0,"cross.bred","not found")),"NA")</f>
        <v>NA</v>
      </c>
      <c r="N781" t="str">
        <f>IF(J781="Goat",IF(COUNTIF(lists!$J$2:$J$258, K781) &gt; 0,"indigenous",IF(COUNTIF(lists!$I$2:$I$258, K781) &gt; 0,"cross.bred","not found")),"NA")</f>
        <v>not found</v>
      </c>
      <c r="O781" s="9" t="s">
        <v>109</v>
      </c>
      <c r="P781" s="9" t="s">
        <v>106</v>
      </c>
      <c r="Q781" s="9" t="s">
        <v>3804</v>
      </c>
      <c r="S781" s="9">
        <v>257</v>
      </c>
      <c r="T781" s="9">
        <v>96</v>
      </c>
      <c r="U781" s="9" t="s">
        <v>106</v>
      </c>
      <c r="V781" s="9">
        <v>512</v>
      </c>
      <c r="W781" s="9" t="s">
        <v>106</v>
      </c>
      <c r="X781" s="9">
        <v>339</v>
      </c>
      <c r="Y781" s="9" t="s">
        <v>106</v>
      </c>
      <c r="Z781" s="37"/>
      <c r="AA781" s="37"/>
      <c r="AB781" s="37"/>
      <c r="AE781">
        <v>0</v>
      </c>
    </row>
    <row r="782" spans="1:31" hidden="1">
      <c r="A782" s="9" t="s">
        <v>1636</v>
      </c>
      <c r="B782" s="9" t="s">
        <v>1639</v>
      </c>
      <c r="C782" s="9" t="s">
        <v>105</v>
      </c>
      <c r="D782" s="9">
        <v>0.59217877094972005</v>
      </c>
      <c r="E782" s="9">
        <v>31.731843575418999</v>
      </c>
      <c r="F782" s="9">
        <v>16.3</v>
      </c>
      <c r="G782" s="9">
        <v>239.15857605177899</v>
      </c>
      <c r="H782" s="9" t="s">
        <v>106</v>
      </c>
      <c r="I782" s="9">
        <v>16</v>
      </c>
      <c r="J782" s="9" t="s">
        <v>116</v>
      </c>
      <c r="K782" s="9" t="s">
        <v>524</v>
      </c>
      <c r="L782" t="str">
        <f>IF(OR(J782="Cattle",J782="Zebu Cattle"),IF(COUNTIF(lists!$M$2:$M$258, K782) &gt; 0,"bos.indicus",IF(COUNTIF(lists!$L$2:$L$258, K782) &gt; 0,"cross.bred","pure.bred.exotic")),"NA")</f>
        <v>NA</v>
      </c>
      <c r="M782" t="str">
        <f>IF(J782="Sheep",IF(COUNTIF(lists!$H$2:$H$258, K782) &gt; 0,"indigenous",IF(COUNTIF(lists!$G$2:$G$258, K782) &gt; 0,"cross.bred","not found")),"NA")</f>
        <v>NA</v>
      </c>
      <c r="N782" t="str">
        <f>IF(J782="Goat",IF(COUNTIF(lists!$J$2:$J$258, K782) &gt; 0,"indigenous",IF(COUNTIF(lists!$I$2:$I$258, K782) &gt; 0,"cross.bred","not found")),"NA")</f>
        <v>not found</v>
      </c>
      <c r="O782" s="9" t="s">
        <v>109</v>
      </c>
      <c r="P782" s="9" t="s">
        <v>106</v>
      </c>
      <c r="Q782" s="9" t="s">
        <v>3804</v>
      </c>
      <c r="S782" s="9">
        <v>214</v>
      </c>
      <c r="T782" s="9">
        <v>107</v>
      </c>
      <c r="U782" s="9" t="s">
        <v>106</v>
      </c>
      <c r="V782" s="9">
        <v>496</v>
      </c>
      <c r="W782" s="9" t="s">
        <v>106</v>
      </c>
      <c r="X782" s="9">
        <v>248</v>
      </c>
      <c r="Y782" s="9" t="s">
        <v>106</v>
      </c>
      <c r="Z782" s="37"/>
      <c r="AA782" s="37"/>
      <c r="AB782" s="37"/>
      <c r="AE782">
        <v>0</v>
      </c>
    </row>
    <row r="783" spans="1:31" hidden="1">
      <c r="A783" s="9" t="s">
        <v>1636</v>
      </c>
      <c r="B783" s="9" t="s">
        <v>1640</v>
      </c>
      <c r="C783" s="9" t="s">
        <v>105</v>
      </c>
      <c r="D783" s="9">
        <v>0.65474860335195495</v>
      </c>
      <c r="E783" s="9">
        <v>27.2625698324022</v>
      </c>
      <c r="F783" s="9">
        <v>16.3</v>
      </c>
      <c r="G783" s="9">
        <v>282.84789644012898</v>
      </c>
      <c r="H783" s="9" t="s">
        <v>106</v>
      </c>
      <c r="I783" s="9">
        <v>16</v>
      </c>
      <c r="J783" s="9" t="s">
        <v>116</v>
      </c>
      <c r="K783" s="9" t="s">
        <v>524</v>
      </c>
      <c r="L783" t="str">
        <f>IF(OR(J783="Cattle",J783="Zebu Cattle"),IF(COUNTIF(lists!$M$2:$M$258, K783) &gt; 0,"bos.indicus",IF(COUNTIF(lists!$L$2:$L$258, K783) &gt; 0,"cross.bred","pure.bred.exotic")),"NA")</f>
        <v>NA</v>
      </c>
      <c r="M783" t="str">
        <f>IF(J783="Sheep",IF(COUNTIF(lists!$H$2:$H$258, K783) &gt; 0,"indigenous",IF(COUNTIF(lists!$G$2:$G$258, K783) &gt; 0,"cross.bred","not found")),"NA")</f>
        <v>NA</v>
      </c>
      <c r="N783" t="str">
        <f>IF(J783="Goat",IF(COUNTIF(lists!$J$2:$J$258, K783) &gt; 0,"indigenous",IF(COUNTIF(lists!$I$2:$I$258, K783) &gt; 0,"cross.bred","not found")),"NA")</f>
        <v>not found</v>
      </c>
      <c r="O783" s="9" t="s">
        <v>109</v>
      </c>
      <c r="P783" s="9" t="s">
        <v>106</v>
      </c>
      <c r="Q783" s="9" t="s">
        <v>3804</v>
      </c>
      <c r="S783" s="9" t="s">
        <v>106</v>
      </c>
      <c r="T783" s="9" t="s">
        <v>106</v>
      </c>
      <c r="U783" s="9">
        <v>140</v>
      </c>
      <c r="V783" s="9">
        <v>875</v>
      </c>
      <c r="W783" s="9" t="s">
        <v>106</v>
      </c>
      <c r="X783" s="9" t="s">
        <v>106</v>
      </c>
      <c r="Y783" s="9" t="s">
        <v>106</v>
      </c>
      <c r="Z783" s="37"/>
      <c r="AA783" s="37"/>
      <c r="AB783" s="37"/>
      <c r="AE783">
        <v>0</v>
      </c>
    </row>
    <row r="784" spans="1:31" hidden="1">
      <c r="A784" s="9" t="s">
        <v>1641</v>
      </c>
      <c r="B784" s="9" t="s">
        <v>1642</v>
      </c>
      <c r="C784" s="9" t="s">
        <v>105</v>
      </c>
      <c r="D784" s="9">
        <v>0.77110000000000001</v>
      </c>
      <c r="E784" s="9" t="s">
        <v>106</v>
      </c>
      <c r="F784" s="9">
        <v>22.6</v>
      </c>
      <c r="G784" s="9">
        <v>82.1</v>
      </c>
      <c r="H784" s="9" t="s">
        <v>106</v>
      </c>
      <c r="I784" s="9">
        <v>30</v>
      </c>
      <c r="J784" s="9" t="s">
        <v>116</v>
      </c>
      <c r="K784" s="9" t="s">
        <v>524</v>
      </c>
      <c r="L784" t="str">
        <f>IF(OR(J784="Cattle",J784="Zebu Cattle"),IF(COUNTIF(lists!$M$2:$M$258, K784) &gt; 0,"bos.indicus",IF(COUNTIF(lists!$L$2:$L$258, K784) &gt; 0,"cross.bred","pure.bred.exotic")),"NA")</f>
        <v>NA</v>
      </c>
      <c r="M784" t="str">
        <f>IF(J784="Sheep",IF(COUNTIF(lists!$H$2:$H$258, K784) &gt; 0,"indigenous",IF(COUNTIF(lists!$G$2:$G$258, K784) &gt; 0,"cross.bred","not found")),"NA")</f>
        <v>NA</v>
      </c>
      <c r="N784" t="str">
        <f>IF(J784="Goat",IF(COUNTIF(lists!$J$2:$J$258, K784) &gt; 0,"indigenous",IF(COUNTIF(lists!$I$2:$I$258, K784) &gt; 0,"cross.bred","not found")),"NA")</f>
        <v>not found</v>
      </c>
      <c r="O784" s="9" t="s">
        <v>109</v>
      </c>
      <c r="P784" s="9" t="s">
        <v>106</v>
      </c>
      <c r="Q784" s="9" t="s">
        <v>3804</v>
      </c>
      <c r="S784" s="9" t="s">
        <v>106</v>
      </c>
      <c r="T784" s="9" t="s">
        <v>106</v>
      </c>
      <c r="U784" s="9" t="s">
        <v>106</v>
      </c>
      <c r="V784" s="9" t="s">
        <v>106</v>
      </c>
      <c r="W784" s="9" t="s">
        <v>106</v>
      </c>
      <c r="X784" s="9" t="s">
        <v>106</v>
      </c>
      <c r="Y784" s="9" t="s">
        <v>106</v>
      </c>
      <c r="Z784" s="37"/>
      <c r="AA784" s="37"/>
      <c r="AB784" s="37"/>
      <c r="AE784">
        <v>0</v>
      </c>
    </row>
    <row r="785" spans="1:31" hidden="1">
      <c r="A785" s="9" t="s">
        <v>1641</v>
      </c>
      <c r="B785" s="9" t="s">
        <v>1643</v>
      </c>
      <c r="C785" s="9" t="s">
        <v>105</v>
      </c>
      <c r="D785" s="9">
        <v>0.8034</v>
      </c>
      <c r="E785" s="9" t="s">
        <v>106</v>
      </c>
      <c r="F785" s="9">
        <v>22.6</v>
      </c>
      <c r="G785" s="9">
        <v>35.700000000000003</v>
      </c>
      <c r="H785" s="9" t="s">
        <v>106</v>
      </c>
      <c r="I785" s="9">
        <v>30</v>
      </c>
      <c r="J785" s="9" t="s">
        <v>116</v>
      </c>
      <c r="K785" s="9" t="s">
        <v>524</v>
      </c>
      <c r="L785" t="str">
        <f>IF(OR(J785="Cattle",J785="Zebu Cattle"),IF(COUNTIF(lists!$M$2:$M$258, K785) &gt; 0,"bos.indicus",IF(COUNTIF(lists!$L$2:$L$258, K785) &gt; 0,"cross.bred","pure.bred.exotic")),"NA")</f>
        <v>NA</v>
      </c>
      <c r="M785" t="str">
        <f>IF(J785="Sheep",IF(COUNTIF(lists!$H$2:$H$258, K785) &gt; 0,"indigenous",IF(COUNTIF(lists!$G$2:$G$258, K785) &gt; 0,"cross.bred","not found")),"NA")</f>
        <v>NA</v>
      </c>
      <c r="N785" t="str">
        <f>IF(J785="Goat",IF(COUNTIF(lists!$J$2:$J$258, K785) &gt; 0,"indigenous",IF(COUNTIF(lists!$I$2:$I$258, K785) &gt; 0,"cross.bred","not found")),"NA")</f>
        <v>not found</v>
      </c>
      <c r="O785" s="9" t="s">
        <v>109</v>
      </c>
      <c r="P785" s="9" t="s">
        <v>106</v>
      </c>
      <c r="Q785" s="9" t="s">
        <v>3804</v>
      </c>
      <c r="S785" s="9" t="s">
        <v>106</v>
      </c>
      <c r="T785" s="9" t="s">
        <v>106</v>
      </c>
      <c r="U785" s="9" t="s">
        <v>106</v>
      </c>
      <c r="V785" s="9" t="s">
        <v>106</v>
      </c>
      <c r="W785" s="9" t="s">
        <v>106</v>
      </c>
      <c r="X785" s="9" t="s">
        <v>106</v>
      </c>
      <c r="Y785" s="9" t="s">
        <v>106</v>
      </c>
      <c r="Z785" s="37"/>
      <c r="AA785" s="37"/>
      <c r="AB785" s="37"/>
      <c r="AE785">
        <v>0</v>
      </c>
    </row>
    <row r="786" spans="1:31" hidden="1">
      <c r="A786" s="9" t="s">
        <v>1641</v>
      </c>
      <c r="B786" s="9" t="s">
        <v>1644</v>
      </c>
      <c r="C786" s="9" t="s">
        <v>105</v>
      </c>
      <c r="D786" s="9">
        <v>0.80589999999999995</v>
      </c>
      <c r="E786" s="9" t="s">
        <v>106</v>
      </c>
      <c r="F786" s="9">
        <v>22.6</v>
      </c>
      <c r="G786" s="9">
        <v>94.6</v>
      </c>
      <c r="H786" s="9" t="s">
        <v>106</v>
      </c>
      <c r="I786" s="9">
        <v>30</v>
      </c>
      <c r="J786" s="9" t="s">
        <v>116</v>
      </c>
      <c r="K786" s="9" t="s">
        <v>524</v>
      </c>
      <c r="L786" t="str">
        <f>IF(OR(J786="Cattle",J786="Zebu Cattle"),IF(COUNTIF(lists!$M$2:$M$258, K786) &gt; 0,"bos.indicus",IF(COUNTIF(lists!$L$2:$L$258, K786) &gt; 0,"cross.bred","pure.bred.exotic")),"NA")</f>
        <v>NA</v>
      </c>
      <c r="M786" t="str">
        <f>IF(J786="Sheep",IF(COUNTIF(lists!$H$2:$H$258, K786) &gt; 0,"indigenous",IF(COUNTIF(lists!$G$2:$G$258, K786) &gt; 0,"cross.bred","not found")),"NA")</f>
        <v>NA</v>
      </c>
      <c r="N786" t="str">
        <f>IF(J786="Goat",IF(COUNTIF(lists!$J$2:$J$258, K786) &gt; 0,"indigenous",IF(COUNTIF(lists!$I$2:$I$258, K786) &gt; 0,"cross.bred","not found")),"NA")</f>
        <v>not found</v>
      </c>
      <c r="O786" s="9" t="s">
        <v>109</v>
      </c>
      <c r="P786" s="9" t="s">
        <v>106</v>
      </c>
      <c r="Q786" s="9" t="s">
        <v>3804</v>
      </c>
      <c r="S786" s="9" t="s">
        <v>106</v>
      </c>
      <c r="T786" s="9" t="s">
        <v>106</v>
      </c>
      <c r="U786" s="9" t="s">
        <v>106</v>
      </c>
      <c r="V786" s="9" t="s">
        <v>106</v>
      </c>
      <c r="W786" s="9" t="s">
        <v>106</v>
      </c>
      <c r="X786" s="9" t="s">
        <v>106</v>
      </c>
      <c r="Y786" s="9" t="s">
        <v>106</v>
      </c>
      <c r="Z786" s="37"/>
      <c r="AA786" s="37"/>
      <c r="AB786" s="37"/>
      <c r="AE786">
        <v>0</v>
      </c>
    </row>
    <row r="787" spans="1:31" hidden="1">
      <c r="A787" s="9" t="s">
        <v>1641</v>
      </c>
      <c r="B787" s="9" t="s">
        <v>1645</v>
      </c>
      <c r="C787" s="9" t="s">
        <v>105</v>
      </c>
      <c r="D787" s="9">
        <v>0.72219999999999995</v>
      </c>
      <c r="E787" s="9" t="s">
        <v>106</v>
      </c>
      <c r="F787" s="9">
        <v>22.6</v>
      </c>
      <c r="G787" s="9">
        <v>0</v>
      </c>
      <c r="H787" s="9" t="s">
        <v>106</v>
      </c>
      <c r="I787" s="9">
        <v>30</v>
      </c>
      <c r="J787" s="9" t="s">
        <v>116</v>
      </c>
      <c r="K787" s="9" t="s">
        <v>524</v>
      </c>
      <c r="L787" t="str">
        <f>IF(OR(J787="Cattle",J787="Zebu Cattle"),IF(COUNTIF(lists!$M$2:$M$258, K787) &gt; 0,"bos.indicus",IF(COUNTIF(lists!$L$2:$L$258, K787) &gt; 0,"cross.bred","pure.bred.exotic")),"NA")</f>
        <v>NA</v>
      </c>
      <c r="M787" t="str">
        <f>IF(J787="Sheep",IF(COUNTIF(lists!$H$2:$H$258, K787) &gt; 0,"indigenous",IF(COUNTIF(lists!$G$2:$G$258, K787) &gt; 0,"cross.bred","not found")),"NA")</f>
        <v>NA</v>
      </c>
      <c r="N787" t="str">
        <f>IF(J787="Goat",IF(COUNTIF(lists!$J$2:$J$258, K787) &gt; 0,"indigenous",IF(COUNTIF(lists!$I$2:$I$258, K787) &gt; 0,"cross.bred","not found")),"NA")</f>
        <v>not found</v>
      </c>
      <c r="O787" s="9" t="s">
        <v>109</v>
      </c>
      <c r="P787" s="9" t="s">
        <v>106</v>
      </c>
      <c r="Q787" s="9" t="s">
        <v>3804</v>
      </c>
      <c r="S787" s="9" t="s">
        <v>106</v>
      </c>
      <c r="T787" s="9" t="s">
        <v>106</v>
      </c>
      <c r="U787" s="9" t="s">
        <v>106</v>
      </c>
      <c r="V787" s="9" t="s">
        <v>106</v>
      </c>
      <c r="W787" s="9" t="s">
        <v>106</v>
      </c>
      <c r="X787" s="9" t="s">
        <v>106</v>
      </c>
      <c r="Y787" s="9" t="s">
        <v>106</v>
      </c>
      <c r="Z787" s="37"/>
      <c r="AA787" s="37"/>
      <c r="AB787" s="37"/>
      <c r="AE787">
        <v>0</v>
      </c>
    </row>
    <row r="788" spans="1:31" hidden="1">
      <c r="A788" s="9" t="s">
        <v>1641</v>
      </c>
      <c r="B788" s="9" t="s">
        <v>1646</v>
      </c>
      <c r="C788" s="9" t="s">
        <v>105</v>
      </c>
      <c r="D788" s="9">
        <v>0.4919</v>
      </c>
      <c r="E788" s="9" t="s">
        <v>106</v>
      </c>
      <c r="F788" s="9">
        <v>22.6</v>
      </c>
      <c r="G788" s="9">
        <v>-64.3</v>
      </c>
      <c r="H788" s="9" t="s">
        <v>106</v>
      </c>
      <c r="I788" s="9">
        <v>30</v>
      </c>
      <c r="J788" s="9" t="s">
        <v>116</v>
      </c>
      <c r="K788" s="9" t="s">
        <v>524</v>
      </c>
      <c r="L788" t="str">
        <f>IF(OR(J788="Cattle",J788="Zebu Cattle"),IF(COUNTIF(lists!$M$2:$M$258, K788) &gt; 0,"bos.indicus",IF(COUNTIF(lists!$L$2:$L$258, K788) &gt; 0,"cross.bred","pure.bred.exotic")),"NA")</f>
        <v>NA</v>
      </c>
      <c r="M788" t="str">
        <f>IF(J788="Sheep",IF(COUNTIF(lists!$H$2:$H$258, K788) &gt; 0,"indigenous",IF(COUNTIF(lists!$G$2:$G$258, K788) &gt; 0,"cross.bred","not found")),"NA")</f>
        <v>NA</v>
      </c>
      <c r="N788" t="str">
        <f>IF(J788="Goat",IF(COUNTIF(lists!$J$2:$J$258, K788) &gt; 0,"indigenous",IF(COUNTIF(lists!$I$2:$I$258, K788) &gt; 0,"cross.bred","not found")),"NA")</f>
        <v>not found</v>
      </c>
      <c r="O788" s="9" t="s">
        <v>109</v>
      </c>
      <c r="P788" s="9" t="s">
        <v>106</v>
      </c>
      <c r="Q788" s="9" t="s">
        <v>3804</v>
      </c>
      <c r="S788" s="9" t="s">
        <v>106</v>
      </c>
      <c r="T788" s="9" t="s">
        <v>106</v>
      </c>
      <c r="U788" s="9" t="s">
        <v>106</v>
      </c>
      <c r="V788" s="9" t="s">
        <v>106</v>
      </c>
      <c r="W788" s="9" t="s">
        <v>106</v>
      </c>
      <c r="X788" s="9" t="s">
        <v>106</v>
      </c>
      <c r="Y788" s="9" t="s">
        <v>106</v>
      </c>
      <c r="Z788" s="37"/>
      <c r="AA788" s="37"/>
      <c r="AB788" s="37"/>
      <c r="AE788">
        <v>0</v>
      </c>
    </row>
    <row r="789" spans="1:31" hidden="1">
      <c r="A789" s="9" t="s">
        <v>1655</v>
      </c>
      <c r="B789" s="9" t="s">
        <v>1656</v>
      </c>
      <c r="C789" s="9" t="s">
        <v>105</v>
      </c>
      <c r="D789" s="9">
        <v>0.49099999999999999</v>
      </c>
      <c r="E789" s="9" t="s">
        <v>106</v>
      </c>
      <c r="F789" s="9">
        <v>15.26</v>
      </c>
      <c r="G789" s="9">
        <v>38.33</v>
      </c>
      <c r="H789" s="9" t="s">
        <v>106</v>
      </c>
      <c r="I789" s="9">
        <v>27</v>
      </c>
      <c r="J789" s="9" t="s">
        <v>116</v>
      </c>
      <c r="K789" s="9" t="s">
        <v>336</v>
      </c>
      <c r="L789" t="str">
        <f>IF(OR(J789="Cattle",J789="Zebu Cattle"),IF(COUNTIF(lists!$M$2:$M$258, K789) &gt; 0,"bos.indicus",IF(COUNTIF(lists!$L$2:$L$258, K789) &gt; 0,"cross.bred","pure.bred.exotic")),"NA")</f>
        <v>NA</v>
      </c>
      <c r="M789" t="str">
        <f>IF(J789="Sheep",IF(COUNTIF(lists!$H$2:$H$258, K789) &gt; 0,"indigenous",IF(COUNTIF(lists!$G$2:$G$258, K789) &gt; 0,"cross.bred","not found")),"NA")</f>
        <v>NA</v>
      </c>
      <c r="N789" t="str">
        <f>IF(J789="Goat",IF(COUNTIF(lists!$J$2:$J$258, K789) &gt; 0,"indigenous",IF(COUNTIF(lists!$I$2:$I$258, K789) &gt; 0,"cross.bred","not found")),"NA")</f>
        <v>not found</v>
      </c>
      <c r="O789" s="9" t="s">
        <v>109</v>
      </c>
      <c r="P789" s="9" t="s">
        <v>106</v>
      </c>
      <c r="Q789" s="9" t="s">
        <v>3806</v>
      </c>
      <c r="S789" s="9" t="s">
        <v>106</v>
      </c>
      <c r="T789" s="9" t="s">
        <v>106</v>
      </c>
      <c r="U789" s="9" t="s">
        <v>106</v>
      </c>
      <c r="V789" s="9" t="s">
        <v>106</v>
      </c>
      <c r="W789" s="9" t="s">
        <v>106</v>
      </c>
      <c r="X789" s="9" t="s">
        <v>106</v>
      </c>
      <c r="Y789" s="9" t="s">
        <v>106</v>
      </c>
      <c r="Z789" s="37"/>
      <c r="AA789" s="37"/>
      <c r="AB789" s="37"/>
      <c r="AE789">
        <v>0</v>
      </c>
    </row>
    <row r="790" spans="1:31" hidden="1">
      <c r="A790" s="9" t="s">
        <v>1655</v>
      </c>
      <c r="B790" s="9" t="s">
        <v>1657</v>
      </c>
      <c r="C790" s="9" t="s">
        <v>105</v>
      </c>
      <c r="D790" s="9">
        <v>0.58899999999999997</v>
      </c>
      <c r="E790" s="9" t="s">
        <v>106</v>
      </c>
      <c r="F790" s="9">
        <v>15.79</v>
      </c>
      <c r="G790" s="9">
        <v>39.520000000000003</v>
      </c>
      <c r="H790" s="9" t="s">
        <v>106</v>
      </c>
      <c r="I790" s="9">
        <v>27</v>
      </c>
      <c r="J790" s="9" t="s">
        <v>116</v>
      </c>
      <c r="K790" s="9" t="s">
        <v>336</v>
      </c>
      <c r="L790" t="str">
        <f>IF(OR(J790="Cattle",J790="Zebu Cattle"),IF(COUNTIF(lists!$M$2:$M$258, K790) &gt; 0,"bos.indicus",IF(COUNTIF(lists!$L$2:$L$258, K790) &gt; 0,"cross.bred","pure.bred.exotic")),"NA")</f>
        <v>NA</v>
      </c>
      <c r="M790" t="str">
        <f>IF(J790="Sheep",IF(COUNTIF(lists!$H$2:$H$258, K790) &gt; 0,"indigenous",IF(COUNTIF(lists!$G$2:$G$258, K790) &gt; 0,"cross.bred","not found")),"NA")</f>
        <v>NA</v>
      </c>
      <c r="N790" t="str">
        <f>IF(J790="Goat",IF(COUNTIF(lists!$J$2:$J$258, K790) &gt; 0,"indigenous",IF(COUNTIF(lists!$I$2:$I$258, K790) &gt; 0,"cross.bred","not found")),"NA")</f>
        <v>not found</v>
      </c>
      <c r="O790" s="9" t="s">
        <v>109</v>
      </c>
      <c r="P790" s="9" t="s">
        <v>106</v>
      </c>
      <c r="Q790" s="9" t="s">
        <v>3806</v>
      </c>
      <c r="S790" s="9" t="s">
        <v>106</v>
      </c>
      <c r="T790" s="9" t="s">
        <v>106</v>
      </c>
      <c r="U790" s="9" t="s">
        <v>106</v>
      </c>
      <c r="V790" s="9" t="s">
        <v>106</v>
      </c>
      <c r="W790" s="9" t="s">
        <v>106</v>
      </c>
      <c r="X790" s="9" t="s">
        <v>106</v>
      </c>
      <c r="Y790" s="9" t="s">
        <v>106</v>
      </c>
      <c r="Z790" s="37"/>
      <c r="AA790" s="37"/>
      <c r="AB790" s="37"/>
      <c r="AE790">
        <v>0</v>
      </c>
    </row>
    <row r="791" spans="1:31" hidden="1">
      <c r="A791" s="9" t="s">
        <v>1655</v>
      </c>
      <c r="B791" s="9" t="s">
        <v>1658</v>
      </c>
      <c r="C791" s="9" t="s">
        <v>105</v>
      </c>
      <c r="D791" s="9">
        <v>0.61899999999999999</v>
      </c>
      <c r="E791" s="9" t="s">
        <v>106</v>
      </c>
      <c r="F791" s="9">
        <v>15.69</v>
      </c>
      <c r="G791" s="9">
        <v>40.71</v>
      </c>
      <c r="H791" s="9" t="s">
        <v>106</v>
      </c>
      <c r="I791" s="9">
        <v>27</v>
      </c>
      <c r="J791" s="9" t="s">
        <v>116</v>
      </c>
      <c r="K791" s="9" t="s">
        <v>336</v>
      </c>
      <c r="L791" t="str">
        <f>IF(OR(J791="Cattle",J791="Zebu Cattle"),IF(COUNTIF(lists!$M$2:$M$258, K791) &gt; 0,"bos.indicus",IF(COUNTIF(lists!$L$2:$L$258, K791) &gt; 0,"cross.bred","pure.bred.exotic")),"NA")</f>
        <v>NA</v>
      </c>
      <c r="M791" t="str">
        <f>IF(J791="Sheep",IF(COUNTIF(lists!$H$2:$H$258, K791) &gt; 0,"indigenous",IF(COUNTIF(lists!$G$2:$G$258, K791) &gt; 0,"cross.bred","not found")),"NA")</f>
        <v>NA</v>
      </c>
      <c r="N791" t="str">
        <f>IF(J791="Goat",IF(COUNTIF(lists!$J$2:$J$258, K791) &gt; 0,"indigenous",IF(COUNTIF(lists!$I$2:$I$258, K791) &gt; 0,"cross.bred","not found")),"NA")</f>
        <v>not found</v>
      </c>
      <c r="O791" s="9" t="s">
        <v>109</v>
      </c>
      <c r="P791" s="9" t="s">
        <v>106</v>
      </c>
      <c r="Q791" s="9" t="s">
        <v>3806</v>
      </c>
      <c r="S791" s="9" t="s">
        <v>106</v>
      </c>
      <c r="T791" s="9" t="s">
        <v>106</v>
      </c>
      <c r="U791" s="9" t="s">
        <v>106</v>
      </c>
      <c r="V791" s="9" t="s">
        <v>106</v>
      </c>
      <c r="W791" s="9" t="s">
        <v>106</v>
      </c>
      <c r="X791" s="9" t="s">
        <v>106</v>
      </c>
      <c r="Y791" s="9" t="s">
        <v>106</v>
      </c>
      <c r="Z791" s="37"/>
      <c r="AA791" s="37"/>
      <c r="AB791" s="37"/>
      <c r="AE791">
        <v>0</v>
      </c>
    </row>
    <row r="792" spans="1:31" hidden="1">
      <c r="A792" s="9" t="s">
        <v>1685</v>
      </c>
      <c r="B792" s="9" t="s">
        <v>1686</v>
      </c>
      <c r="C792" s="9" t="s">
        <v>105</v>
      </c>
      <c r="D792" s="9">
        <v>0.32682006756717602</v>
      </c>
      <c r="E792" s="9">
        <v>1.8</v>
      </c>
      <c r="F792" s="9">
        <v>32.700000000000003</v>
      </c>
      <c r="G792" s="9">
        <v>-104.46</v>
      </c>
      <c r="H792" s="9">
        <v>0.38900000000000001</v>
      </c>
      <c r="I792" s="9">
        <v>30</v>
      </c>
      <c r="J792" s="9" t="s">
        <v>116</v>
      </c>
      <c r="K792" s="9" t="s">
        <v>634</v>
      </c>
      <c r="L792" t="str">
        <f>IF(OR(J792="Cattle",J792="Zebu Cattle"),IF(COUNTIF(lists!$M$2:$M$258, K792) &gt; 0,"bos.indicus",IF(COUNTIF(lists!$L$2:$L$258, K792) &gt; 0,"cross.bred","pure.bred.exotic")),"NA")</f>
        <v>NA</v>
      </c>
      <c r="M792" t="str">
        <f>IF(J792="Sheep",IF(COUNTIF(lists!$H$2:$H$258, K792) &gt; 0,"indigenous",IF(COUNTIF(lists!$G$2:$G$258, K792) &gt; 0,"cross.bred","not found")),"NA")</f>
        <v>NA</v>
      </c>
      <c r="N792" t="str">
        <f>IF(J792="Goat",IF(COUNTIF(lists!$J$2:$J$258, K792) &gt; 0,"indigenous",IF(COUNTIF(lists!$I$2:$I$258, K792) &gt; 0,"cross.bred","not found")),"NA")</f>
        <v>indigenous</v>
      </c>
      <c r="O792" s="9" t="s">
        <v>109</v>
      </c>
      <c r="P792" s="9" t="s">
        <v>106</v>
      </c>
      <c r="Q792" s="9" t="s">
        <v>3809</v>
      </c>
      <c r="S792" s="9">
        <v>556</v>
      </c>
      <c r="T792" s="9" t="s">
        <v>106</v>
      </c>
      <c r="U792" s="9">
        <v>161</v>
      </c>
      <c r="V792" s="9">
        <v>912</v>
      </c>
      <c r="W792" s="9" t="s">
        <v>106</v>
      </c>
      <c r="X792" s="9">
        <v>745</v>
      </c>
      <c r="Y792" s="9" t="s">
        <v>106</v>
      </c>
      <c r="Z792" s="37"/>
      <c r="AA792" s="37"/>
      <c r="AB792" s="37"/>
      <c r="AE792">
        <v>0</v>
      </c>
    </row>
    <row r="793" spans="1:31" hidden="1">
      <c r="A793" s="9" t="s">
        <v>1685</v>
      </c>
      <c r="B793" s="9" t="s">
        <v>1687</v>
      </c>
      <c r="C793" s="9" t="s">
        <v>105</v>
      </c>
      <c r="D793" s="9">
        <v>0.63859820733837402</v>
      </c>
      <c r="E793" s="9">
        <v>1.8</v>
      </c>
      <c r="F793" s="9">
        <v>32.700000000000003</v>
      </c>
      <c r="G793" s="9">
        <v>48.92</v>
      </c>
      <c r="H793" s="9">
        <v>0.44700000000000001</v>
      </c>
      <c r="I793" s="9">
        <v>30</v>
      </c>
      <c r="J793" s="9" t="s">
        <v>116</v>
      </c>
      <c r="K793" s="9" t="s">
        <v>634</v>
      </c>
      <c r="L793" t="str">
        <f>IF(OR(J793="Cattle",J793="Zebu Cattle"),IF(COUNTIF(lists!$M$2:$M$258, K793) &gt; 0,"bos.indicus",IF(COUNTIF(lists!$L$2:$L$258, K793) &gt; 0,"cross.bred","pure.bred.exotic")),"NA")</f>
        <v>NA</v>
      </c>
      <c r="M793" t="str">
        <f>IF(J793="Sheep",IF(COUNTIF(lists!$H$2:$H$258, K793) &gt; 0,"indigenous",IF(COUNTIF(lists!$G$2:$G$258, K793) &gt; 0,"cross.bred","not found")),"NA")</f>
        <v>NA</v>
      </c>
      <c r="N793" t="str">
        <f>IF(J793="Goat",IF(COUNTIF(lists!$J$2:$J$258, K793) &gt; 0,"indigenous",IF(COUNTIF(lists!$I$2:$I$258, K793) &gt; 0,"cross.bred","not found")),"NA")</f>
        <v>indigenous</v>
      </c>
      <c r="O793" s="9" t="s">
        <v>109</v>
      </c>
      <c r="P793" s="9" t="s">
        <v>106</v>
      </c>
      <c r="Q793" s="9" t="s">
        <v>3809</v>
      </c>
      <c r="S793" s="9" t="s">
        <v>106</v>
      </c>
      <c r="T793" s="9" t="s">
        <v>106</v>
      </c>
      <c r="U793" s="9" t="s">
        <v>106</v>
      </c>
      <c r="V793" s="9" t="s">
        <v>106</v>
      </c>
      <c r="W793" s="9" t="s">
        <v>106</v>
      </c>
      <c r="X793" s="9" t="s">
        <v>106</v>
      </c>
      <c r="Y793" s="9" t="s">
        <v>106</v>
      </c>
      <c r="Z793" s="37"/>
      <c r="AA793" s="37"/>
      <c r="AB793" s="37"/>
      <c r="AE793">
        <v>0</v>
      </c>
    </row>
    <row r="794" spans="1:31" hidden="1">
      <c r="A794" s="9" t="s">
        <v>1685</v>
      </c>
      <c r="B794" s="9" t="s">
        <v>922</v>
      </c>
      <c r="C794" s="9" t="s">
        <v>105</v>
      </c>
      <c r="D794" s="9">
        <v>0.32955496353008101</v>
      </c>
      <c r="E794" s="9">
        <v>2</v>
      </c>
      <c r="F794" s="9">
        <v>32.700000000000003</v>
      </c>
      <c r="G794" s="9">
        <v>-50</v>
      </c>
      <c r="H794" s="9">
        <v>0.443</v>
      </c>
      <c r="I794" s="9">
        <v>30</v>
      </c>
      <c r="J794" s="9" t="s">
        <v>116</v>
      </c>
      <c r="K794" s="9" t="s">
        <v>634</v>
      </c>
      <c r="L794" t="str">
        <f>IF(OR(J794="Cattle",J794="Zebu Cattle"),IF(COUNTIF(lists!$M$2:$M$258, K794) &gt; 0,"bos.indicus",IF(COUNTIF(lists!$L$2:$L$258, K794) &gt; 0,"cross.bred","pure.bred.exotic")),"NA")</f>
        <v>NA</v>
      </c>
      <c r="M794" t="str">
        <f>IF(J794="Sheep",IF(COUNTIF(lists!$H$2:$H$258, K794) &gt; 0,"indigenous",IF(COUNTIF(lists!$G$2:$G$258, K794) &gt; 0,"cross.bred","not found")),"NA")</f>
        <v>NA</v>
      </c>
      <c r="N794" t="str">
        <f>IF(J794="Goat",IF(COUNTIF(lists!$J$2:$J$258, K794) &gt; 0,"indigenous",IF(COUNTIF(lists!$I$2:$I$258, K794) &gt; 0,"cross.bred","not found")),"NA")</f>
        <v>indigenous</v>
      </c>
      <c r="O794" s="9" t="s">
        <v>109</v>
      </c>
      <c r="P794" s="9" t="s">
        <v>106</v>
      </c>
      <c r="Q794" s="9" t="s">
        <v>3809</v>
      </c>
      <c r="S794" s="9">
        <v>560</v>
      </c>
      <c r="T794" s="9" t="s">
        <v>106</v>
      </c>
      <c r="U794" s="9">
        <v>25</v>
      </c>
      <c r="V794" s="9">
        <v>916.7</v>
      </c>
      <c r="W794" s="9" t="s">
        <v>106</v>
      </c>
      <c r="X794" s="9">
        <v>747</v>
      </c>
      <c r="Y794" s="9" t="s">
        <v>106</v>
      </c>
      <c r="Z794" s="37"/>
      <c r="AA794" s="37"/>
      <c r="AB794" s="37"/>
      <c r="AE794">
        <v>0</v>
      </c>
    </row>
    <row r="795" spans="1:31" hidden="1">
      <c r="A795" s="9" t="s">
        <v>1694</v>
      </c>
      <c r="B795" s="9" t="s">
        <v>1695</v>
      </c>
      <c r="C795" s="9" t="s">
        <v>105</v>
      </c>
      <c r="D795" s="9">
        <v>1.0149999999999999</v>
      </c>
      <c r="E795" s="9" t="s">
        <v>106</v>
      </c>
      <c r="F795" s="9">
        <v>25.9</v>
      </c>
      <c r="G795" s="9">
        <v>45.9</v>
      </c>
      <c r="H795" s="9" t="s">
        <v>106</v>
      </c>
      <c r="I795" s="9">
        <v>12</v>
      </c>
      <c r="J795" s="9" t="s">
        <v>116</v>
      </c>
      <c r="K795" s="9" t="s">
        <v>336</v>
      </c>
      <c r="L795" t="str">
        <f>IF(OR(J795="Cattle",J795="Zebu Cattle"),IF(COUNTIF(lists!$M$2:$M$258, K795) &gt; 0,"bos.indicus",IF(COUNTIF(lists!$L$2:$L$258, K795) &gt; 0,"cross.bred","pure.bred.exotic")),"NA")</f>
        <v>NA</v>
      </c>
      <c r="M795" t="str">
        <f>IF(J795="Sheep",IF(COUNTIF(lists!$H$2:$H$258, K795) &gt; 0,"indigenous",IF(COUNTIF(lists!$G$2:$G$258, K795) &gt; 0,"cross.bred","not found")),"NA")</f>
        <v>NA</v>
      </c>
      <c r="N795" t="str">
        <f>IF(J795="Goat",IF(COUNTIF(lists!$J$2:$J$258, K795) &gt; 0,"indigenous",IF(COUNTIF(lists!$I$2:$I$258, K795) &gt; 0,"cross.bred","not found")),"NA")</f>
        <v>not found</v>
      </c>
      <c r="O795" s="9" t="s">
        <v>109</v>
      </c>
      <c r="P795" s="9" t="s">
        <v>106</v>
      </c>
      <c r="Q795" s="9" t="s">
        <v>3806</v>
      </c>
      <c r="S795" s="9" t="s">
        <v>106</v>
      </c>
      <c r="T795" s="9" t="s">
        <v>106</v>
      </c>
      <c r="U795" s="9" t="s">
        <v>106</v>
      </c>
      <c r="V795" s="9" t="s">
        <v>106</v>
      </c>
      <c r="W795" s="9" t="s">
        <v>106</v>
      </c>
      <c r="X795" s="9" t="s">
        <v>106</v>
      </c>
      <c r="Y795" s="9" t="s">
        <v>106</v>
      </c>
      <c r="Z795" s="37"/>
      <c r="AA795" s="37"/>
      <c r="AB795" s="37"/>
      <c r="AE795">
        <v>0</v>
      </c>
    </row>
    <row r="796" spans="1:31" hidden="1">
      <c r="A796" s="9" t="s">
        <v>1694</v>
      </c>
      <c r="B796" s="9" t="s">
        <v>1696</v>
      </c>
      <c r="C796" s="9" t="s">
        <v>105</v>
      </c>
      <c r="D796" s="9">
        <v>0.90600000000000003</v>
      </c>
      <c r="E796" s="9" t="s">
        <v>106</v>
      </c>
      <c r="F796" s="9">
        <v>19.3</v>
      </c>
      <c r="G796" s="9">
        <v>31.299999999999901</v>
      </c>
      <c r="H796" s="9" t="s">
        <v>106</v>
      </c>
      <c r="I796" s="9">
        <v>12</v>
      </c>
      <c r="J796" s="9" t="s">
        <v>116</v>
      </c>
      <c r="K796" s="9" t="s">
        <v>336</v>
      </c>
      <c r="L796" t="str">
        <f>IF(OR(J796="Cattle",J796="Zebu Cattle"),IF(COUNTIF(lists!$M$2:$M$258, K796) &gt; 0,"bos.indicus",IF(COUNTIF(lists!$L$2:$L$258, K796) &gt; 0,"cross.bred","pure.bred.exotic")),"NA")</f>
        <v>NA</v>
      </c>
      <c r="M796" t="str">
        <f>IF(J796="Sheep",IF(COUNTIF(lists!$H$2:$H$258, K796) &gt; 0,"indigenous",IF(COUNTIF(lists!$G$2:$G$258, K796) &gt; 0,"cross.bred","not found")),"NA")</f>
        <v>NA</v>
      </c>
      <c r="N796" t="str">
        <f>IF(J796="Goat",IF(COUNTIF(lists!$J$2:$J$258, K796) &gt; 0,"indigenous",IF(COUNTIF(lists!$I$2:$I$258, K796) &gt; 0,"cross.bred","not found")),"NA")</f>
        <v>not found</v>
      </c>
      <c r="O796" s="9" t="s">
        <v>109</v>
      </c>
      <c r="P796" s="9" t="s">
        <v>106</v>
      </c>
      <c r="Q796" s="9" t="s">
        <v>3806</v>
      </c>
      <c r="S796" s="9" t="s">
        <v>106</v>
      </c>
      <c r="T796" s="9" t="s">
        <v>106</v>
      </c>
      <c r="U796" s="9" t="s">
        <v>106</v>
      </c>
      <c r="V796" s="9" t="s">
        <v>106</v>
      </c>
      <c r="W796" s="9" t="s">
        <v>106</v>
      </c>
      <c r="X796" s="9" t="s">
        <v>106</v>
      </c>
      <c r="Y796" s="9" t="s">
        <v>106</v>
      </c>
      <c r="Z796" s="37"/>
      <c r="AA796" s="37"/>
      <c r="AB796" s="37"/>
      <c r="AE796">
        <v>0</v>
      </c>
    </row>
    <row r="797" spans="1:31" hidden="1">
      <c r="A797" s="9" t="s">
        <v>1698</v>
      </c>
      <c r="B797" s="9" t="s">
        <v>1699</v>
      </c>
      <c r="C797" s="9" t="s">
        <v>105</v>
      </c>
      <c r="D797" s="9">
        <v>0.1265</v>
      </c>
      <c r="E797" s="9" t="s">
        <v>106</v>
      </c>
      <c r="F797" s="9">
        <v>18.7</v>
      </c>
      <c r="G797" s="9">
        <v>2100</v>
      </c>
      <c r="H797" s="9" t="s">
        <v>106</v>
      </c>
      <c r="I797" s="9">
        <v>21</v>
      </c>
      <c r="J797" s="9" t="s">
        <v>116</v>
      </c>
      <c r="K797" s="9" t="s">
        <v>180</v>
      </c>
      <c r="L797" t="str">
        <f>IF(OR(J797="Cattle",J797="Zebu Cattle"),IF(COUNTIF(lists!$M$2:$M$258, K797) &gt; 0,"bos.indicus",IF(COUNTIF(lists!$L$2:$L$258, K797) &gt; 0,"cross.bred","pure.bred.exotic")),"NA")</f>
        <v>NA</v>
      </c>
      <c r="M797" t="str">
        <f>IF(J797="Sheep",IF(COUNTIF(lists!$H$2:$H$258, K797) &gt; 0,"indigenous",IF(COUNTIF(lists!$G$2:$G$258, K797) &gt; 0,"cross.bred","not found")),"NA")</f>
        <v>NA</v>
      </c>
      <c r="N797" t="str">
        <f>IF(J797="Goat",IF(COUNTIF(lists!$J$2:$J$258, K797) &gt; 0,"indigenous",IF(COUNTIF(lists!$I$2:$I$258, K797) &gt; 0,"cross.bred","not found")),"NA")</f>
        <v>not found</v>
      </c>
      <c r="O797" s="9" t="s">
        <v>180</v>
      </c>
      <c r="P797" s="9" t="s">
        <v>106</v>
      </c>
      <c r="Q797" s="9" t="s">
        <v>3806</v>
      </c>
      <c r="S797" s="9" t="s">
        <v>106</v>
      </c>
      <c r="T797" s="9" t="s">
        <v>106</v>
      </c>
      <c r="U797" s="9">
        <v>210</v>
      </c>
      <c r="V797" s="9">
        <v>746</v>
      </c>
      <c r="W797" s="9" t="s">
        <v>106</v>
      </c>
      <c r="X797" s="9">
        <v>245</v>
      </c>
      <c r="Y797" s="9" t="s">
        <v>106</v>
      </c>
      <c r="Z797" s="37"/>
      <c r="AA797" s="37"/>
      <c r="AB797" s="37"/>
      <c r="AE797">
        <v>0</v>
      </c>
    </row>
    <row r="798" spans="1:31" hidden="1">
      <c r="A798" s="9" t="s">
        <v>1698</v>
      </c>
      <c r="B798" s="9" t="s">
        <v>1700</v>
      </c>
      <c r="C798" s="9" t="s">
        <v>105</v>
      </c>
      <c r="D798" s="9">
        <v>0.1265</v>
      </c>
      <c r="E798" s="9" t="s">
        <v>106</v>
      </c>
      <c r="F798" s="9">
        <v>18.7</v>
      </c>
      <c r="G798" s="9">
        <v>-3200</v>
      </c>
      <c r="H798" s="9" t="s">
        <v>106</v>
      </c>
      <c r="I798" s="9">
        <v>21</v>
      </c>
      <c r="J798" s="9" t="s">
        <v>116</v>
      </c>
      <c r="K798" s="9" t="s">
        <v>180</v>
      </c>
      <c r="L798" t="str">
        <f>IF(OR(J798="Cattle",J798="Zebu Cattle"),IF(COUNTIF(lists!$M$2:$M$258, K798) &gt; 0,"bos.indicus",IF(COUNTIF(lists!$L$2:$L$258, K798) &gt; 0,"cross.bred","pure.bred.exotic")),"NA")</f>
        <v>NA</v>
      </c>
      <c r="M798" t="str">
        <f>IF(J798="Sheep",IF(COUNTIF(lists!$H$2:$H$258, K798) &gt; 0,"indigenous",IF(COUNTIF(lists!$G$2:$G$258, K798) &gt; 0,"cross.bred","not found")),"NA")</f>
        <v>NA</v>
      </c>
      <c r="N798" t="str">
        <f>IF(J798="Goat",IF(COUNTIF(lists!$J$2:$J$258, K798) &gt; 0,"indigenous",IF(COUNTIF(lists!$I$2:$I$258, K798) &gt; 0,"cross.bred","not found")),"NA")</f>
        <v>not found</v>
      </c>
      <c r="O798" s="9" t="s">
        <v>180</v>
      </c>
      <c r="P798" s="9" t="s">
        <v>106</v>
      </c>
      <c r="Q798" s="9" t="s">
        <v>3806</v>
      </c>
      <c r="S798" s="9" t="s">
        <v>106</v>
      </c>
      <c r="T798" s="9" t="s">
        <v>106</v>
      </c>
      <c r="U798" s="9">
        <v>210</v>
      </c>
      <c r="V798" s="9">
        <v>716</v>
      </c>
      <c r="W798" s="9" t="s">
        <v>106</v>
      </c>
      <c r="X798" s="9">
        <v>235</v>
      </c>
      <c r="Y798" s="9" t="s">
        <v>106</v>
      </c>
      <c r="Z798" s="37"/>
      <c r="AA798" s="37"/>
      <c r="AB798" s="37"/>
      <c r="AE798">
        <v>0</v>
      </c>
    </row>
    <row r="799" spans="1:31" hidden="1">
      <c r="A799" s="9" t="s">
        <v>1735</v>
      </c>
      <c r="B799" s="9" t="s">
        <v>1736</v>
      </c>
      <c r="C799" s="9" t="s">
        <v>105</v>
      </c>
      <c r="D799" s="9">
        <v>0.32670868189972602</v>
      </c>
      <c r="E799" s="9">
        <v>1.74</v>
      </c>
      <c r="F799" s="9">
        <v>14.1</v>
      </c>
      <c r="G799" s="9">
        <v>2560</v>
      </c>
      <c r="H799" s="9" t="s">
        <v>106</v>
      </c>
      <c r="I799" s="9">
        <v>9</v>
      </c>
      <c r="J799" s="9" t="s">
        <v>116</v>
      </c>
      <c r="K799" s="9" t="s">
        <v>180</v>
      </c>
      <c r="L799" t="str">
        <f>IF(OR(J799="Cattle",J799="Zebu Cattle"),IF(COUNTIF(lists!$M$2:$M$258, K799) &gt; 0,"bos.indicus",IF(COUNTIF(lists!$L$2:$L$258, K799) &gt; 0,"cross.bred","pure.bred.exotic")),"NA")</f>
        <v>NA</v>
      </c>
      <c r="M799" t="str">
        <f>IF(J799="Sheep",IF(COUNTIF(lists!$H$2:$H$258, K799) &gt; 0,"indigenous",IF(COUNTIF(lists!$G$2:$G$258, K799) &gt; 0,"cross.bred","not found")),"NA")</f>
        <v>NA</v>
      </c>
      <c r="N799" t="str">
        <f>IF(J799="Goat",IF(COUNTIF(lists!$J$2:$J$258, K799) &gt; 0,"indigenous",IF(COUNTIF(lists!$I$2:$I$258, K799) &gt; 0,"cross.bred","not found")),"NA")</f>
        <v>not found</v>
      </c>
      <c r="O799" s="9" t="s">
        <v>180</v>
      </c>
      <c r="P799" s="9" t="s">
        <v>106</v>
      </c>
      <c r="Q799" s="9" t="s">
        <v>3813</v>
      </c>
      <c r="S799" s="9" t="s">
        <v>106</v>
      </c>
      <c r="T799" s="9" t="s">
        <v>106</v>
      </c>
      <c r="U799" s="9" t="s">
        <v>106</v>
      </c>
      <c r="V799" s="9" t="s">
        <v>106</v>
      </c>
      <c r="W799" s="9" t="s">
        <v>106</v>
      </c>
      <c r="X799" s="9" t="s">
        <v>106</v>
      </c>
      <c r="Y799" s="9" t="s">
        <v>106</v>
      </c>
      <c r="Z799" s="37"/>
      <c r="AA799" s="37"/>
      <c r="AB799" s="37"/>
      <c r="AE799">
        <v>0</v>
      </c>
    </row>
    <row r="800" spans="1:31" hidden="1">
      <c r="A800" s="9" t="s">
        <v>1735</v>
      </c>
      <c r="B800" s="9" t="s">
        <v>1737</v>
      </c>
      <c r="C800" s="9" t="s">
        <v>105</v>
      </c>
      <c r="D800" s="9">
        <v>0.36844934333586499</v>
      </c>
      <c r="E800" s="9">
        <v>2.52</v>
      </c>
      <c r="F800" s="9">
        <v>15.1</v>
      </c>
      <c r="G800" s="9">
        <v>1363</v>
      </c>
      <c r="H800" s="9" t="s">
        <v>106</v>
      </c>
      <c r="I800" s="9">
        <v>9</v>
      </c>
      <c r="J800" s="9" t="s">
        <v>116</v>
      </c>
      <c r="K800" s="9" t="s">
        <v>180</v>
      </c>
      <c r="L800" t="str">
        <f>IF(OR(J800="Cattle",J800="Zebu Cattle"),IF(COUNTIF(lists!$M$2:$M$258, K800) &gt; 0,"bos.indicus",IF(COUNTIF(lists!$L$2:$L$258, K800) &gt; 0,"cross.bred","pure.bred.exotic")),"NA")</f>
        <v>NA</v>
      </c>
      <c r="M800" t="str">
        <f>IF(J800="Sheep",IF(COUNTIF(lists!$H$2:$H$258, K800) &gt; 0,"indigenous",IF(COUNTIF(lists!$G$2:$G$258, K800) &gt; 0,"cross.bred","not found")),"NA")</f>
        <v>NA</v>
      </c>
      <c r="N800" t="str">
        <f>IF(J800="Goat",IF(COUNTIF(lists!$J$2:$J$258, K800) &gt; 0,"indigenous",IF(COUNTIF(lists!$I$2:$I$258, K800) &gt; 0,"cross.bred","not found")),"NA")</f>
        <v>not found</v>
      </c>
      <c r="O800" s="9" t="s">
        <v>180</v>
      </c>
      <c r="P800" s="9" t="s">
        <v>106</v>
      </c>
      <c r="Q800" s="9" t="s">
        <v>3813</v>
      </c>
      <c r="S800" s="9" t="s">
        <v>106</v>
      </c>
      <c r="T800" s="9" t="s">
        <v>106</v>
      </c>
      <c r="U800" s="9" t="s">
        <v>106</v>
      </c>
      <c r="V800" s="9" t="s">
        <v>106</v>
      </c>
      <c r="W800" s="9" t="s">
        <v>106</v>
      </c>
      <c r="X800" s="9" t="s">
        <v>106</v>
      </c>
      <c r="Y800" s="9" t="s">
        <v>106</v>
      </c>
      <c r="Z800" s="37"/>
      <c r="AA800" s="37"/>
      <c r="AB800" s="37"/>
      <c r="AE800">
        <v>0</v>
      </c>
    </row>
    <row r="801" spans="1:31" hidden="1">
      <c r="A801" s="9" t="s">
        <v>1735</v>
      </c>
      <c r="B801" s="9" t="s">
        <v>1738</v>
      </c>
      <c r="C801" s="9" t="s">
        <v>105</v>
      </c>
      <c r="D801" s="9">
        <v>0.296875595133826</v>
      </c>
      <c r="E801" s="9">
        <v>1.74</v>
      </c>
      <c r="F801" s="9">
        <v>14.1</v>
      </c>
      <c r="G801" s="9">
        <v>2011</v>
      </c>
      <c r="H801" s="9" t="s">
        <v>106</v>
      </c>
      <c r="I801" s="9">
        <v>9</v>
      </c>
      <c r="J801" s="9" t="s">
        <v>116</v>
      </c>
      <c r="K801" s="9" t="s">
        <v>180</v>
      </c>
      <c r="L801" t="str">
        <f>IF(OR(J801="Cattle",J801="Zebu Cattle"),IF(COUNTIF(lists!$M$2:$M$258, K801) &gt; 0,"bos.indicus",IF(COUNTIF(lists!$L$2:$L$258, K801) &gt; 0,"cross.bred","pure.bred.exotic")),"NA")</f>
        <v>NA</v>
      </c>
      <c r="M801" t="str">
        <f>IF(J801="Sheep",IF(COUNTIF(lists!$H$2:$H$258, K801) &gt; 0,"indigenous",IF(COUNTIF(lists!$G$2:$G$258, K801) &gt; 0,"cross.bred","not found")),"NA")</f>
        <v>NA</v>
      </c>
      <c r="N801" t="str">
        <f>IF(J801="Goat",IF(COUNTIF(lists!$J$2:$J$258, K801) &gt; 0,"indigenous",IF(COUNTIF(lists!$I$2:$I$258, K801) &gt; 0,"cross.bred","not found")),"NA")</f>
        <v>not found</v>
      </c>
      <c r="O801" s="9" t="s">
        <v>180</v>
      </c>
      <c r="P801" s="9" t="s">
        <v>106</v>
      </c>
      <c r="Q801" s="9" t="s">
        <v>3813</v>
      </c>
      <c r="S801" s="9" t="s">
        <v>106</v>
      </c>
      <c r="T801" s="9" t="s">
        <v>106</v>
      </c>
      <c r="U801" s="9" t="s">
        <v>106</v>
      </c>
      <c r="V801" s="9" t="s">
        <v>106</v>
      </c>
      <c r="W801" s="9" t="s">
        <v>106</v>
      </c>
      <c r="X801" s="9" t="s">
        <v>106</v>
      </c>
      <c r="Y801" s="9" t="s">
        <v>106</v>
      </c>
      <c r="Z801" s="37"/>
      <c r="AA801" s="37"/>
      <c r="AB801" s="37"/>
      <c r="AE801">
        <v>0</v>
      </c>
    </row>
    <row r="802" spans="1:31" hidden="1">
      <c r="A802" s="9" t="s">
        <v>1735</v>
      </c>
      <c r="B802" s="9" t="s">
        <v>1739</v>
      </c>
      <c r="C802" s="9" t="s">
        <v>105</v>
      </c>
      <c r="D802" s="9">
        <v>0.32402094018933703</v>
      </c>
      <c r="E802" s="9">
        <v>2.52</v>
      </c>
      <c r="F802" s="9">
        <v>15.1</v>
      </c>
      <c r="G802" s="9">
        <v>972</v>
      </c>
      <c r="H802" s="9" t="s">
        <v>106</v>
      </c>
      <c r="I802" s="9">
        <v>9</v>
      </c>
      <c r="J802" s="9" t="s">
        <v>116</v>
      </c>
      <c r="K802" s="9" t="s">
        <v>180</v>
      </c>
      <c r="L802" t="str">
        <f>IF(OR(J802="Cattle",J802="Zebu Cattle"),IF(COUNTIF(lists!$M$2:$M$258, K802) &gt; 0,"bos.indicus",IF(COUNTIF(lists!$L$2:$L$258, K802) &gt; 0,"cross.bred","pure.bred.exotic")),"NA")</f>
        <v>NA</v>
      </c>
      <c r="M802" t="str">
        <f>IF(J802="Sheep",IF(COUNTIF(lists!$H$2:$H$258, K802) &gt; 0,"indigenous",IF(COUNTIF(lists!$G$2:$G$258, K802) &gt; 0,"cross.bred","not found")),"NA")</f>
        <v>NA</v>
      </c>
      <c r="N802" t="str">
        <f>IF(J802="Goat",IF(COUNTIF(lists!$J$2:$J$258, K802) &gt; 0,"indigenous",IF(COUNTIF(lists!$I$2:$I$258, K802) &gt; 0,"cross.bred","not found")),"NA")</f>
        <v>not found</v>
      </c>
      <c r="O802" s="9" t="s">
        <v>180</v>
      </c>
      <c r="P802" s="9" t="s">
        <v>106</v>
      </c>
      <c r="Q802" s="9" t="s">
        <v>3813</v>
      </c>
      <c r="S802" s="9" t="s">
        <v>106</v>
      </c>
      <c r="T802" s="9" t="s">
        <v>106</v>
      </c>
      <c r="U802" s="9" t="s">
        <v>106</v>
      </c>
      <c r="V802" s="9" t="s">
        <v>106</v>
      </c>
      <c r="W802" s="9" t="s">
        <v>106</v>
      </c>
      <c r="X802" s="9" t="s">
        <v>106</v>
      </c>
      <c r="Y802" s="9" t="s">
        <v>106</v>
      </c>
      <c r="Z802" s="37"/>
      <c r="AA802" s="37"/>
      <c r="AB802" s="37"/>
      <c r="AE802">
        <v>0</v>
      </c>
    </row>
    <row r="803" spans="1:31" hidden="1">
      <c r="A803" s="9" t="s">
        <v>1735</v>
      </c>
      <c r="B803" s="9" t="s">
        <v>1740</v>
      </c>
      <c r="C803" s="9" t="s">
        <v>105</v>
      </c>
      <c r="D803" s="9">
        <v>0.22047378756262101</v>
      </c>
      <c r="E803" s="9">
        <v>1.4</v>
      </c>
      <c r="F803" s="9">
        <v>14.1</v>
      </c>
      <c r="G803" s="9">
        <v>1330</v>
      </c>
      <c r="H803" s="9" t="s">
        <v>106</v>
      </c>
      <c r="I803" s="9">
        <v>9</v>
      </c>
      <c r="J803" s="9" t="s">
        <v>116</v>
      </c>
      <c r="K803" s="9" t="s">
        <v>180</v>
      </c>
      <c r="L803" t="str">
        <f>IF(OR(J803="Cattle",J803="Zebu Cattle"),IF(COUNTIF(lists!$M$2:$M$258, K803) &gt; 0,"bos.indicus",IF(COUNTIF(lists!$L$2:$L$258, K803) &gt; 0,"cross.bred","pure.bred.exotic")),"NA")</f>
        <v>NA</v>
      </c>
      <c r="M803" t="str">
        <f>IF(J803="Sheep",IF(COUNTIF(lists!$H$2:$H$258, K803) &gt; 0,"indigenous",IF(COUNTIF(lists!$G$2:$G$258, K803) &gt; 0,"cross.bred","not found")),"NA")</f>
        <v>NA</v>
      </c>
      <c r="N803" t="str">
        <f>IF(J803="Goat",IF(COUNTIF(lists!$J$2:$J$258, K803) &gt; 0,"indigenous",IF(COUNTIF(lists!$I$2:$I$258, K803) &gt; 0,"cross.bred","not found")),"NA")</f>
        <v>not found</v>
      </c>
      <c r="O803" s="9" t="s">
        <v>180</v>
      </c>
      <c r="P803" s="9" t="s">
        <v>106</v>
      </c>
      <c r="Q803" s="9" t="s">
        <v>3813</v>
      </c>
      <c r="S803" s="9" t="s">
        <v>106</v>
      </c>
      <c r="T803" s="9" t="s">
        <v>106</v>
      </c>
      <c r="U803" s="9" t="s">
        <v>106</v>
      </c>
      <c r="V803" s="9" t="s">
        <v>106</v>
      </c>
      <c r="W803" s="9" t="s">
        <v>106</v>
      </c>
      <c r="X803" s="9" t="s">
        <v>106</v>
      </c>
      <c r="Y803" s="9" t="s">
        <v>106</v>
      </c>
      <c r="Z803" s="37"/>
      <c r="AA803" s="37"/>
      <c r="AB803" s="37"/>
      <c r="AE803">
        <v>0</v>
      </c>
    </row>
    <row r="804" spans="1:31" hidden="1">
      <c r="A804" s="9" t="s">
        <v>1735</v>
      </c>
      <c r="B804" s="9" t="s">
        <v>1741</v>
      </c>
      <c r="C804" s="9" t="s">
        <v>105</v>
      </c>
      <c r="D804" s="9">
        <v>0.25354830071553303</v>
      </c>
      <c r="E804" s="9">
        <v>2.3199999999999998</v>
      </c>
      <c r="F804" s="9">
        <v>15.1</v>
      </c>
      <c r="G804" s="9">
        <v>363</v>
      </c>
      <c r="H804" s="9" t="s">
        <v>106</v>
      </c>
      <c r="I804" s="9">
        <v>9</v>
      </c>
      <c r="J804" s="9" t="s">
        <v>116</v>
      </c>
      <c r="K804" s="9" t="s">
        <v>180</v>
      </c>
      <c r="L804" t="str">
        <f>IF(OR(J804="Cattle",J804="Zebu Cattle"),IF(COUNTIF(lists!$M$2:$M$258, K804) &gt; 0,"bos.indicus",IF(COUNTIF(lists!$L$2:$L$258, K804) &gt; 0,"cross.bred","pure.bred.exotic")),"NA")</f>
        <v>NA</v>
      </c>
      <c r="M804" t="str">
        <f>IF(J804="Sheep",IF(COUNTIF(lists!$H$2:$H$258, K804) &gt; 0,"indigenous",IF(COUNTIF(lists!$G$2:$G$258, K804) &gt; 0,"cross.bred","not found")),"NA")</f>
        <v>NA</v>
      </c>
      <c r="N804" t="str">
        <f>IF(J804="Goat",IF(COUNTIF(lists!$J$2:$J$258, K804) &gt; 0,"indigenous",IF(COUNTIF(lists!$I$2:$I$258, K804) &gt; 0,"cross.bred","not found")),"NA")</f>
        <v>not found</v>
      </c>
      <c r="O804" s="9" t="s">
        <v>180</v>
      </c>
      <c r="P804" s="9" t="s">
        <v>106</v>
      </c>
      <c r="Q804" s="9" t="s">
        <v>3813</v>
      </c>
      <c r="S804" s="9" t="s">
        <v>106</v>
      </c>
      <c r="T804" s="9" t="s">
        <v>106</v>
      </c>
      <c r="U804" s="9" t="s">
        <v>106</v>
      </c>
      <c r="V804" s="9" t="s">
        <v>106</v>
      </c>
      <c r="W804" s="9" t="s">
        <v>106</v>
      </c>
      <c r="X804" s="9" t="s">
        <v>106</v>
      </c>
      <c r="Y804" s="9" t="s">
        <v>106</v>
      </c>
      <c r="Z804" s="37"/>
      <c r="AA804" s="37"/>
      <c r="AB804" s="37"/>
      <c r="AE804">
        <v>0</v>
      </c>
    </row>
    <row r="805" spans="1:31" hidden="1">
      <c r="A805" s="9" t="s">
        <v>1790</v>
      </c>
      <c r="B805" s="9" t="s">
        <v>1761</v>
      </c>
      <c r="C805" s="9" t="s">
        <v>105</v>
      </c>
      <c r="D805" s="9">
        <v>0.48199999999999998</v>
      </c>
      <c r="E805" s="9">
        <v>18.420000000000002</v>
      </c>
      <c r="F805" s="9">
        <v>16</v>
      </c>
      <c r="G805" s="9">
        <v>10.199999999999999</v>
      </c>
      <c r="H805" s="9" t="s">
        <v>106</v>
      </c>
      <c r="I805" s="9">
        <v>24</v>
      </c>
      <c r="J805" s="9" t="s">
        <v>116</v>
      </c>
      <c r="K805" s="9" t="s">
        <v>1296</v>
      </c>
      <c r="L805" t="str">
        <f>IF(OR(J805="Cattle",J805="Zebu Cattle"),IF(COUNTIF(lists!$M$2:$M$258, K805) &gt; 0,"bos.indicus",IF(COUNTIF(lists!$L$2:$L$258, K805) &gt; 0,"cross.bred","pure.bred.exotic")),"NA")</f>
        <v>NA</v>
      </c>
      <c r="M805" t="str">
        <f>IF(J805="Sheep",IF(COUNTIF(lists!$H$2:$H$258, K805) &gt; 0,"indigenous",IF(COUNTIF(lists!$G$2:$G$258, K805) &gt; 0,"cross.bred","not found")),"NA")</f>
        <v>NA</v>
      </c>
      <c r="N805" t="str">
        <f>IF(J805="Goat",IF(COUNTIF(lists!$J$2:$J$258, K805) &gt; 0,"indigenous",IF(COUNTIF(lists!$I$2:$I$258, K805) &gt; 0,"cross.bred","not found")),"NA")</f>
        <v>not found</v>
      </c>
      <c r="O805" s="9" t="s">
        <v>109</v>
      </c>
      <c r="P805" s="9" t="s">
        <v>106</v>
      </c>
      <c r="Q805" s="9" t="s">
        <v>3804</v>
      </c>
      <c r="S805" s="9" t="s">
        <v>106</v>
      </c>
      <c r="T805" s="9" t="s">
        <v>106</v>
      </c>
      <c r="U805" s="9" t="s">
        <v>106</v>
      </c>
      <c r="V805" s="9" t="s">
        <v>106</v>
      </c>
      <c r="W805" s="9" t="s">
        <v>106</v>
      </c>
      <c r="X805" s="9" t="s">
        <v>106</v>
      </c>
      <c r="Y805" s="9">
        <v>0.65</v>
      </c>
      <c r="Z805" s="37"/>
      <c r="AA805" s="37"/>
      <c r="AB805" s="37"/>
      <c r="AE805">
        <v>0</v>
      </c>
    </row>
    <row r="806" spans="1:31" hidden="1">
      <c r="A806" s="9" t="s">
        <v>1790</v>
      </c>
      <c r="B806" s="9" t="s">
        <v>1791</v>
      </c>
      <c r="C806" s="9" t="s">
        <v>105</v>
      </c>
      <c r="D806" s="9">
        <v>0.56850000000000001</v>
      </c>
      <c r="E806" s="9">
        <v>18.420000000000002</v>
      </c>
      <c r="F806" s="9">
        <v>16.600000000000001</v>
      </c>
      <c r="G806" s="9">
        <v>41.7</v>
      </c>
      <c r="H806" s="9" t="s">
        <v>106</v>
      </c>
      <c r="I806" s="9">
        <v>24</v>
      </c>
      <c r="J806" s="9" t="s">
        <v>116</v>
      </c>
      <c r="K806" s="9" t="s">
        <v>1296</v>
      </c>
      <c r="L806" t="str">
        <f>IF(OR(J806="Cattle",J806="Zebu Cattle"),IF(COUNTIF(lists!$M$2:$M$258, K806) &gt; 0,"bos.indicus",IF(COUNTIF(lists!$L$2:$L$258, K806) &gt; 0,"cross.bred","pure.bred.exotic")),"NA")</f>
        <v>NA</v>
      </c>
      <c r="M806" t="str">
        <f>IF(J806="Sheep",IF(COUNTIF(lists!$H$2:$H$258, K806) &gt; 0,"indigenous",IF(COUNTIF(lists!$G$2:$G$258, K806) &gt; 0,"cross.bred","not found")),"NA")</f>
        <v>NA</v>
      </c>
      <c r="N806" t="str">
        <f>IF(J806="Goat",IF(COUNTIF(lists!$J$2:$J$258, K806) &gt; 0,"indigenous",IF(COUNTIF(lists!$I$2:$I$258, K806) &gt; 0,"cross.bred","not found")),"NA")</f>
        <v>not found</v>
      </c>
      <c r="O806" s="9" t="s">
        <v>109</v>
      </c>
      <c r="P806" s="9" t="s">
        <v>106</v>
      </c>
      <c r="Q806" s="9" t="s">
        <v>3804</v>
      </c>
      <c r="S806" s="9" t="s">
        <v>106</v>
      </c>
      <c r="T806" s="9" t="s">
        <v>106</v>
      </c>
      <c r="U806" s="9" t="s">
        <v>106</v>
      </c>
      <c r="V806" s="9" t="s">
        <v>106</v>
      </c>
      <c r="W806" s="9" t="s">
        <v>106</v>
      </c>
      <c r="X806" s="9" t="s">
        <v>106</v>
      </c>
      <c r="Y806" s="9">
        <v>0.66</v>
      </c>
      <c r="Z806" s="37"/>
      <c r="AA806" s="37"/>
      <c r="AB806" s="37"/>
      <c r="AE806">
        <v>0</v>
      </c>
    </row>
    <row r="807" spans="1:31" hidden="1">
      <c r="A807" s="9" t="s">
        <v>1790</v>
      </c>
      <c r="B807" s="9" t="s">
        <v>1792</v>
      </c>
      <c r="C807" s="9" t="s">
        <v>105</v>
      </c>
      <c r="D807" s="9">
        <v>0.5696</v>
      </c>
      <c r="E807" s="9">
        <v>18.420000000000002</v>
      </c>
      <c r="F807" s="9">
        <v>17.3</v>
      </c>
      <c r="G807" s="9">
        <v>65.3</v>
      </c>
      <c r="H807" s="9" t="s">
        <v>106</v>
      </c>
      <c r="I807" s="9">
        <v>24</v>
      </c>
      <c r="J807" s="9" t="s">
        <v>116</v>
      </c>
      <c r="K807" s="9" t="s">
        <v>1296</v>
      </c>
      <c r="L807" t="str">
        <f>IF(OR(J807="Cattle",J807="Zebu Cattle"),IF(COUNTIF(lists!$M$2:$M$258, K807) &gt; 0,"bos.indicus",IF(COUNTIF(lists!$L$2:$L$258, K807) &gt; 0,"cross.bred","pure.bred.exotic")),"NA")</f>
        <v>NA</v>
      </c>
      <c r="M807" t="str">
        <f>IF(J807="Sheep",IF(COUNTIF(lists!$H$2:$H$258, K807) &gt; 0,"indigenous",IF(COUNTIF(lists!$G$2:$G$258, K807) &gt; 0,"cross.bred","not found")),"NA")</f>
        <v>NA</v>
      </c>
      <c r="N807" t="str">
        <f>IF(J807="Goat",IF(COUNTIF(lists!$J$2:$J$258, K807) &gt; 0,"indigenous",IF(COUNTIF(lists!$I$2:$I$258, K807) &gt; 0,"cross.bred","not found")),"NA")</f>
        <v>not found</v>
      </c>
      <c r="O807" s="9" t="s">
        <v>109</v>
      </c>
      <c r="P807" s="9" t="s">
        <v>106</v>
      </c>
      <c r="Q807" s="9" t="s">
        <v>3804</v>
      </c>
      <c r="S807" s="9" t="s">
        <v>106</v>
      </c>
      <c r="T807" s="9" t="s">
        <v>106</v>
      </c>
      <c r="U807" s="9" t="s">
        <v>106</v>
      </c>
      <c r="V807" s="9" t="s">
        <v>106</v>
      </c>
      <c r="W807" s="9" t="s">
        <v>106</v>
      </c>
      <c r="X807" s="9" t="s">
        <v>106</v>
      </c>
      <c r="Y807" s="9">
        <v>0.67</v>
      </c>
      <c r="Z807" s="37"/>
      <c r="AA807" s="37"/>
      <c r="AB807" s="37"/>
      <c r="AE807">
        <v>0</v>
      </c>
    </row>
    <row r="808" spans="1:31" hidden="1">
      <c r="A808" s="9" t="s">
        <v>1790</v>
      </c>
      <c r="B808" s="9" t="s">
        <v>1793</v>
      </c>
      <c r="C808" s="9" t="s">
        <v>105</v>
      </c>
      <c r="D808" s="9">
        <v>0.65189999999999904</v>
      </c>
      <c r="E808" s="9">
        <v>18.420000000000002</v>
      </c>
      <c r="F808" s="9">
        <v>17.2</v>
      </c>
      <c r="G808" s="9">
        <v>55.6</v>
      </c>
      <c r="H808" s="9" t="s">
        <v>106</v>
      </c>
      <c r="I808" s="9">
        <v>24</v>
      </c>
      <c r="J808" s="9" t="s">
        <v>116</v>
      </c>
      <c r="K808" s="9" t="s">
        <v>1296</v>
      </c>
      <c r="L808" t="str">
        <f>IF(OR(J808="Cattle",J808="Zebu Cattle"),IF(COUNTIF(lists!$M$2:$M$258, K808) &gt; 0,"bos.indicus",IF(COUNTIF(lists!$L$2:$L$258, K808) &gt; 0,"cross.bred","pure.bred.exotic")),"NA")</f>
        <v>NA</v>
      </c>
      <c r="M808" t="str">
        <f>IF(J808="Sheep",IF(COUNTIF(lists!$H$2:$H$258, K808) &gt; 0,"indigenous",IF(COUNTIF(lists!$G$2:$G$258, K808) &gt; 0,"cross.bred","not found")),"NA")</f>
        <v>NA</v>
      </c>
      <c r="N808" t="str">
        <f>IF(J808="Goat",IF(COUNTIF(lists!$J$2:$J$258, K808) &gt; 0,"indigenous",IF(COUNTIF(lists!$I$2:$I$258, K808) &gt; 0,"cross.bred","not found")),"NA")</f>
        <v>not found</v>
      </c>
      <c r="O808" s="9" t="s">
        <v>109</v>
      </c>
      <c r="P808" s="9" t="s">
        <v>106</v>
      </c>
      <c r="Q808" s="9" t="s">
        <v>3804</v>
      </c>
      <c r="S808" s="9" t="s">
        <v>106</v>
      </c>
      <c r="T808" s="9" t="s">
        <v>106</v>
      </c>
      <c r="U808" s="9" t="s">
        <v>106</v>
      </c>
      <c r="V808" s="9" t="s">
        <v>106</v>
      </c>
      <c r="W808" s="9" t="s">
        <v>106</v>
      </c>
      <c r="X808" s="9" t="s">
        <v>106</v>
      </c>
      <c r="Y808" s="9">
        <v>0.71</v>
      </c>
      <c r="Z808" s="37"/>
      <c r="AA808" s="37"/>
      <c r="AB808" s="37"/>
      <c r="AE808">
        <v>0</v>
      </c>
    </row>
    <row r="809" spans="1:31" hidden="1">
      <c r="A809" s="9" t="s">
        <v>1804</v>
      </c>
      <c r="B809" s="9" t="s">
        <v>1805</v>
      </c>
      <c r="C809" s="9" t="s">
        <v>105</v>
      </c>
      <c r="D809" s="9">
        <v>0.67500000000000004</v>
      </c>
      <c r="E809" s="9">
        <v>22.3</v>
      </c>
      <c r="F809" s="9">
        <v>20.3666666666666</v>
      </c>
      <c r="G809" s="9">
        <v>38.9</v>
      </c>
      <c r="H809" s="9" t="s">
        <v>106</v>
      </c>
      <c r="I809" s="9">
        <v>27</v>
      </c>
      <c r="J809" s="9" t="s">
        <v>116</v>
      </c>
      <c r="K809" s="9" t="s">
        <v>1806</v>
      </c>
      <c r="L809" t="str">
        <f>IF(OR(J809="Cattle",J809="Zebu Cattle"),IF(COUNTIF(lists!$M$2:$M$258, K809) &gt; 0,"bos.indicus",IF(COUNTIF(lists!$L$2:$L$258, K809) &gt; 0,"cross.bred","pure.bred.exotic")),"NA")</f>
        <v>NA</v>
      </c>
      <c r="M809" t="str">
        <f>IF(J809="Sheep",IF(COUNTIF(lists!$H$2:$H$258, K809) &gt; 0,"indigenous",IF(COUNTIF(lists!$G$2:$G$258, K809) &gt; 0,"cross.bred","not found")),"NA")</f>
        <v>NA</v>
      </c>
      <c r="N809" t="str">
        <f>IF(J809="Goat",IF(COUNTIF(lists!$J$2:$J$258, K809) &gt; 0,"indigenous",IF(COUNTIF(lists!$I$2:$I$258, K809) &gt; 0,"cross.bred","not found")),"NA")</f>
        <v>not found</v>
      </c>
      <c r="O809" s="9" t="s">
        <v>124</v>
      </c>
      <c r="P809" s="9" t="s">
        <v>106</v>
      </c>
      <c r="Q809" s="9" t="s">
        <v>3804</v>
      </c>
      <c r="S809" s="9" t="s">
        <v>106</v>
      </c>
      <c r="T809" s="9" t="s">
        <v>106</v>
      </c>
      <c r="U809" s="9" t="s">
        <v>106</v>
      </c>
      <c r="V809" s="9" t="s">
        <v>106</v>
      </c>
      <c r="W809" s="9" t="s">
        <v>106</v>
      </c>
      <c r="X809" s="9" t="s">
        <v>106</v>
      </c>
      <c r="Y809" s="9" t="s">
        <v>106</v>
      </c>
      <c r="Z809" s="37"/>
      <c r="AA809" s="37"/>
      <c r="AB809" s="37"/>
      <c r="AE809">
        <v>0</v>
      </c>
    </row>
    <row r="810" spans="1:31" hidden="1">
      <c r="A810" s="9" t="s">
        <v>1804</v>
      </c>
      <c r="B810" s="9" t="s">
        <v>1807</v>
      </c>
      <c r="C810" s="9" t="s">
        <v>105</v>
      </c>
      <c r="D810" s="9">
        <v>0.81</v>
      </c>
      <c r="E810" s="9">
        <v>30.9</v>
      </c>
      <c r="F810" s="9">
        <v>15.8333333333333</v>
      </c>
      <c r="G810" s="9">
        <v>101.333333333333</v>
      </c>
      <c r="H810" s="9" t="s">
        <v>106</v>
      </c>
      <c r="I810" s="9">
        <v>27</v>
      </c>
      <c r="J810" s="9" t="s">
        <v>116</v>
      </c>
      <c r="K810" s="9" t="s">
        <v>1806</v>
      </c>
      <c r="L810" t="str">
        <f>IF(OR(J810="Cattle",J810="Zebu Cattle"),IF(COUNTIF(lists!$M$2:$M$258, K810) &gt; 0,"bos.indicus",IF(COUNTIF(lists!$L$2:$L$258, K810) &gt; 0,"cross.bred","pure.bred.exotic")),"NA")</f>
        <v>NA</v>
      </c>
      <c r="M810" t="str">
        <f>IF(J810="Sheep",IF(COUNTIF(lists!$H$2:$H$258, K810) &gt; 0,"indigenous",IF(COUNTIF(lists!$G$2:$G$258, K810) &gt; 0,"cross.bred","not found")),"NA")</f>
        <v>NA</v>
      </c>
      <c r="N810" t="str">
        <f>IF(J810="Goat",IF(COUNTIF(lists!$J$2:$J$258, K810) &gt; 0,"indigenous",IF(COUNTIF(lists!$I$2:$I$258, K810) &gt; 0,"cross.bred","not found")),"NA")</f>
        <v>not found</v>
      </c>
      <c r="O810" s="9" t="s">
        <v>124</v>
      </c>
      <c r="P810" s="9" t="s">
        <v>106</v>
      </c>
      <c r="Q810" s="9" t="s">
        <v>3804</v>
      </c>
      <c r="S810" s="9" t="s">
        <v>106</v>
      </c>
      <c r="T810" s="9" t="s">
        <v>106</v>
      </c>
      <c r="U810" s="9" t="s">
        <v>106</v>
      </c>
      <c r="V810" s="9" t="s">
        <v>106</v>
      </c>
      <c r="W810" s="9" t="s">
        <v>106</v>
      </c>
      <c r="X810" s="9" t="s">
        <v>106</v>
      </c>
      <c r="Y810" s="9" t="s">
        <v>106</v>
      </c>
      <c r="Z810" s="37"/>
      <c r="AA810" s="37"/>
      <c r="AB810" s="37"/>
      <c r="AE810">
        <v>0</v>
      </c>
    </row>
    <row r="811" spans="1:31" hidden="1">
      <c r="A811" s="9" t="s">
        <v>1827</v>
      </c>
      <c r="B811" s="9" t="s">
        <v>1828</v>
      </c>
      <c r="C811" s="9" t="s">
        <v>105</v>
      </c>
      <c r="D811" s="9">
        <v>0.52800000000000002</v>
      </c>
      <c r="E811" s="9">
        <v>22.9</v>
      </c>
      <c r="F811" s="9">
        <v>18.100000000000001</v>
      </c>
      <c r="G811" s="9">
        <v>13.2</v>
      </c>
      <c r="H811" s="9" t="s">
        <v>106</v>
      </c>
      <c r="I811" s="9">
        <v>24</v>
      </c>
      <c r="J811" s="9" t="s">
        <v>116</v>
      </c>
      <c r="K811" s="9" t="s">
        <v>215</v>
      </c>
      <c r="L811" t="str">
        <f>IF(OR(J811="Cattle",J811="Zebu Cattle"),IF(COUNTIF(lists!$M$2:$M$258, K811) &gt; 0,"bos.indicus",IF(COUNTIF(lists!$L$2:$L$258, K811) &gt; 0,"cross.bred","pure.bred.exotic")),"NA")</f>
        <v>NA</v>
      </c>
      <c r="M811" t="str">
        <f>IF(J811="Sheep",IF(COUNTIF(lists!$H$2:$H$258, K811) &gt; 0,"indigenous",IF(COUNTIF(lists!$G$2:$G$258, K811) &gt; 0,"cross.bred","not found")),"NA")</f>
        <v>NA</v>
      </c>
      <c r="N811" t="str">
        <f>IF(J811="Goat",IF(COUNTIF(lists!$J$2:$J$258, K811) &gt; 0,"indigenous",IF(COUNTIF(lists!$I$2:$I$258, K811) &gt; 0,"cross.bred","not found")),"NA")</f>
        <v>not found</v>
      </c>
      <c r="O811" s="9" t="s">
        <v>109</v>
      </c>
      <c r="P811" s="9" t="s">
        <v>106</v>
      </c>
      <c r="Q811" s="9" t="s">
        <v>3804</v>
      </c>
      <c r="S811" s="9" t="s">
        <v>106</v>
      </c>
      <c r="T811" s="9" t="s">
        <v>106</v>
      </c>
      <c r="U811" s="9" t="s">
        <v>106</v>
      </c>
      <c r="V811" s="9" t="s">
        <v>106</v>
      </c>
      <c r="W811" s="9" t="s">
        <v>106</v>
      </c>
      <c r="X811" s="9" t="s">
        <v>106</v>
      </c>
      <c r="Y811" s="9">
        <v>56.6</v>
      </c>
      <c r="Z811" s="37"/>
      <c r="AA811" s="37"/>
      <c r="AB811" s="37"/>
      <c r="AE811">
        <v>0</v>
      </c>
    </row>
    <row r="812" spans="1:31" hidden="1">
      <c r="A812" s="9" t="s">
        <v>1827</v>
      </c>
      <c r="B812" s="9" t="s">
        <v>1829</v>
      </c>
      <c r="C812" s="9" t="s">
        <v>105</v>
      </c>
      <c r="D812" s="9">
        <v>0.622</v>
      </c>
      <c r="E812" s="9">
        <v>22.9</v>
      </c>
      <c r="F812" s="9">
        <v>18.399999999999999</v>
      </c>
      <c r="G812" s="9">
        <v>33.4</v>
      </c>
      <c r="H812" s="9" t="s">
        <v>106</v>
      </c>
      <c r="I812" s="9">
        <v>24</v>
      </c>
      <c r="J812" s="9" t="s">
        <v>116</v>
      </c>
      <c r="K812" s="9" t="s">
        <v>215</v>
      </c>
      <c r="L812" t="str">
        <f>IF(OR(J812="Cattle",J812="Zebu Cattle"),IF(COUNTIF(lists!$M$2:$M$258, K812) &gt; 0,"bos.indicus",IF(COUNTIF(lists!$L$2:$L$258, K812) &gt; 0,"cross.bred","pure.bred.exotic")),"NA")</f>
        <v>NA</v>
      </c>
      <c r="M812" t="str">
        <f>IF(J812="Sheep",IF(COUNTIF(lists!$H$2:$H$258, K812) &gt; 0,"indigenous",IF(COUNTIF(lists!$G$2:$G$258, K812) &gt; 0,"cross.bred","not found")),"NA")</f>
        <v>NA</v>
      </c>
      <c r="N812" t="str">
        <f>IF(J812="Goat",IF(COUNTIF(lists!$J$2:$J$258, K812) &gt; 0,"indigenous",IF(COUNTIF(lists!$I$2:$I$258, K812) &gt; 0,"cross.bred","not found")),"NA")</f>
        <v>not found</v>
      </c>
      <c r="O812" s="9" t="s">
        <v>109</v>
      </c>
      <c r="P812" s="9" t="s">
        <v>106</v>
      </c>
      <c r="Q812" s="9" t="s">
        <v>3804</v>
      </c>
      <c r="S812" s="9">
        <v>280</v>
      </c>
      <c r="T812" s="9">
        <v>107</v>
      </c>
      <c r="U812" s="9">
        <v>111</v>
      </c>
      <c r="V812" s="9">
        <v>898</v>
      </c>
      <c r="W812" s="9" t="s">
        <v>106</v>
      </c>
      <c r="X812" s="9">
        <v>491</v>
      </c>
      <c r="Y812" s="9">
        <v>67.099999999999994</v>
      </c>
      <c r="Z812" s="37"/>
      <c r="AA812" s="37"/>
      <c r="AB812" s="37"/>
      <c r="AE812">
        <v>0</v>
      </c>
    </row>
    <row r="813" spans="1:31" hidden="1">
      <c r="A813" s="9" t="s">
        <v>1827</v>
      </c>
      <c r="B813" s="9" t="s">
        <v>1830</v>
      </c>
      <c r="C813" s="9" t="s">
        <v>105</v>
      </c>
      <c r="D813" s="9">
        <v>0.64900000000000002</v>
      </c>
      <c r="E813" s="9">
        <v>22.9</v>
      </c>
      <c r="F813" s="9">
        <v>18.3</v>
      </c>
      <c r="G813" s="9">
        <v>49.1</v>
      </c>
      <c r="H813" s="9" t="s">
        <v>106</v>
      </c>
      <c r="I813" s="9">
        <v>24</v>
      </c>
      <c r="J813" s="9" t="s">
        <v>116</v>
      </c>
      <c r="K813" s="9" t="s">
        <v>215</v>
      </c>
      <c r="L813" t="str">
        <f>IF(OR(J813="Cattle",J813="Zebu Cattle"),IF(COUNTIF(lists!$M$2:$M$258, K813) &gt; 0,"bos.indicus",IF(COUNTIF(lists!$L$2:$L$258, K813) &gt; 0,"cross.bred","pure.bred.exotic")),"NA")</f>
        <v>NA</v>
      </c>
      <c r="M813" t="str">
        <f>IF(J813="Sheep",IF(COUNTIF(lists!$H$2:$H$258, K813) &gt; 0,"indigenous",IF(COUNTIF(lists!$G$2:$G$258, K813) &gt; 0,"cross.bred","not found")),"NA")</f>
        <v>NA</v>
      </c>
      <c r="N813" t="str">
        <f>IF(J813="Goat",IF(COUNTIF(lists!$J$2:$J$258, K813) &gt; 0,"indigenous",IF(COUNTIF(lists!$I$2:$I$258, K813) &gt; 0,"cross.bred","not found")),"NA")</f>
        <v>not found</v>
      </c>
      <c r="O813" s="9" t="s">
        <v>109</v>
      </c>
      <c r="P813" s="9" t="s">
        <v>106</v>
      </c>
      <c r="Q813" s="9" t="s">
        <v>3804</v>
      </c>
      <c r="S813" s="9">
        <v>323</v>
      </c>
      <c r="T813" s="9">
        <v>115</v>
      </c>
      <c r="U813" s="9">
        <v>115</v>
      </c>
      <c r="V813" s="9">
        <v>440</v>
      </c>
      <c r="W813" s="9" t="s">
        <v>106</v>
      </c>
      <c r="X813" s="9">
        <v>539</v>
      </c>
      <c r="Y813" s="9">
        <v>68.2</v>
      </c>
      <c r="Z813" s="37"/>
      <c r="AA813" s="37"/>
      <c r="AB813" s="37"/>
      <c r="AE813">
        <v>0</v>
      </c>
    </row>
    <row r="814" spans="1:31" hidden="1">
      <c r="A814" s="9" t="s">
        <v>1827</v>
      </c>
      <c r="B814" s="9" t="s">
        <v>1831</v>
      </c>
      <c r="C814" s="9" t="s">
        <v>105</v>
      </c>
      <c r="D814" s="9">
        <v>0.63900000000000001</v>
      </c>
      <c r="E814" s="9">
        <v>22.9</v>
      </c>
      <c r="F814" s="9">
        <v>18.5</v>
      </c>
      <c r="G814" s="9">
        <v>39.299999999999997</v>
      </c>
      <c r="H814" s="9" t="s">
        <v>106</v>
      </c>
      <c r="I814" s="9">
        <v>24</v>
      </c>
      <c r="J814" s="9" t="s">
        <v>116</v>
      </c>
      <c r="K814" s="9" t="s">
        <v>215</v>
      </c>
      <c r="L814" t="str">
        <f>IF(OR(J814="Cattle",J814="Zebu Cattle"),IF(COUNTIF(lists!$M$2:$M$258, K814) &gt; 0,"bos.indicus",IF(COUNTIF(lists!$L$2:$L$258, K814) &gt; 0,"cross.bred","pure.bred.exotic")),"NA")</f>
        <v>NA</v>
      </c>
      <c r="M814" t="str">
        <f>IF(J814="Sheep",IF(COUNTIF(lists!$H$2:$H$258, K814) &gt; 0,"indigenous",IF(COUNTIF(lists!$G$2:$G$258, K814) &gt; 0,"cross.bred","not found")),"NA")</f>
        <v>NA</v>
      </c>
      <c r="N814" t="str">
        <f>IF(J814="Goat",IF(COUNTIF(lists!$J$2:$J$258, K814) &gt; 0,"indigenous",IF(COUNTIF(lists!$I$2:$I$258, K814) &gt; 0,"cross.bred","not found")),"NA")</f>
        <v>not found</v>
      </c>
      <c r="O814" s="9" t="s">
        <v>109</v>
      </c>
      <c r="P814" s="9" t="s">
        <v>106</v>
      </c>
      <c r="Q814" s="9" t="s">
        <v>3804</v>
      </c>
      <c r="S814" s="9">
        <v>378</v>
      </c>
      <c r="T814" s="9">
        <v>138</v>
      </c>
      <c r="U814" s="9">
        <v>113</v>
      </c>
      <c r="V814" s="9">
        <v>579</v>
      </c>
      <c r="W814" s="9" t="s">
        <v>106</v>
      </c>
      <c r="X814" s="9">
        <v>542</v>
      </c>
      <c r="Y814" s="9">
        <v>64.7</v>
      </c>
      <c r="Z814" s="37"/>
      <c r="AA814" s="37"/>
      <c r="AB814" s="37"/>
      <c r="AE814">
        <v>0</v>
      </c>
    </row>
    <row r="815" spans="1:31" hidden="1">
      <c r="A815" s="9" t="s">
        <v>1845</v>
      </c>
      <c r="B815" s="9" t="s">
        <v>151</v>
      </c>
      <c r="C815" s="9" t="s">
        <v>105</v>
      </c>
      <c r="D815" s="9">
        <v>0.61787592471428099</v>
      </c>
      <c r="E815" s="9">
        <v>1.35</v>
      </c>
      <c r="F815" s="9">
        <v>20.6</v>
      </c>
      <c r="G815" s="9">
        <v>-16.7</v>
      </c>
      <c r="H815" s="9" t="s">
        <v>106</v>
      </c>
      <c r="I815" s="9">
        <v>28</v>
      </c>
      <c r="J815" s="9" t="s">
        <v>116</v>
      </c>
      <c r="K815" s="9" t="s">
        <v>144</v>
      </c>
      <c r="L815" t="str">
        <f>IF(OR(J815="Cattle",J815="Zebu Cattle"),IF(COUNTIF(lists!$M$2:$M$258, K815) &gt; 0,"bos.indicus",IF(COUNTIF(lists!$L$2:$L$258, K815) &gt; 0,"cross.bred","pure.bred.exotic")),"NA")</f>
        <v>NA</v>
      </c>
      <c r="M815" t="str">
        <f>IF(J815="Sheep",IF(COUNTIF(lists!$H$2:$H$258, K815) &gt; 0,"indigenous",IF(COUNTIF(lists!$G$2:$G$258, K815) &gt; 0,"cross.bred","not found")),"NA")</f>
        <v>NA</v>
      </c>
      <c r="N815" t="str">
        <f>IF(J815="Goat",IF(COUNTIF(lists!$J$2:$J$258, K815) &gt; 0,"indigenous",IF(COUNTIF(lists!$I$2:$I$258, K815) &gt; 0,"cross.bred","not found")),"NA")</f>
        <v>not found</v>
      </c>
      <c r="O815" s="9" t="s">
        <v>109</v>
      </c>
      <c r="P815" s="9" t="s">
        <v>106</v>
      </c>
      <c r="Q815" s="9" t="s">
        <v>3804</v>
      </c>
      <c r="S815" s="9" t="s">
        <v>106</v>
      </c>
      <c r="T815" s="9" t="s">
        <v>106</v>
      </c>
      <c r="U815" s="9" t="s">
        <v>106</v>
      </c>
      <c r="V815" s="9" t="s">
        <v>106</v>
      </c>
      <c r="W815" s="9" t="s">
        <v>106</v>
      </c>
      <c r="X815" s="9" t="s">
        <v>106</v>
      </c>
      <c r="Y815" s="9" t="s">
        <v>106</v>
      </c>
      <c r="Z815" s="37"/>
      <c r="AA815" s="37"/>
      <c r="AB815" s="37"/>
      <c r="AE815">
        <v>0</v>
      </c>
    </row>
    <row r="816" spans="1:31" hidden="1">
      <c r="A816" s="9" t="s">
        <v>1845</v>
      </c>
      <c r="B816" s="9" t="s">
        <v>154</v>
      </c>
      <c r="C816" s="9" t="s">
        <v>105</v>
      </c>
      <c r="D816" s="9">
        <v>0.69541765629261598</v>
      </c>
      <c r="E816" s="9">
        <v>1.35</v>
      </c>
      <c r="F816" s="9">
        <v>20.8</v>
      </c>
      <c r="G816" s="9">
        <v>5</v>
      </c>
      <c r="H816" s="9" t="s">
        <v>106</v>
      </c>
      <c r="I816" s="9">
        <v>28</v>
      </c>
      <c r="J816" s="9" t="s">
        <v>116</v>
      </c>
      <c r="K816" s="9" t="s">
        <v>144</v>
      </c>
      <c r="L816" t="str">
        <f>IF(OR(J816="Cattle",J816="Zebu Cattle"),IF(COUNTIF(lists!$M$2:$M$258, K816) &gt; 0,"bos.indicus",IF(COUNTIF(lists!$L$2:$L$258, K816) &gt; 0,"cross.bred","pure.bred.exotic")),"NA")</f>
        <v>NA</v>
      </c>
      <c r="M816" t="str">
        <f>IF(J816="Sheep",IF(COUNTIF(lists!$H$2:$H$258, K816) &gt; 0,"indigenous",IF(COUNTIF(lists!$G$2:$G$258, K816) &gt; 0,"cross.bred","not found")),"NA")</f>
        <v>NA</v>
      </c>
      <c r="N816" t="str">
        <f>IF(J816="Goat",IF(COUNTIF(lists!$J$2:$J$258, K816) &gt; 0,"indigenous",IF(COUNTIF(lists!$I$2:$I$258, K816) &gt; 0,"cross.bred","not found")),"NA")</f>
        <v>not found</v>
      </c>
      <c r="O816" s="9" t="s">
        <v>109</v>
      </c>
      <c r="P816" s="9" t="s">
        <v>106</v>
      </c>
      <c r="Q816" s="9" t="s">
        <v>3804</v>
      </c>
      <c r="S816" s="9" t="s">
        <v>106</v>
      </c>
      <c r="T816" s="9" t="s">
        <v>106</v>
      </c>
      <c r="U816" s="9" t="s">
        <v>106</v>
      </c>
      <c r="V816" s="9" t="s">
        <v>106</v>
      </c>
      <c r="W816" s="9" t="s">
        <v>106</v>
      </c>
      <c r="X816" s="9" t="s">
        <v>106</v>
      </c>
      <c r="Y816" s="9" t="s">
        <v>106</v>
      </c>
      <c r="Z816" s="37"/>
      <c r="AA816" s="37"/>
      <c r="AB816" s="37"/>
      <c r="AE816">
        <v>0</v>
      </c>
    </row>
    <row r="817" spans="1:31" hidden="1">
      <c r="A817" s="9" t="s">
        <v>1845</v>
      </c>
      <c r="B817" s="9" t="s">
        <v>155</v>
      </c>
      <c r="C817" s="9" t="s">
        <v>105</v>
      </c>
      <c r="D817" s="9">
        <v>0.82100938602387297</v>
      </c>
      <c r="E817" s="9">
        <v>1.35</v>
      </c>
      <c r="F817" s="9">
        <v>20.7</v>
      </c>
      <c r="G817" s="9">
        <v>10.8</v>
      </c>
      <c r="H817" s="9" t="s">
        <v>106</v>
      </c>
      <c r="I817" s="9">
        <v>28</v>
      </c>
      <c r="J817" s="9" t="s">
        <v>116</v>
      </c>
      <c r="K817" s="9" t="s">
        <v>144</v>
      </c>
      <c r="L817" t="str">
        <f>IF(OR(J817="Cattle",J817="Zebu Cattle"),IF(COUNTIF(lists!$M$2:$M$258, K817) &gt; 0,"bos.indicus",IF(COUNTIF(lists!$L$2:$L$258, K817) &gt; 0,"cross.bred","pure.bred.exotic")),"NA")</f>
        <v>NA</v>
      </c>
      <c r="M817" t="str">
        <f>IF(J817="Sheep",IF(COUNTIF(lists!$H$2:$H$258, K817) &gt; 0,"indigenous",IF(COUNTIF(lists!$G$2:$G$258, K817) &gt; 0,"cross.bred","not found")),"NA")</f>
        <v>NA</v>
      </c>
      <c r="N817" t="str">
        <f>IF(J817="Goat",IF(COUNTIF(lists!$J$2:$J$258, K817) &gt; 0,"indigenous",IF(COUNTIF(lists!$I$2:$I$258, K817) &gt; 0,"cross.bred","not found")),"NA")</f>
        <v>not found</v>
      </c>
      <c r="O817" s="9" t="s">
        <v>109</v>
      </c>
      <c r="P817" s="9" t="s">
        <v>106</v>
      </c>
      <c r="Q817" s="9" t="s">
        <v>3804</v>
      </c>
      <c r="S817" s="9" t="s">
        <v>106</v>
      </c>
      <c r="T817" s="9" t="s">
        <v>106</v>
      </c>
      <c r="U817" s="9" t="s">
        <v>106</v>
      </c>
      <c r="V817" s="9" t="s">
        <v>106</v>
      </c>
      <c r="W817" s="9" t="s">
        <v>106</v>
      </c>
      <c r="X817" s="9" t="s">
        <v>106</v>
      </c>
      <c r="Y817" s="9" t="s">
        <v>106</v>
      </c>
      <c r="Z817" s="37"/>
      <c r="AA817" s="37"/>
      <c r="AB817" s="37"/>
      <c r="AE817">
        <v>0</v>
      </c>
    </row>
    <row r="818" spans="1:31" hidden="1">
      <c r="A818" s="9" t="s">
        <v>1845</v>
      </c>
      <c r="B818" s="9" t="s">
        <v>156</v>
      </c>
      <c r="C818" s="9" t="s">
        <v>105</v>
      </c>
      <c r="D818" s="9">
        <v>0.68145238114896201</v>
      </c>
      <c r="E818" s="9">
        <v>1.35</v>
      </c>
      <c r="F818" s="9">
        <v>19.8</v>
      </c>
      <c r="G818" s="9">
        <v>6.7</v>
      </c>
      <c r="H818" s="9" t="s">
        <v>106</v>
      </c>
      <c r="I818" s="9">
        <v>28</v>
      </c>
      <c r="J818" s="9" t="s">
        <v>116</v>
      </c>
      <c r="K818" s="9" t="s">
        <v>144</v>
      </c>
      <c r="L818" t="str">
        <f>IF(OR(J818="Cattle",J818="Zebu Cattle"),IF(COUNTIF(lists!$M$2:$M$258, K818) &gt; 0,"bos.indicus",IF(COUNTIF(lists!$L$2:$L$258, K818) &gt; 0,"cross.bred","pure.bred.exotic")),"NA")</f>
        <v>NA</v>
      </c>
      <c r="M818" t="str">
        <f>IF(J818="Sheep",IF(COUNTIF(lists!$H$2:$H$258, K818) &gt; 0,"indigenous",IF(COUNTIF(lists!$G$2:$G$258, K818) &gt; 0,"cross.bred","not found")),"NA")</f>
        <v>NA</v>
      </c>
      <c r="N818" t="str">
        <f>IF(J818="Goat",IF(COUNTIF(lists!$J$2:$J$258, K818) &gt; 0,"indigenous",IF(COUNTIF(lists!$I$2:$I$258, K818) &gt; 0,"cross.bred","not found")),"NA")</f>
        <v>not found</v>
      </c>
      <c r="O818" s="9" t="s">
        <v>109</v>
      </c>
      <c r="P818" s="9" t="s">
        <v>106</v>
      </c>
      <c r="Q818" s="9" t="s">
        <v>3804</v>
      </c>
      <c r="S818" s="9" t="s">
        <v>106</v>
      </c>
      <c r="T818" s="9" t="s">
        <v>106</v>
      </c>
      <c r="U818" s="9" t="s">
        <v>106</v>
      </c>
      <c r="V818" s="9" t="s">
        <v>106</v>
      </c>
      <c r="W818" s="9" t="s">
        <v>106</v>
      </c>
      <c r="X818" s="9" t="s">
        <v>106</v>
      </c>
      <c r="Y818" s="9" t="s">
        <v>106</v>
      </c>
      <c r="Z818" s="37"/>
      <c r="AA818" s="37"/>
      <c r="AB818" s="37"/>
      <c r="AE818">
        <v>0</v>
      </c>
    </row>
    <row r="819" spans="1:31" hidden="1">
      <c r="A819" s="9" t="s">
        <v>1845</v>
      </c>
      <c r="B819" s="9" t="s">
        <v>157</v>
      </c>
      <c r="C819" s="9" t="s">
        <v>105</v>
      </c>
      <c r="D819" s="9">
        <v>0.818032914410456</v>
      </c>
      <c r="E819" s="9">
        <v>1.35</v>
      </c>
      <c r="F819" s="9">
        <v>20.6</v>
      </c>
      <c r="G819" s="9">
        <v>10</v>
      </c>
      <c r="H819" s="9" t="s">
        <v>106</v>
      </c>
      <c r="I819" s="9">
        <v>28</v>
      </c>
      <c r="J819" s="9" t="s">
        <v>116</v>
      </c>
      <c r="K819" s="9" t="s">
        <v>144</v>
      </c>
      <c r="L819" t="str">
        <f>IF(OR(J819="Cattle",J819="Zebu Cattle"),IF(COUNTIF(lists!$M$2:$M$258, K819) &gt; 0,"bos.indicus",IF(COUNTIF(lists!$L$2:$L$258, K819) &gt; 0,"cross.bred","pure.bred.exotic")),"NA")</f>
        <v>NA</v>
      </c>
      <c r="M819" t="str">
        <f>IF(J819="Sheep",IF(COUNTIF(lists!$H$2:$H$258, K819) &gt; 0,"indigenous",IF(COUNTIF(lists!$G$2:$G$258, K819) &gt; 0,"cross.bred","not found")),"NA")</f>
        <v>NA</v>
      </c>
      <c r="N819" t="str">
        <f>IF(J819="Goat",IF(COUNTIF(lists!$J$2:$J$258, K819) &gt; 0,"indigenous",IF(COUNTIF(lists!$I$2:$I$258, K819) &gt; 0,"cross.bred","not found")),"NA")</f>
        <v>not found</v>
      </c>
      <c r="O819" s="9" t="s">
        <v>109</v>
      </c>
      <c r="P819" s="9" t="s">
        <v>106</v>
      </c>
      <c r="Q819" s="9" t="s">
        <v>3804</v>
      </c>
      <c r="S819" s="9" t="s">
        <v>106</v>
      </c>
      <c r="T819" s="9" t="s">
        <v>106</v>
      </c>
      <c r="U819" s="9" t="s">
        <v>106</v>
      </c>
      <c r="V819" s="9" t="s">
        <v>106</v>
      </c>
      <c r="W819" s="9" t="s">
        <v>106</v>
      </c>
      <c r="X819" s="9" t="s">
        <v>106</v>
      </c>
      <c r="Y819" s="9" t="s">
        <v>106</v>
      </c>
      <c r="Z819" s="37"/>
      <c r="AA819" s="37"/>
      <c r="AB819" s="37"/>
      <c r="AE819">
        <v>0</v>
      </c>
    </row>
    <row r="820" spans="1:31" hidden="1">
      <c r="A820" s="9" t="s">
        <v>1845</v>
      </c>
      <c r="B820" s="9" t="s">
        <v>189</v>
      </c>
      <c r="C820" s="9" t="s">
        <v>105</v>
      </c>
      <c r="D820" s="9">
        <v>0.79846805515997399</v>
      </c>
      <c r="E820" s="9">
        <v>1.35</v>
      </c>
      <c r="F820" s="9">
        <v>20.2</v>
      </c>
      <c r="G820" s="9">
        <v>15.8</v>
      </c>
      <c r="H820" s="9" t="s">
        <v>106</v>
      </c>
      <c r="I820" s="9">
        <v>28</v>
      </c>
      <c r="J820" s="9" t="s">
        <v>116</v>
      </c>
      <c r="K820" s="9" t="s">
        <v>144</v>
      </c>
      <c r="L820" t="str">
        <f>IF(OR(J820="Cattle",J820="Zebu Cattle"),IF(COUNTIF(lists!$M$2:$M$258, K820) &gt; 0,"bos.indicus",IF(COUNTIF(lists!$L$2:$L$258, K820) &gt; 0,"cross.bred","pure.bred.exotic")),"NA")</f>
        <v>NA</v>
      </c>
      <c r="M820" t="str">
        <f>IF(J820="Sheep",IF(COUNTIF(lists!$H$2:$H$258, K820) &gt; 0,"indigenous",IF(COUNTIF(lists!$G$2:$G$258, K820) &gt; 0,"cross.bred","not found")),"NA")</f>
        <v>NA</v>
      </c>
      <c r="N820" t="str">
        <f>IF(J820="Goat",IF(COUNTIF(lists!$J$2:$J$258, K820) &gt; 0,"indigenous",IF(COUNTIF(lists!$I$2:$I$258, K820) &gt; 0,"cross.bred","not found")),"NA")</f>
        <v>not found</v>
      </c>
      <c r="O820" s="9" t="s">
        <v>109</v>
      </c>
      <c r="P820" s="9" t="s">
        <v>106</v>
      </c>
      <c r="Q820" s="9" t="s">
        <v>3804</v>
      </c>
      <c r="S820" s="9" t="s">
        <v>106</v>
      </c>
      <c r="T820" s="9" t="s">
        <v>106</v>
      </c>
      <c r="U820" s="9" t="s">
        <v>106</v>
      </c>
      <c r="V820" s="9" t="s">
        <v>106</v>
      </c>
      <c r="W820" s="9" t="s">
        <v>106</v>
      </c>
      <c r="X820" s="9" t="s">
        <v>106</v>
      </c>
      <c r="Y820" s="9" t="s">
        <v>106</v>
      </c>
      <c r="Z820" s="37"/>
      <c r="AA820" s="37"/>
      <c r="AB820" s="37"/>
      <c r="AE820">
        <v>0</v>
      </c>
    </row>
    <row r="821" spans="1:31" hidden="1">
      <c r="A821" s="9" t="s">
        <v>1845</v>
      </c>
      <c r="B821" s="9" t="s">
        <v>190</v>
      </c>
      <c r="C821" s="9" t="s">
        <v>105</v>
      </c>
      <c r="D821" s="9">
        <v>0.88848786392148105</v>
      </c>
      <c r="E821" s="9">
        <v>1.35</v>
      </c>
      <c r="F821" s="9">
        <v>19.899999999999999</v>
      </c>
      <c r="G821" s="9">
        <v>21.7</v>
      </c>
      <c r="H821" s="9" t="s">
        <v>106</v>
      </c>
      <c r="I821" s="9">
        <v>28</v>
      </c>
      <c r="J821" s="9" t="s">
        <v>116</v>
      </c>
      <c r="K821" s="9" t="s">
        <v>144</v>
      </c>
      <c r="L821" t="str">
        <f>IF(OR(J821="Cattle",J821="Zebu Cattle"),IF(COUNTIF(lists!$M$2:$M$258, K821) &gt; 0,"bos.indicus",IF(COUNTIF(lists!$L$2:$L$258, K821) &gt; 0,"cross.bred","pure.bred.exotic")),"NA")</f>
        <v>NA</v>
      </c>
      <c r="M821" t="str">
        <f>IF(J821="Sheep",IF(COUNTIF(lists!$H$2:$H$258, K821) &gt; 0,"indigenous",IF(COUNTIF(lists!$G$2:$G$258, K821) &gt; 0,"cross.bred","not found")),"NA")</f>
        <v>NA</v>
      </c>
      <c r="N821" t="str">
        <f>IF(J821="Goat",IF(COUNTIF(lists!$J$2:$J$258, K821) &gt; 0,"indigenous",IF(COUNTIF(lists!$I$2:$I$258, K821) &gt; 0,"cross.bred","not found")),"NA")</f>
        <v>not found</v>
      </c>
      <c r="O821" s="9" t="s">
        <v>109</v>
      </c>
      <c r="P821" s="9" t="s">
        <v>106</v>
      </c>
      <c r="Q821" s="9" t="s">
        <v>3804</v>
      </c>
      <c r="S821" s="9" t="s">
        <v>106</v>
      </c>
      <c r="T821" s="9" t="s">
        <v>106</v>
      </c>
      <c r="U821" s="9" t="s">
        <v>106</v>
      </c>
      <c r="V821" s="9" t="s">
        <v>106</v>
      </c>
      <c r="W821" s="9" t="s">
        <v>106</v>
      </c>
      <c r="X821" s="9" t="s">
        <v>106</v>
      </c>
      <c r="Y821" s="9" t="s">
        <v>106</v>
      </c>
      <c r="Z821" s="37"/>
      <c r="AA821" s="37"/>
      <c r="AB821" s="37"/>
      <c r="AE821">
        <v>0</v>
      </c>
    </row>
    <row r="822" spans="1:31" hidden="1">
      <c r="A822" s="9" t="s">
        <v>1852</v>
      </c>
      <c r="B822" s="9" t="s">
        <v>129</v>
      </c>
      <c r="C822" s="9" t="s">
        <v>105</v>
      </c>
      <c r="D822" s="9">
        <v>0.42399999999999999</v>
      </c>
      <c r="E822" s="9">
        <v>8.5</v>
      </c>
      <c r="F822" s="9">
        <v>15.1</v>
      </c>
      <c r="G822" s="9">
        <v>11.8</v>
      </c>
      <c r="H822" s="9" t="s">
        <v>106</v>
      </c>
      <c r="I822" s="9">
        <v>25</v>
      </c>
      <c r="J822" s="9" t="s">
        <v>116</v>
      </c>
      <c r="K822" s="9" t="s">
        <v>1296</v>
      </c>
      <c r="L822" t="str">
        <f>IF(OR(J822="Cattle",J822="Zebu Cattle"),IF(COUNTIF(lists!$M$2:$M$258, K822) &gt; 0,"bos.indicus",IF(COUNTIF(lists!$L$2:$L$258, K822) &gt; 0,"cross.bred","pure.bred.exotic")),"NA")</f>
        <v>NA</v>
      </c>
      <c r="M822" t="str">
        <f>IF(J822="Sheep",IF(COUNTIF(lists!$H$2:$H$258, K822) &gt; 0,"indigenous",IF(COUNTIF(lists!$G$2:$G$258, K822) &gt; 0,"cross.bred","not found")),"NA")</f>
        <v>NA</v>
      </c>
      <c r="N822" t="str">
        <f>IF(J822="Goat",IF(COUNTIF(lists!$J$2:$J$258, K822) &gt; 0,"indigenous",IF(COUNTIF(lists!$I$2:$I$258, K822) &gt; 0,"cross.bred","not found")),"NA")</f>
        <v>not found</v>
      </c>
      <c r="O822" s="9" t="s">
        <v>109</v>
      </c>
      <c r="P822" s="9" t="s">
        <v>106</v>
      </c>
      <c r="Q822" s="9" t="s">
        <v>3804</v>
      </c>
      <c r="S822" s="9" t="s">
        <v>106</v>
      </c>
      <c r="T822" s="9" t="s">
        <v>106</v>
      </c>
      <c r="U822" s="9" t="s">
        <v>106</v>
      </c>
      <c r="V822" s="9" t="s">
        <v>106</v>
      </c>
      <c r="W822" s="9" t="s">
        <v>106</v>
      </c>
      <c r="X822" s="9" t="s">
        <v>106</v>
      </c>
      <c r="Y822" s="9">
        <v>57</v>
      </c>
      <c r="Z822" s="37"/>
      <c r="AA822" s="37"/>
      <c r="AB822" s="37"/>
      <c r="AE822">
        <v>0</v>
      </c>
    </row>
    <row r="823" spans="1:31" hidden="1">
      <c r="A823" s="9" t="s">
        <v>1852</v>
      </c>
      <c r="B823" s="9" t="s">
        <v>130</v>
      </c>
      <c r="C823" s="9" t="s">
        <v>105</v>
      </c>
      <c r="D823" s="9">
        <v>0.58899999999999997</v>
      </c>
      <c r="E823" s="9">
        <v>8.5</v>
      </c>
      <c r="F823" s="9">
        <v>15.6</v>
      </c>
      <c r="G823" s="9">
        <v>51.5</v>
      </c>
      <c r="H823" s="9" t="s">
        <v>106</v>
      </c>
      <c r="I823" s="9">
        <v>25</v>
      </c>
      <c r="J823" s="9" t="s">
        <v>116</v>
      </c>
      <c r="K823" s="9" t="s">
        <v>1296</v>
      </c>
      <c r="L823" t="str">
        <f>IF(OR(J823="Cattle",J823="Zebu Cattle"),IF(COUNTIF(lists!$M$2:$M$258, K823) &gt; 0,"bos.indicus",IF(COUNTIF(lists!$L$2:$L$258, K823) &gt; 0,"cross.bred","pure.bred.exotic")),"NA")</f>
        <v>NA</v>
      </c>
      <c r="M823" t="str">
        <f>IF(J823="Sheep",IF(COUNTIF(lists!$H$2:$H$258, K823) &gt; 0,"indigenous",IF(COUNTIF(lists!$G$2:$G$258, K823) &gt; 0,"cross.bred","not found")),"NA")</f>
        <v>NA</v>
      </c>
      <c r="N823" t="str">
        <f>IF(J823="Goat",IF(COUNTIF(lists!$J$2:$J$258, K823) &gt; 0,"indigenous",IF(COUNTIF(lists!$I$2:$I$258, K823) &gt; 0,"cross.bred","not found")),"NA")</f>
        <v>not found</v>
      </c>
      <c r="O823" s="9" t="s">
        <v>109</v>
      </c>
      <c r="P823" s="9" t="s">
        <v>106</v>
      </c>
      <c r="Q823" s="9" t="s">
        <v>3804</v>
      </c>
      <c r="S823" s="9" t="s">
        <v>106</v>
      </c>
      <c r="T823" s="9" t="s">
        <v>106</v>
      </c>
      <c r="U823" s="9" t="s">
        <v>106</v>
      </c>
      <c r="V823" s="9" t="s">
        <v>106</v>
      </c>
      <c r="W823" s="9" t="s">
        <v>106</v>
      </c>
      <c r="X823" s="9" t="s">
        <v>106</v>
      </c>
      <c r="Y823" s="9">
        <v>66</v>
      </c>
      <c r="Z823" s="37"/>
      <c r="AA823" s="37"/>
      <c r="AB823" s="37"/>
      <c r="AE823">
        <v>0</v>
      </c>
    </row>
    <row r="824" spans="1:31" hidden="1">
      <c r="A824" s="9" t="s">
        <v>1852</v>
      </c>
      <c r="B824" s="9" t="s">
        <v>131</v>
      </c>
      <c r="C824" s="9" t="s">
        <v>105</v>
      </c>
      <c r="D824" s="9">
        <v>0.59899999999999998</v>
      </c>
      <c r="E824" s="9">
        <v>8.5</v>
      </c>
      <c r="F824" s="9">
        <v>16</v>
      </c>
      <c r="G824" s="9">
        <v>51</v>
      </c>
      <c r="H824" s="9" t="s">
        <v>106</v>
      </c>
      <c r="I824" s="9">
        <v>25</v>
      </c>
      <c r="J824" s="9" t="s">
        <v>116</v>
      </c>
      <c r="K824" s="9" t="s">
        <v>1296</v>
      </c>
      <c r="L824" t="str">
        <f>IF(OR(J824="Cattle",J824="Zebu Cattle"),IF(COUNTIF(lists!$M$2:$M$258, K824) &gt; 0,"bos.indicus",IF(COUNTIF(lists!$L$2:$L$258, K824) &gt; 0,"cross.bred","pure.bred.exotic")),"NA")</f>
        <v>NA</v>
      </c>
      <c r="M824" t="str">
        <f>IF(J824="Sheep",IF(COUNTIF(lists!$H$2:$H$258, K824) &gt; 0,"indigenous",IF(COUNTIF(lists!$G$2:$G$258, K824) &gt; 0,"cross.bred","not found")),"NA")</f>
        <v>NA</v>
      </c>
      <c r="N824" t="str">
        <f>IF(J824="Goat",IF(COUNTIF(lists!$J$2:$J$258, K824) &gt; 0,"indigenous",IF(COUNTIF(lists!$I$2:$I$258, K824) &gt; 0,"cross.bred","not found")),"NA")</f>
        <v>not found</v>
      </c>
      <c r="O824" s="9" t="s">
        <v>109</v>
      </c>
      <c r="P824" s="9" t="s">
        <v>106</v>
      </c>
      <c r="Q824" s="9" t="s">
        <v>3804</v>
      </c>
      <c r="S824" s="9" t="s">
        <v>106</v>
      </c>
      <c r="T824" s="9" t="s">
        <v>106</v>
      </c>
      <c r="U824" s="9" t="s">
        <v>106</v>
      </c>
      <c r="V824" s="9" t="s">
        <v>106</v>
      </c>
      <c r="W824" s="9" t="s">
        <v>106</v>
      </c>
      <c r="X824" s="9" t="s">
        <v>106</v>
      </c>
      <c r="Y824" s="9">
        <v>62</v>
      </c>
      <c r="Z824" s="37"/>
      <c r="AA824" s="37"/>
      <c r="AB824" s="37"/>
      <c r="AE824">
        <v>0</v>
      </c>
    </row>
    <row r="825" spans="1:31" hidden="1">
      <c r="A825" s="9" t="s">
        <v>1852</v>
      </c>
      <c r="B825" s="9" t="s">
        <v>132</v>
      </c>
      <c r="C825" s="9" t="s">
        <v>105</v>
      </c>
      <c r="D825" s="9">
        <v>0.59399999999999997</v>
      </c>
      <c r="E825" s="9">
        <v>8.5</v>
      </c>
      <c r="F825" s="9">
        <v>16</v>
      </c>
      <c r="G825" s="9">
        <v>46</v>
      </c>
      <c r="H825" s="9" t="s">
        <v>106</v>
      </c>
      <c r="I825" s="9">
        <v>25</v>
      </c>
      <c r="J825" s="9" t="s">
        <v>116</v>
      </c>
      <c r="K825" s="9" t="s">
        <v>1296</v>
      </c>
      <c r="L825" t="str">
        <f>IF(OR(J825="Cattle",J825="Zebu Cattle"),IF(COUNTIF(lists!$M$2:$M$258, K825) &gt; 0,"bos.indicus",IF(COUNTIF(lists!$L$2:$L$258, K825) &gt; 0,"cross.bred","pure.bred.exotic")),"NA")</f>
        <v>NA</v>
      </c>
      <c r="M825" t="str">
        <f>IF(J825="Sheep",IF(COUNTIF(lists!$H$2:$H$258, K825) &gt; 0,"indigenous",IF(COUNTIF(lists!$G$2:$G$258, K825) &gt; 0,"cross.bred","not found")),"NA")</f>
        <v>NA</v>
      </c>
      <c r="N825" t="str">
        <f>IF(J825="Goat",IF(COUNTIF(lists!$J$2:$J$258, K825) &gt; 0,"indigenous",IF(COUNTIF(lists!$I$2:$I$258, K825) &gt; 0,"cross.bred","not found")),"NA")</f>
        <v>not found</v>
      </c>
      <c r="O825" s="9" t="s">
        <v>109</v>
      </c>
      <c r="P825" s="9" t="s">
        <v>106</v>
      </c>
      <c r="Q825" s="9" t="s">
        <v>3804</v>
      </c>
      <c r="S825" s="9" t="s">
        <v>106</v>
      </c>
      <c r="T825" s="9" t="s">
        <v>106</v>
      </c>
      <c r="U825" s="9" t="s">
        <v>106</v>
      </c>
      <c r="V825" s="9" t="s">
        <v>106</v>
      </c>
      <c r="W825" s="9" t="s">
        <v>106</v>
      </c>
      <c r="X825" s="9" t="s">
        <v>106</v>
      </c>
      <c r="Y825" s="9">
        <v>59</v>
      </c>
      <c r="Z825" s="37"/>
      <c r="AA825" s="37"/>
      <c r="AB825" s="37"/>
      <c r="AE825">
        <v>0</v>
      </c>
    </row>
    <row r="826" spans="1:31" hidden="1">
      <c r="A826" s="9" t="s">
        <v>1852</v>
      </c>
      <c r="B826" s="9" t="s">
        <v>133</v>
      </c>
      <c r="C826" s="9" t="s">
        <v>105</v>
      </c>
      <c r="D826" s="9">
        <v>0.60199999999999998</v>
      </c>
      <c r="E826" s="9">
        <v>8.5</v>
      </c>
      <c r="F826" s="9">
        <v>16.2</v>
      </c>
      <c r="G826" s="9">
        <v>38</v>
      </c>
      <c r="H826" s="9" t="s">
        <v>106</v>
      </c>
      <c r="I826" s="9">
        <v>25</v>
      </c>
      <c r="J826" s="9" t="s">
        <v>116</v>
      </c>
      <c r="K826" s="9" t="s">
        <v>1296</v>
      </c>
      <c r="L826" t="str">
        <f>IF(OR(J826="Cattle",J826="Zebu Cattle"),IF(COUNTIF(lists!$M$2:$M$258, K826) &gt; 0,"bos.indicus",IF(COUNTIF(lists!$L$2:$L$258, K826) &gt; 0,"cross.bred","pure.bred.exotic")),"NA")</f>
        <v>NA</v>
      </c>
      <c r="M826" t="str">
        <f>IF(J826="Sheep",IF(COUNTIF(lists!$H$2:$H$258, K826) &gt; 0,"indigenous",IF(COUNTIF(lists!$G$2:$G$258, K826) &gt; 0,"cross.bred","not found")),"NA")</f>
        <v>NA</v>
      </c>
      <c r="N826" t="str">
        <f>IF(J826="Goat",IF(COUNTIF(lists!$J$2:$J$258, K826) &gt; 0,"indigenous",IF(COUNTIF(lists!$I$2:$I$258, K826) &gt; 0,"cross.bred","not found")),"NA")</f>
        <v>not found</v>
      </c>
      <c r="O826" s="9" t="s">
        <v>109</v>
      </c>
      <c r="P826" s="9" t="s">
        <v>106</v>
      </c>
      <c r="Q826" s="9" t="s">
        <v>3804</v>
      </c>
      <c r="S826" s="9" t="s">
        <v>106</v>
      </c>
      <c r="T826" s="9" t="s">
        <v>106</v>
      </c>
      <c r="U826" s="9" t="s">
        <v>106</v>
      </c>
      <c r="V826" s="9" t="s">
        <v>106</v>
      </c>
      <c r="W826" s="9" t="s">
        <v>106</v>
      </c>
      <c r="X826" s="9" t="s">
        <v>106</v>
      </c>
      <c r="Y826" s="9">
        <v>54</v>
      </c>
      <c r="Z826" s="37"/>
      <c r="AA826" s="37"/>
      <c r="AB826" s="37"/>
      <c r="AE826">
        <v>0</v>
      </c>
    </row>
    <row r="827" spans="1:31" hidden="1">
      <c r="A827" s="9" t="s">
        <v>1853</v>
      </c>
      <c r="B827" s="9" t="s">
        <v>1854</v>
      </c>
      <c r="C827" s="9" t="s">
        <v>105</v>
      </c>
      <c r="D827" s="9">
        <v>0.37669999999999998</v>
      </c>
      <c r="E827" s="9">
        <v>51.94</v>
      </c>
      <c r="F827" s="9" t="s">
        <v>106</v>
      </c>
      <c r="G827" s="9">
        <v>-15.1</v>
      </c>
      <c r="H827" s="9" t="s">
        <v>106</v>
      </c>
      <c r="J827" s="9" t="s">
        <v>116</v>
      </c>
      <c r="K827" s="9" t="s">
        <v>1855</v>
      </c>
      <c r="L827" t="str">
        <f>IF(OR(J827="Cattle",J827="Zebu Cattle"),IF(COUNTIF(lists!$M$2:$M$258, K827) &gt; 0,"bos.indicus",IF(COUNTIF(lists!$L$2:$L$258, K827) &gt; 0,"cross.bred","pure.bred.exotic")),"NA")</f>
        <v>NA</v>
      </c>
      <c r="M827" t="str">
        <f>IF(J827="Sheep",IF(COUNTIF(lists!$H$2:$H$258, K827) &gt; 0,"indigenous",IF(COUNTIF(lists!$G$2:$G$258, K827) &gt; 0,"cross.bred","not found")),"NA")</f>
        <v>NA</v>
      </c>
      <c r="N827" t="str">
        <f>IF(J827="Goat",IF(COUNTIF(lists!$J$2:$J$258, K827) &gt; 0,"indigenous",IF(COUNTIF(lists!$I$2:$I$258, K827) &gt; 0,"cross.bred","not found")),"NA")</f>
        <v>not found</v>
      </c>
      <c r="O827" s="9" t="s">
        <v>124</v>
      </c>
      <c r="P827" s="9" t="s">
        <v>106</v>
      </c>
      <c r="S827" s="9" t="s">
        <v>106</v>
      </c>
      <c r="T827" s="9" t="s">
        <v>106</v>
      </c>
      <c r="U827" s="9" t="s">
        <v>106</v>
      </c>
      <c r="V827" s="9" t="s">
        <v>106</v>
      </c>
      <c r="W827" s="9" t="s">
        <v>106</v>
      </c>
      <c r="X827" s="9" t="s">
        <v>106</v>
      </c>
      <c r="Y827" s="9" t="s">
        <v>106</v>
      </c>
      <c r="Z827" s="37"/>
      <c r="AA827" s="37"/>
      <c r="AB827" s="37"/>
      <c r="AE827">
        <v>0</v>
      </c>
    </row>
    <row r="828" spans="1:31" hidden="1">
      <c r="A828" s="9" t="s">
        <v>1853</v>
      </c>
      <c r="B828" s="9" t="s">
        <v>1856</v>
      </c>
      <c r="C828" s="9" t="s">
        <v>105</v>
      </c>
      <c r="D828" s="9">
        <v>0.44409999999999999</v>
      </c>
      <c r="E828" s="9">
        <v>51.94</v>
      </c>
      <c r="F828" s="9" t="s">
        <v>106</v>
      </c>
      <c r="G828" s="9">
        <v>11.1</v>
      </c>
      <c r="H828" s="9" t="s">
        <v>106</v>
      </c>
      <c r="J828" s="9" t="s">
        <v>116</v>
      </c>
      <c r="K828" s="9" t="s">
        <v>1855</v>
      </c>
      <c r="L828" t="str">
        <f>IF(OR(J828="Cattle",J828="Zebu Cattle"),IF(COUNTIF(lists!$M$2:$M$258, K828) &gt; 0,"bos.indicus",IF(COUNTIF(lists!$L$2:$L$258, K828) &gt; 0,"cross.bred","pure.bred.exotic")),"NA")</f>
        <v>NA</v>
      </c>
      <c r="M828" t="str">
        <f>IF(J828="Sheep",IF(COUNTIF(lists!$H$2:$H$258, K828) &gt; 0,"indigenous",IF(COUNTIF(lists!$G$2:$G$258, K828) &gt; 0,"cross.bred","not found")),"NA")</f>
        <v>NA</v>
      </c>
      <c r="N828" t="str">
        <f>IF(J828="Goat",IF(COUNTIF(lists!$J$2:$J$258, K828) &gt; 0,"indigenous",IF(COUNTIF(lists!$I$2:$I$258, K828) &gt; 0,"cross.bred","not found")),"NA")</f>
        <v>not found</v>
      </c>
      <c r="O828" s="9" t="s">
        <v>124</v>
      </c>
      <c r="P828" s="9" t="s">
        <v>106</v>
      </c>
      <c r="S828" s="9" t="s">
        <v>106</v>
      </c>
      <c r="T828" s="9" t="s">
        <v>106</v>
      </c>
      <c r="U828" s="9" t="s">
        <v>106</v>
      </c>
      <c r="V828" s="9" t="s">
        <v>106</v>
      </c>
      <c r="W828" s="9" t="s">
        <v>106</v>
      </c>
      <c r="X828" s="9" t="s">
        <v>106</v>
      </c>
      <c r="Y828" s="9" t="s">
        <v>106</v>
      </c>
      <c r="Z828" s="37"/>
      <c r="AA828" s="37"/>
      <c r="AB828" s="37"/>
      <c r="AE828">
        <v>0</v>
      </c>
    </row>
    <row r="829" spans="1:31" hidden="1">
      <c r="A829" s="9" t="s">
        <v>1853</v>
      </c>
      <c r="B829" s="9" t="s">
        <v>1857</v>
      </c>
      <c r="C829" s="9" t="s">
        <v>105</v>
      </c>
      <c r="D829" s="9">
        <v>0.53310000000000002</v>
      </c>
      <c r="E829" s="9">
        <v>51.94</v>
      </c>
      <c r="F829" s="9" t="s">
        <v>106</v>
      </c>
      <c r="G829" s="9">
        <v>23.9</v>
      </c>
      <c r="H829" s="9" t="s">
        <v>106</v>
      </c>
      <c r="J829" s="9" t="s">
        <v>116</v>
      </c>
      <c r="K829" s="9" t="s">
        <v>1855</v>
      </c>
      <c r="L829" t="str">
        <f>IF(OR(J829="Cattle",J829="Zebu Cattle"),IF(COUNTIF(lists!$M$2:$M$258, K829) &gt; 0,"bos.indicus",IF(COUNTIF(lists!$L$2:$L$258, K829) &gt; 0,"cross.bred","pure.bred.exotic")),"NA")</f>
        <v>NA</v>
      </c>
      <c r="M829" t="str">
        <f>IF(J829="Sheep",IF(COUNTIF(lists!$H$2:$H$258, K829) &gt; 0,"indigenous",IF(COUNTIF(lists!$G$2:$G$258, K829) &gt; 0,"cross.bred","not found")),"NA")</f>
        <v>NA</v>
      </c>
      <c r="N829" t="str">
        <f>IF(J829="Goat",IF(COUNTIF(lists!$J$2:$J$258, K829) &gt; 0,"indigenous",IF(COUNTIF(lists!$I$2:$I$258, K829) &gt; 0,"cross.bred","not found")),"NA")</f>
        <v>not found</v>
      </c>
      <c r="O829" s="9" t="s">
        <v>124</v>
      </c>
      <c r="P829" s="9" t="s">
        <v>106</v>
      </c>
      <c r="S829" s="9" t="s">
        <v>106</v>
      </c>
      <c r="T829" s="9" t="s">
        <v>106</v>
      </c>
      <c r="U829" s="9" t="s">
        <v>106</v>
      </c>
      <c r="V829" s="9" t="s">
        <v>106</v>
      </c>
      <c r="W829" s="9" t="s">
        <v>106</v>
      </c>
      <c r="X829" s="9" t="s">
        <v>106</v>
      </c>
      <c r="Y829" s="9" t="s">
        <v>106</v>
      </c>
      <c r="Z829" s="37"/>
      <c r="AA829" s="37"/>
      <c r="AB829" s="37"/>
      <c r="AE829">
        <v>0</v>
      </c>
    </row>
    <row r="830" spans="1:31" hidden="1">
      <c r="A830" s="9" t="s">
        <v>1853</v>
      </c>
      <c r="B830" s="9" t="s">
        <v>1858</v>
      </c>
      <c r="C830" s="9" t="s">
        <v>105</v>
      </c>
      <c r="D830" s="9">
        <v>0.51970000000000005</v>
      </c>
      <c r="E830" s="9">
        <v>51.94</v>
      </c>
      <c r="F830" s="9" t="s">
        <v>106</v>
      </c>
      <c r="G830" s="9">
        <v>35.700000000000003</v>
      </c>
      <c r="H830" s="9" t="s">
        <v>106</v>
      </c>
      <c r="J830" s="9" t="s">
        <v>116</v>
      </c>
      <c r="K830" s="9" t="s">
        <v>1855</v>
      </c>
      <c r="L830" t="str">
        <f>IF(OR(J830="Cattle",J830="Zebu Cattle"),IF(COUNTIF(lists!$M$2:$M$258, K830) &gt; 0,"bos.indicus",IF(COUNTIF(lists!$L$2:$L$258, K830) &gt; 0,"cross.bred","pure.bred.exotic")),"NA")</f>
        <v>NA</v>
      </c>
      <c r="M830" t="str">
        <f>IF(J830="Sheep",IF(COUNTIF(lists!$H$2:$H$258, K830) &gt; 0,"indigenous",IF(COUNTIF(lists!$G$2:$G$258, K830) &gt; 0,"cross.bred","not found")),"NA")</f>
        <v>NA</v>
      </c>
      <c r="N830" t="str">
        <f>IF(J830="Goat",IF(COUNTIF(lists!$J$2:$J$258, K830) &gt; 0,"indigenous",IF(COUNTIF(lists!$I$2:$I$258, K830) &gt; 0,"cross.bred","not found")),"NA")</f>
        <v>not found</v>
      </c>
      <c r="O830" s="9" t="s">
        <v>124</v>
      </c>
      <c r="P830" s="9" t="s">
        <v>106</v>
      </c>
      <c r="S830" s="9" t="s">
        <v>106</v>
      </c>
      <c r="T830" s="9" t="s">
        <v>106</v>
      </c>
      <c r="U830" s="9" t="s">
        <v>106</v>
      </c>
      <c r="V830" s="9" t="s">
        <v>106</v>
      </c>
      <c r="W830" s="9" t="s">
        <v>106</v>
      </c>
      <c r="X830" s="9" t="s">
        <v>106</v>
      </c>
      <c r="Y830" s="9" t="s">
        <v>106</v>
      </c>
      <c r="Z830" s="37"/>
      <c r="AA830" s="37"/>
      <c r="AB830" s="37"/>
      <c r="AE830">
        <v>0</v>
      </c>
    </row>
    <row r="831" spans="1:31" hidden="1">
      <c r="A831" s="9" t="s">
        <v>1853</v>
      </c>
      <c r="B831" s="9" t="s">
        <v>1859</v>
      </c>
      <c r="C831" s="9" t="s">
        <v>105</v>
      </c>
      <c r="D831" s="9">
        <v>0.57889999999999997</v>
      </c>
      <c r="E831" s="9">
        <v>51.94</v>
      </c>
      <c r="F831" s="9" t="s">
        <v>106</v>
      </c>
      <c r="G831" s="9">
        <v>43.7</v>
      </c>
      <c r="H831" s="9" t="s">
        <v>106</v>
      </c>
      <c r="J831" s="9" t="s">
        <v>116</v>
      </c>
      <c r="K831" s="9" t="s">
        <v>1855</v>
      </c>
      <c r="L831" t="str">
        <f>IF(OR(J831="Cattle",J831="Zebu Cattle"),IF(COUNTIF(lists!$M$2:$M$258, K831) &gt; 0,"bos.indicus",IF(COUNTIF(lists!$L$2:$L$258, K831) &gt; 0,"cross.bred","pure.bred.exotic")),"NA")</f>
        <v>NA</v>
      </c>
      <c r="M831" t="str">
        <f>IF(J831="Sheep",IF(COUNTIF(lists!$H$2:$H$258, K831) &gt; 0,"indigenous",IF(COUNTIF(lists!$G$2:$G$258, K831) &gt; 0,"cross.bred","not found")),"NA")</f>
        <v>NA</v>
      </c>
      <c r="N831" t="str">
        <f>IF(J831="Goat",IF(COUNTIF(lists!$J$2:$J$258, K831) &gt; 0,"indigenous",IF(COUNTIF(lists!$I$2:$I$258, K831) &gt; 0,"cross.bred","not found")),"NA")</f>
        <v>not found</v>
      </c>
      <c r="O831" s="9" t="s">
        <v>124</v>
      </c>
      <c r="P831" s="9" t="s">
        <v>106</v>
      </c>
      <c r="S831" s="9" t="s">
        <v>106</v>
      </c>
      <c r="T831" s="9" t="s">
        <v>106</v>
      </c>
      <c r="U831" s="9" t="s">
        <v>106</v>
      </c>
      <c r="V831" s="9" t="s">
        <v>106</v>
      </c>
      <c r="W831" s="9" t="s">
        <v>106</v>
      </c>
      <c r="X831" s="9" t="s">
        <v>106</v>
      </c>
      <c r="Y831" s="9" t="s">
        <v>106</v>
      </c>
      <c r="Z831" s="37"/>
      <c r="AA831" s="37"/>
      <c r="AB831" s="37"/>
      <c r="AE831">
        <v>0</v>
      </c>
    </row>
    <row r="832" spans="1:31" hidden="1">
      <c r="A832" s="9" t="s">
        <v>1861</v>
      </c>
      <c r="B832" s="9" t="s">
        <v>455</v>
      </c>
      <c r="C832" s="9" t="s">
        <v>105</v>
      </c>
      <c r="D832" s="9">
        <v>0.53900000000000003</v>
      </c>
      <c r="E832" s="9">
        <v>19.7</v>
      </c>
      <c r="F832" s="9">
        <v>15.4</v>
      </c>
      <c r="G832" s="9">
        <v>21</v>
      </c>
      <c r="H832" s="9" t="s">
        <v>106</v>
      </c>
      <c r="I832" s="9">
        <v>30</v>
      </c>
      <c r="J832" s="9" t="s">
        <v>116</v>
      </c>
      <c r="K832" s="9" t="s">
        <v>180</v>
      </c>
      <c r="L832" t="str">
        <f>IF(OR(J832="Cattle",J832="Zebu Cattle"),IF(COUNTIF(lists!$M$2:$M$258, K832) &gt; 0,"bos.indicus",IF(COUNTIF(lists!$L$2:$L$258, K832) &gt; 0,"cross.bred","pure.bred.exotic")),"NA")</f>
        <v>NA</v>
      </c>
      <c r="M832" t="str">
        <f>IF(J832="Sheep",IF(COUNTIF(lists!$H$2:$H$258, K832) &gt; 0,"indigenous",IF(COUNTIF(lists!$G$2:$G$258, K832) &gt; 0,"cross.bred","not found")),"NA")</f>
        <v>NA</v>
      </c>
      <c r="N832" t="str">
        <f>IF(J832="Goat",IF(COUNTIF(lists!$J$2:$J$258, K832) &gt; 0,"indigenous",IF(COUNTIF(lists!$I$2:$I$258, K832) &gt; 0,"cross.bred","not found")),"NA")</f>
        <v>not found</v>
      </c>
      <c r="O832" s="9" t="s">
        <v>180</v>
      </c>
      <c r="P832" s="9" t="s">
        <v>106</v>
      </c>
      <c r="Q832" s="9" t="s">
        <v>3804</v>
      </c>
      <c r="S832" s="9" t="s">
        <v>106</v>
      </c>
      <c r="T832" s="9" t="s">
        <v>106</v>
      </c>
      <c r="U832" s="9" t="s">
        <v>106</v>
      </c>
      <c r="V832" s="9" t="s">
        <v>106</v>
      </c>
      <c r="W832" s="9" t="s">
        <v>106</v>
      </c>
      <c r="X832" s="9" t="s">
        <v>106</v>
      </c>
      <c r="Y832" s="9" t="s">
        <v>106</v>
      </c>
      <c r="Z832" s="37"/>
      <c r="AA832" s="37"/>
      <c r="AB832" s="37"/>
      <c r="AE832">
        <v>0</v>
      </c>
    </row>
    <row r="833" spans="1:31" hidden="1">
      <c r="A833" s="9" t="s">
        <v>1861</v>
      </c>
      <c r="B833" s="9" t="s">
        <v>1862</v>
      </c>
      <c r="C833" s="9" t="s">
        <v>105</v>
      </c>
      <c r="D833" s="9">
        <v>0.53400000000000003</v>
      </c>
      <c r="E833" s="9">
        <v>19.7</v>
      </c>
      <c r="F833" s="9">
        <v>16</v>
      </c>
      <c r="G833" s="9">
        <v>19</v>
      </c>
      <c r="H833" s="9" t="s">
        <v>106</v>
      </c>
      <c r="I833" s="9">
        <v>30</v>
      </c>
      <c r="J833" s="9" t="s">
        <v>116</v>
      </c>
      <c r="K833" s="9" t="s">
        <v>180</v>
      </c>
      <c r="L833" t="str">
        <f>IF(OR(J833="Cattle",J833="Zebu Cattle"),IF(COUNTIF(lists!$M$2:$M$258, K833) &gt; 0,"bos.indicus",IF(COUNTIF(lists!$L$2:$L$258, K833) &gt; 0,"cross.bred","pure.bred.exotic")),"NA")</f>
        <v>NA</v>
      </c>
      <c r="M833" t="str">
        <f>IF(J833="Sheep",IF(COUNTIF(lists!$H$2:$H$258, K833) &gt; 0,"indigenous",IF(COUNTIF(lists!$G$2:$G$258, K833) &gt; 0,"cross.bred","not found")),"NA")</f>
        <v>NA</v>
      </c>
      <c r="N833" t="str">
        <f>IF(J833="Goat",IF(COUNTIF(lists!$J$2:$J$258, K833) &gt; 0,"indigenous",IF(COUNTIF(lists!$I$2:$I$258, K833) &gt; 0,"cross.bred","not found")),"NA")</f>
        <v>not found</v>
      </c>
      <c r="O833" s="9" t="s">
        <v>180</v>
      </c>
      <c r="P833" s="9" t="s">
        <v>106</v>
      </c>
      <c r="Q833" s="9" t="s">
        <v>3804</v>
      </c>
      <c r="S833" s="9" t="s">
        <v>106</v>
      </c>
      <c r="T833" s="9" t="s">
        <v>106</v>
      </c>
      <c r="U833" s="9" t="s">
        <v>106</v>
      </c>
      <c r="V833" s="9" t="s">
        <v>106</v>
      </c>
      <c r="W833" s="9" t="s">
        <v>106</v>
      </c>
      <c r="X833" s="9" t="s">
        <v>106</v>
      </c>
      <c r="Y833" s="9" t="s">
        <v>106</v>
      </c>
      <c r="Z833" s="37"/>
      <c r="AA833" s="37"/>
      <c r="AB833" s="37"/>
      <c r="AE833">
        <v>0</v>
      </c>
    </row>
    <row r="834" spans="1:31" hidden="1">
      <c r="A834" s="9" t="s">
        <v>1861</v>
      </c>
      <c r="B834" s="9" t="s">
        <v>1863</v>
      </c>
      <c r="C834" s="9" t="s">
        <v>105</v>
      </c>
      <c r="D834" s="9">
        <v>0.22600000000000001</v>
      </c>
      <c r="E834" s="9">
        <v>19.7</v>
      </c>
      <c r="F834" s="9">
        <v>16</v>
      </c>
      <c r="G834" s="9">
        <v>19</v>
      </c>
      <c r="H834" s="9" t="s">
        <v>106</v>
      </c>
      <c r="I834" s="9">
        <v>30</v>
      </c>
      <c r="J834" s="9" t="s">
        <v>116</v>
      </c>
      <c r="K834" s="9" t="s">
        <v>180</v>
      </c>
      <c r="L834" t="str">
        <f>IF(OR(J834="Cattle",J834="Zebu Cattle"),IF(COUNTIF(lists!$M$2:$M$258, K834) &gt; 0,"bos.indicus",IF(COUNTIF(lists!$L$2:$L$258, K834) &gt; 0,"cross.bred","pure.bred.exotic")),"NA")</f>
        <v>NA</v>
      </c>
      <c r="M834" t="str">
        <f>IF(J834="Sheep",IF(COUNTIF(lists!$H$2:$H$258, K834) &gt; 0,"indigenous",IF(COUNTIF(lists!$G$2:$G$258, K834) &gt; 0,"cross.bred","not found")),"NA")</f>
        <v>NA</v>
      </c>
      <c r="N834" t="str">
        <f>IF(J834="Goat",IF(COUNTIF(lists!$J$2:$J$258, K834) &gt; 0,"indigenous",IF(COUNTIF(lists!$I$2:$I$258, K834) &gt; 0,"cross.bred","not found")),"NA")</f>
        <v>not found</v>
      </c>
      <c r="O834" s="9" t="s">
        <v>180</v>
      </c>
      <c r="P834" s="9" t="s">
        <v>106</v>
      </c>
      <c r="Q834" s="9" t="s">
        <v>3804</v>
      </c>
      <c r="S834" s="9" t="s">
        <v>106</v>
      </c>
      <c r="T834" s="9" t="s">
        <v>106</v>
      </c>
      <c r="U834" s="9" t="s">
        <v>106</v>
      </c>
      <c r="V834" s="9" t="s">
        <v>106</v>
      </c>
      <c r="W834" s="9" t="s">
        <v>106</v>
      </c>
      <c r="X834" s="9" t="s">
        <v>106</v>
      </c>
      <c r="Y834" s="9" t="s">
        <v>106</v>
      </c>
      <c r="Z834" s="37"/>
      <c r="AA834" s="37"/>
      <c r="AB834" s="37"/>
      <c r="AE834">
        <v>0</v>
      </c>
    </row>
    <row r="835" spans="1:31" hidden="1">
      <c r="A835" s="9" t="s">
        <v>1861</v>
      </c>
      <c r="B835" s="9" t="s">
        <v>1864</v>
      </c>
      <c r="C835" s="9" t="s">
        <v>105</v>
      </c>
      <c r="D835" s="9">
        <v>0.755</v>
      </c>
      <c r="E835" s="9">
        <v>19.7</v>
      </c>
      <c r="F835" s="9">
        <v>15.6</v>
      </c>
      <c r="G835" s="9">
        <v>44</v>
      </c>
      <c r="H835" s="9" t="s">
        <v>106</v>
      </c>
      <c r="I835" s="9">
        <v>30</v>
      </c>
      <c r="J835" s="9" t="s">
        <v>116</v>
      </c>
      <c r="K835" s="9" t="s">
        <v>180</v>
      </c>
      <c r="L835" t="str">
        <f>IF(OR(J835="Cattle",J835="Zebu Cattle"),IF(COUNTIF(lists!$M$2:$M$258, K835) &gt; 0,"bos.indicus",IF(COUNTIF(lists!$L$2:$L$258, K835) &gt; 0,"cross.bred","pure.bred.exotic")),"NA")</f>
        <v>NA</v>
      </c>
      <c r="M835" t="str">
        <f>IF(J835="Sheep",IF(COUNTIF(lists!$H$2:$H$258, K835) &gt; 0,"indigenous",IF(COUNTIF(lists!$G$2:$G$258, K835) &gt; 0,"cross.bred","not found")),"NA")</f>
        <v>NA</v>
      </c>
      <c r="N835" t="str">
        <f>IF(J835="Goat",IF(COUNTIF(lists!$J$2:$J$258, K835) &gt; 0,"indigenous",IF(COUNTIF(lists!$I$2:$I$258, K835) &gt; 0,"cross.bred","not found")),"NA")</f>
        <v>not found</v>
      </c>
      <c r="O835" s="9" t="s">
        <v>180</v>
      </c>
      <c r="P835" s="9" t="s">
        <v>106</v>
      </c>
      <c r="Q835" s="9" t="s">
        <v>3804</v>
      </c>
      <c r="S835" s="9" t="s">
        <v>106</v>
      </c>
      <c r="T835" s="9" t="s">
        <v>106</v>
      </c>
      <c r="U835" s="9" t="s">
        <v>106</v>
      </c>
      <c r="V835" s="9" t="s">
        <v>106</v>
      </c>
      <c r="W835" s="9" t="s">
        <v>106</v>
      </c>
      <c r="X835" s="9" t="s">
        <v>106</v>
      </c>
      <c r="Y835" s="9" t="s">
        <v>106</v>
      </c>
      <c r="Z835" s="37"/>
      <c r="AA835" s="37"/>
      <c r="AB835" s="37"/>
      <c r="AE835">
        <v>0</v>
      </c>
    </row>
    <row r="836" spans="1:31" hidden="1">
      <c r="A836" s="9" t="s">
        <v>1865</v>
      </c>
      <c r="B836" s="9" t="s">
        <v>455</v>
      </c>
      <c r="C836" s="9" t="s">
        <v>105</v>
      </c>
      <c r="D836" s="9">
        <v>0.53900000000000003</v>
      </c>
      <c r="E836" s="9">
        <v>19.7</v>
      </c>
      <c r="F836" s="9">
        <v>15.4</v>
      </c>
      <c r="G836" s="9">
        <v>21</v>
      </c>
      <c r="H836" s="9" t="s">
        <v>106</v>
      </c>
      <c r="I836" s="9">
        <v>30</v>
      </c>
      <c r="J836" s="9" t="s">
        <v>116</v>
      </c>
      <c r="K836" s="9" t="s">
        <v>180</v>
      </c>
      <c r="L836" t="str">
        <f>IF(OR(J836="Cattle",J836="Zebu Cattle"),IF(COUNTIF(lists!$M$2:$M$258, K836) &gt; 0,"bos.indicus",IF(COUNTIF(lists!$L$2:$L$258, K836) &gt; 0,"cross.bred","pure.bred.exotic")),"NA")</f>
        <v>NA</v>
      </c>
      <c r="M836" t="str">
        <f>IF(J836="Sheep",IF(COUNTIF(lists!$H$2:$H$258, K836) &gt; 0,"indigenous",IF(COUNTIF(lists!$G$2:$G$258, K836) &gt; 0,"cross.bred","not found")),"NA")</f>
        <v>NA</v>
      </c>
      <c r="N836" t="str">
        <f>IF(J836="Goat",IF(COUNTIF(lists!$J$2:$J$258, K836) &gt; 0,"indigenous",IF(COUNTIF(lists!$I$2:$I$258, K836) &gt; 0,"cross.bred","not found")),"NA")</f>
        <v>not found</v>
      </c>
      <c r="O836" s="9" t="s">
        <v>180</v>
      </c>
      <c r="P836" s="9" t="s">
        <v>106</v>
      </c>
      <c r="Q836" s="9" t="s">
        <v>3804</v>
      </c>
      <c r="S836" s="9" t="s">
        <v>106</v>
      </c>
      <c r="T836" s="9" t="s">
        <v>106</v>
      </c>
      <c r="U836" s="9" t="s">
        <v>106</v>
      </c>
      <c r="V836" s="9" t="s">
        <v>106</v>
      </c>
      <c r="W836" s="9" t="s">
        <v>106</v>
      </c>
      <c r="X836" s="9" t="s">
        <v>106</v>
      </c>
      <c r="Y836" s="9" t="s">
        <v>106</v>
      </c>
      <c r="Z836" s="37"/>
      <c r="AA836" s="37"/>
      <c r="AB836" s="37"/>
      <c r="AE836">
        <v>0</v>
      </c>
    </row>
    <row r="837" spans="1:31" hidden="1">
      <c r="A837" s="9" t="s">
        <v>1865</v>
      </c>
      <c r="B837" s="9" t="s">
        <v>1862</v>
      </c>
      <c r="C837" s="9" t="s">
        <v>105</v>
      </c>
      <c r="D837" s="9">
        <v>0.53400000000000003</v>
      </c>
      <c r="E837" s="9">
        <v>19.7</v>
      </c>
      <c r="F837" s="9">
        <v>16</v>
      </c>
      <c r="G837" s="9">
        <v>19</v>
      </c>
      <c r="H837" s="9" t="s">
        <v>106</v>
      </c>
      <c r="I837" s="9">
        <v>30</v>
      </c>
      <c r="J837" s="9" t="s">
        <v>116</v>
      </c>
      <c r="K837" s="9" t="s">
        <v>180</v>
      </c>
      <c r="L837" t="str">
        <f>IF(OR(J837="Cattle",J837="Zebu Cattle"),IF(COUNTIF(lists!$M$2:$M$258, K837) &gt; 0,"bos.indicus",IF(COUNTIF(lists!$L$2:$L$258, K837) &gt; 0,"cross.bred","pure.bred.exotic")),"NA")</f>
        <v>NA</v>
      </c>
      <c r="M837" t="str">
        <f>IF(J837="Sheep",IF(COUNTIF(lists!$H$2:$H$258, K837) &gt; 0,"indigenous",IF(COUNTIF(lists!$G$2:$G$258, K837) &gt; 0,"cross.bred","not found")),"NA")</f>
        <v>NA</v>
      </c>
      <c r="N837" t="str">
        <f>IF(J837="Goat",IF(COUNTIF(lists!$J$2:$J$258, K837) &gt; 0,"indigenous",IF(COUNTIF(lists!$I$2:$I$258, K837) &gt; 0,"cross.bred","not found")),"NA")</f>
        <v>not found</v>
      </c>
      <c r="O837" s="9" t="s">
        <v>180</v>
      </c>
      <c r="P837" s="9" t="s">
        <v>106</v>
      </c>
      <c r="Q837" s="9" t="s">
        <v>3804</v>
      </c>
      <c r="S837" s="9" t="s">
        <v>106</v>
      </c>
      <c r="T837" s="9" t="s">
        <v>106</v>
      </c>
      <c r="U837" s="9" t="s">
        <v>106</v>
      </c>
      <c r="V837" s="9" t="s">
        <v>106</v>
      </c>
      <c r="W837" s="9" t="s">
        <v>106</v>
      </c>
      <c r="X837" s="9" t="s">
        <v>106</v>
      </c>
      <c r="Y837" s="9" t="s">
        <v>106</v>
      </c>
      <c r="Z837" s="37"/>
      <c r="AA837" s="37"/>
      <c r="AB837" s="37"/>
      <c r="AE837">
        <v>0</v>
      </c>
    </row>
    <row r="838" spans="1:31" hidden="1">
      <c r="A838" s="9" t="s">
        <v>1865</v>
      </c>
      <c r="B838" s="9" t="s">
        <v>1863</v>
      </c>
      <c r="C838" s="9" t="s">
        <v>105</v>
      </c>
      <c r="D838" s="9">
        <v>0.22600000000000001</v>
      </c>
      <c r="E838" s="9">
        <v>19.7</v>
      </c>
      <c r="F838" s="9">
        <v>16</v>
      </c>
      <c r="G838" s="9">
        <v>19</v>
      </c>
      <c r="H838" s="9" t="s">
        <v>106</v>
      </c>
      <c r="I838" s="9">
        <v>30</v>
      </c>
      <c r="J838" s="9" t="s">
        <v>116</v>
      </c>
      <c r="K838" s="9" t="s">
        <v>180</v>
      </c>
      <c r="L838" t="str">
        <f>IF(OR(J838="Cattle",J838="Zebu Cattle"),IF(COUNTIF(lists!$M$2:$M$258, K838) &gt; 0,"bos.indicus",IF(COUNTIF(lists!$L$2:$L$258, K838) &gt; 0,"cross.bred","pure.bred.exotic")),"NA")</f>
        <v>NA</v>
      </c>
      <c r="M838" t="str">
        <f>IF(J838="Sheep",IF(COUNTIF(lists!$H$2:$H$258, K838) &gt; 0,"indigenous",IF(COUNTIF(lists!$G$2:$G$258, K838) &gt; 0,"cross.bred","not found")),"NA")</f>
        <v>NA</v>
      </c>
      <c r="N838" t="str">
        <f>IF(J838="Goat",IF(COUNTIF(lists!$J$2:$J$258, K838) &gt; 0,"indigenous",IF(COUNTIF(lists!$I$2:$I$258, K838) &gt; 0,"cross.bred","not found")),"NA")</f>
        <v>not found</v>
      </c>
      <c r="O838" s="9" t="s">
        <v>180</v>
      </c>
      <c r="P838" s="9" t="s">
        <v>106</v>
      </c>
      <c r="Q838" s="9" t="s">
        <v>3804</v>
      </c>
      <c r="S838" s="9" t="s">
        <v>106</v>
      </c>
      <c r="T838" s="9" t="s">
        <v>106</v>
      </c>
      <c r="U838" s="9" t="s">
        <v>106</v>
      </c>
      <c r="V838" s="9" t="s">
        <v>106</v>
      </c>
      <c r="W838" s="9" t="s">
        <v>106</v>
      </c>
      <c r="X838" s="9" t="s">
        <v>106</v>
      </c>
      <c r="Y838" s="9" t="s">
        <v>106</v>
      </c>
      <c r="Z838" s="37"/>
      <c r="AA838" s="37"/>
      <c r="AB838" s="37"/>
      <c r="AE838">
        <v>0</v>
      </c>
    </row>
    <row r="839" spans="1:31" hidden="1">
      <c r="A839" s="9" t="s">
        <v>1865</v>
      </c>
      <c r="B839" s="9" t="s">
        <v>1864</v>
      </c>
      <c r="C839" s="9" t="s">
        <v>105</v>
      </c>
      <c r="D839" s="9">
        <v>0.755</v>
      </c>
      <c r="E839" s="9">
        <v>19.7</v>
      </c>
      <c r="F839" s="9">
        <v>15.6</v>
      </c>
      <c r="G839" s="9">
        <v>44</v>
      </c>
      <c r="H839" s="9" t="s">
        <v>106</v>
      </c>
      <c r="I839" s="9">
        <v>30</v>
      </c>
      <c r="J839" s="9" t="s">
        <v>116</v>
      </c>
      <c r="K839" s="9" t="s">
        <v>180</v>
      </c>
      <c r="L839" t="str">
        <f>IF(OR(J839="Cattle",J839="Zebu Cattle"),IF(COUNTIF(lists!$M$2:$M$258, K839) &gt; 0,"bos.indicus",IF(COUNTIF(lists!$L$2:$L$258, K839) &gt; 0,"cross.bred","pure.bred.exotic")),"NA")</f>
        <v>NA</v>
      </c>
      <c r="M839" t="str">
        <f>IF(J839="Sheep",IF(COUNTIF(lists!$H$2:$H$258, K839) &gt; 0,"indigenous",IF(COUNTIF(lists!$G$2:$G$258, K839) &gt; 0,"cross.bred","not found")),"NA")</f>
        <v>NA</v>
      </c>
      <c r="N839" t="str">
        <f>IF(J839="Goat",IF(COUNTIF(lists!$J$2:$J$258, K839) &gt; 0,"indigenous",IF(COUNTIF(lists!$I$2:$I$258, K839) &gt; 0,"cross.bred","not found")),"NA")</f>
        <v>not found</v>
      </c>
      <c r="O839" s="9" t="s">
        <v>180</v>
      </c>
      <c r="P839" s="9" t="s">
        <v>106</v>
      </c>
      <c r="Q839" s="9" t="s">
        <v>3804</v>
      </c>
      <c r="S839" s="9" t="s">
        <v>106</v>
      </c>
      <c r="T839" s="9" t="s">
        <v>106</v>
      </c>
      <c r="U839" s="9" t="s">
        <v>106</v>
      </c>
      <c r="V839" s="9" t="s">
        <v>106</v>
      </c>
      <c r="W839" s="9" t="s">
        <v>106</v>
      </c>
      <c r="X839" s="9" t="s">
        <v>106</v>
      </c>
      <c r="Y839" s="9" t="s">
        <v>106</v>
      </c>
      <c r="Z839" s="37"/>
      <c r="AA839" s="37"/>
      <c r="AB839" s="37"/>
      <c r="AE839">
        <v>0</v>
      </c>
    </row>
    <row r="840" spans="1:31" hidden="1">
      <c r="A840" s="9" t="s">
        <v>1866</v>
      </c>
      <c r="B840" s="9" t="s">
        <v>1670</v>
      </c>
      <c r="C840" s="9" t="s">
        <v>105</v>
      </c>
      <c r="D840" s="9">
        <v>0.34</v>
      </c>
      <c r="E840" s="9">
        <v>10.7</v>
      </c>
      <c r="F840" s="9">
        <v>13.6</v>
      </c>
      <c r="G840" s="9">
        <v>14.2</v>
      </c>
      <c r="H840" s="9" t="s">
        <v>106</v>
      </c>
      <c r="I840" s="9">
        <v>24</v>
      </c>
      <c r="J840" s="9" t="s">
        <v>116</v>
      </c>
      <c r="K840" s="9" t="s">
        <v>336</v>
      </c>
      <c r="L840" t="str">
        <f>IF(OR(J840="Cattle",J840="Zebu Cattle"),IF(COUNTIF(lists!$M$2:$M$258, K840) &gt; 0,"bos.indicus",IF(COUNTIF(lists!$L$2:$L$258, K840) &gt; 0,"cross.bred","pure.bred.exotic")),"NA")</f>
        <v>NA</v>
      </c>
      <c r="M840" t="str">
        <f>IF(J840="Sheep",IF(COUNTIF(lists!$H$2:$H$258, K840) &gt; 0,"indigenous",IF(COUNTIF(lists!$G$2:$G$258, K840) &gt; 0,"cross.bred","not found")),"NA")</f>
        <v>NA</v>
      </c>
      <c r="N840" t="str">
        <f>IF(J840="Goat",IF(COUNTIF(lists!$J$2:$J$258, K840) &gt; 0,"indigenous",IF(COUNTIF(lists!$I$2:$I$258, K840) &gt; 0,"cross.bred","not found")),"NA")</f>
        <v>not found</v>
      </c>
      <c r="O840" s="9" t="s">
        <v>109</v>
      </c>
      <c r="P840" s="9" t="s">
        <v>106</v>
      </c>
      <c r="Q840" s="9" t="s">
        <v>3804</v>
      </c>
      <c r="S840" s="9" t="s">
        <v>106</v>
      </c>
      <c r="T840" s="9" t="s">
        <v>106</v>
      </c>
      <c r="U840" s="9" t="s">
        <v>106</v>
      </c>
      <c r="V840" s="9" t="s">
        <v>106</v>
      </c>
      <c r="W840" s="9" t="s">
        <v>106</v>
      </c>
      <c r="X840" s="9" t="s">
        <v>106</v>
      </c>
      <c r="Y840" s="9" t="s">
        <v>106</v>
      </c>
      <c r="Z840" s="37"/>
      <c r="AA840" s="37"/>
      <c r="AB840" s="37"/>
      <c r="AE840">
        <v>0</v>
      </c>
    </row>
    <row r="841" spans="1:31" hidden="1">
      <c r="A841" s="9" t="s">
        <v>1866</v>
      </c>
      <c r="B841" s="9" t="s">
        <v>1867</v>
      </c>
      <c r="C841" s="9" t="s">
        <v>105</v>
      </c>
      <c r="D841" s="9">
        <v>0.35299999999999998</v>
      </c>
      <c r="E841" s="9">
        <v>10.7</v>
      </c>
      <c r="F841" s="9">
        <v>14.2</v>
      </c>
      <c r="G841" s="9">
        <v>11.3</v>
      </c>
      <c r="H841" s="9" t="s">
        <v>106</v>
      </c>
      <c r="I841" s="9">
        <v>24</v>
      </c>
      <c r="J841" s="9" t="s">
        <v>116</v>
      </c>
      <c r="K841" s="9" t="s">
        <v>336</v>
      </c>
      <c r="L841" t="str">
        <f>IF(OR(J841="Cattle",J841="Zebu Cattle"),IF(COUNTIF(lists!$M$2:$M$258, K841) &gt; 0,"bos.indicus",IF(COUNTIF(lists!$L$2:$L$258, K841) &gt; 0,"cross.bred","pure.bred.exotic")),"NA")</f>
        <v>NA</v>
      </c>
      <c r="M841" t="str">
        <f>IF(J841="Sheep",IF(COUNTIF(lists!$H$2:$H$258, K841) &gt; 0,"indigenous",IF(COUNTIF(lists!$G$2:$G$258, K841) &gt; 0,"cross.bred","not found")),"NA")</f>
        <v>NA</v>
      </c>
      <c r="N841" t="str">
        <f>IF(J841="Goat",IF(COUNTIF(lists!$J$2:$J$258, K841) &gt; 0,"indigenous",IF(COUNTIF(lists!$I$2:$I$258, K841) &gt; 0,"cross.bred","not found")),"NA")</f>
        <v>not found</v>
      </c>
      <c r="O841" s="9" t="s">
        <v>109</v>
      </c>
      <c r="P841" s="9" t="s">
        <v>106</v>
      </c>
      <c r="Q841" s="9" t="s">
        <v>3804</v>
      </c>
      <c r="S841" s="9" t="s">
        <v>106</v>
      </c>
      <c r="T841" s="9" t="s">
        <v>106</v>
      </c>
      <c r="U841" s="9" t="s">
        <v>106</v>
      </c>
      <c r="V841" s="9" t="s">
        <v>106</v>
      </c>
      <c r="W841" s="9" t="s">
        <v>106</v>
      </c>
      <c r="X841" s="9" t="s">
        <v>106</v>
      </c>
      <c r="Y841" s="9" t="s">
        <v>106</v>
      </c>
      <c r="Z841" s="37"/>
      <c r="AA841" s="37"/>
      <c r="AB841" s="37"/>
      <c r="AE841">
        <v>0</v>
      </c>
    </row>
    <row r="842" spans="1:31" hidden="1">
      <c r="A842" s="9" t="s">
        <v>1866</v>
      </c>
      <c r="B842" s="9" t="s">
        <v>1868</v>
      </c>
      <c r="C842" s="9" t="s">
        <v>105</v>
      </c>
      <c r="D842" s="9">
        <v>0.29199999999999998</v>
      </c>
      <c r="E842" s="9">
        <v>10.7</v>
      </c>
      <c r="F842" s="9">
        <v>15.3</v>
      </c>
      <c r="G842" s="9">
        <v>11</v>
      </c>
      <c r="H842" s="9" t="s">
        <v>106</v>
      </c>
      <c r="I842" s="9">
        <v>24</v>
      </c>
      <c r="J842" s="9" t="s">
        <v>116</v>
      </c>
      <c r="K842" s="9" t="s">
        <v>336</v>
      </c>
      <c r="L842" t="str">
        <f>IF(OR(J842="Cattle",J842="Zebu Cattle"),IF(COUNTIF(lists!$M$2:$M$258, K842) &gt; 0,"bos.indicus",IF(COUNTIF(lists!$L$2:$L$258, K842) &gt; 0,"cross.bred","pure.bred.exotic")),"NA")</f>
        <v>NA</v>
      </c>
      <c r="M842" t="str">
        <f>IF(J842="Sheep",IF(COUNTIF(lists!$H$2:$H$258, K842) &gt; 0,"indigenous",IF(COUNTIF(lists!$G$2:$G$258, K842) &gt; 0,"cross.bred","not found")),"NA")</f>
        <v>NA</v>
      </c>
      <c r="N842" t="str">
        <f>IF(J842="Goat",IF(COUNTIF(lists!$J$2:$J$258, K842) &gt; 0,"indigenous",IF(COUNTIF(lists!$I$2:$I$258, K842) &gt; 0,"cross.bred","not found")),"NA")</f>
        <v>not found</v>
      </c>
      <c r="O842" s="9" t="s">
        <v>109</v>
      </c>
      <c r="P842" s="9" t="s">
        <v>106</v>
      </c>
      <c r="Q842" s="9" t="s">
        <v>3804</v>
      </c>
      <c r="S842" s="9" t="s">
        <v>106</v>
      </c>
      <c r="T842" s="9" t="s">
        <v>106</v>
      </c>
      <c r="U842" s="9" t="s">
        <v>106</v>
      </c>
      <c r="V842" s="9" t="s">
        <v>106</v>
      </c>
      <c r="W842" s="9" t="s">
        <v>106</v>
      </c>
      <c r="X842" s="9" t="s">
        <v>106</v>
      </c>
      <c r="Y842" s="9" t="s">
        <v>106</v>
      </c>
      <c r="Z842" s="37"/>
      <c r="AA842" s="37"/>
      <c r="AB842" s="37"/>
      <c r="AE842">
        <v>0</v>
      </c>
    </row>
    <row r="843" spans="1:31" hidden="1">
      <c r="A843" s="9" t="s">
        <v>1866</v>
      </c>
      <c r="B843" s="9" t="s">
        <v>1869</v>
      </c>
      <c r="C843" s="9" t="s">
        <v>105</v>
      </c>
      <c r="D843" s="9">
        <v>0.37</v>
      </c>
      <c r="E843" s="9">
        <v>10.7</v>
      </c>
      <c r="F843" s="9">
        <v>12.9</v>
      </c>
      <c r="G843" s="9">
        <v>13</v>
      </c>
      <c r="H843" s="9" t="s">
        <v>106</v>
      </c>
      <c r="I843" s="9">
        <v>24</v>
      </c>
      <c r="J843" s="9" t="s">
        <v>116</v>
      </c>
      <c r="K843" s="9" t="s">
        <v>336</v>
      </c>
      <c r="L843" t="str">
        <f>IF(OR(J843="Cattle",J843="Zebu Cattle"),IF(COUNTIF(lists!$M$2:$M$258, K843) &gt; 0,"bos.indicus",IF(COUNTIF(lists!$L$2:$L$258, K843) &gt; 0,"cross.bred","pure.bred.exotic")),"NA")</f>
        <v>NA</v>
      </c>
      <c r="M843" t="str">
        <f>IF(J843="Sheep",IF(COUNTIF(lists!$H$2:$H$258, K843) &gt; 0,"indigenous",IF(COUNTIF(lists!$G$2:$G$258, K843) &gt; 0,"cross.bred","not found")),"NA")</f>
        <v>NA</v>
      </c>
      <c r="N843" t="str">
        <f>IF(J843="Goat",IF(COUNTIF(lists!$J$2:$J$258, K843) &gt; 0,"indigenous",IF(COUNTIF(lists!$I$2:$I$258, K843) &gt; 0,"cross.bred","not found")),"NA")</f>
        <v>not found</v>
      </c>
      <c r="O843" s="9" t="s">
        <v>109</v>
      </c>
      <c r="P843" s="9" t="s">
        <v>106</v>
      </c>
      <c r="Q843" s="9" t="s">
        <v>3804</v>
      </c>
      <c r="S843" s="9" t="s">
        <v>106</v>
      </c>
      <c r="T843" s="9" t="s">
        <v>106</v>
      </c>
      <c r="U843" s="9" t="s">
        <v>106</v>
      </c>
      <c r="V843" s="9" t="s">
        <v>106</v>
      </c>
      <c r="W843" s="9" t="s">
        <v>106</v>
      </c>
      <c r="X843" s="9" t="s">
        <v>106</v>
      </c>
      <c r="Y843" s="9" t="s">
        <v>106</v>
      </c>
      <c r="Z843" s="37"/>
      <c r="AA843" s="37"/>
      <c r="AB843" s="37"/>
      <c r="AE843">
        <v>0</v>
      </c>
    </row>
    <row r="844" spans="1:31" hidden="1">
      <c r="A844" s="9" t="s">
        <v>1919</v>
      </c>
      <c r="B844" s="9" t="s">
        <v>669</v>
      </c>
      <c r="C844" s="9" t="s">
        <v>105</v>
      </c>
      <c r="D844" s="9">
        <v>0.73080000000000001</v>
      </c>
      <c r="E844" s="9">
        <v>8.9</v>
      </c>
      <c r="F844" s="9" t="s">
        <v>106</v>
      </c>
      <c r="G844" s="9" t="s">
        <v>106</v>
      </c>
      <c r="H844" s="9">
        <v>0.81859999999999999</v>
      </c>
      <c r="J844" s="9" t="s">
        <v>116</v>
      </c>
      <c r="K844" s="9" t="s">
        <v>1920</v>
      </c>
      <c r="L844" t="str">
        <f>IF(OR(J844="Cattle",J844="Zebu Cattle"),IF(COUNTIF(lists!$M$2:$M$258, K844) &gt; 0,"bos.indicus",IF(COUNTIF(lists!$L$2:$L$258, K844) &gt; 0,"cross.bred","pure.bred.exotic")),"NA")</f>
        <v>NA</v>
      </c>
      <c r="M844" t="str">
        <f>IF(J844="Sheep",IF(COUNTIF(lists!$H$2:$H$258, K844) &gt; 0,"indigenous",IF(COUNTIF(lists!$G$2:$G$258, K844) &gt; 0,"cross.bred","not found")),"NA")</f>
        <v>NA</v>
      </c>
      <c r="N844" t="str">
        <f>IF(J844="Goat",IF(COUNTIF(lists!$J$2:$J$258, K844) &gt; 0,"indigenous",IF(COUNTIF(lists!$I$2:$I$258, K844) &gt; 0,"cross.bred","not found")),"NA")</f>
        <v>not found</v>
      </c>
      <c r="O844" s="9" t="s">
        <v>124</v>
      </c>
      <c r="P844" s="9" t="s">
        <v>106</v>
      </c>
      <c r="S844" s="9">
        <v>206.4</v>
      </c>
      <c r="T844" s="9" t="s">
        <v>106</v>
      </c>
      <c r="U844" s="9">
        <v>146.9</v>
      </c>
      <c r="V844" s="9">
        <v>859.2</v>
      </c>
      <c r="W844" s="9">
        <v>62</v>
      </c>
      <c r="X844" s="9">
        <v>337.5</v>
      </c>
      <c r="Y844" s="9">
        <v>572.9</v>
      </c>
      <c r="Z844" s="37"/>
      <c r="AA844" s="37"/>
      <c r="AB844" s="37"/>
      <c r="AE844">
        <v>0</v>
      </c>
    </row>
    <row r="845" spans="1:31" hidden="1">
      <c r="A845" s="9" t="s">
        <v>1919</v>
      </c>
      <c r="B845" s="9" t="s">
        <v>1921</v>
      </c>
      <c r="C845" s="9" t="s">
        <v>105</v>
      </c>
      <c r="D845" s="9">
        <v>0.79279999999999995</v>
      </c>
      <c r="E845" s="9">
        <v>8.9</v>
      </c>
      <c r="F845" s="9" t="s">
        <v>106</v>
      </c>
      <c r="G845" s="9" t="s">
        <v>106</v>
      </c>
      <c r="H845" s="9">
        <v>0.90689999999999904</v>
      </c>
      <c r="J845" s="9" t="s">
        <v>116</v>
      </c>
      <c r="K845" s="9" t="s">
        <v>1920</v>
      </c>
      <c r="L845" t="str">
        <f>IF(OR(J845="Cattle",J845="Zebu Cattle"),IF(COUNTIF(lists!$M$2:$M$258, K845) &gt; 0,"bos.indicus",IF(COUNTIF(lists!$L$2:$L$258, K845) &gt; 0,"cross.bred","pure.bred.exotic")),"NA")</f>
        <v>NA</v>
      </c>
      <c r="M845" t="str">
        <f>IF(J845="Sheep",IF(COUNTIF(lists!$H$2:$H$258, K845) &gt; 0,"indigenous",IF(COUNTIF(lists!$G$2:$G$258, K845) &gt; 0,"cross.bred","not found")),"NA")</f>
        <v>NA</v>
      </c>
      <c r="N845" t="str">
        <f>IF(J845="Goat",IF(COUNTIF(lists!$J$2:$J$258, K845) &gt; 0,"indigenous",IF(COUNTIF(lists!$I$2:$I$258, K845) &gt; 0,"cross.bred","not found")),"NA")</f>
        <v>not found</v>
      </c>
      <c r="O845" s="9" t="s">
        <v>124</v>
      </c>
      <c r="P845" s="9" t="s">
        <v>106</v>
      </c>
      <c r="S845" s="9">
        <v>218.8</v>
      </c>
      <c r="T845" s="9" t="s">
        <v>106</v>
      </c>
      <c r="U845" s="9">
        <v>145.1</v>
      </c>
      <c r="V845" s="9">
        <v>801.4</v>
      </c>
      <c r="W845" s="9">
        <v>54.7</v>
      </c>
      <c r="X845" s="9">
        <v>343.3</v>
      </c>
      <c r="Y845" s="9">
        <v>586.5</v>
      </c>
      <c r="Z845" s="37"/>
      <c r="AA845" s="37"/>
      <c r="AB845" s="37"/>
      <c r="AE845">
        <v>0</v>
      </c>
    </row>
    <row r="846" spans="1:31" hidden="1">
      <c r="A846" s="9" t="s">
        <v>1919</v>
      </c>
      <c r="B846" s="9" t="s">
        <v>671</v>
      </c>
      <c r="C846" s="9" t="s">
        <v>105</v>
      </c>
      <c r="D846" s="9">
        <v>0.84870000000000001</v>
      </c>
      <c r="E846" s="9">
        <v>8.9</v>
      </c>
      <c r="F846" s="9" t="s">
        <v>106</v>
      </c>
      <c r="G846" s="9" t="s">
        <v>106</v>
      </c>
      <c r="H846" s="9">
        <v>0.94299999999999995</v>
      </c>
      <c r="J846" s="9" t="s">
        <v>116</v>
      </c>
      <c r="K846" s="9" t="s">
        <v>1920</v>
      </c>
      <c r="L846" t="str">
        <f>IF(OR(J846="Cattle",J846="Zebu Cattle"),IF(COUNTIF(lists!$M$2:$M$258, K846) &gt; 0,"bos.indicus",IF(COUNTIF(lists!$L$2:$L$258, K846) &gt; 0,"cross.bred","pure.bred.exotic")),"NA")</f>
        <v>NA</v>
      </c>
      <c r="M846" t="str">
        <f>IF(J846="Sheep",IF(COUNTIF(lists!$H$2:$H$258, K846) &gt; 0,"indigenous",IF(COUNTIF(lists!$G$2:$G$258, K846) &gt; 0,"cross.bred","not found")),"NA")</f>
        <v>NA</v>
      </c>
      <c r="N846" t="str">
        <f>IF(J846="Goat",IF(COUNTIF(lists!$J$2:$J$258, K846) &gt; 0,"indigenous",IF(COUNTIF(lists!$I$2:$I$258, K846) &gt; 0,"cross.bred","not found")),"NA")</f>
        <v>not found</v>
      </c>
      <c r="O846" s="9" t="s">
        <v>124</v>
      </c>
      <c r="P846" s="9" t="s">
        <v>106</v>
      </c>
      <c r="S846" s="9">
        <v>224.9</v>
      </c>
      <c r="T846" s="9" t="s">
        <v>106</v>
      </c>
      <c r="U846" s="9">
        <v>144.19999999999999</v>
      </c>
      <c r="V846" s="9">
        <v>772.5</v>
      </c>
      <c r="W846" s="9">
        <v>51.1</v>
      </c>
      <c r="X846" s="9">
        <v>346.2</v>
      </c>
      <c r="Y846" s="9">
        <v>608.5</v>
      </c>
      <c r="Z846" s="37"/>
      <c r="AA846" s="37"/>
      <c r="AB846" s="37"/>
      <c r="AE846">
        <v>0</v>
      </c>
    </row>
    <row r="847" spans="1:31" hidden="1">
      <c r="A847" s="9" t="s">
        <v>1919</v>
      </c>
      <c r="B847" s="9" t="s">
        <v>672</v>
      </c>
      <c r="C847" s="9" t="s">
        <v>105</v>
      </c>
      <c r="D847" s="9">
        <v>0.80110000000000003</v>
      </c>
      <c r="E847" s="9">
        <v>8.9</v>
      </c>
      <c r="F847" s="9" t="s">
        <v>106</v>
      </c>
      <c r="G847" s="9" t="s">
        <v>106</v>
      </c>
      <c r="H847" s="9">
        <v>0.90149999999999997</v>
      </c>
      <c r="J847" s="9" t="s">
        <v>116</v>
      </c>
      <c r="K847" s="9" t="s">
        <v>1920</v>
      </c>
      <c r="L847" t="str">
        <f>IF(OR(J847="Cattle",J847="Zebu Cattle"),IF(COUNTIF(lists!$M$2:$M$258, K847) &gt; 0,"bos.indicus",IF(COUNTIF(lists!$L$2:$L$258, K847) &gt; 0,"cross.bred","pure.bred.exotic")),"NA")</f>
        <v>NA</v>
      </c>
      <c r="M847" t="str">
        <f>IF(J847="Sheep",IF(COUNTIF(lists!$H$2:$H$258, K847) &gt; 0,"indigenous",IF(COUNTIF(lists!$G$2:$G$258, K847) &gt; 0,"cross.bred","not found")),"NA")</f>
        <v>NA</v>
      </c>
      <c r="N847" t="str">
        <f>IF(J847="Goat",IF(COUNTIF(lists!$J$2:$J$258, K847) &gt; 0,"indigenous",IF(COUNTIF(lists!$I$2:$I$258, K847) &gt; 0,"cross.bred","not found")),"NA")</f>
        <v>not found</v>
      </c>
      <c r="O847" s="9" t="s">
        <v>124</v>
      </c>
      <c r="P847" s="9" t="s">
        <v>106</v>
      </c>
      <c r="S847" s="9">
        <v>231.1</v>
      </c>
      <c r="T847" s="9" t="s">
        <v>106</v>
      </c>
      <c r="U847" s="9">
        <v>143.30000000000001</v>
      </c>
      <c r="V847" s="9">
        <v>743.6</v>
      </c>
      <c r="W847" s="9">
        <v>47.5</v>
      </c>
      <c r="X847" s="9">
        <v>349</v>
      </c>
      <c r="Y847" s="9">
        <v>590</v>
      </c>
      <c r="Z847" s="37"/>
      <c r="AA847" s="37"/>
      <c r="AB847" s="37"/>
      <c r="AE847">
        <v>0</v>
      </c>
    </row>
    <row r="848" spans="1:31" hidden="1">
      <c r="A848" s="9" t="s">
        <v>1922</v>
      </c>
      <c r="B848" s="9" t="s">
        <v>455</v>
      </c>
      <c r="C848" s="9" t="s">
        <v>105</v>
      </c>
      <c r="D848" s="9">
        <v>0.70660000000000001</v>
      </c>
      <c r="E848" s="9">
        <v>12.92</v>
      </c>
      <c r="F848" s="9" t="s">
        <v>106</v>
      </c>
      <c r="G848" s="9" t="s">
        <v>106</v>
      </c>
      <c r="H848" s="9">
        <v>0.96609999999999996</v>
      </c>
      <c r="J848" s="9" t="s">
        <v>116</v>
      </c>
      <c r="K848" s="9" t="s">
        <v>1923</v>
      </c>
      <c r="L848" t="str">
        <f>IF(OR(J848="Cattle",J848="Zebu Cattle"),IF(COUNTIF(lists!$M$2:$M$258, K848) &gt; 0,"bos.indicus",IF(COUNTIF(lists!$L$2:$L$258, K848) &gt; 0,"cross.bred","pure.bred.exotic")),"NA")</f>
        <v>NA</v>
      </c>
      <c r="M848" t="str">
        <f>IF(J848="Sheep",IF(COUNTIF(lists!$H$2:$H$258, K848) &gt; 0,"indigenous",IF(COUNTIF(lists!$G$2:$G$258, K848) &gt; 0,"cross.bred","not found")),"NA")</f>
        <v>NA</v>
      </c>
      <c r="N848" t="str">
        <f>IF(J848="Goat",IF(COUNTIF(lists!$J$2:$J$258, K848) &gt; 0,"indigenous",IF(COUNTIF(lists!$I$2:$I$258, K848) &gt; 0,"cross.bred","not found")),"NA")</f>
        <v>not found</v>
      </c>
      <c r="O848" s="9" t="s">
        <v>109</v>
      </c>
      <c r="P848" s="9" t="s">
        <v>106</v>
      </c>
      <c r="S848" s="9">
        <v>303.2</v>
      </c>
      <c r="T848" s="9" t="s">
        <v>106</v>
      </c>
      <c r="U848" s="9">
        <v>155</v>
      </c>
      <c r="V848" s="9">
        <v>483.6</v>
      </c>
      <c r="W848" s="9">
        <v>49</v>
      </c>
      <c r="X848" s="9">
        <v>481.1</v>
      </c>
      <c r="Y848" s="9">
        <v>56.92</v>
      </c>
      <c r="Z848" s="37"/>
      <c r="AA848" s="37"/>
      <c r="AB848" s="37"/>
      <c r="AE848">
        <v>0</v>
      </c>
    </row>
    <row r="849" spans="1:31" hidden="1">
      <c r="A849" s="9" t="s">
        <v>1922</v>
      </c>
      <c r="B849" s="9" t="s">
        <v>1924</v>
      </c>
      <c r="C849" s="9" t="s">
        <v>105</v>
      </c>
      <c r="D849" s="9">
        <v>0.70609999999999995</v>
      </c>
      <c r="E849" s="9">
        <v>12.92</v>
      </c>
      <c r="F849" s="9" t="s">
        <v>106</v>
      </c>
      <c r="G849" s="9" t="s">
        <v>106</v>
      </c>
      <c r="H849" s="9">
        <v>0.95369999999999999</v>
      </c>
      <c r="J849" s="9" t="s">
        <v>116</v>
      </c>
      <c r="K849" s="9" t="s">
        <v>1923</v>
      </c>
      <c r="L849" t="str">
        <f>IF(OR(J849="Cattle",J849="Zebu Cattle"),IF(COUNTIF(lists!$M$2:$M$258, K849) &gt; 0,"bos.indicus",IF(COUNTIF(lists!$L$2:$L$258, K849) &gt; 0,"cross.bred","pure.bred.exotic")),"NA")</f>
        <v>NA</v>
      </c>
      <c r="M849" t="str">
        <f>IF(J849="Sheep",IF(COUNTIF(lists!$H$2:$H$258, K849) &gt; 0,"indigenous",IF(COUNTIF(lists!$G$2:$G$258, K849) &gt; 0,"cross.bred","not found")),"NA")</f>
        <v>NA</v>
      </c>
      <c r="N849" t="str">
        <f>IF(J849="Goat",IF(COUNTIF(lists!$J$2:$J$258, K849) &gt; 0,"indigenous",IF(COUNTIF(lists!$I$2:$I$258, K849) &gt; 0,"cross.bred","not found")),"NA")</f>
        <v>not found</v>
      </c>
      <c r="O849" s="9" t="s">
        <v>109</v>
      </c>
      <c r="P849" s="9" t="s">
        <v>106</v>
      </c>
      <c r="S849" s="9">
        <v>291.39999999999998</v>
      </c>
      <c r="T849" s="9" t="s">
        <v>106</v>
      </c>
      <c r="U849" s="9">
        <v>149.4</v>
      </c>
      <c r="V849" s="9">
        <v>665.3</v>
      </c>
      <c r="W849" s="9">
        <v>46.1</v>
      </c>
      <c r="X849" s="9">
        <v>453.6</v>
      </c>
      <c r="Y849" s="9">
        <v>60.33</v>
      </c>
      <c r="Z849" s="37"/>
      <c r="AA849" s="37"/>
      <c r="AB849" s="37"/>
      <c r="AE849">
        <v>0</v>
      </c>
    </row>
    <row r="850" spans="1:31" hidden="1">
      <c r="A850" s="9" t="s">
        <v>1922</v>
      </c>
      <c r="B850" s="9" t="s">
        <v>1925</v>
      </c>
      <c r="C850" s="9" t="s">
        <v>105</v>
      </c>
      <c r="D850" s="9">
        <v>0.68610000000000004</v>
      </c>
      <c r="E850" s="9">
        <v>12.92</v>
      </c>
      <c r="F850" s="9" t="s">
        <v>106</v>
      </c>
      <c r="G850" s="9" t="s">
        <v>106</v>
      </c>
      <c r="H850" s="9">
        <v>0.8024</v>
      </c>
      <c r="J850" s="9" t="s">
        <v>116</v>
      </c>
      <c r="K850" s="9" t="s">
        <v>1923</v>
      </c>
      <c r="L850" t="str">
        <f>IF(OR(J850="Cattle",J850="Zebu Cattle"),IF(COUNTIF(lists!$M$2:$M$258, K850) &gt; 0,"bos.indicus",IF(COUNTIF(lists!$L$2:$L$258, K850) &gt; 0,"cross.bred","pure.bred.exotic")),"NA")</f>
        <v>NA</v>
      </c>
      <c r="M850" t="str">
        <f>IF(J850="Sheep",IF(COUNTIF(lists!$H$2:$H$258, K850) &gt; 0,"indigenous",IF(COUNTIF(lists!$G$2:$G$258, K850) &gt; 0,"cross.bred","not found")),"NA")</f>
        <v>NA</v>
      </c>
      <c r="N850" t="str">
        <f>IF(J850="Goat",IF(COUNTIF(lists!$J$2:$J$258, K850) &gt; 0,"indigenous",IF(COUNTIF(lists!$I$2:$I$258, K850) &gt; 0,"cross.bred","not found")),"NA")</f>
        <v>not found</v>
      </c>
      <c r="O850" s="9" t="s">
        <v>109</v>
      </c>
      <c r="P850" s="9" t="s">
        <v>106</v>
      </c>
      <c r="S850" s="9">
        <v>281.89999999999998</v>
      </c>
      <c r="T850" s="9" t="s">
        <v>106</v>
      </c>
      <c r="U850" s="9">
        <v>144.80000000000001</v>
      </c>
      <c r="V850" s="9">
        <v>10.7</v>
      </c>
      <c r="W850" s="9">
        <v>43.8</v>
      </c>
      <c r="X850" s="9">
        <v>431.5</v>
      </c>
      <c r="Y850" s="9">
        <v>59.65</v>
      </c>
      <c r="Z850" s="37"/>
      <c r="AA850" s="37"/>
      <c r="AB850" s="37"/>
      <c r="AE850">
        <v>0</v>
      </c>
    </row>
    <row r="851" spans="1:31" hidden="1">
      <c r="A851" s="9" t="s">
        <v>1926</v>
      </c>
      <c r="B851" s="9" t="s">
        <v>149</v>
      </c>
      <c r="C851" s="9" t="s">
        <v>105</v>
      </c>
      <c r="D851" s="9">
        <v>0.80100000000000005</v>
      </c>
      <c r="E851" s="9">
        <v>13.6</v>
      </c>
      <c r="F851" s="9" t="s">
        <v>106</v>
      </c>
      <c r="G851" s="9" t="s">
        <v>106</v>
      </c>
      <c r="H851" s="9">
        <v>0.83199999999999996</v>
      </c>
      <c r="J851" s="9" t="s">
        <v>116</v>
      </c>
      <c r="K851" s="9" t="s">
        <v>1920</v>
      </c>
      <c r="L851" t="str">
        <f>IF(OR(J851="Cattle",J851="Zebu Cattle"),IF(COUNTIF(lists!$M$2:$M$258, K851) &gt; 0,"bos.indicus",IF(COUNTIF(lists!$L$2:$L$258, K851) &gt; 0,"cross.bred","pure.bred.exotic")),"NA")</f>
        <v>NA</v>
      </c>
      <c r="M851" t="str">
        <f>IF(J851="Sheep",IF(COUNTIF(lists!$H$2:$H$258, K851) &gt; 0,"indigenous",IF(COUNTIF(lists!$G$2:$G$258, K851) &gt; 0,"cross.bred","not found")),"NA")</f>
        <v>NA</v>
      </c>
      <c r="N851" t="str">
        <f>IF(J851="Goat",IF(COUNTIF(lists!$J$2:$J$258, K851) &gt; 0,"indigenous",IF(COUNTIF(lists!$I$2:$I$258, K851) &gt; 0,"cross.bred","not found")),"NA")</f>
        <v>not found</v>
      </c>
      <c r="O851" s="9" t="s">
        <v>124</v>
      </c>
      <c r="P851" s="9" t="s">
        <v>106</v>
      </c>
      <c r="S851" s="9">
        <v>230</v>
      </c>
      <c r="T851" s="9" t="s">
        <v>106</v>
      </c>
      <c r="U851" s="9">
        <v>142</v>
      </c>
      <c r="V851" s="9">
        <v>523</v>
      </c>
      <c r="W851" s="9">
        <v>35</v>
      </c>
      <c r="X851" s="9">
        <v>358</v>
      </c>
      <c r="Y851" s="9">
        <v>602</v>
      </c>
      <c r="Z851" s="37"/>
      <c r="AA851" s="37"/>
      <c r="AB851" s="37"/>
      <c r="AE851">
        <v>0</v>
      </c>
    </row>
    <row r="852" spans="1:31" hidden="1">
      <c r="A852" s="9" t="s">
        <v>1926</v>
      </c>
      <c r="B852" s="9" t="s">
        <v>1927</v>
      </c>
      <c r="C852" s="9" t="s">
        <v>105</v>
      </c>
      <c r="D852" s="9">
        <v>0.78500000000000003</v>
      </c>
      <c r="E852" s="9">
        <v>13.6</v>
      </c>
      <c r="F852" s="9" t="s">
        <v>106</v>
      </c>
      <c r="G852" s="9" t="s">
        <v>106</v>
      </c>
      <c r="H852" s="9">
        <v>0.95699999999999996</v>
      </c>
      <c r="J852" s="9" t="s">
        <v>116</v>
      </c>
      <c r="K852" s="9" t="s">
        <v>1920</v>
      </c>
      <c r="L852" t="str">
        <f>IF(OR(J852="Cattle",J852="Zebu Cattle"),IF(COUNTIF(lists!$M$2:$M$258, K852) &gt; 0,"bos.indicus",IF(COUNTIF(lists!$L$2:$L$258, K852) &gt; 0,"cross.bred","pure.bred.exotic")),"NA")</f>
        <v>NA</v>
      </c>
      <c r="M852" t="str">
        <f>IF(J852="Sheep",IF(COUNTIF(lists!$H$2:$H$258, K852) &gt; 0,"indigenous",IF(COUNTIF(lists!$G$2:$G$258, K852) &gt; 0,"cross.bred","not found")),"NA")</f>
        <v>NA</v>
      </c>
      <c r="N852" t="str">
        <f>IF(J852="Goat",IF(COUNTIF(lists!$J$2:$J$258, K852) &gt; 0,"indigenous",IF(COUNTIF(lists!$I$2:$I$258, K852) &gt; 0,"cross.bred","not found")),"NA")</f>
        <v>not found</v>
      </c>
      <c r="O852" s="9" t="s">
        <v>124</v>
      </c>
      <c r="P852" s="9" t="s">
        <v>106</v>
      </c>
      <c r="S852" s="9" t="s">
        <v>106</v>
      </c>
      <c r="T852" s="9" t="s">
        <v>106</v>
      </c>
      <c r="U852" s="9" t="s">
        <v>106</v>
      </c>
      <c r="V852" s="9" t="s">
        <v>106</v>
      </c>
      <c r="W852" s="9" t="s">
        <v>106</v>
      </c>
      <c r="X852" s="9" t="s">
        <v>106</v>
      </c>
      <c r="Y852" s="9">
        <v>568</v>
      </c>
      <c r="Z852" s="37"/>
      <c r="AA852" s="37"/>
      <c r="AB852" s="37"/>
      <c r="AE852">
        <v>0</v>
      </c>
    </row>
    <row r="853" spans="1:31" hidden="1">
      <c r="A853" s="9" t="s">
        <v>1926</v>
      </c>
      <c r="B853" s="9" t="s">
        <v>1928</v>
      </c>
      <c r="C853" s="9" t="s">
        <v>105</v>
      </c>
      <c r="D853" s="9">
        <v>0.78200000000000003</v>
      </c>
      <c r="E853" s="9">
        <v>13.6</v>
      </c>
      <c r="F853" s="9" t="s">
        <v>106</v>
      </c>
      <c r="G853" s="9" t="s">
        <v>106</v>
      </c>
      <c r="H853" s="9">
        <v>0.92900000000000005</v>
      </c>
      <c r="J853" s="9" t="s">
        <v>116</v>
      </c>
      <c r="K853" s="9" t="s">
        <v>1920</v>
      </c>
      <c r="L853" t="str">
        <f>IF(OR(J853="Cattle",J853="Zebu Cattle"),IF(COUNTIF(lists!$M$2:$M$258, K853) &gt; 0,"bos.indicus",IF(COUNTIF(lists!$L$2:$L$258, K853) &gt; 0,"cross.bred","pure.bred.exotic")),"NA")</f>
        <v>NA</v>
      </c>
      <c r="M853" t="str">
        <f>IF(J853="Sheep",IF(COUNTIF(lists!$H$2:$H$258, K853) &gt; 0,"indigenous",IF(COUNTIF(lists!$G$2:$G$258, K853) &gt; 0,"cross.bred","not found")),"NA")</f>
        <v>NA</v>
      </c>
      <c r="N853" t="str">
        <f>IF(J853="Goat",IF(COUNTIF(lists!$J$2:$J$258, K853) &gt; 0,"indigenous",IF(COUNTIF(lists!$I$2:$I$258, K853) &gt; 0,"cross.bred","not found")),"NA")</f>
        <v>not found</v>
      </c>
      <c r="O853" s="9" t="s">
        <v>124</v>
      </c>
      <c r="P853" s="9" t="s">
        <v>106</v>
      </c>
      <c r="S853" s="9" t="s">
        <v>106</v>
      </c>
      <c r="T853" s="9" t="s">
        <v>106</v>
      </c>
      <c r="U853" s="9" t="s">
        <v>106</v>
      </c>
      <c r="V853" s="9" t="s">
        <v>106</v>
      </c>
      <c r="W853" s="9" t="s">
        <v>106</v>
      </c>
      <c r="X853" s="9" t="s">
        <v>106</v>
      </c>
      <c r="Y853" s="9">
        <v>568</v>
      </c>
      <c r="Z853" s="37"/>
      <c r="AA853" s="37"/>
      <c r="AB853" s="37"/>
      <c r="AE853">
        <v>0</v>
      </c>
    </row>
    <row r="854" spans="1:31" hidden="1">
      <c r="A854" s="9" t="s">
        <v>1926</v>
      </c>
      <c r="B854" s="9" t="s">
        <v>1929</v>
      </c>
      <c r="C854" s="9" t="s">
        <v>105</v>
      </c>
      <c r="D854" s="9">
        <v>0.77700000000000002</v>
      </c>
      <c r="E854" s="9">
        <v>13.6</v>
      </c>
      <c r="F854" s="9" t="s">
        <v>106</v>
      </c>
      <c r="G854" s="9" t="s">
        <v>106</v>
      </c>
      <c r="H854" s="9">
        <v>0.85399999999999998</v>
      </c>
      <c r="J854" s="9" t="s">
        <v>116</v>
      </c>
      <c r="K854" s="9" t="s">
        <v>1920</v>
      </c>
      <c r="L854" t="str">
        <f>IF(OR(J854="Cattle",J854="Zebu Cattle"),IF(COUNTIF(lists!$M$2:$M$258, K854) &gt; 0,"bos.indicus",IF(COUNTIF(lists!$L$2:$L$258, K854) &gt; 0,"cross.bred","pure.bred.exotic")),"NA")</f>
        <v>NA</v>
      </c>
      <c r="M854" t="str">
        <f>IF(J854="Sheep",IF(COUNTIF(lists!$H$2:$H$258, K854) &gt; 0,"indigenous",IF(COUNTIF(lists!$G$2:$G$258, K854) &gt; 0,"cross.bred","not found")),"NA")</f>
        <v>NA</v>
      </c>
      <c r="N854" t="str">
        <f>IF(J854="Goat",IF(COUNTIF(lists!$J$2:$J$258, K854) &gt; 0,"indigenous",IF(COUNTIF(lists!$I$2:$I$258, K854) &gt; 0,"cross.bred","not found")),"NA")</f>
        <v>not found</v>
      </c>
      <c r="O854" s="9" t="s">
        <v>124</v>
      </c>
      <c r="P854" s="9" t="s">
        <v>106</v>
      </c>
      <c r="S854" s="9" t="s">
        <v>106</v>
      </c>
      <c r="T854" s="9" t="s">
        <v>106</v>
      </c>
      <c r="U854" s="9" t="s">
        <v>106</v>
      </c>
      <c r="V854" s="9" t="s">
        <v>106</v>
      </c>
      <c r="W854" s="9" t="s">
        <v>106</v>
      </c>
      <c r="X854" s="9" t="s">
        <v>106</v>
      </c>
      <c r="Y854" s="9">
        <v>579</v>
      </c>
      <c r="Z854" s="37"/>
      <c r="AA854" s="37"/>
      <c r="AB854" s="37"/>
      <c r="AE854">
        <v>0</v>
      </c>
    </row>
    <row r="855" spans="1:31" hidden="1">
      <c r="A855" s="9" t="s">
        <v>1931</v>
      </c>
      <c r="B855" s="9" t="s">
        <v>455</v>
      </c>
      <c r="C855" s="9" t="s">
        <v>105</v>
      </c>
      <c r="D855" s="9">
        <v>0.751</v>
      </c>
      <c r="E855" s="9">
        <v>10.7</v>
      </c>
      <c r="F855" s="9">
        <v>36.4</v>
      </c>
      <c r="G855" s="9">
        <v>-6.3</v>
      </c>
      <c r="H855" s="9" t="s">
        <v>106</v>
      </c>
      <c r="I855" s="9">
        <v>16</v>
      </c>
      <c r="J855" s="9" t="s">
        <v>116</v>
      </c>
      <c r="K855" s="9" t="s">
        <v>1932</v>
      </c>
      <c r="L855" t="str">
        <f>IF(OR(J855="Cattle",J855="Zebu Cattle"),IF(COUNTIF(lists!$M$2:$M$258, K855) &gt; 0,"bos.indicus",IF(COUNTIF(lists!$L$2:$L$258, K855) &gt; 0,"cross.bred","pure.bred.exotic")),"NA")</f>
        <v>NA</v>
      </c>
      <c r="M855" t="str">
        <f>IF(J855="Sheep",IF(COUNTIF(lists!$H$2:$H$258, K855) &gt; 0,"indigenous",IF(COUNTIF(lists!$G$2:$G$258, K855) &gt; 0,"cross.bred","not found")),"NA")</f>
        <v>NA</v>
      </c>
      <c r="N855" t="str">
        <f>IF(J855="Goat",IF(COUNTIF(lists!$J$2:$J$258, K855) &gt; 0,"indigenous",IF(COUNTIF(lists!$I$2:$I$258, K855) &gt; 0,"cross.bred","not found")),"NA")</f>
        <v>not found</v>
      </c>
      <c r="O855" s="9" t="s">
        <v>109</v>
      </c>
      <c r="P855" s="9" t="s">
        <v>106</v>
      </c>
      <c r="Q855" s="9" t="s">
        <v>3809</v>
      </c>
      <c r="S855" s="9">
        <v>186</v>
      </c>
      <c r="T855" s="9" t="s">
        <v>106</v>
      </c>
      <c r="U855" s="9">
        <v>173</v>
      </c>
      <c r="V855" s="9">
        <v>564</v>
      </c>
      <c r="W855" s="9">
        <v>32</v>
      </c>
      <c r="X855" s="9">
        <v>299</v>
      </c>
      <c r="Y855" s="9">
        <v>552</v>
      </c>
      <c r="Z855" s="37"/>
      <c r="AA855" s="37"/>
      <c r="AB855" s="37"/>
      <c r="AE855">
        <v>0</v>
      </c>
    </row>
    <row r="856" spans="1:31" hidden="1">
      <c r="A856" s="9" t="s">
        <v>1931</v>
      </c>
      <c r="B856" s="9" t="s">
        <v>1933</v>
      </c>
      <c r="C856" s="9" t="s">
        <v>105</v>
      </c>
      <c r="D856" s="9">
        <v>0.78800000000000003</v>
      </c>
      <c r="E856" s="9">
        <v>10.7</v>
      </c>
      <c r="F856" s="9">
        <v>36.1</v>
      </c>
      <c r="G856" s="9">
        <v>-6.8</v>
      </c>
      <c r="H856" s="9" t="s">
        <v>106</v>
      </c>
      <c r="I856" s="9">
        <v>16</v>
      </c>
      <c r="J856" s="9" t="s">
        <v>116</v>
      </c>
      <c r="K856" s="9" t="s">
        <v>1932</v>
      </c>
      <c r="L856" t="str">
        <f>IF(OR(J856="Cattle",J856="Zebu Cattle"),IF(COUNTIF(lists!$M$2:$M$258, K856) &gt; 0,"bos.indicus",IF(COUNTIF(lists!$L$2:$L$258, K856) &gt; 0,"cross.bred","pure.bred.exotic")),"NA")</f>
        <v>NA</v>
      </c>
      <c r="M856" t="str">
        <f>IF(J856="Sheep",IF(COUNTIF(lists!$H$2:$H$258, K856) &gt; 0,"indigenous",IF(COUNTIF(lists!$G$2:$G$258, K856) &gt; 0,"cross.bred","not found")),"NA")</f>
        <v>NA</v>
      </c>
      <c r="N856" t="str">
        <f>IF(J856="Goat",IF(COUNTIF(lists!$J$2:$J$258, K856) &gt; 0,"indigenous",IF(COUNTIF(lists!$I$2:$I$258, K856) &gt; 0,"cross.bred","not found")),"NA")</f>
        <v>not found</v>
      </c>
      <c r="O856" s="9" t="s">
        <v>109</v>
      </c>
      <c r="P856" s="9" t="s">
        <v>106</v>
      </c>
      <c r="Q856" s="9" t="s">
        <v>3809</v>
      </c>
      <c r="S856" s="9" t="s">
        <v>106</v>
      </c>
      <c r="T856" s="9" t="s">
        <v>106</v>
      </c>
      <c r="U856" s="9" t="s">
        <v>106</v>
      </c>
      <c r="V856" s="9" t="s">
        <v>106</v>
      </c>
      <c r="W856" s="9" t="s">
        <v>106</v>
      </c>
      <c r="X856" s="9" t="s">
        <v>106</v>
      </c>
      <c r="Y856" s="9">
        <v>567</v>
      </c>
      <c r="Z856" s="37"/>
      <c r="AA856" s="37"/>
      <c r="AB856" s="37"/>
      <c r="AE856">
        <v>0</v>
      </c>
    </row>
    <row r="857" spans="1:31" hidden="1">
      <c r="A857" s="9" t="s">
        <v>1931</v>
      </c>
      <c r="B857" s="9" t="s">
        <v>1934</v>
      </c>
      <c r="C857" s="9" t="s">
        <v>105</v>
      </c>
      <c r="D857" s="9">
        <v>0.80800000000000005</v>
      </c>
      <c r="E857" s="9">
        <v>10.7</v>
      </c>
      <c r="F857" s="9">
        <v>36.700000000000003</v>
      </c>
      <c r="G857" s="9">
        <v>-5</v>
      </c>
      <c r="H857" s="9" t="s">
        <v>106</v>
      </c>
      <c r="I857" s="9">
        <v>16</v>
      </c>
      <c r="J857" s="9" t="s">
        <v>116</v>
      </c>
      <c r="K857" s="9" t="s">
        <v>1932</v>
      </c>
      <c r="L857" t="str">
        <f>IF(OR(J857="Cattle",J857="Zebu Cattle"),IF(COUNTIF(lists!$M$2:$M$258, K857) &gt; 0,"bos.indicus",IF(COUNTIF(lists!$L$2:$L$258, K857) &gt; 0,"cross.bred","pure.bred.exotic")),"NA")</f>
        <v>NA</v>
      </c>
      <c r="M857" t="str">
        <f>IF(J857="Sheep",IF(COUNTIF(lists!$H$2:$H$258, K857) &gt; 0,"indigenous",IF(COUNTIF(lists!$G$2:$G$258, K857) &gt; 0,"cross.bred","not found")),"NA")</f>
        <v>NA</v>
      </c>
      <c r="N857" t="str">
        <f>IF(J857="Goat",IF(COUNTIF(lists!$J$2:$J$258, K857) &gt; 0,"indigenous",IF(COUNTIF(lists!$I$2:$I$258, K857) &gt; 0,"cross.bred","not found")),"NA")</f>
        <v>not found</v>
      </c>
      <c r="O857" s="9" t="s">
        <v>109</v>
      </c>
      <c r="P857" s="9" t="s">
        <v>106</v>
      </c>
      <c r="Q857" s="9" t="s">
        <v>3809</v>
      </c>
      <c r="S857" s="9" t="s">
        <v>106</v>
      </c>
      <c r="T857" s="9" t="s">
        <v>106</v>
      </c>
      <c r="U857" s="9" t="s">
        <v>106</v>
      </c>
      <c r="V857" s="9" t="s">
        <v>106</v>
      </c>
      <c r="W857" s="9" t="s">
        <v>106</v>
      </c>
      <c r="X857" s="9" t="s">
        <v>106</v>
      </c>
      <c r="Y857" s="9">
        <v>594</v>
      </c>
      <c r="Z857" s="37"/>
      <c r="AA857" s="37"/>
      <c r="AB857" s="37"/>
      <c r="AE857">
        <v>0</v>
      </c>
    </row>
    <row r="858" spans="1:31" hidden="1">
      <c r="A858" s="9" t="s">
        <v>1931</v>
      </c>
      <c r="B858" s="9" t="s">
        <v>1935</v>
      </c>
      <c r="C858" s="9" t="s">
        <v>105</v>
      </c>
      <c r="D858" s="9">
        <v>0.82799999999999996</v>
      </c>
      <c r="E858" s="9">
        <v>10.7</v>
      </c>
      <c r="F858" s="9">
        <v>36.6</v>
      </c>
      <c r="G858" s="9">
        <v>-5.4</v>
      </c>
      <c r="H858" s="9" t="s">
        <v>106</v>
      </c>
      <c r="I858" s="9">
        <v>16</v>
      </c>
      <c r="J858" s="9" t="s">
        <v>116</v>
      </c>
      <c r="K858" s="9" t="s">
        <v>1932</v>
      </c>
      <c r="L858" t="str">
        <f>IF(OR(J858="Cattle",J858="Zebu Cattle"),IF(COUNTIF(lists!$M$2:$M$258, K858) &gt; 0,"bos.indicus",IF(COUNTIF(lists!$L$2:$L$258, K858) &gt; 0,"cross.bred","pure.bred.exotic")),"NA")</f>
        <v>NA</v>
      </c>
      <c r="M858" t="str">
        <f>IF(J858="Sheep",IF(COUNTIF(lists!$H$2:$H$258, K858) &gt; 0,"indigenous",IF(COUNTIF(lists!$G$2:$G$258, K858) &gt; 0,"cross.bred","not found")),"NA")</f>
        <v>NA</v>
      </c>
      <c r="N858" t="str">
        <f>IF(J858="Goat",IF(COUNTIF(lists!$J$2:$J$258, K858) &gt; 0,"indigenous",IF(COUNTIF(lists!$I$2:$I$258, K858) &gt; 0,"cross.bred","not found")),"NA")</f>
        <v>not found</v>
      </c>
      <c r="O858" s="9" t="s">
        <v>109</v>
      </c>
      <c r="P858" s="9" t="s">
        <v>106</v>
      </c>
      <c r="Q858" s="9" t="s">
        <v>3809</v>
      </c>
      <c r="S858" s="9" t="s">
        <v>106</v>
      </c>
      <c r="T858" s="9" t="s">
        <v>106</v>
      </c>
      <c r="U858" s="9" t="s">
        <v>106</v>
      </c>
      <c r="V858" s="9" t="s">
        <v>106</v>
      </c>
      <c r="W858" s="9" t="s">
        <v>106</v>
      </c>
      <c r="X858" s="9" t="s">
        <v>106</v>
      </c>
      <c r="Y858" s="9">
        <v>595</v>
      </c>
      <c r="Z858" s="37"/>
      <c r="AA858" s="37"/>
      <c r="AB858" s="37"/>
      <c r="AE858">
        <v>0</v>
      </c>
    </row>
    <row r="859" spans="1:31" hidden="1">
      <c r="A859" s="9" t="s">
        <v>1936</v>
      </c>
      <c r="B859" s="9" t="s">
        <v>1937</v>
      </c>
      <c r="C859" s="9" t="s">
        <v>105</v>
      </c>
      <c r="D859" s="9">
        <v>0.77039999999999997</v>
      </c>
      <c r="E859" s="9">
        <v>15.81</v>
      </c>
      <c r="F859" s="9">
        <v>16.899999999999999</v>
      </c>
      <c r="G859" s="9">
        <v>45.6</v>
      </c>
      <c r="H859" s="9" t="s">
        <v>106</v>
      </c>
      <c r="I859" s="9">
        <v>20</v>
      </c>
      <c r="J859" s="9" t="s">
        <v>116</v>
      </c>
      <c r="K859" s="9" t="s">
        <v>1938</v>
      </c>
      <c r="L859" t="str">
        <f>IF(OR(J859="Cattle",J859="Zebu Cattle"),IF(COUNTIF(lists!$M$2:$M$258, K859) &gt; 0,"bos.indicus",IF(COUNTIF(lists!$L$2:$L$258, K859) &gt; 0,"cross.bred","pure.bred.exotic")),"NA")</f>
        <v>NA</v>
      </c>
      <c r="M859" t="str">
        <f>IF(J859="Sheep",IF(COUNTIF(lists!$H$2:$H$258, K859) &gt; 0,"indigenous",IF(COUNTIF(lists!$G$2:$G$258, K859) &gt; 0,"cross.bred","not found")),"NA")</f>
        <v>NA</v>
      </c>
      <c r="N859" t="str">
        <f>IF(J859="Goat",IF(COUNTIF(lists!$J$2:$J$258, K859) &gt; 0,"indigenous",IF(COUNTIF(lists!$I$2:$I$258, K859) &gt; 0,"cross.bred","not found")),"NA")</f>
        <v>not found</v>
      </c>
      <c r="O859" s="9" t="s">
        <v>109</v>
      </c>
      <c r="P859" s="9" t="s">
        <v>106</v>
      </c>
      <c r="Q859" s="9" t="s">
        <v>3804</v>
      </c>
      <c r="S859" s="9" t="s">
        <v>106</v>
      </c>
      <c r="T859" s="9" t="s">
        <v>106</v>
      </c>
      <c r="U859" s="9" t="s">
        <v>106</v>
      </c>
      <c r="V859" s="9" t="s">
        <v>106</v>
      </c>
      <c r="W859" s="9" t="s">
        <v>106</v>
      </c>
      <c r="X859" s="9" t="s">
        <v>106</v>
      </c>
      <c r="Y859" s="9">
        <v>66</v>
      </c>
      <c r="Z859" s="37"/>
      <c r="AA859" s="37"/>
      <c r="AB859" s="37"/>
      <c r="AE859">
        <v>0</v>
      </c>
    </row>
    <row r="860" spans="1:31" hidden="1">
      <c r="A860" s="9" t="s">
        <v>1936</v>
      </c>
      <c r="B860" s="9" t="s">
        <v>1224</v>
      </c>
      <c r="C860" s="9" t="s">
        <v>105</v>
      </c>
      <c r="D860" s="9">
        <v>0.59739999999999904</v>
      </c>
      <c r="E860" s="9">
        <v>15.81</v>
      </c>
      <c r="F860" s="9">
        <v>16.100000000000001</v>
      </c>
      <c r="G860" s="9">
        <v>20</v>
      </c>
      <c r="H860" s="9" t="s">
        <v>106</v>
      </c>
      <c r="I860" s="9">
        <v>20</v>
      </c>
      <c r="J860" s="9" t="s">
        <v>116</v>
      </c>
      <c r="K860" s="9" t="s">
        <v>1938</v>
      </c>
      <c r="L860" t="str">
        <f>IF(OR(J860="Cattle",J860="Zebu Cattle"),IF(COUNTIF(lists!$M$2:$M$258, K860) &gt; 0,"bos.indicus",IF(COUNTIF(lists!$L$2:$L$258, K860) &gt; 0,"cross.bred","pure.bred.exotic")),"NA")</f>
        <v>NA</v>
      </c>
      <c r="M860" t="str">
        <f>IF(J860="Sheep",IF(COUNTIF(lists!$H$2:$H$258, K860) &gt; 0,"indigenous",IF(COUNTIF(lists!$G$2:$G$258, K860) &gt; 0,"cross.bred","not found")),"NA")</f>
        <v>NA</v>
      </c>
      <c r="N860" t="str">
        <f>IF(J860="Goat",IF(COUNTIF(lists!$J$2:$J$258, K860) &gt; 0,"indigenous",IF(COUNTIF(lists!$I$2:$I$258, K860) &gt; 0,"cross.bred","not found")),"NA")</f>
        <v>not found</v>
      </c>
      <c r="O860" s="9" t="s">
        <v>109</v>
      </c>
      <c r="P860" s="9" t="s">
        <v>106</v>
      </c>
      <c r="Q860" s="9" t="s">
        <v>3804</v>
      </c>
      <c r="S860" s="9" t="s">
        <v>106</v>
      </c>
      <c r="T860" s="9" t="s">
        <v>106</v>
      </c>
      <c r="U860" s="9" t="s">
        <v>106</v>
      </c>
      <c r="V860" s="9" t="s">
        <v>106</v>
      </c>
      <c r="W860" s="9" t="s">
        <v>106</v>
      </c>
      <c r="X860" s="9" t="s">
        <v>106</v>
      </c>
      <c r="Y860" s="9">
        <v>55</v>
      </c>
      <c r="Z860" s="37"/>
      <c r="AA860" s="37"/>
      <c r="AB860" s="37"/>
      <c r="AE860">
        <v>0</v>
      </c>
    </row>
    <row r="861" spans="1:31" hidden="1">
      <c r="A861" s="9" t="s">
        <v>1936</v>
      </c>
      <c r="B861" s="9" t="s">
        <v>1939</v>
      </c>
      <c r="C861" s="9" t="s">
        <v>105</v>
      </c>
      <c r="D861" s="9">
        <v>0.72750000000000004</v>
      </c>
      <c r="E861" s="9">
        <v>15.81</v>
      </c>
      <c r="F861" s="9">
        <v>15.7</v>
      </c>
      <c r="G861" s="9">
        <v>43.3</v>
      </c>
      <c r="H861" s="9" t="s">
        <v>106</v>
      </c>
      <c r="I861" s="9">
        <v>20</v>
      </c>
      <c r="J861" s="9" t="s">
        <v>116</v>
      </c>
      <c r="K861" s="9" t="s">
        <v>1938</v>
      </c>
      <c r="L861" t="str">
        <f>IF(OR(J861="Cattle",J861="Zebu Cattle"),IF(COUNTIF(lists!$M$2:$M$258, K861) &gt; 0,"bos.indicus",IF(COUNTIF(lists!$L$2:$L$258, K861) &gt; 0,"cross.bred","pure.bred.exotic")),"NA")</f>
        <v>NA</v>
      </c>
      <c r="M861" t="str">
        <f>IF(J861="Sheep",IF(COUNTIF(lists!$H$2:$H$258, K861) &gt; 0,"indigenous",IF(COUNTIF(lists!$G$2:$G$258, K861) &gt; 0,"cross.bred","not found")),"NA")</f>
        <v>NA</v>
      </c>
      <c r="N861" t="str">
        <f>IF(J861="Goat",IF(COUNTIF(lists!$J$2:$J$258, K861) &gt; 0,"indigenous",IF(COUNTIF(lists!$I$2:$I$258, K861) &gt; 0,"cross.bred","not found")),"NA")</f>
        <v>not found</v>
      </c>
      <c r="O861" s="9" t="s">
        <v>109</v>
      </c>
      <c r="P861" s="9" t="s">
        <v>106</v>
      </c>
      <c r="Q861" s="9" t="s">
        <v>3804</v>
      </c>
      <c r="S861" s="9" t="s">
        <v>106</v>
      </c>
      <c r="T861" s="9" t="s">
        <v>106</v>
      </c>
      <c r="U861" s="9" t="s">
        <v>106</v>
      </c>
      <c r="V861" s="9" t="s">
        <v>106</v>
      </c>
      <c r="W861" s="9" t="s">
        <v>106</v>
      </c>
      <c r="X861" s="9" t="s">
        <v>106</v>
      </c>
      <c r="Y861" s="9">
        <v>66</v>
      </c>
      <c r="Z861" s="37"/>
      <c r="AA861" s="37"/>
      <c r="AB861" s="37"/>
      <c r="AE861">
        <v>0</v>
      </c>
    </row>
    <row r="862" spans="1:31" hidden="1">
      <c r="A862" s="9" t="s">
        <v>1936</v>
      </c>
      <c r="B862" s="9" t="s">
        <v>1940</v>
      </c>
      <c r="C862" s="9" t="s">
        <v>105</v>
      </c>
      <c r="D862" s="9">
        <v>0.70569999999999999</v>
      </c>
      <c r="E862" s="9">
        <v>15.81</v>
      </c>
      <c r="F862" s="9">
        <v>16.100000000000001</v>
      </c>
      <c r="G862" s="9">
        <v>35.6</v>
      </c>
      <c r="H862" s="9" t="s">
        <v>106</v>
      </c>
      <c r="I862" s="9">
        <v>20</v>
      </c>
      <c r="J862" s="9" t="s">
        <v>116</v>
      </c>
      <c r="K862" s="9" t="s">
        <v>1938</v>
      </c>
      <c r="L862" t="str">
        <f>IF(OR(J862="Cattle",J862="Zebu Cattle"),IF(COUNTIF(lists!$M$2:$M$258, K862) &gt; 0,"bos.indicus",IF(COUNTIF(lists!$L$2:$L$258, K862) &gt; 0,"cross.bred","pure.bred.exotic")),"NA")</f>
        <v>NA</v>
      </c>
      <c r="M862" t="str">
        <f>IF(J862="Sheep",IF(COUNTIF(lists!$H$2:$H$258, K862) &gt; 0,"indigenous",IF(COUNTIF(lists!$G$2:$G$258, K862) &gt; 0,"cross.bred","not found")),"NA")</f>
        <v>NA</v>
      </c>
      <c r="N862" t="str">
        <f>IF(J862="Goat",IF(COUNTIF(lists!$J$2:$J$258, K862) &gt; 0,"indigenous",IF(COUNTIF(lists!$I$2:$I$258, K862) &gt; 0,"cross.bred","not found")),"NA")</f>
        <v>not found</v>
      </c>
      <c r="O862" s="9" t="s">
        <v>109</v>
      </c>
      <c r="P862" s="9" t="s">
        <v>106</v>
      </c>
      <c r="Q862" s="9" t="s">
        <v>3804</v>
      </c>
      <c r="S862" s="9" t="s">
        <v>106</v>
      </c>
      <c r="T862" s="9" t="s">
        <v>106</v>
      </c>
      <c r="U862" s="9" t="s">
        <v>106</v>
      </c>
      <c r="V862" s="9" t="s">
        <v>106</v>
      </c>
      <c r="W862" s="9" t="s">
        <v>106</v>
      </c>
      <c r="X862" s="9" t="s">
        <v>106</v>
      </c>
      <c r="Y862" s="9">
        <v>67</v>
      </c>
      <c r="Z862" s="37"/>
      <c r="AA862" s="37"/>
      <c r="AB862" s="37"/>
      <c r="AE862">
        <v>0</v>
      </c>
    </row>
    <row r="863" spans="1:31" hidden="1">
      <c r="A863" s="9" t="s">
        <v>1941</v>
      </c>
      <c r="B863" s="9" t="s">
        <v>1942</v>
      </c>
      <c r="C863" s="9" t="s">
        <v>105</v>
      </c>
      <c r="D863" s="9">
        <v>0.753</v>
      </c>
      <c r="E863" s="9">
        <v>4.9000000000000004</v>
      </c>
      <c r="F863" s="9">
        <v>17.350000000000001</v>
      </c>
      <c r="G863" s="9">
        <v>28.7</v>
      </c>
      <c r="H863" s="9" t="s">
        <v>106</v>
      </c>
      <c r="I863" s="9">
        <v>36</v>
      </c>
      <c r="J863" s="9" t="s">
        <v>116</v>
      </c>
      <c r="K863" s="9" t="s">
        <v>212</v>
      </c>
      <c r="L863" t="str">
        <f>IF(OR(J863="Cattle",J863="Zebu Cattle"),IF(COUNTIF(lists!$M$2:$M$258, K863) &gt; 0,"bos.indicus",IF(COUNTIF(lists!$L$2:$L$258, K863) &gt; 0,"cross.bred","pure.bred.exotic")),"NA")</f>
        <v>NA</v>
      </c>
      <c r="M863" t="str">
        <f>IF(J863="Sheep",IF(COUNTIF(lists!$H$2:$H$258, K863) &gt; 0,"indigenous",IF(COUNTIF(lists!$G$2:$G$258, K863) &gt; 0,"cross.bred","not found")),"NA")</f>
        <v>NA</v>
      </c>
      <c r="N863" t="str">
        <f>IF(J863="Goat",IF(COUNTIF(lists!$J$2:$J$258, K863) &gt; 0,"indigenous",IF(COUNTIF(lists!$I$2:$I$258, K863) &gt; 0,"cross.bred","not found")),"NA")</f>
        <v>not found</v>
      </c>
      <c r="O863" s="9" t="s">
        <v>109</v>
      </c>
      <c r="P863" s="9" t="s">
        <v>106</v>
      </c>
      <c r="Q863" s="9" t="s">
        <v>3804</v>
      </c>
      <c r="S863" s="9" t="s">
        <v>106</v>
      </c>
      <c r="T863" s="9" t="s">
        <v>106</v>
      </c>
      <c r="U863" s="9" t="s">
        <v>106</v>
      </c>
      <c r="V863" s="9" t="s">
        <v>106</v>
      </c>
      <c r="W863" s="9" t="s">
        <v>106</v>
      </c>
      <c r="X863" s="9" t="s">
        <v>106</v>
      </c>
      <c r="Y863" s="9" t="s">
        <v>106</v>
      </c>
      <c r="Z863" s="37"/>
      <c r="AA863" s="37"/>
      <c r="AB863" s="37"/>
      <c r="AE863">
        <v>0</v>
      </c>
    </row>
    <row r="864" spans="1:31" hidden="1">
      <c r="A864" s="9" t="s">
        <v>1943</v>
      </c>
      <c r="B864" s="9" t="s">
        <v>1944</v>
      </c>
      <c r="C864" s="9" t="s">
        <v>105</v>
      </c>
      <c r="D864" s="9">
        <v>0.34899999999999998</v>
      </c>
      <c r="E864" s="9">
        <v>19.7</v>
      </c>
      <c r="F864" s="9">
        <v>15.3</v>
      </c>
      <c r="G864" s="9">
        <v>-19.5</v>
      </c>
      <c r="H864" s="9" t="s">
        <v>106</v>
      </c>
      <c r="I864" s="9">
        <v>30</v>
      </c>
      <c r="J864" s="9" t="s">
        <v>116</v>
      </c>
      <c r="K864" s="9" t="s">
        <v>1296</v>
      </c>
      <c r="L864" t="str">
        <f>IF(OR(J864="Cattle",J864="Zebu Cattle"),IF(COUNTIF(lists!$M$2:$M$258, K864) &gt; 0,"bos.indicus",IF(COUNTIF(lists!$L$2:$L$258, K864) &gt; 0,"cross.bred","pure.bred.exotic")),"NA")</f>
        <v>NA</v>
      </c>
      <c r="M864" t="str">
        <f>IF(J864="Sheep",IF(COUNTIF(lists!$H$2:$H$258, K864) &gt; 0,"indigenous",IF(COUNTIF(lists!$G$2:$G$258, K864) &gt; 0,"cross.bred","not found")),"NA")</f>
        <v>NA</v>
      </c>
      <c r="N864" t="str">
        <f>IF(J864="Goat",IF(COUNTIF(lists!$J$2:$J$258, K864) &gt; 0,"indigenous",IF(COUNTIF(lists!$I$2:$I$258, K864) &gt; 0,"cross.bred","not found")),"NA")</f>
        <v>not found</v>
      </c>
      <c r="O864" s="9" t="s">
        <v>109</v>
      </c>
      <c r="P864" s="9" t="s">
        <v>106</v>
      </c>
      <c r="Q864" s="9" t="s">
        <v>3804</v>
      </c>
      <c r="S864" s="9" t="s">
        <v>106</v>
      </c>
      <c r="T864" s="9" t="s">
        <v>106</v>
      </c>
      <c r="U864" s="9" t="s">
        <v>106</v>
      </c>
      <c r="V864" s="9" t="s">
        <v>106</v>
      </c>
      <c r="W864" s="9" t="s">
        <v>106</v>
      </c>
      <c r="X864" s="9" t="s">
        <v>106</v>
      </c>
      <c r="Y864" s="9">
        <v>62</v>
      </c>
      <c r="Z864" s="37"/>
      <c r="AA864" s="37"/>
      <c r="AB864" s="37"/>
      <c r="AE864">
        <v>0</v>
      </c>
    </row>
    <row r="865" spans="1:31" hidden="1">
      <c r="A865" s="9" t="s">
        <v>1943</v>
      </c>
      <c r="B865" s="9" t="s">
        <v>1945</v>
      </c>
      <c r="C865" s="9" t="s">
        <v>105</v>
      </c>
      <c r="D865" s="9">
        <v>0.55400000000000005</v>
      </c>
      <c r="E865" s="9">
        <v>19.7</v>
      </c>
      <c r="F865" s="9">
        <v>15.6</v>
      </c>
      <c r="G865" s="9">
        <v>31.2</v>
      </c>
      <c r="H865" s="9" t="s">
        <v>106</v>
      </c>
      <c r="I865" s="9">
        <v>30</v>
      </c>
      <c r="J865" s="9" t="s">
        <v>116</v>
      </c>
      <c r="K865" s="9" t="s">
        <v>1296</v>
      </c>
      <c r="L865" t="str">
        <f>IF(OR(J865="Cattle",J865="Zebu Cattle"),IF(COUNTIF(lists!$M$2:$M$258, K865) &gt; 0,"bos.indicus",IF(COUNTIF(lists!$L$2:$L$258, K865) &gt; 0,"cross.bred","pure.bred.exotic")),"NA")</f>
        <v>NA</v>
      </c>
      <c r="M865" t="str">
        <f>IF(J865="Sheep",IF(COUNTIF(lists!$H$2:$H$258, K865) &gt; 0,"indigenous",IF(COUNTIF(lists!$G$2:$G$258, K865) &gt; 0,"cross.bred","not found")),"NA")</f>
        <v>NA</v>
      </c>
      <c r="N865" t="str">
        <f>IF(J865="Goat",IF(COUNTIF(lists!$J$2:$J$258, K865) &gt; 0,"indigenous",IF(COUNTIF(lists!$I$2:$I$258, K865) &gt; 0,"cross.bred","not found")),"NA")</f>
        <v>not found</v>
      </c>
      <c r="O865" s="9" t="s">
        <v>109</v>
      </c>
      <c r="P865" s="9" t="s">
        <v>106</v>
      </c>
      <c r="Q865" s="9" t="s">
        <v>3804</v>
      </c>
      <c r="S865" s="9" t="s">
        <v>106</v>
      </c>
      <c r="T865" s="9" t="s">
        <v>106</v>
      </c>
      <c r="U865" s="9" t="s">
        <v>106</v>
      </c>
      <c r="V865" s="9" t="s">
        <v>106</v>
      </c>
      <c r="W865" s="9" t="s">
        <v>106</v>
      </c>
      <c r="X865" s="9" t="s">
        <v>106</v>
      </c>
      <c r="Y865" s="9">
        <v>69</v>
      </c>
      <c r="Z865" s="37"/>
      <c r="AA865" s="37"/>
      <c r="AB865" s="37"/>
      <c r="AE865">
        <v>0</v>
      </c>
    </row>
    <row r="866" spans="1:31" hidden="1">
      <c r="A866" s="9" t="s">
        <v>1943</v>
      </c>
      <c r="B866" s="9" t="s">
        <v>1946</v>
      </c>
      <c r="C866" s="9" t="s">
        <v>105</v>
      </c>
      <c r="D866" s="9">
        <v>0.55400000000000005</v>
      </c>
      <c r="E866" s="9">
        <v>19.7</v>
      </c>
      <c r="F866" s="9">
        <v>15.6</v>
      </c>
      <c r="G866" s="9">
        <v>31.2</v>
      </c>
      <c r="H866" s="9" t="s">
        <v>106</v>
      </c>
      <c r="I866" s="9">
        <v>30</v>
      </c>
      <c r="J866" s="9" t="s">
        <v>116</v>
      </c>
      <c r="K866" s="9" t="s">
        <v>1296</v>
      </c>
      <c r="L866" t="str">
        <f>IF(OR(J866="Cattle",J866="Zebu Cattle"),IF(COUNTIF(lists!$M$2:$M$258, K866) &gt; 0,"bos.indicus",IF(COUNTIF(lists!$L$2:$L$258, K866) &gt; 0,"cross.bred","pure.bred.exotic")),"NA")</f>
        <v>NA</v>
      </c>
      <c r="M866" t="str">
        <f>IF(J866="Sheep",IF(COUNTIF(lists!$H$2:$H$258, K866) &gt; 0,"indigenous",IF(COUNTIF(lists!$G$2:$G$258, K866) &gt; 0,"cross.bred","not found")),"NA")</f>
        <v>NA</v>
      </c>
      <c r="N866" t="str">
        <f>IF(J866="Goat",IF(COUNTIF(lists!$J$2:$J$258, K866) &gt; 0,"indigenous",IF(COUNTIF(lists!$I$2:$I$258, K866) &gt; 0,"cross.bred","not found")),"NA")</f>
        <v>not found</v>
      </c>
      <c r="O866" s="9" t="s">
        <v>109</v>
      </c>
      <c r="P866" s="9" t="s">
        <v>106</v>
      </c>
      <c r="Q866" s="9" t="s">
        <v>3804</v>
      </c>
      <c r="S866" s="9" t="s">
        <v>106</v>
      </c>
      <c r="T866" s="9" t="s">
        <v>106</v>
      </c>
      <c r="U866" s="9" t="s">
        <v>106</v>
      </c>
      <c r="V866" s="9" t="s">
        <v>106</v>
      </c>
      <c r="W866" s="9" t="s">
        <v>106</v>
      </c>
      <c r="X866" s="9" t="s">
        <v>106</v>
      </c>
      <c r="Y866" s="9">
        <v>69</v>
      </c>
      <c r="Z866" s="37"/>
      <c r="AA866" s="37"/>
      <c r="AB866" s="37"/>
      <c r="AE866">
        <v>0</v>
      </c>
    </row>
    <row r="867" spans="1:31" hidden="1">
      <c r="A867" s="9" t="s">
        <v>1943</v>
      </c>
      <c r="B867" s="9" t="s">
        <v>1947</v>
      </c>
      <c r="C867" s="9" t="s">
        <v>105</v>
      </c>
      <c r="D867" s="9">
        <v>0.56699999999999995</v>
      </c>
      <c r="E867" s="9">
        <v>19.7</v>
      </c>
      <c r="F867" s="9">
        <v>15.4</v>
      </c>
      <c r="G867" s="9">
        <v>46.4</v>
      </c>
      <c r="H867" s="9" t="s">
        <v>106</v>
      </c>
      <c r="I867" s="9">
        <v>30</v>
      </c>
      <c r="J867" s="9" t="s">
        <v>116</v>
      </c>
      <c r="K867" s="9" t="s">
        <v>1296</v>
      </c>
      <c r="L867" t="str">
        <f>IF(OR(J867="Cattle",J867="Zebu Cattle"),IF(COUNTIF(lists!$M$2:$M$258, K867) &gt; 0,"bos.indicus",IF(COUNTIF(lists!$L$2:$L$258, K867) &gt; 0,"cross.bred","pure.bred.exotic")),"NA")</f>
        <v>NA</v>
      </c>
      <c r="M867" t="str">
        <f>IF(J867="Sheep",IF(COUNTIF(lists!$H$2:$H$258, K867) &gt; 0,"indigenous",IF(COUNTIF(lists!$G$2:$G$258, K867) &gt; 0,"cross.bred","not found")),"NA")</f>
        <v>NA</v>
      </c>
      <c r="N867" t="str">
        <f>IF(J867="Goat",IF(COUNTIF(lists!$J$2:$J$258, K867) &gt; 0,"indigenous",IF(COUNTIF(lists!$I$2:$I$258, K867) &gt; 0,"cross.bred","not found")),"NA")</f>
        <v>not found</v>
      </c>
      <c r="O867" s="9" t="s">
        <v>109</v>
      </c>
      <c r="P867" s="9" t="s">
        <v>106</v>
      </c>
      <c r="Q867" s="9" t="s">
        <v>3804</v>
      </c>
      <c r="S867" s="9" t="s">
        <v>106</v>
      </c>
      <c r="T867" s="9" t="s">
        <v>106</v>
      </c>
      <c r="U867" s="9" t="s">
        <v>106</v>
      </c>
      <c r="V867" s="9" t="s">
        <v>106</v>
      </c>
      <c r="W867" s="9" t="s">
        <v>106</v>
      </c>
      <c r="X867" s="9" t="s">
        <v>106</v>
      </c>
      <c r="Y867" s="9">
        <v>69</v>
      </c>
      <c r="Z867" s="37"/>
      <c r="AA867" s="37"/>
      <c r="AB867" s="37"/>
      <c r="AE867">
        <v>0</v>
      </c>
    </row>
    <row r="868" spans="1:31" hidden="1">
      <c r="A868" s="9" t="s">
        <v>1943</v>
      </c>
      <c r="B868" s="9" t="s">
        <v>1948</v>
      </c>
      <c r="C868" s="9" t="s">
        <v>105</v>
      </c>
      <c r="D868" s="9">
        <v>0.56699999999999995</v>
      </c>
      <c r="E868" s="9">
        <v>19.7</v>
      </c>
      <c r="F868" s="9">
        <v>15.4</v>
      </c>
      <c r="G868" s="9">
        <v>46.4</v>
      </c>
      <c r="H868" s="9" t="s">
        <v>106</v>
      </c>
      <c r="I868" s="9">
        <v>30</v>
      </c>
      <c r="J868" s="9" t="s">
        <v>116</v>
      </c>
      <c r="K868" s="9" t="s">
        <v>1296</v>
      </c>
      <c r="L868" t="str">
        <f>IF(OR(J868="Cattle",J868="Zebu Cattle"),IF(COUNTIF(lists!$M$2:$M$258, K868) &gt; 0,"bos.indicus",IF(COUNTIF(lists!$L$2:$L$258, K868) &gt; 0,"cross.bred","pure.bred.exotic")),"NA")</f>
        <v>NA</v>
      </c>
      <c r="M868" t="str">
        <f>IF(J868="Sheep",IF(COUNTIF(lists!$H$2:$H$258, K868) &gt; 0,"indigenous",IF(COUNTIF(lists!$G$2:$G$258, K868) &gt; 0,"cross.bred","not found")),"NA")</f>
        <v>NA</v>
      </c>
      <c r="N868" t="str">
        <f>IF(J868="Goat",IF(COUNTIF(lists!$J$2:$J$258, K868) &gt; 0,"indigenous",IF(COUNTIF(lists!$I$2:$I$258, K868) &gt; 0,"cross.bred","not found")),"NA")</f>
        <v>not found</v>
      </c>
      <c r="O868" s="9" t="s">
        <v>109</v>
      </c>
      <c r="P868" s="9" t="s">
        <v>106</v>
      </c>
      <c r="Q868" s="9" t="s">
        <v>3804</v>
      </c>
      <c r="S868" s="9" t="s">
        <v>106</v>
      </c>
      <c r="T868" s="9" t="s">
        <v>106</v>
      </c>
      <c r="U868" s="9" t="s">
        <v>106</v>
      </c>
      <c r="V868" s="9" t="s">
        <v>106</v>
      </c>
      <c r="W868" s="9" t="s">
        <v>106</v>
      </c>
      <c r="X868" s="9" t="s">
        <v>106</v>
      </c>
      <c r="Y868" s="9">
        <v>69</v>
      </c>
      <c r="Z868" s="37"/>
      <c r="AA868" s="37"/>
      <c r="AB868" s="37"/>
      <c r="AE868">
        <v>0</v>
      </c>
    </row>
    <row r="869" spans="1:31" hidden="1">
      <c r="A869" s="9" t="s">
        <v>1943</v>
      </c>
      <c r="B869" s="9" t="s">
        <v>1949</v>
      </c>
      <c r="C869" s="9" t="s">
        <v>105</v>
      </c>
      <c r="D869" s="9">
        <v>0.505</v>
      </c>
      <c r="E869" s="9">
        <v>19.7</v>
      </c>
      <c r="F869" s="9">
        <v>15</v>
      </c>
      <c r="G869" s="9">
        <v>48.6</v>
      </c>
      <c r="H869" s="9" t="s">
        <v>106</v>
      </c>
      <c r="I869" s="9">
        <v>30</v>
      </c>
      <c r="J869" s="9" t="s">
        <v>116</v>
      </c>
      <c r="K869" s="9" t="s">
        <v>1296</v>
      </c>
      <c r="L869" t="str">
        <f>IF(OR(J869="Cattle",J869="Zebu Cattle"),IF(COUNTIF(lists!$M$2:$M$258, K869) &gt; 0,"bos.indicus",IF(COUNTIF(lists!$L$2:$L$258, K869) &gt; 0,"cross.bred","pure.bred.exotic")),"NA")</f>
        <v>NA</v>
      </c>
      <c r="M869" t="str">
        <f>IF(J869="Sheep",IF(COUNTIF(lists!$H$2:$H$258, K869) &gt; 0,"indigenous",IF(COUNTIF(lists!$G$2:$G$258, K869) &gt; 0,"cross.bred","not found")),"NA")</f>
        <v>NA</v>
      </c>
      <c r="N869" t="str">
        <f>IF(J869="Goat",IF(COUNTIF(lists!$J$2:$J$258, K869) &gt; 0,"indigenous",IF(COUNTIF(lists!$I$2:$I$258, K869) &gt; 0,"cross.bred","not found")),"NA")</f>
        <v>not found</v>
      </c>
      <c r="O869" s="9" t="s">
        <v>109</v>
      </c>
      <c r="P869" s="9" t="s">
        <v>106</v>
      </c>
      <c r="Q869" s="9" t="s">
        <v>3804</v>
      </c>
      <c r="S869" s="9" t="s">
        <v>106</v>
      </c>
      <c r="T869" s="9" t="s">
        <v>106</v>
      </c>
      <c r="U869" s="9" t="s">
        <v>106</v>
      </c>
      <c r="V869" s="9" t="s">
        <v>106</v>
      </c>
      <c r="W869" s="9" t="s">
        <v>106</v>
      </c>
      <c r="X869" s="9" t="s">
        <v>106</v>
      </c>
      <c r="Y869" s="9">
        <v>68</v>
      </c>
      <c r="Z869" s="37"/>
      <c r="AA869" s="37"/>
      <c r="AB869" s="37"/>
      <c r="AE869">
        <v>0</v>
      </c>
    </row>
    <row r="870" spans="1:31" hidden="1">
      <c r="A870" s="9" t="s">
        <v>1943</v>
      </c>
      <c r="B870" s="9" t="s">
        <v>1950</v>
      </c>
      <c r="C870" s="9" t="s">
        <v>105</v>
      </c>
      <c r="D870" s="9">
        <v>0.505</v>
      </c>
      <c r="E870" s="9">
        <v>19.7</v>
      </c>
      <c r="F870" s="9">
        <v>15</v>
      </c>
      <c r="G870" s="9">
        <v>48.6</v>
      </c>
      <c r="H870" s="9" t="s">
        <v>106</v>
      </c>
      <c r="I870" s="9">
        <v>30</v>
      </c>
      <c r="J870" s="9" t="s">
        <v>116</v>
      </c>
      <c r="K870" s="9" t="s">
        <v>1296</v>
      </c>
      <c r="L870" t="str">
        <f>IF(OR(J870="Cattle",J870="Zebu Cattle"),IF(COUNTIF(lists!$M$2:$M$258, K870) &gt; 0,"bos.indicus",IF(COUNTIF(lists!$L$2:$L$258, K870) &gt; 0,"cross.bred","pure.bred.exotic")),"NA")</f>
        <v>NA</v>
      </c>
      <c r="M870" t="str">
        <f>IF(J870="Sheep",IF(COUNTIF(lists!$H$2:$H$258, K870) &gt; 0,"indigenous",IF(COUNTIF(lists!$G$2:$G$258, K870) &gt; 0,"cross.bred","not found")),"NA")</f>
        <v>NA</v>
      </c>
      <c r="N870" t="str">
        <f>IF(J870="Goat",IF(COUNTIF(lists!$J$2:$J$258, K870) &gt; 0,"indigenous",IF(COUNTIF(lists!$I$2:$I$258, K870) &gt; 0,"cross.bred","not found")),"NA")</f>
        <v>not found</v>
      </c>
      <c r="O870" s="9" t="s">
        <v>109</v>
      </c>
      <c r="P870" s="9" t="s">
        <v>106</v>
      </c>
      <c r="Q870" s="9" t="s">
        <v>3804</v>
      </c>
      <c r="S870" s="9" t="s">
        <v>106</v>
      </c>
      <c r="T870" s="9" t="s">
        <v>106</v>
      </c>
      <c r="U870" s="9" t="s">
        <v>106</v>
      </c>
      <c r="V870" s="9" t="s">
        <v>106</v>
      </c>
      <c r="W870" s="9" t="s">
        <v>106</v>
      </c>
      <c r="X870" s="9" t="s">
        <v>106</v>
      </c>
      <c r="Y870" s="9">
        <v>68</v>
      </c>
      <c r="Z870" s="37"/>
      <c r="AA870" s="37"/>
      <c r="AB870" s="37"/>
      <c r="AE870">
        <v>0</v>
      </c>
    </row>
    <row r="871" spans="1:31" hidden="1">
      <c r="A871" s="9" t="s">
        <v>1943</v>
      </c>
      <c r="B871" s="9" t="s">
        <v>1951</v>
      </c>
      <c r="C871" s="9" t="s">
        <v>105</v>
      </c>
      <c r="D871" s="9">
        <v>0.51500000000000001</v>
      </c>
      <c r="E871" s="9">
        <v>19.7</v>
      </c>
      <c r="F871" s="9">
        <v>15.3</v>
      </c>
      <c r="G871" s="9">
        <v>47.6</v>
      </c>
      <c r="H871" s="9" t="s">
        <v>106</v>
      </c>
      <c r="I871" s="9">
        <v>30</v>
      </c>
      <c r="J871" s="9" t="s">
        <v>116</v>
      </c>
      <c r="K871" s="9" t="s">
        <v>1296</v>
      </c>
      <c r="L871" t="str">
        <f>IF(OR(J871="Cattle",J871="Zebu Cattle"),IF(COUNTIF(lists!$M$2:$M$258, K871) &gt; 0,"bos.indicus",IF(COUNTIF(lists!$L$2:$L$258, K871) &gt; 0,"cross.bred","pure.bred.exotic")),"NA")</f>
        <v>NA</v>
      </c>
      <c r="M871" t="str">
        <f>IF(J871="Sheep",IF(COUNTIF(lists!$H$2:$H$258, K871) &gt; 0,"indigenous",IF(COUNTIF(lists!$G$2:$G$258, K871) &gt; 0,"cross.bred","not found")),"NA")</f>
        <v>NA</v>
      </c>
      <c r="N871" t="str">
        <f>IF(J871="Goat",IF(COUNTIF(lists!$J$2:$J$258, K871) &gt; 0,"indigenous",IF(COUNTIF(lists!$I$2:$I$258, K871) &gt; 0,"cross.bred","not found")),"NA")</f>
        <v>not found</v>
      </c>
      <c r="O871" s="9" t="s">
        <v>109</v>
      </c>
      <c r="P871" s="9" t="s">
        <v>106</v>
      </c>
      <c r="Q871" s="9" t="s">
        <v>3804</v>
      </c>
      <c r="S871" s="9" t="s">
        <v>106</v>
      </c>
      <c r="T871" s="9" t="s">
        <v>106</v>
      </c>
      <c r="U871" s="9" t="s">
        <v>106</v>
      </c>
      <c r="V871" s="9" t="s">
        <v>106</v>
      </c>
      <c r="W871" s="9" t="s">
        <v>106</v>
      </c>
      <c r="X871" s="9" t="s">
        <v>106</v>
      </c>
      <c r="Y871" s="9">
        <v>72</v>
      </c>
      <c r="Z871" s="37"/>
      <c r="AA871" s="37"/>
      <c r="AB871" s="37"/>
      <c r="AE871">
        <v>0</v>
      </c>
    </row>
    <row r="872" spans="1:31" hidden="1">
      <c r="A872" s="9" t="s">
        <v>1943</v>
      </c>
      <c r="B872" s="9" t="s">
        <v>1952</v>
      </c>
      <c r="C872" s="9" t="s">
        <v>105</v>
      </c>
      <c r="D872" s="9">
        <v>0.51500000000000001</v>
      </c>
      <c r="E872" s="9">
        <v>19.7</v>
      </c>
      <c r="F872" s="9">
        <v>15.3</v>
      </c>
      <c r="G872" s="9">
        <v>47.6</v>
      </c>
      <c r="H872" s="9" t="s">
        <v>106</v>
      </c>
      <c r="I872" s="9">
        <v>30</v>
      </c>
      <c r="J872" s="9" t="s">
        <v>116</v>
      </c>
      <c r="K872" s="9" t="s">
        <v>1296</v>
      </c>
      <c r="L872" t="str">
        <f>IF(OR(J872="Cattle",J872="Zebu Cattle"),IF(COUNTIF(lists!$M$2:$M$258, K872) &gt; 0,"bos.indicus",IF(COUNTIF(lists!$L$2:$L$258, K872) &gt; 0,"cross.bred","pure.bred.exotic")),"NA")</f>
        <v>NA</v>
      </c>
      <c r="M872" t="str">
        <f>IF(J872="Sheep",IF(COUNTIF(lists!$H$2:$H$258, K872) &gt; 0,"indigenous",IF(COUNTIF(lists!$G$2:$G$258, K872) &gt; 0,"cross.bred","not found")),"NA")</f>
        <v>NA</v>
      </c>
      <c r="N872" t="str">
        <f>IF(J872="Goat",IF(COUNTIF(lists!$J$2:$J$258, K872) &gt; 0,"indigenous",IF(COUNTIF(lists!$I$2:$I$258, K872) &gt; 0,"cross.bred","not found")),"NA")</f>
        <v>not found</v>
      </c>
      <c r="O872" s="9" t="s">
        <v>109</v>
      </c>
      <c r="P872" s="9" t="s">
        <v>106</v>
      </c>
      <c r="Q872" s="9" t="s">
        <v>3804</v>
      </c>
      <c r="S872" s="9" t="s">
        <v>106</v>
      </c>
      <c r="T872" s="9" t="s">
        <v>106</v>
      </c>
      <c r="U872" s="9" t="s">
        <v>106</v>
      </c>
      <c r="V872" s="9" t="s">
        <v>106</v>
      </c>
      <c r="W872" s="9" t="s">
        <v>106</v>
      </c>
      <c r="X872" s="9" t="s">
        <v>106</v>
      </c>
      <c r="Y872" s="9">
        <v>72</v>
      </c>
      <c r="Z872" s="37"/>
      <c r="AA872" s="37"/>
      <c r="AB872" s="37"/>
      <c r="AE872">
        <v>0</v>
      </c>
    </row>
    <row r="873" spans="1:31" hidden="1">
      <c r="A873" s="9" t="s">
        <v>1961</v>
      </c>
      <c r="B873" s="9" t="s">
        <v>1962</v>
      </c>
      <c r="C873" s="9" t="s">
        <v>105</v>
      </c>
      <c r="D873" s="9">
        <v>0.39800000000000002</v>
      </c>
      <c r="E873" s="9">
        <v>3.7</v>
      </c>
      <c r="F873" s="9">
        <v>8.0500000000000007</v>
      </c>
      <c r="G873" s="9">
        <v>41.1</v>
      </c>
      <c r="H873" s="9" t="s">
        <v>106</v>
      </c>
      <c r="I873" s="9">
        <v>24</v>
      </c>
      <c r="J873" s="9" t="s">
        <v>116</v>
      </c>
      <c r="K873" s="9" t="s">
        <v>634</v>
      </c>
      <c r="L873" t="str">
        <f>IF(OR(J873="Cattle",J873="Zebu Cattle"),IF(COUNTIF(lists!$M$2:$M$258, K873) &gt; 0,"bos.indicus",IF(COUNTIF(lists!$L$2:$L$258, K873) &gt; 0,"cross.bred","pure.bred.exotic")),"NA")</f>
        <v>NA</v>
      </c>
      <c r="M873" t="str">
        <f>IF(J873="Sheep",IF(COUNTIF(lists!$H$2:$H$258, K873) &gt; 0,"indigenous",IF(COUNTIF(lists!$G$2:$G$258, K873) &gt; 0,"cross.bred","not found")),"NA")</f>
        <v>NA</v>
      </c>
      <c r="N873" t="str">
        <f>IF(J873="Goat",IF(COUNTIF(lists!$J$2:$J$258, K873) &gt; 0,"indigenous",IF(COUNTIF(lists!$I$2:$I$258, K873) &gt; 0,"cross.bred","not found")),"NA")</f>
        <v>indigenous</v>
      </c>
      <c r="O873" s="9" t="s">
        <v>109</v>
      </c>
      <c r="P873" s="9" t="s">
        <v>106</v>
      </c>
      <c r="Q873" s="9" t="s">
        <v>3804</v>
      </c>
      <c r="S873" s="9">
        <v>24.45</v>
      </c>
      <c r="T873" s="9" t="s">
        <v>106</v>
      </c>
      <c r="U873" s="9">
        <v>246.9</v>
      </c>
      <c r="V873" s="9" t="s">
        <v>106</v>
      </c>
      <c r="W873" s="9">
        <v>6.38</v>
      </c>
      <c r="X873" s="9">
        <v>37.049999999999997</v>
      </c>
      <c r="Y873" s="9">
        <v>679</v>
      </c>
      <c r="Z873" s="37"/>
      <c r="AA873" s="37"/>
      <c r="AB873" s="37"/>
      <c r="AE873">
        <v>0</v>
      </c>
    </row>
    <row r="874" spans="1:31" hidden="1">
      <c r="A874" s="9" t="s">
        <v>1961</v>
      </c>
      <c r="B874" s="9" t="s">
        <v>1963</v>
      </c>
      <c r="C874" s="9" t="s">
        <v>105</v>
      </c>
      <c r="D874" s="9">
        <v>0.32400000000000001</v>
      </c>
      <c r="E874" s="9">
        <v>3.7</v>
      </c>
      <c r="F874" s="9">
        <v>8</v>
      </c>
      <c r="G874" s="9">
        <v>29.2</v>
      </c>
      <c r="H874" s="9" t="s">
        <v>106</v>
      </c>
      <c r="I874" s="9">
        <v>24</v>
      </c>
      <c r="J874" s="9" t="s">
        <v>116</v>
      </c>
      <c r="K874" s="9" t="s">
        <v>634</v>
      </c>
      <c r="L874" t="str">
        <f>IF(OR(J874="Cattle",J874="Zebu Cattle"),IF(COUNTIF(lists!$M$2:$M$258, K874) &gt; 0,"bos.indicus",IF(COUNTIF(lists!$L$2:$L$258, K874) &gt; 0,"cross.bred","pure.bred.exotic")),"NA")</f>
        <v>NA</v>
      </c>
      <c r="M874" t="str">
        <f>IF(J874="Sheep",IF(COUNTIF(lists!$H$2:$H$258, K874) &gt; 0,"indigenous",IF(COUNTIF(lists!$G$2:$G$258, K874) &gt; 0,"cross.bred","not found")),"NA")</f>
        <v>NA</v>
      </c>
      <c r="N874" t="str">
        <f>IF(J874="Goat",IF(COUNTIF(lists!$J$2:$J$258, K874) &gt; 0,"indigenous",IF(COUNTIF(lists!$I$2:$I$258, K874) &gt; 0,"cross.bred","not found")),"NA")</f>
        <v>indigenous</v>
      </c>
      <c r="O874" s="9" t="s">
        <v>109</v>
      </c>
      <c r="P874" s="9" t="s">
        <v>106</v>
      </c>
      <c r="Q874" s="9" t="s">
        <v>3804</v>
      </c>
      <c r="S874" s="9">
        <v>21.84</v>
      </c>
      <c r="T874" s="9" t="s">
        <v>106</v>
      </c>
      <c r="U874" s="9">
        <v>114.6</v>
      </c>
      <c r="V874" s="9" t="s">
        <v>106</v>
      </c>
      <c r="W874" s="9">
        <v>3.51</v>
      </c>
      <c r="X874" s="9">
        <v>37.229999999999997</v>
      </c>
      <c r="Y874" s="9">
        <v>610</v>
      </c>
      <c r="Z874" s="37"/>
      <c r="AA874" s="37"/>
      <c r="AB874" s="37"/>
      <c r="AE874">
        <v>0</v>
      </c>
    </row>
    <row r="875" spans="1:31" hidden="1">
      <c r="A875" s="9" t="s">
        <v>1961</v>
      </c>
      <c r="B875" s="9" t="s">
        <v>1964</v>
      </c>
      <c r="C875" s="9" t="s">
        <v>105</v>
      </c>
      <c r="D875" s="9">
        <v>0.33700000000000002</v>
      </c>
      <c r="E875" s="9">
        <v>3.7</v>
      </c>
      <c r="F875" s="9">
        <v>8</v>
      </c>
      <c r="G875" s="9">
        <v>30</v>
      </c>
      <c r="H875" s="9" t="s">
        <v>106</v>
      </c>
      <c r="I875" s="9">
        <v>24</v>
      </c>
      <c r="J875" s="9" t="s">
        <v>116</v>
      </c>
      <c r="K875" s="9" t="s">
        <v>634</v>
      </c>
      <c r="L875" t="str">
        <f>IF(OR(J875="Cattle",J875="Zebu Cattle"),IF(COUNTIF(lists!$M$2:$M$258, K875) &gt; 0,"bos.indicus",IF(COUNTIF(lists!$L$2:$L$258, K875) &gt; 0,"cross.bred","pure.bred.exotic")),"NA")</f>
        <v>NA</v>
      </c>
      <c r="M875" t="str">
        <f>IF(J875="Sheep",IF(COUNTIF(lists!$H$2:$H$258, K875) &gt; 0,"indigenous",IF(COUNTIF(lists!$G$2:$G$258, K875) &gt; 0,"cross.bred","not found")),"NA")</f>
        <v>NA</v>
      </c>
      <c r="N875" t="str">
        <f>IF(J875="Goat",IF(COUNTIF(lists!$J$2:$J$258, K875) &gt; 0,"indigenous",IF(COUNTIF(lists!$I$2:$I$258, K875) &gt; 0,"cross.bred","not found")),"NA")</f>
        <v>indigenous</v>
      </c>
      <c r="O875" s="9" t="s">
        <v>109</v>
      </c>
      <c r="P875" s="9" t="s">
        <v>106</v>
      </c>
      <c r="Q875" s="9" t="s">
        <v>3804</v>
      </c>
      <c r="S875" s="9">
        <v>26.27</v>
      </c>
      <c r="T875" s="9" t="s">
        <v>106</v>
      </c>
      <c r="U875" s="9">
        <v>144.80000000000001</v>
      </c>
      <c r="V875" s="9" t="s">
        <v>106</v>
      </c>
      <c r="W875" s="9">
        <v>3.75</v>
      </c>
      <c r="X875" s="9">
        <v>47.89</v>
      </c>
      <c r="Y875" s="9">
        <v>708</v>
      </c>
      <c r="Z875" s="37"/>
      <c r="AA875" s="37"/>
      <c r="AB875" s="37"/>
      <c r="AE875">
        <v>0</v>
      </c>
    </row>
    <row r="876" spans="1:31" hidden="1">
      <c r="A876" s="9" t="s">
        <v>1961</v>
      </c>
      <c r="B876" s="9" t="s">
        <v>1965</v>
      </c>
      <c r="C876" s="9" t="s">
        <v>105</v>
      </c>
      <c r="D876" s="9">
        <v>0.36499999999999999</v>
      </c>
      <c r="E876" s="9">
        <v>3.7</v>
      </c>
      <c r="F876" s="9">
        <v>8.1</v>
      </c>
      <c r="G876" s="9">
        <v>34.5</v>
      </c>
      <c r="H876" s="9" t="s">
        <v>106</v>
      </c>
      <c r="I876" s="9">
        <v>24</v>
      </c>
      <c r="J876" s="9" t="s">
        <v>116</v>
      </c>
      <c r="K876" s="9" t="s">
        <v>634</v>
      </c>
      <c r="L876" t="str">
        <f>IF(OR(J876="Cattle",J876="Zebu Cattle"),IF(COUNTIF(lists!$M$2:$M$258, K876) &gt; 0,"bos.indicus",IF(COUNTIF(lists!$L$2:$L$258, K876) &gt; 0,"cross.bred","pure.bred.exotic")),"NA")</f>
        <v>NA</v>
      </c>
      <c r="M876" t="str">
        <f>IF(J876="Sheep",IF(COUNTIF(lists!$H$2:$H$258, K876) &gt; 0,"indigenous",IF(COUNTIF(lists!$G$2:$G$258, K876) &gt; 0,"cross.bred","not found")),"NA")</f>
        <v>NA</v>
      </c>
      <c r="N876" t="str">
        <f>IF(J876="Goat",IF(COUNTIF(lists!$J$2:$J$258, K876) &gt; 0,"indigenous",IF(COUNTIF(lists!$I$2:$I$258, K876) &gt; 0,"cross.bred","not found")),"NA")</f>
        <v>indigenous</v>
      </c>
      <c r="O876" s="9" t="s">
        <v>109</v>
      </c>
      <c r="P876" s="9" t="s">
        <v>106</v>
      </c>
      <c r="Q876" s="9" t="s">
        <v>3804</v>
      </c>
      <c r="S876" s="9">
        <v>38.43</v>
      </c>
      <c r="T876" s="9" t="s">
        <v>106</v>
      </c>
      <c r="U876" s="9">
        <v>184.2</v>
      </c>
      <c r="V876" s="9" t="s">
        <v>106</v>
      </c>
      <c r="W876" s="9">
        <v>4.7300000000000004</v>
      </c>
      <c r="X876" s="9">
        <v>52.86</v>
      </c>
      <c r="Y876" s="9">
        <v>726</v>
      </c>
      <c r="Z876" s="37"/>
      <c r="AA876" s="37"/>
      <c r="AB876" s="37"/>
      <c r="AE876">
        <v>0</v>
      </c>
    </row>
    <row r="877" spans="1:31" hidden="1">
      <c r="A877" s="9" t="s">
        <v>1961</v>
      </c>
      <c r="B877" s="9" t="s">
        <v>1966</v>
      </c>
      <c r="C877" s="9" t="s">
        <v>105</v>
      </c>
      <c r="D877" s="9">
        <v>0.34200000000000003</v>
      </c>
      <c r="E877" s="9">
        <v>3.7</v>
      </c>
      <c r="F877" s="9">
        <v>8.0500000000000007</v>
      </c>
      <c r="G877" s="9">
        <v>31.5</v>
      </c>
      <c r="H877" s="9" t="s">
        <v>106</v>
      </c>
      <c r="I877" s="9">
        <v>24</v>
      </c>
      <c r="J877" s="9" t="s">
        <v>116</v>
      </c>
      <c r="K877" s="9" t="s">
        <v>634</v>
      </c>
      <c r="L877" t="str">
        <f>IF(OR(J877="Cattle",J877="Zebu Cattle"),IF(COUNTIF(lists!$M$2:$M$258, K877) &gt; 0,"bos.indicus",IF(COUNTIF(lists!$L$2:$L$258, K877) &gt; 0,"cross.bred","pure.bred.exotic")),"NA")</f>
        <v>NA</v>
      </c>
      <c r="M877" t="str">
        <f>IF(J877="Sheep",IF(COUNTIF(lists!$H$2:$H$258, K877) &gt; 0,"indigenous",IF(COUNTIF(lists!$G$2:$G$258, K877) &gt; 0,"cross.bred","not found")),"NA")</f>
        <v>NA</v>
      </c>
      <c r="N877" t="str">
        <f>IF(J877="Goat",IF(COUNTIF(lists!$J$2:$J$258, K877) &gt; 0,"indigenous",IF(COUNTIF(lists!$I$2:$I$258, K877) &gt; 0,"cross.bred","not found")),"NA")</f>
        <v>indigenous</v>
      </c>
      <c r="O877" s="9" t="s">
        <v>109</v>
      </c>
      <c r="P877" s="9" t="s">
        <v>106</v>
      </c>
      <c r="Q877" s="9" t="s">
        <v>3804</v>
      </c>
      <c r="S877" s="9">
        <v>23.38</v>
      </c>
      <c r="T877" s="9" t="s">
        <v>106</v>
      </c>
      <c r="U877" s="9">
        <v>147.5</v>
      </c>
      <c r="V877" s="9" t="s">
        <v>106</v>
      </c>
      <c r="W877" s="9">
        <v>3.89</v>
      </c>
      <c r="X877" s="9">
        <v>58.94</v>
      </c>
      <c r="Y877" s="9">
        <v>745</v>
      </c>
      <c r="Z877" s="37"/>
      <c r="AA877" s="37"/>
      <c r="AB877" s="37"/>
      <c r="AE877">
        <v>0</v>
      </c>
    </row>
    <row r="878" spans="1:31" hidden="1">
      <c r="A878" s="9" t="s">
        <v>1961</v>
      </c>
      <c r="B878" s="9" t="s">
        <v>1967</v>
      </c>
      <c r="C878" s="9" t="s">
        <v>105</v>
      </c>
      <c r="D878" s="9">
        <v>0.19700000000000001</v>
      </c>
      <c r="E878" s="9">
        <v>7.23</v>
      </c>
      <c r="F878" s="9">
        <v>8</v>
      </c>
      <c r="G878" s="9">
        <v>-0.95</v>
      </c>
      <c r="H878" s="9" t="s">
        <v>106</v>
      </c>
      <c r="I878" s="9">
        <v>24</v>
      </c>
      <c r="J878" s="9" t="s">
        <v>116</v>
      </c>
      <c r="K878" s="9" t="s">
        <v>634</v>
      </c>
      <c r="L878" t="str">
        <f>IF(OR(J878="Cattle",J878="Zebu Cattle"),IF(COUNTIF(lists!$M$2:$M$258, K878) &gt; 0,"bos.indicus",IF(COUNTIF(lists!$L$2:$L$258, K878) &gt; 0,"cross.bred","pure.bred.exotic")),"NA")</f>
        <v>NA</v>
      </c>
      <c r="M878" t="str">
        <f>IF(J878="Sheep",IF(COUNTIF(lists!$H$2:$H$258, K878) &gt; 0,"indigenous",IF(COUNTIF(lists!$G$2:$G$258, K878) &gt; 0,"cross.bred","not found")),"NA")</f>
        <v>NA</v>
      </c>
      <c r="N878" t="str">
        <f>IF(J878="Goat",IF(COUNTIF(lists!$J$2:$J$258, K878) &gt; 0,"indigenous",IF(COUNTIF(lists!$I$2:$I$258, K878) &gt; 0,"cross.bred","not found")),"NA")</f>
        <v>indigenous</v>
      </c>
      <c r="O878" s="9" t="s">
        <v>109</v>
      </c>
      <c r="P878" s="9" t="s">
        <v>106</v>
      </c>
      <c r="Q878" s="9" t="s">
        <v>3804</v>
      </c>
      <c r="S878" s="9">
        <v>34.81</v>
      </c>
      <c r="T878" s="9" t="s">
        <v>106</v>
      </c>
      <c r="U878" s="9">
        <v>66.8</v>
      </c>
      <c r="V878" s="9" t="s">
        <v>106</v>
      </c>
      <c r="W878" s="9">
        <v>1.77</v>
      </c>
      <c r="X878" s="9">
        <v>65.42</v>
      </c>
      <c r="Y878" s="9">
        <v>706</v>
      </c>
      <c r="Z878" s="37"/>
      <c r="AA878" s="37"/>
      <c r="AB878" s="37"/>
      <c r="AE878">
        <v>0</v>
      </c>
    </row>
    <row r="879" spans="1:31" hidden="1">
      <c r="A879" s="9">
        <v>0</v>
      </c>
      <c r="B879" s="9" t="s">
        <v>104</v>
      </c>
      <c r="C879" s="9" t="s">
        <v>105</v>
      </c>
      <c r="D879" s="9">
        <v>1.2204699999999999</v>
      </c>
      <c r="E879" s="9">
        <v>12.85</v>
      </c>
      <c r="F879" s="9" t="s">
        <v>106</v>
      </c>
      <c r="G879" s="9" t="s">
        <v>106</v>
      </c>
      <c r="H879" s="9" t="s">
        <v>106</v>
      </c>
      <c r="J879" s="9" t="s">
        <v>107</v>
      </c>
      <c r="K879" s="9" t="s">
        <v>108</v>
      </c>
      <c r="L879" t="str">
        <f>IF(OR(J879="Cattle",J879="Zebu Cattle"),IF(COUNTIF(lists!$M$2:$M$258, K879) &gt; 0,"bos.indicus",IF(COUNTIF(lists!$L$2:$L$258, K879) &gt; 0,"cross.bred","pure.bred.exotic")),"NA")</f>
        <v>NA</v>
      </c>
      <c r="M879" t="str">
        <f>IF(J879="Sheep",IF(COUNTIF(lists!$H$2:$H$258, K879) &gt; 0,"indigenous",IF(COUNTIF(lists!$G$2:$G$258, K879) &gt; 0,"cross.bred","not found")),"NA")</f>
        <v>indigenous</v>
      </c>
      <c r="N879" t="str">
        <f>IF(J879="Goat",IF(COUNTIF(lists!$J$2:$J$258, K879) &gt; 0,"indigenous",IF(COUNTIF(lists!$I$2:$I$258, K879) &gt; 0,"cross.bred","not found")),"NA")</f>
        <v>NA</v>
      </c>
      <c r="O879" s="9" t="s">
        <v>109</v>
      </c>
      <c r="P879" s="9" t="s">
        <v>110</v>
      </c>
      <c r="S879" s="9">
        <v>197.2</v>
      </c>
      <c r="T879" s="9">
        <v>80.7</v>
      </c>
      <c r="U879" s="9">
        <v>157.5</v>
      </c>
      <c r="V879" s="9" t="s">
        <v>106</v>
      </c>
      <c r="W879" s="9">
        <v>45.099999999999902</v>
      </c>
      <c r="X879" s="9">
        <v>341.3</v>
      </c>
      <c r="Y879" s="9" t="s">
        <v>106</v>
      </c>
      <c r="Z879" s="37"/>
      <c r="AA879" s="37"/>
      <c r="AB879" s="37"/>
      <c r="AE879"/>
    </row>
    <row r="880" spans="1:31" hidden="1">
      <c r="A880" s="9">
        <v>0</v>
      </c>
      <c r="B880" s="9" t="s">
        <v>111</v>
      </c>
      <c r="C880" s="9" t="s">
        <v>105</v>
      </c>
      <c r="D880" s="9">
        <v>1.2134400000000001</v>
      </c>
      <c r="E880" s="9">
        <v>14.84</v>
      </c>
      <c r="F880" s="9" t="s">
        <v>106</v>
      </c>
      <c r="G880" s="9" t="s">
        <v>106</v>
      </c>
      <c r="H880" s="9" t="s">
        <v>106</v>
      </c>
      <c r="J880" s="9" t="s">
        <v>107</v>
      </c>
      <c r="K880" s="9" t="s">
        <v>108</v>
      </c>
      <c r="L880" t="str">
        <f>IF(OR(J880="Cattle",J880="Zebu Cattle"),IF(COUNTIF(lists!$M$2:$M$258, K880) &gt; 0,"bos.indicus",IF(COUNTIF(lists!$L$2:$L$258, K880) &gt; 0,"cross.bred","pure.bred.exotic")),"NA")</f>
        <v>NA</v>
      </c>
      <c r="M880" t="str">
        <f>IF(J880="Sheep",IF(COUNTIF(lists!$H$2:$H$258, K880) &gt; 0,"indigenous",IF(COUNTIF(lists!$G$2:$G$258, K880) &gt; 0,"cross.bred","not found")),"NA")</f>
        <v>indigenous</v>
      </c>
      <c r="N880" t="str">
        <f>IF(J880="Goat",IF(COUNTIF(lists!$J$2:$J$258, K880) &gt; 0,"indigenous",IF(COUNTIF(lists!$I$2:$I$258, K880) &gt; 0,"cross.bred","not found")),"NA")</f>
        <v>NA</v>
      </c>
      <c r="O880" s="9" t="s">
        <v>109</v>
      </c>
      <c r="P880" s="9" t="s">
        <v>110</v>
      </c>
      <c r="S880" s="9">
        <v>196.3</v>
      </c>
      <c r="T880" s="9">
        <v>82.4</v>
      </c>
      <c r="U880" s="9">
        <v>157.4</v>
      </c>
      <c r="V880" s="9" t="s">
        <v>106</v>
      </c>
      <c r="W880" s="9">
        <v>51.4</v>
      </c>
      <c r="X880" s="9">
        <v>342.29999999999899</v>
      </c>
      <c r="Y880" s="9" t="s">
        <v>106</v>
      </c>
      <c r="Z880" s="37"/>
      <c r="AA880" s="37"/>
      <c r="AB880" s="37"/>
      <c r="AE880"/>
    </row>
    <row r="881" spans="1:31" hidden="1">
      <c r="A881" s="9">
        <v>0</v>
      </c>
      <c r="B881" s="9" t="s">
        <v>112</v>
      </c>
      <c r="C881" s="9" t="s">
        <v>105</v>
      </c>
      <c r="D881" s="9">
        <v>1.2178499999999901</v>
      </c>
      <c r="E881" s="9">
        <v>5.38</v>
      </c>
      <c r="F881" s="9" t="s">
        <v>106</v>
      </c>
      <c r="G881" s="9" t="s">
        <v>106</v>
      </c>
      <c r="H881" s="9" t="s">
        <v>106</v>
      </c>
      <c r="J881" s="9" t="s">
        <v>107</v>
      </c>
      <c r="K881" s="9" t="s">
        <v>108</v>
      </c>
      <c r="L881" t="str">
        <f>IF(OR(J881="Cattle",J881="Zebu Cattle"),IF(COUNTIF(lists!$M$2:$M$258, K881) &gt; 0,"bos.indicus",IF(COUNTIF(lists!$L$2:$L$258, K881) &gt; 0,"cross.bred","pure.bred.exotic")),"NA")</f>
        <v>NA</v>
      </c>
      <c r="M881" t="str">
        <f>IF(J881="Sheep",IF(COUNTIF(lists!$H$2:$H$258, K881) &gt; 0,"indigenous",IF(COUNTIF(lists!$G$2:$G$258, K881) &gt; 0,"cross.bred","not found")),"NA")</f>
        <v>indigenous</v>
      </c>
      <c r="N881" t="str">
        <f>IF(J881="Goat",IF(COUNTIF(lists!$J$2:$J$258, K881) &gt; 0,"indigenous",IF(COUNTIF(lists!$I$2:$I$258, K881) &gt; 0,"cross.bred","not found")),"NA")</f>
        <v>NA</v>
      </c>
      <c r="O881" s="9" t="s">
        <v>109</v>
      </c>
      <c r="P881" s="9" t="s">
        <v>110</v>
      </c>
      <c r="S881" s="9">
        <v>194.8</v>
      </c>
      <c r="T881" s="9">
        <v>81.5</v>
      </c>
      <c r="U881" s="9">
        <v>157.69999999999999</v>
      </c>
      <c r="V881" s="9" t="s">
        <v>106</v>
      </c>
      <c r="W881" s="9">
        <v>43.5</v>
      </c>
      <c r="X881" s="9">
        <v>342.9</v>
      </c>
      <c r="Y881" s="9" t="s">
        <v>106</v>
      </c>
      <c r="Z881" s="37"/>
      <c r="AA881" s="37"/>
      <c r="AB881" s="37"/>
      <c r="AE881"/>
    </row>
    <row r="882" spans="1:31" hidden="1">
      <c r="A882" s="9">
        <v>0</v>
      </c>
      <c r="B882" s="9" t="s">
        <v>113</v>
      </c>
      <c r="C882" s="9" t="s">
        <v>105</v>
      </c>
      <c r="D882" s="9">
        <v>1.2244900000000001</v>
      </c>
      <c r="E882" s="9">
        <v>9.24</v>
      </c>
      <c r="F882" s="9" t="s">
        <v>106</v>
      </c>
      <c r="G882" s="9" t="s">
        <v>106</v>
      </c>
      <c r="H882" s="9" t="s">
        <v>106</v>
      </c>
      <c r="J882" s="9" t="s">
        <v>107</v>
      </c>
      <c r="K882" s="9" t="s">
        <v>108</v>
      </c>
      <c r="L882" t="str">
        <f>IF(OR(J882="Cattle",J882="Zebu Cattle"),IF(COUNTIF(lists!$M$2:$M$258, K882) &gt; 0,"bos.indicus",IF(COUNTIF(lists!$L$2:$L$258, K882) &gt; 0,"cross.bred","pure.bred.exotic")),"NA")</f>
        <v>NA</v>
      </c>
      <c r="M882" t="str">
        <f>IF(J882="Sheep",IF(COUNTIF(lists!$H$2:$H$258, K882) &gt; 0,"indigenous",IF(COUNTIF(lists!$G$2:$G$258, K882) &gt; 0,"cross.bred","not found")),"NA")</f>
        <v>indigenous</v>
      </c>
      <c r="N882" t="str">
        <f>IF(J882="Goat",IF(COUNTIF(lists!$J$2:$J$258, K882) &gt; 0,"indigenous",IF(COUNTIF(lists!$I$2:$I$258, K882) &gt; 0,"cross.bred","not found")),"NA")</f>
        <v>NA</v>
      </c>
      <c r="O882" s="9" t="s">
        <v>109</v>
      </c>
      <c r="P882" s="9" t="s">
        <v>110</v>
      </c>
      <c r="S882" s="9">
        <v>193</v>
      </c>
      <c r="T882" s="9">
        <v>81.199999999999903</v>
      </c>
      <c r="U882" s="9">
        <v>157.4</v>
      </c>
      <c r="V882" s="9" t="s">
        <v>106</v>
      </c>
      <c r="W882" s="9">
        <v>38.5</v>
      </c>
      <c r="X882" s="9">
        <v>340.79999999999899</v>
      </c>
      <c r="Y882" s="9" t="s">
        <v>106</v>
      </c>
      <c r="Z882" s="37"/>
      <c r="AA882" s="37"/>
      <c r="AB882" s="37"/>
      <c r="AE882"/>
    </row>
    <row r="883" spans="1:31" hidden="1">
      <c r="A883" s="9" t="s">
        <v>128</v>
      </c>
      <c r="B883" s="9" t="s">
        <v>129</v>
      </c>
      <c r="C883" s="9" t="s">
        <v>105</v>
      </c>
      <c r="D883" s="9">
        <v>0.3301</v>
      </c>
      <c r="E883" s="9" t="s">
        <v>106</v>
      </c>
      <c r="F883" s="9">
        <v>12.8</v>
      </c>
      <c r="G883" s="9">
        <v>30.35</v>
      </c>
      <c r="H883" s="9" t="s">
        <v>106</v>
      </c>
      <c r="I883" s="9">
        <v>30</v>
      </c>
      <c r="J883" s="9" t="s">
        <v>107</v>
      </c>
      <c r="K883" s="9" t="s">
        <v>117</v>
      </c>
      <c r="L883" t="str">
        <f>IF(OR(J883="Cattle",J883="Zebu Cattle"),IF(COUNTIF(lists!$M$2:$M$258, K883) &gt; 0,"bos.indicus",IF(COUNTIF(lists!$L$2:$L$258, K883) &gt; 0,"cross.bred","pure.bred.exotic")),"NA")</f>
        <v>NA</v>
      </c>
      <c r="M883" t="str">
        <f>IF(J883="Sheep",IF(COUNTIF(lists!$H$2:$H$258, K883) &gt; 0,"indigenous",IF(COUNTIF(lists!$G$2:$G$258, K883) &gt; 0,"cross.bred","not found")),"NA")</f>
        <v>not found</v>
      </c>
      <c r="N883" t="str">
        <f>IF(J883="Goat",IF(COUNTIF(lists!$J$2:$J$258, K883) &gt; 0,"indigenous",IF(COUNTIF(lists!$I$2:$I$258, K883) &gt; 0,"cross.bred","not found")),"NA")</f>
        <v>NA</v>
      </c>
      <c r="O883" s="9" t="s">
        <v>109</v>
      </c>
      <c r="P883" s="9" t="s">
        <v>106</v>
      </c>
      <c r="Q883" s="9" t="s">
        <v>3804</v>
      </c>
      <c r="S883" s="9" t="s">
        <v>106</v>
      </c>
      <c r="T883" s="9">
        <v>42</v>
      </c>
      <c r="U883" s="9">
        <v>128</v>
      </c>
      <c r="V883" s="9">
        <v>856</v>
      </c>
      <c r="W883" s="9">
        <v>30</v>
      </c>
      <c r="X883" s="9" t="s">
        <v>106</v>
      </c>
      <c r="Y883" s="9" t="s">
        <v>106</v>
      </c>
      <c r="Z883" s="37"/>
      <c r="AA883" s="37"/>
      <c r="AB883" s="37"/>
      <c r="AE883">
        <v>0</v>
      </c>
    </row>
    <row r="884" spans="1:31" hidden="1">
      <c r="A884" s="9" t="s">
        <v>128</v>
      </c>
      <c r="B884" s="9" t="s">
        <v>130</v>
      </c>
      <c r="C884" s="9" t="s">
        <v>105</v>
      </c>
      <c r="D884" s="9">
        <v>0.32982</v>
      </c>
      <c r="E884" s="9" t="s">
        <v>106</v>
      </c>
      <c r="F884" s="9">
        <v>13</v>
      </c>
      <c r="G884" s="9">
        <v>35.71</v>
      </c>
      <c r="H884" s="9" t="s">
        <v>106</v>
      </c>
      <c r="I884" s="9">
        <v>30</v>
      </c>
      <c r="J884" s="9" t="s">
        <v>107</v>
      </c>
      <c r="K884" s="9" t="s">
        <v>117</v>
      </c>
      <c r="L884" t="str">
        <f>IF(OR(J884="Cattle",J884="Zebu Cattle"),IF(COUNTIF(lists!$M$2:$M$258, K884) &gt; 0,"bos.indicus",IF(COUNTIF(lists!$L$2:$L$258, K884) &gt; 0,"cross.bred","pure.bred.exotic")),"NA")</f>
        <v>NA</v>
      </c>
      <c r="M884" t="str">
        <f>IF(J884="Sheep",IF(COUNTIF(lists!$H$2:$H$258, K884) &gt; 0,"indigenous",IF(COUNTIF(lists!$G$2:$G$258, K884) &gt; 0,"cross.bred","not found")),"NA")</f>
        <v>not found</v>
      </c>
      <c r="N884" t="str">
        <f>IF(J884="Goat",IF(COUNTIF(lists!$J$2:$J$258, K884) &gt; 0,"indigenous",IF(COUNTIF(lists!$I$2:$I$258, K884) &gt; 0,"cross.bred","not found")),"NA")</f>
        <v>NA</v>
      </c>
      <c r="O884" s="9" t="s">
        <v>109</v>
      </c>
      <c r="P884" s="9" t="s">
        <v>106</v>
      </c>
      <c r="Q884" s="9" t="s">
        <v>3804</v>
      </c>
      <c r="S884" s="9" t="s">
        <v>106</v>
      </c>
      <c r="T884" s="9">
        <v>52</v>
      </c>
      <c r="U884" s="9">
        <v>132</v>
      </c>
      <c r="V884" s="9">
        <v>862</v>
      </c>
      <c r="W884" s="9">
        <v>32</v>
      </c>
      <c r="X884" s="9" t="s">
        <v>106</v>
      </c>
      <c r="Y884" s="9" t="s">
        <v>106</v>
      </c>
      <c r="Z884" s="37"/>
      <c r="AA884" s="37"/>
      <c r="AB884" s="37"/>
      <c r="AE884">
        <v>0</v>
      </c>
    </row>
    <row r="885" spans="1:31" hidden="1">
      <c r="A885" s="9" t="s">
        <v>128</v>
      </c>
      <c r="B885" s="9" t="s">
        <v>131</v>
      </c>
      <c r="C885" s="9" t="s">
        <v>105</v>
      </c>
      <c r="D885" s="9">
        <v>0.34747</v>
      </c>
      <c r="E885" s="9" t="s">
        <v>106</v>
      </c>
      <c r="F885" s="9">
        <v>13.2</v>
      </c>
      <c r="G885" s="9">
        <v>39.29</v>
      </c>
      <c r="H885" s="9" t="s">
        <v>106</v>
      </c>
      <c r="I885" s="9">
        <v>30</v>
      </c>
      <c r="J885" s="9" t="s">
        <v>107</v>
      </c>
      <c r="K885" s="9" t="s">
        <v>117</v>
      </c>
      <c r="L885" t="str">
        <f>IF(OR(J885="Cattle",J885="Zebu Cattle"),IF(COUNTIF(lists!$M$2:$M$258, K885) &gt; 0,"bos.indicus",IF(COUNTIF(lists!$L$2:$L$258, K885) &gt; 0,"cross.bred","pure.bred.exotic")),"NA")</f>
        <v>NA</v>
      </c>
      <c r="M885" t="str">
        <f>IF(J885="Sheep",IF(COUNTIF(lists!$H$2:$H$258, K885) &gt; 0,"indigenous",IF(COUNTIF(lists!$G$2:$G$258, K885) &gt; 0,"cross.bred","not found")),"NA")</f>
        <v>not found</v>
      </c>
      <c r="N885" t="str">
        <f>IF(J885="Goat",IF(COUNTIF(lists!$J$2:$J$258, K885) &gt; 0,"indigenous",IF(COUNTIF(lists!$I$2:$I$258, K885) &gt; 0,"cross.bred","not found")),"NA")</f>
        <v>NA</v>
      </c>
      <c r="O885" s="9" t="s">
        <v>109</v>
      </c>
      <c r="P885" s="9" t="s">
        <v>106</v>
      </c>
      <c r="Q885" s="9" t="s">
        <v>3804</v>
      </c>
      <c r="S885" s="9" t="s">
        <v>106</v>
      </c>
      <c r="T885" s="9">
        <v>60</v>
      </c>
      <c r="U885" s="9">
        <v>136</v>
      </c>
      <c r="V885" s="9">
        <v>883</v>
      </c>
      <c r="W885" s="9">
        <v>36</v>
      </c>
      <c r="X885" s="9" t="s">
        <v>106</v>
      </c>
      <c r="Y885" s="9" t="s">
        <v>106</v>
      </c>
      <c r="Z885" s="37"/>
      <c r="AA885" s="37"/>
      <c r="AB885" s="37"/>
      <c r="AE885">
        <v>0</v>
      </c>
    </row>
    <row r="886" spans="1:31" hidden="1">
      <c r="A886" s="9" t="s">
        <v>128</v>
      </c>
      <c r="B886" s="9" t="s">
        <v>132</v>
      </c>
      <c r="C886" s="9" t="s">
        <v>105</v>
      </c>
      <c r="D886" s="9">
        <v>0.34689999999999999</v>
      </c>
      <c r="E886" s="9" t="s">
        <v>106</v>
      </c>
      <c r="F886" s="9">
        <v>12.6</v>
      </c>
      <c r="G886" s="9">
        <v>35.71</v>
      </c>
      <c r="H886" s="9" t="s">
        <v>106</v>
      </c>
      <c r="I886" s="9">
        <v>30</v>
      </c>
      <c r="J886" s="9" t="s">
        <v>107</v>
      </c>
      <c r="K886" s="9" t="s">
        <v>117</v>
      </c>
      <c r="L886" t="str">
        <f>IF(OR(J886="Cattle",J886="Zebu Cattle"),IF(COUNTIF(lists!$M$2:$M$258, K886) &gt; 0,"bos.indicus",IF(COUNTIF(lists!$L$2:$L$258, K886) &gt; 0,"cross.bred","pure.bred.exotic")),"NA")</f>
        <v>NA</v>
      </c>
      <c r="M886" t="str">
        <f>IF(J886="Sheep",IF(COUNTIF(lists!$H$2:$H$258, K886) &gt; 0,"indigenous",IF(COUNTIF(lists!$G$2:$G$258, K886) &gt; 0,"cross.bred","not found")),"NA")</f>
        <v>not found</v>
      </c>
      <c r="N886" t="str">
        <f>IF(J886="Goat",IF(COUNTIF(lists!$J$2:$J$258, K886) &gt; 0,"indigenous",IF(COUNTIF(lists!$I$2:$I$258, K886) &gt; 0,"cross.bred","not found")),"NA")</f>
        <v>NA</v>
      </c>
      <c r="O886" s="9" t="s">
        <v>109</v>
      </c>
      <c r="P886" s="9" t="s">
        <v>106</v>
      </c>
      <c r="Q886" s="9" t="s">
        <v>3804</v>
      </c>
      <c r="S886" s="9" t="s">
        <v>106</v>
      </c>
      <c r="T886" s="9">
        <v>66</v>
      </c>
      <c r="U886" s="9">
        <v>142</v>
      </c>
      <c r="V886" s="9">
        <v>861</v>
      </c>
      <c r="W886" s="9">
        <v>39</v>
      </c>
      <c r="X886" s="9" t="s">
        <v>106</v>
      </c>
      <c r="Y886" s="9" t="s">
        <v>106</v>
      </c>
      <c r="Z886" s="37"/>
      <c r="AA886" s="37"/>
      <c r="AB886" s="37"/>
      <c r="AE886">
        <v>0</v>
      </c>
    </row>
    <row r="887" spans="1:31" hidden="1">
      <c r="A887" s="9" t="s">
        <v>128</v>
      </c>
      <c r="B887" s="9" t="s">
        <v>133</v>
      </c>
      <c r="C887" s="9" t="s">
        <v>105</v>
      </c>
      <c r="D887" s="9">
        <v>0.34783999999999998</v>
      </c>
      <c r="E887" s="9" t="s">
        <v>106</v>
      </c>
      <c r="F887" s="9">
        <v>13.2</v>
      </c>
      <c r="G887" s="9">
        <v>37.5</v>
      </c>
      <c r="H887" s="9" t="s">
        <v>106</v>
      </c>
      <c r="I887" s="9">
        <v>30</v>
      </c>
      <c r="J887" s="9" t="s">
        <v>107</v>
      </c>
      <c r="K887" s="9" t="s">
        <v>117</v>
      </c>
      <c r="L887" t="str">
        <f>IF(OR(J887="Cattle",J887="Zebu Cattle"),IF(COUNTIF(lists!$M$2:$M$258, K887) &gt; 0,"bos.indicus",IF(COUNTIF(lists!$L$2:$L$258, K887) &gt; 0,"cross.bred","pure.bred.exotic")),"NA")</f>
        <v>NA</v>
      </c>
      <c r="M887" t="str">
        <f>IF(J887="Sheep",IF(COUNTIF(lists!$H$2:$H$258, K887) &gt; 0,"indigenous",IF(COUNTIF(lists!$G$2:$G$258, K887) &gt; 0,"cross.bred","not found")),"NA")</f>
        <v>not found</v>
      </c>
      <c r="N887" t="str">
        <f>IF(J887="Goat",IF(COUNTIF(lists!$J$2:$J$258, K887) &gt; 0,"indigenous",IF(COUNTIF(lists!$I$2:$I$258, K887) &gt; 0,"cross.bred","not found")),"NA")</f>
        <v>NA</v>
      </c>
      <c r="O887" s="9" t="s">
        <v>109</v>
      </c>
      <c r="P887" s="9" t="s">
        <v>106</v>
      </c>
      <c r="Q887" s="9" t="s">
        <v>3804</v>
      </c>
      <c r="S887" s="9" t="s">
        <v>106</v>
      </c>
      <c r="T887" s="9">
        <v>75</v>
      </c>
      <c r="U887" s="9">
        <v>150</v>
      </c>
      <c r="V887" s="9">
        <v>858</v>
      </c>
      <c r="W887" s="9">
        <v>45</v>
      </c>
      <c r="X887" s="9" t="s">
        <v>106</v>
      </c>
      <c r="Y887" s="9" t="s">
        <v>106</v>
      </c>
      <c r="Z887" s="37"/>
      <c r="AA887" s="37"/>
      <c r="AB887" s="37"/>
      <c r="AE887">
        <v>0</v>
      </c>
    </row>
    <row r="888" spans="1:31" hidden="1">
      <c r="A888" s="9" t="s">
        <v>136</v>
      </c>
      <c r="B888" s="9" t="s">
        <v>137</v>
      </c>
      <c r="C888" s="9" t="s">
        <v>105</v>
      </c>
      <c r="D888" s="9">
        <v>0.85299999999999998</v>
      </c>
      <c r="E888" s="9">
        <v>0.20899999999999999</v>
      </c>
      <c r="F888" s="9">
        <v>10.24</v>
      </c>
      <c r="G888" s="9">
        <v>71</v>
      </c>
      <c r="H888" s="9" t="s">
        <v>106</v>
      </c>
      <c r="I888" s="9">
        <v>48</v>
      </c>
      <c r="J888" s="9" t="s">
        <v>107</v>
      </c>
      <c r="K888" s="9" t="s">
        <v>138</v>
      </c>
      <c r="L888" t="str">
        <f>IF(OR(J888="Cattle",J888="Zebu Cattle"),IF(COUNTIF(lists!$M$2:$M$258, K888) &gt; 0,"bos.indicus",IF(COUNTIF(lists!$L$2:$L$258, K888) &gt; 0,"cross.bred","pure.bred.exotic")),"NA")</f>
        <v>NA</v>
      </c>
      <c r="M888" t="str">
        <f>IF(J888="Sheep",IF(COUNTIF(lists!$H$2:$H$258, K888) &gt; 0,"indigenous",IF(COUNTIF(lists!$G$2:$G$258, K888) &gt; 0,"cross.bred","not found")),"NA")</f>
        <v>not found</v>
      </c>
      <c r="N888" t="str">
        <f>IF(J888="Goat",IF(COUNTIF(lists!$J$2:$J$258, K888) &gt; 0,"indigenous",IF(COUNTIF(lists!$I$2:$I$258, K888) &gt; 0,"cross.bred","not found")),"NA")</f>
        <v>NA</v>
      </c>
      <c r="O888" s="9" t="s">
        <v>109</v>
      </c>
      <c r="P888" s="9" t="s">
        <v>106</v>
      </c>
      <c r="Q888" s="9" t="s">
        <v>3804</v>
      </c>
      <c r="S888" s="9">
        <v>434.2</v>
      </c>
      <c r="T888" s="9">
        <v>100.4</v>
      </c>
      <c r="U888" s="9">
        <v>88.7</v>
      </c>
      <c r="V888" s="9">
        <v>940.8</v>
      </c>
      <c r="W888" s="9">
        <v>48.3</v>
      </c>
      <c r="X888" s="9">
        <v>661.9</v>
      </c>
      <c r="Y888" s="9">
        <v>59.46</v>
      </c>
      <c r="Z888" s="37"/>
      <c r="AA888" s="37"/>
      <c r="AB888" s="37"/>
      <c r="AE888">
        <v>0</v>
      </c>
    </row>
    <row r="889" spans="1:31" hidden="1">
      <c r="A889" s="9" t="s">
        <v>136</v>
      </c>
      <c r="B889" s="9" t="s">
        <v>139</v>
      </c>
      <c r="C889" s="9" t="s">
        <v>105</v>
      </c>
      <c r="D889" s="9">
        <v>0.85858000000000001</v>
      </c>
      <c r="E889" s="9">
        <v>0.20899999999999999</v>
      </c>
      <c r="F889" s="9">
        <v>11.1</v>
      </c>
      <c r="G889" s="9">
        <v>122.08</v>
      </c>
      <c r="H889" s="9" t="s">
        <v>106</v>
      </c>
      <c r="I889" s="9">
        <v>48</v>
      </c>
      <c r="J889" s="9" t="s">
        <v>107</v>
      </c>
      <c r="K889" s="9" t="s">
        <v>138</v>
      </c>
      <c r="L889" t="str">
        <f>IF(OR(J889="Cattle",J889="Zebu Cattle"),IF(COUNTIF(lists!$M$2:$M$258, K889) &gt; 0,"bos.indicus",IF(COUNTIF(lists!$L$2:$L$258, K889) &gt; 0,"cross.bred","pure.bred.exotic")),"NA")</f>
        <v>NA</v>
      </c>
      <c r="M889" t="str">
        <f>IF(J889="Sheep",IF(COUNTIF(lists!$H$2:$H$258, K889) &gt; 0,"indigenous",IF(COUNTIF(lists!$G$2:$G$258, K889) &gt; 0,"cross.bred","not found")),"NA")</f>
        <v>not found</v>
      </c>
      <c r="N889" t="str">
        <f>IF(J889="Goat",IF(COUNTIF(lists!$J$2:$J$258, K889) &gt; 0,"indigenous",IF(COUNTIF(lists!$I$2:$I$258, K889) &gt; 0,"cross.bred","not found")),"NA")</f>
        <v>NA</v>
      </c>
      <c r="O889" s="9" t="s">
        <v>109</v>
      </c>
      <c r="P889" s="9" t="s">
        <v>106</v>
      </c>
      <c r="Q889" s="9" t="s">
        <v>3804</v>
      </c>
      <c r="S889" s="9">
        <v>433.8</v>
      </c>
      <c r="T889" s="9">
        <v>119.9</v>
      </c>
      <c r="U889" s="9">
        <v>117.6</v>
      </c>
      <c r="V889" s="9">
        <v>928.1</v>
      </c>
      <c r="W889" s="9">
        <v>37.6</v>
      </c>
      <c r="X889" s="9">
        <v>625.1</v>
      </c>
      <c r="Y889" s="9">
        <v>64.94</v>
      </c>
      <c r="Z889" s="37"/>
      <c r="AA889" s="37"/>
      <c r="AB889" s="37"/>
      <c r="AE889">
        <v>0</v>
      </c>
    </row>
    <row r="890" spans="1:31" hidden="1">
      <c r="A890" s="9" t="s">
        <v>136</v>
      </c>
      <c r="B890" s="9" t="s">
        <v>140</v>
      </c>
      <c r="C890" s="9" t="s">
        <v>105</v>
      </c>
      <c r="D890" s="9">
        <v>0.94987999999999995</v>
      </c>
      <c r="E890" s="9">
        <v>0.20899999999999999</v>
      </c>
      <c r="F890" s="9">
        <v>10.1</v>
      </c>
      <c r="G890" s="9">
        <v>227.67</v>
      </c>
      <c r="H890" s="9" t="s">
        <v>106</v>
      </c>
      <c r="I890" s="9">
        <v>48</v>
      </c>
      <c r="J890" s="9" t="s">
        <v>107</v>
      </c>
      <c r="K890" s="9" t="s">
        <v>138</v>
      </c>
      <c r="L890" t="str">
        <f>IF(OR(J890="Cattle",J890="Zebu Cattle"),IF(COUNTIF(lists!$M$2:$M$258, K890) &gt; 0,"bos.indicus",IF(COUNTIF(lists!$L$2:$L$258, K890) &gt; 0,"cross.bred","pure.bred.exotic")),"NA")</f>
        <v>NA</v>
      </c>
      <c r="M890" t="str">
        <f>IF(J890="Sheep",IF(COUNTIF(lists!$H$2:$H$258, K890) &gt; 0,"indigenous",IF(COUNTIF(lists!$G$2:$G$258, K890) &gt; 0,"cross.bred","not found")),"NA")</f>
        <v>not found</v>
      </c>
      <c r="N890" t="str">
        <f>IF(J890="Goat",IF(COUNTIF(lists!$J$2:$J$258, K890) &gt; 0,"indigenous",IF(COUNTIF(lists!$I$2:$I$258, K890) &gt; 0,"cross.bred","not found")),"NA")</f>
        <v>NA</v>
      </c>
      <c r="O890" s="9" t="s">
        <v>109</v>
      </c>
      <c r="P890" s="9" t="s">
        <v>106</v>
      </c>
      <c r="Q890" s="9" t="s">
        <v>3804</v>
      </c>
      <c r="S890" s="9">
        <v>420.8</v>
      </c>
      <c r="T890" s="9">
        <v>120.8</v>
      </c>
      <c r="U890" s="9">
        <v>130.69999999999999</v>
      </c>
      <c r="V890" s="9">
        <v>932.6</v>
      </c>
      <c r="W890" s="9">
        <v>41.1</v>
      </c>
      <c r="X890" s="9">
        <v>618.20000000000005</v>
      </c>
      <c r="Y890" s="9">
        <v>65.86</v>
      </c>
      <c r="Z890" s="37"/>
      <c r="AA890" s="37"/>
      <c r="AB890" s="37"/>
      <c r="AE890">
        <v>0</v>
      </c>
    </row>
    <row r="891" spans="1:31" hidden="1">
      <c r="A891" s="9" t="s">
        <v>136</v>
      </c>
      <c r="B891" s="9" t="s">
        <v>141</v>
      </c>
      <c r="C891" s="9" t="s">
        <v>105</v>
      </c>
      <c r="D891" s="9">
        <v>0.93803999999999998</v>
      </c>
      <c r="E891" s="9">
        <v>0.20899999999999999</v>
      </c>
      <c r="F891" s="9">
        <v>9.8000000000000007</v>
      </c>
      <c r="G891" s="9">
        <v>181</v>
      </c>
      <c r="H891" s="9" t="s">
        <v>106</v>
      </c>
      <c r="I891" s="9">
        <v>48</v>
      </c>
      <c r="J891" s="9" t="s">
        <v>107</v>
      </c>
      <c r="K891" s="9" t="s">
        <v>138</v>
      </c>
      <c r="L891" t="str">
        <f>IF(OR(J891="Cattle",J891="Zebu Cattle"),IF(COUNTIF(lists!$M$2:$M$258, K891) &gt; 0,"bos.indicus",IF(COUNTIF(lists!$L$2:$L$258, K891) &gt; 0,"cross.bred","pure.bred.exotic")),"NA")</f>
        <v>NA</v>
      </c>
      <c r="M891" t="str">
        <f>IF(J891="Sheep",IF(COUNTIF(lists!$H$2:$H$258, K891) &gt; 0,"indigenous",IF(COUNTIF(lists!$G$2:$G$258, K891) &gt; 0,"cross.bred","not found")),"NA")</f>
        <v>not found</v>
      </c>
      <c r="N891" t="str">
        <f>IF(J891="Goat",IF(COUNTIF(lists!$J$2:$J$258, K891) &gt; 0,"indigenous",IF(COUNTIF(lists!$I$2:$I$258, K891) &gt; 0,"cross.bred","not found")),"NA")</f>
        <v>NA</v>
      </c>
      <c r="O891" s="9" t="s">
        <v>109</v>
      </c>
      <c r="P891" s="9" t="s">
        <v>106</v>
      </c>
      <c r="Q891" s="9" t="s">
        <v>3804</v>
      </c>
      <c r="S891" s="9">
        <v>419.5</v>
      </c>
      <c r="T891" s="9">
        <v>104</v>
      </c>
      <c r="U891" s="9">
        <v>138.4</v>
      </c>
      <c r="V891" s="9">
        <v>930.7</v>
      </c>
      <c r="W891" s="9">
        <v>38.5</v>
      </c>
      <c r="X891" s="9">
        <v>627.9</v>
      </c>
      <c r="Y891" s="9">
        <v>63.31</v>
      </c>
      <c r="Z891" s="37"/>
      <c r="AA891" s="37"/>
      <c r="AB891" s="37"/>
      <c r="AE891">
        <v>0</v>
      </c>
    </row>
    <row r="892" spans="1:31" hidden="1">
      <c r="A892" s="9" t="s">
        <v>150</v>
      </c>
      <c r="B892" s="9" t="s">
        <v>151</v>
      </c>
      <c r="C892" s="9" t="s">
        <v>105</v>
      </c>
      <c r="D892" s="9">
        <v>0.69599999999999995</v>
      </c>
      <c r="E892" s="9" t="s">
        <v>106</v>
      </c>
      <c r="F892" s="9" t="s">
        <v>106</v>
      </c>
      <c r="G892" s="9" t="s">
        <v>106</v>
      </c>
      <c r="H892" s="9" t="s">
        <v>106</v>
      </c>
      <c r="J892" s="9" t="s">
        <v>107</v>
      </c>
      <c r="K892" s="9" t="s">
        <v>152</v>
      </c>
      <c r="L892" t="str">
        <f>IF(OR(J892="Cattle",J892="Zebu Cattle"),IF(COUNTIF(lists!$M$2:$M$258, K892) &gt; 0,"bos.indicus",IF(COUNTIF(lists!$L$2:$L$258, K892) &gt; 0,"cross.bred","pure.bred.exotic")),"NA")</f>
        <v>NA</v>
      </c>
      <c r="M892" t="str">
        <f>IF(J892="Sheep",IF(COUNTIF(lists!$H$2:$H$258, K892) &gt; 0,"indigenous",IF(COUNTIF(lists!$G$2:$G$258, K892) &gt; 0,"cross.bred","not found")),"NA")</f>
        <v>not found</v>
      </c>
      <c r="N892" t="str">
        <f>IF(J892="Goat",IF(COUNTIF(lists!$J$2:$J$258, K892) &gt; 0,"indigenous",IF(COUNTIF(lists!$I$2:$I$258, K892) &gt; 0,"cross.bred","not found")),"NA")</f>
        <v>NA</v>
      </c>
      <c r="O892" s="9" t="s">
        <v>109</v>
      </c>
      <c r="P892" s="9" t="s">
        <v>153</v>
      </c>
      <c r="S892" s="9" t="s">
        <v>106</v>
      </c>
      <c r="T892" s="9" t="s">
        <v>106</v>
      </c>
      <c r="U892" s="9" t="s">
        <v>106</v>
      </c>
      <c r="V892" s="9" t="s">
        <v>106</v>
      </c>
      <c r="W892" s="9" t="s">
        <v>106</v>
      </c>
      <c r="X892" s="9" t="s">
        <v>106</v>
      </c>
      <c r="Y892" s="9" t="s">
        <v>106</v>
      </c>
      <c r="Z892" s="37"/>
      <c r="AA892" s="37"/>
      <c r="AB892" s="37"/>
      <c r="AE892"/>
    </row>
    <row r="893" spans="1:31" hidden="1">
      <c r="A893" s="9" t="s">
        <v>150</v>
      </c>
      <c r="B893" s="9" t="s">
        <v>154</v>
      </c>
      <c r="C893" s="9" t="s">
        <v>105</v>
      </c>
      <c r="D893" s="9">
        <v>0.79132999999999998</v>
      </c>
      <c r="E893" s="9" t="s">
        <v>106</v>
      </c>
      <c r="F893" s="9" t="s">
        <v>106</v>
      </c>
      <c r="G893" s="9" t="s">
        <v>106</v>
      </c>
      <c r="H893" s="9" t="s">
        <v>106</v>
      </c>
      <c r="J893" s="9" t="s">
        <v>107</v>
      </c>
      <c r="K893" s="9" t="s">
        <v>152</v>
      </c>
      <c r="L893" t="str">
        <f>IF(OR(J893="Cattle",J893="Zebu Cattle"),IF(COUNTIF(lists!$M$2:$M$258, K893) &gt; 0,"bos.indicus",IF(COUNTIF(lists!$L$2:$L$258, K893) &gt; 0,"cross.bred","pure.bred.exotic")),"NA")</f>
        <v>NA</v>
      </c>
      <c r="M893" t="str">
        <f>IF(J893="Sheep",IF(COUNTIF(lists!$H$2:$H$258, K893) &gt; 0,"indigenous",IF(COUNTIF(lists!$G$2:$G$258, K893) &gt; 0,"cross.bred","not found")),"NA")</f>
        <v>not found</v>
      </c>
      <c r="N893" t="str">
        <f>IF(J893="Goat",IF(COUNTIF(lists!$J$2:$J$258, K893) &gt; 0,"indigenous",IF(COUNTIF(lists!$I$2:$I$258, K893) &gt; 0,"cross.bred","not found")),"NA")</f>
        <v>NA</v>
      </c>
      <c r="O893" s="9" t="s">
        <v>109</v>
      </c>
      <c r="P893" s="9" t="s">
        <v>153</v>
      </c>
      <c r="S893" s="9" t="s">
        <v>106</v>
      </c>
      <c r="T893" s="9" t="s">
        <v>106</v>
      </c>
      <c r="U893" s="9" t="s">
        <v>106</v>
      </c>
      <c r="V893" s="9" t="s">
        <v>106</v>
      </c>
      <c r="W893" s="9" t="s">
        <v>106</v>
      </c>
      <c r="X893" s="9" t="s">
        <v>106</v>
      </c>
      <c r="Y893" s="9" t="s">
        <v>106</v>
      </c>
      <c r="Z893" s="37"/>
      <c r="AA893" s="37"/>
      <c r="AB893" s="37"/>
      <c r="AE893"/>
    </row>
    <row r="894" spans="1:31" hidden="1">
      <c r="A894" s="9" t="s">
        <v>150</v>
      </c>
      <c r="B894" s="9" t="s">
        <v>155</v>
      </c>
      <c r="C894" s="9" t="s">
        <v>105</v>
      </c>
      <c r="D894" s="9">
        <v>0.84055999999999997</v>
      </c>
      <c r="E894" s="9" t="s">
        <v>106</v>
      </c>
      <c r="F894" s="9" t="s">
        <v>106</v>
      </c>
      <c r="G894" s="9" t="s">
        <v>106</v>
      </c>
      <c r="H894" s="9" t="s">
        <v>106</v>
      </c>
      <c r="J894" s="9" t="s">
        <v>107</v>
      </c>
      <c r="K894" s="9" t="s">
        <v>152</v>
      </c>
      <c r="L894" t="str">
        <f>IF(OR(J894="Cattle",J894="Zebu Cattle"),IF(COUNTIF(lists!$M$2:$M$258, K894) &gt; 0,"bos.indicus",IF(COUNTIF(lists!$L$2:$L$258, K894) &gt; 0,"cross.bred","pure.bred.exotic")),"NA")</f>
        <v>NA</v>
      </c>
      <c r="M894" t="str">
        <f>IF(J894="Sheep",IF(COUNTIF(lists!$H$2:$H$258, K894) &gt; 0,"indigenous",IF(COUNTIF(lists!$G$2:$G$258, K894) &gt; 0,"cross.bred","not found")),"NA")</f>
        <v>not found</v>
      </c>
      <c r="N894" t="str">
        <f>IF(J894="Goat",IF(COUNTIF(lists!$J$2:$J$258, K894) &gt; 0,"indigenous",IF(COUNTIF(lists!$I$2:$I$258, K894) &gt; 0,"cross.bred","not found")),"NA")</f>
        <v>NA</v>
      </c>
      <c r="O894" s="9" t="s">
        <v>109</v>
      </c>
      <c r="P894" s="9" t="s">
        <v>153</v>
      </c>
      <c r="S894" s="9" t="s">
        <v>106</v>
      </c>
      <c r="T894" s="9" t="s">
        <v>106</v>
      </c>
      <c r="U894" s="9" t="s">
        <v>106</v>
      </c>
      <c r="V894" s="9" t="s">
        <v>106</v>
      </c>
      <c r="W894" s="9" t="s">
        <v>106</v>
      </c>
      <c r="X894" s="9" t="s">
        <v>106</v>
      </c>
      <c r="Y894" s="9" t="s">
        <v>106</v>
      </c>
      <c r="Z894" s="37"/>
      <c r="AA894" s="37"/>
      <c r="AB894" s="37"/>
      <c r="AE894"/>
    </row>
    <row r="895" spans="1:31" hidden="1">
      <c r="A895" s="9" t="s">
        <v>150</v>
      </c>
      <c r="B895" s="9" t="s">
        <v>156</v>
      </c>
      <c r="C895" s="9" t="s">
        <v>105</v>
      </c>
      <c r="D895" s="9">
        <v>0.93140999999999996</v>
      </c>
      <c r="E895" s="9" t="s">
        <v>106</v>
      </c>
      <c r="F895" s="9" t="s">
        <v>106</v>
      </c>
      <c r="G895" s="9" t="s">
        <v>106</v>
      </c>
      <c r="H895" s="9" t="s">
        <v>106</v>
      </c>
      <c r="J895" s="9" t="s">
        <v>107</v>
      </c>
      <c r="K895" s="9" t="s">
        <v>152</v>
      </c>
      <c r="L895" t="str">
        <f>IF(OR(J895="Cattle",J895="Zebu Cattle"),IF(COUNTIF(lists!$M$2:$M$258, K895) &gt; 0,"bos.indicus",IF(COUNTIF(lists!$L$2:$L$258, K895) &gt; 0,"cross.bred","pure.bred.exotic")),"NA")</f>
        <v>NA</v>
      </c>
      <c r="M895" t="str">
        <f>IF(J895="Sheep",IF(COUNTIF(lists!$H$2:$H$258, K895) &gt; 0,"indigenous",IF(COUNTIF(lists!$G$2:$G$258, K895) &gt; 0,"cross.bred","not found")),"NA")</f>
        <v>not found</v>
      </c>
      <c r="N895" t="str">
        <f>IF(J895="Goat",IF(COUNTIF(lists!$J$2:$J$258, K895) &gt; 0,"indigenous",IF(COUNTIF(lists!$I$2:$I$258, K895) &gt; 0,"cross.bred","not found")),"NA")</f>
        <v>NA</v>
      </c>
      <c r="O895" s="9" t="s">
        <v>109</v>
      </c>
      <c r="P895" s="9" t="s">
        <v>153</v>
      </c>
      <c r="S895" s="9" t="s">
        <v>106</v>
      </c>
      <c r="T895" s="9" t="s">
        <v>106</v>
      </c>
      <c r="U895" s="9" t="s">
        <v>106</v>
      </c>
      <c r="V895" s="9" t="s">
        <v>106</v>
      </c>
      <c r="W895" s="9" t="s">
        <v>106</v>
      </c>
      <c r="X895" s="9" t="s">
        <v>106</v>
      </c>
      <c r="Y895" s="9" t="s">
        <v>106</v>
      </c>
      <c r="Z895" s="37"/>
      <c r="AA895" s="37"/>
      <c r="AB895" s="37"/>
      <c r="AE895"/>
    </row>
    <row r="896" spans="1:31" hidden="1">
      <c r="A896" s="9" t="s">
        <v>150</v>
      </c>
      <c r="B896" s="9" t="s">
        <v>157</v>
      </c>
      <c r="C896" s="9" t="s">
        <v>105</v>
      </c>
      <c r="D896" s="9">
        <v>1.01572</v>
      </c>
      <c r="E896" s="9" t="s">
        <v>106</v>
      </c>
      <c r="F896" s="9" t="s">
        <v>106</v>
      </c>
      <c r="G896" s="9" t="s">
        <v>106</v>
      </c>
      <c r="H896" s="9" t="s">
        <v>106</v>
      </c>
      <c r="J896" s="9" t="s">
        <v>107</v>
      </c>
      <c r="K896" s="9" t="s">
        <v>152</v>
      </c>
      <c r="L896" t="str">
        <f>IF(OR(J896="Cattle",J896="Zebu Cattle"),IF(COUNTIF(lists!$M$2:$M$258, K896) &gt; 0,"bos.indicus",IF(COUNTIF(lists!$L$2:$L$258, K896) &gt; 0,"cross.bred","pure.bred.exotic")),"NA")</f>
        <v>NA</v>
      </c>
      <c r="M896" t="str">
        <f>IF(J896="Sheep",IF(COUNTIF(lists!$H$2:$H$258, K896) &gt; 0,"indigenous",IF(COUNTIF(lists!$G$2:$G$258, K896) &gt; 0,"cross.bred","not found")),"NA")</f>
        <v>not found</v>
      </c>
      <c r="N896" t="str">
        <f>IF(J896="Goat",IF(COUNTIF(lists!$J$2:$J$258, K896) &gt; 0,"indigenous",IF(COUNTIF(lists!$I$2:$I$258, K896) &gt; 0,"cross.bred","not found")),"NA")</f>
        <v>NA</v>
      </c>
      <c r="O896" s="9" t="s">
        <v>109</v>
      </c>
      <c r="P896" s="9" t="s">
        <v>153</v>
      </c>
      <c r="S896" s="9" t="s">
        <v>106</v>
      </c>
      <c r="T896" s="9" t="s">
        <v>106</v>
      </c>
      <c r="U896" s="9" t="s">
        <v>106</v>
      </c>
      <c r="V896" s="9" t="s">
        <v>106</v>
      </c>
      <c r="W896" s="9" t="s">
        <v>106</v>
      </c>
      <c r="X896" s="9" t="s">
        <v>106</v>
      </c>
      <c r="Y896" s="9" t="s">
        <v>106</v>
      </c>
      <c r="Z896" s="37"/>
      <c r="AA896" s="37"/>
      <c r="AB896" s="37"/>
      <c r="AE896"/>
    </row>
    <row r="897" spans="1:31" hidden="1">
      <c r="A897" s="9" t="s">
        <v>162</v>
      </c>
      <c r="B897" s="9" t="s">
        <v>163</v>
      </c>
      <c r="C897" s="9" t="s">
        <v>105</v>
      </c>
      <c r="D897" s="9">
        <v>1.1561999999999999</v>
      </c>
      <c r="E897" s="9">
        <v>32.840000000000003</v>
      </c>
      <c r="F897" s="9" t="s">
        <v>106</v>
      </c>
      <c r="G897" s="9" t="s">
        <v>106</v>
      </c>
      <c r="H897" s="9" t="s">
        <v>106</v>
      </c>
      <c r="J897" s="9" t="s">
        <v>107</v>
      </c>
      <c r="K897" s="9" t="s">
        <v>108</v>
      </c>
      <c r="L897" t="str">
        <f>IF(OR(J897="Cattle",J897="Zebu Cattle"),IF(COUNTIF(lists!$M$2:$M$258, K897) &gt; 0,"bos.indicus",IF(COUNTIF(lists!$L$2:$L$258, K897) &gt; 0,"cross.bred","pure.bred.exotic")),"NA")</f>
        <v>NA</v>
      </c>
      <c r="M897" t="str">
        <f>IF(J897="Sheep",IF(COUNTIF(lists!$H$2:$H$258, K897) &gt; 0,"indigenous",IF(COUNTIF(lists!$G$2:$G$258, K897) &gt; 0,"cross.bred","not found")),"NA")</f>
        <v>indigenous</v>
      </c>
      <c r="N897" t="str">
        <f>IF(J897="Goat",IF(COUNTIF(lists!$J$2:$J$258, K897) &gt; 0,"indigenous",IF(COUNTIF(lists!$I$2:$I$258, K897) &gt; 0,"cross.bred","not found")),"NA")</f>
        <v>NA</v>
      </c>
      <c r="O897" s="9" t="s">
        <v>109</v>
      </c>
      <c r="P897" s="9" t="s">
        <v>164</v>
      </c>
      <c r="S897" s="9">
        <v>263.29999999999899</v>
      </c>
      <c r="T897" s="9">
        <v>57.8</v>
      </c>
      <c r="U897" s="9">
        <v>134.80000000000001</v>
      </c>
      <c r="V897" s="9">
        <v>698.4</v>
      </c>
      <c r="W897" s="9">
        <v>24.2</v>
      </c>
      <c r="X897" s="9">
        <v>431.3</v>
      </c>
      <c r="Y897" s="9">
        <v>65.92</v>
      </c>
      <c r="Z897" s="37"/>
      <c r="AA897" s="37"/>
      <c r="AB897" s="37"/>
      <c r="AE897"/>
    </row>
    <row r="898" spans="1:31" hidden="1">
      <c r="A898" s="9" t="s">
        <v>162</v>
      </c>
      <c r="B898" s="9" t="s">
        <v>165</v>
      </c>
      <c r="C898" s="9" t="s">
        <v>105</v>
      </c>
      <c r="D898" s="9">
        <v>1.3308</v>
      </c>
      <c r="E898" s="9">
        <v>32.840000000000003</v>
      </c>
      <c r="F898" s="9" t="s">
        <v>106</v>
      </c>
      <c r="G898" s="9" t="s">
        <v>106</v>
      </c>
      <c r="H898" s="9" t="s">
        <v>106</v>
      </c>
      <c r="J898" s="9" t="s">
        <v>107</v>
      </c>
      <c r="K898" s="9" t="s">
        <v>108</v>
      </c>
      <c r="L898" t="str">
        <f>IF(OR(J898="Cattle",J898="Zebu Cattle"),IF(COUNTIF(lists!$M$2:$M$258, K898) &gt; 0,"bos.indicus",IF(COUNTIF(lists!$L$2:$L$258, K898) &gt; 0,"cross.bred","pure.bred.exotic")),"NA")</f>
        <v>NA</v>
      </c>
      <c r="M898" t="str">
        <f>IF(J898="Sheep",IF(COUNTIF(lists!$H$2:$H$258, K898) &gt; 0,"indigenous",IF(COUNTIF(lists!$G$2:$G$258, K898) &gt; 0,"cross.bred","not found")),"NA")</f>
        <v>indigenous</v>
      </c>
      <c r="N898" t="str">
        <f>IF(J898="Goat",IF(COUNTIF(lists!$J$2:$J$258, K898) &gt; 0,"indigenous",IF(COUNTIF(lists!$I$2:$I$258, K898) &gt; 0,"cross.bred","not found")),"NA")</f>
        <v>NA</v>
      </c>
      <c r="O898" s="9" t="s">
        <v>109</v>
      </c>
      <c r="P898" s="9" t="s">
        <v>164</v>
      </c>
      <c r="S898" s="9">
        <v>252.5</v>
      </c>
      <c r="T898" s="9">
        <v>62.8</v>
      </c>
      <c r="U898" s="9">
        <v>132.5</v>
      </c>
      <c r="V898" s="9">
        <v>697</v>
      </c>
      <c r="W898" s="9">
        <v>24</v>
      </c>
      <c r="X898" s="9">
        <v>404.2</v>
      </c>
      <c r="Y898" s="9">
        <v>62.05</v>
      </c>
      <c r="Z898" s="37"/>
      <c r="AA898" s="37"/>
      <c r="AB898" s="37"/>
      <c r="AE898"/>
    </row>
    <row r="899" spans="1:31" hidden="1">
      <c r="A899" s="9" t="s">
        <v>162</v>
      </c>
      <c r="B899" s="9" t="s">
        <v>166</v>
      </c>
      <c r="C899" s="9" t="s">
        <v>105</v>
      </c>
      <c r="D899" s="9">
        <v>1.1006499999999999</v>
      </c>
      <c r="E899" s="9">
        <v>32.840000000000003</v>
      </c>
      <c r="F899" s="9" t="s">
        <v>106</v>
      </c>
      <c r="G899" s="9" t="s">
        <v>106</v>
      </c>
      <c r="H899" s="9" t="s">
        <v>106</v>
      </c>
      <c r="J899" s="9" t="s">
        <v>107</v>
      </c>
      <c r="K899" s="9" t="s">
        <v>108</v>
      </c>
      <c r="L899" t="str">
        <f>IF(OR(J899="Cattle",J899="Zebu Cattle"),IF(COUNTIF(lists!$M$2:$M$258, K899) &gt; 0,"bos.indicus",IF(COUNTIF(lists!$L$2:$L$258, K899) &gt; 0,"cross.bred","pure.bred.exotic")),"NA")</f>
        <v>NA</v>
      </c>
      <c r="M899" t="str">
        <f>IF(J899="Sheep",IF(COUNTIF(lists!$H$2:$H$258, K899) &gt; 0,"indigenous",IF(COUNTIF(lists!$G$2:$G$258, K899) &gt; 0,"cross.bred","not found")),"NA")</f>
        <v>indigenous</v>
      </c>
      <c r="N899" t="str">
        <f>IF(J899="Goat",IF(COUNTIF(lists!$J$2:$J$258, K899) &gt; 0,"indigenous",IF(COUNTIF(lists!$I$2:$I$258, K899) &gt; 0,"cross.bred","not found")),"NA")</f>
        <v>NA</v>
      </c>
      <c r="O899" s="9" t="s">
        <v>109</v>
      </c>
      <c r="P899" s="9" t="s">
        <v>164</v>
      </c>
      <c r="S899" s="9">
        <v>241.6</v>
      </c>
      <c r="T899" s="9">
        <v>118.3</v>
      </c>
      <c r="U899" s="9">
        <v>130.19999999999999</v>
      </c>
      <c r="V899" s="9">
        <v>695.6</v>
      </c>
      <c r="W899" s="9">
        <v>23.799999999999901</v>
      </c>
      <c r="X899" s="9">
        <v>377.2</v>
      </c>
      <c r="Y899" s="9">
        <v>59.65</v>
      </c>
      <c r="Z899" s="37"/>
      <c r="AA899" s="37"/>
      <c r="AB899" s="37"/>
      <c r="AE899"/>
    </row>
    <row r="900" spans="1:31" hidden="1">
      <c r="A900" s="9" t="s">
        <v>178</v>
      </c>
      <c r="B900" s="9" t="s">
        <v>179</v>
      </c>
      <c r="C900" s="9" t="s">
        <v>105</v>
      </c>
      <c r="D900" s="9">
        <v>0.873</v>
      </c>
      <c r="E900" s="9">
        <v>11.4</v>
      </c>
      <c r="F900" s="9" t="s">
        <v>106</v>
      </c>
      <c r="G900" s="9" t="s">
        <v>106</v>
      </c>
      <c r="H900" s="9" t="s">
        <v>106</v>
      </c>
      <c r="J900" s="9" t="s">
        <v>107</v>
      </c>
      <c r="K900" s="9" t="s">
        <v>180</v>
      </c>
      <c r="L900" t="str">
        <f>IF(OR(J900="Cattle",J900="Zebu Cattle"),IF(COUNTIF(lists!$M$2:$M$258, K900) &gt; 0,"bos.indicus",IF(COUNTIF(lists!$L$2:$L$258, K900) &gt; 0,"cross.bred","pure.bred.exotic")),"NA")</f>
        <v>NA</v>
      </c>
      <c r="M900" t="str">
        <f>IF(J900="Sheep",IF(COUNTIF(lists!$H$2:$H$258, K900) &gt; 0,"indigenous",IF(COUNTIF(lists!$G$2:$G$258, K900) &gt; 0,"cross.bred","not found")),"NA")</f>
        <v>not found</v>
      </c>
      <c r="N900" t="str">
        <f>IF(J900="Goat",IF(COUNTIF(lists!$J$2:$J$258, K900) &gt; 0,"indigenous",IF(COUNTIF(lists!$I$2:$I$258, K900) &gt; 0,"cross.bred","not found")),"NA")</f>
        <v>NA</v>
      </c>
      <c r="O900" s="9" t="s">
        <v>180</v>
      </c>
      <c r="P900" s="9" t="s">
        <v>170</v>
      </c>
      <c r="S900" s="9" t="s">
        <v>106</v>
      </c>
      <c r="T900" s="9" t="s">
        <v>106</v>
      </c>
      <c r="U900" s="9" t="s">
        <v>106</v>
      </c>
      <c r="V900" s="9" t="s">
        <v>106</v>
      </c>
      <c r="W900" s="9" t="s">
        <v>106</v>
      </c>
      <c r="X900" s="9" t="s">
        <v>106</v>
      </c>
      <c r="Y900" s="9" t="s">
        <v>106</v>
      </c>
      <c r="Z900" s="37"/>
      <c r="AA900" s="37"/>
      <c r="AB900" s="37"/>
      <c r="AE900"/>
    </row>
    <row r="901" spans="1:31" hidden="1">
      <c r="A901" s="9" t="s">
        <v>178</v>
      </c>
      <c r="B901" s="9" t="s">
        <v>181</v>
      </c>
      <c r="C901" s="9" t="s">
        <v>105</v>
      </c>
      <c r="D901" s="9">
        <v>0.86099999999999999</v>
      </c>
      <c r="E901" s="9">
        <v>11.4</v>
      </c>
      <c r="F901" s="9" t="s">
        <v>106</v>
      </c>
      <c r="G901" s="9" t="s">
        <v>106</v>
      </c>
      <c r="H901" s="9" t="s">
        <v>106</v>
      </c>
      <c r="J901" s="9" t="s">
        <v>107</v>
      </c>
      <c r="K901" s="9" t="s">
        <v>180</v>
      </c>
      <c r="L901" t="str">
        <f>IF(OR(J901="Cattle",J901="Zebu Cattle"),IF(COUNTIF(lists!$M$2:$M$258, K901) &gt; 0,"bos.indicus",IF(COUNTIF(lists!$L$2:$L$258, K901) &gt; 0,"cross.bred","pure.bred.exotic")),"NA")</f>
        <v>NA</v>
      </c>
      <c r="M901" t="str">
        <f>IF(J901="Sheep",IF(COUNTIF(lists!$H$2:$H$258, K901) &gt; 0,"indigenous",IF(COUNTIF(lists!$G$2:$G$258, K901) &gt; 0,"cross.bred","not found")),"NA")</f>
        <v>not found</v>
      </c>
      <c r="N901" t="str">
        <f>IF(J901="Goat",IF(COUNTIF(lists!$J$2:$J$258, K901) &gt; 0,"indigenous",IF(COUNTIF(lists!$I$2:$I$258, K901) &gt; 0,"cross.bred","not found")),"NA")</f>
        <v>NA</v>
      </c>
      <c r="O901" s="9" t="s">
        <v>180</v>
      </c>
      <c r="P901" s="9" t="s">
        <v>170</v>
      </c>
      <c r="S901" s="9" t="s">
        <v>106</v>
      </c>
      <c r="T901" s="9" t="s">
        <v>106</v>
      </c>
      <c r="U901" s="9" t="s">
        <v>106</v>
      </c>
      <c r="V901" s="9" t="s">
        <v>106</v>
      </c>
      <c r="W901" s="9" t="s">
        <v>106</v>
      </c>
      <c r="X901" s="9" t="s">
        <v>106</v>
      </c>
      <c r="Y901" s="9" t="s">
        <v>106</v>
      </c>
      <c r="Z901" s="37"/>
      <c r="AA901" s="37"/>
      <c r="AB901" s="37"/>
      <c r="AE901"/>
    </row>
    <row r="902" spans="1:31" hidden="1">
      <c r="A902" s="9" t="s">
        <v>178</v>
      </c>
      <c r="B902" s="9" t="s">
        <v>182</v>
      </c>
      <c r="C902" s="9" t="s">
        <v>105</v>
      </c>
      <c r="D902" s="9">
        <v>0.85599999999999998</v>
      </c>
      <c r="E902" s="9">
        <v>11.4</v>
      </c>
      <c r="F902" s="9" t="s">
        <v>106</v>
      </c>
      <c r="G902" s="9" t="s">
        <v>106</v>
      </c>
      <c r="H902" s="9" t="s">
        <v>106</v>
      </c>
      <c r="J902" s="9" t="s">
        <v>107</v>
      </c>
      <c r="K902" s="9" t="s">
        <v>180</v>
      </c>
      <c r="L902" t="str">
        <f>IF(OR(J902="Cattle",J902="Zebu Cattle"),IF(COUNTIF(lists!$M$2:$M$258, K902) &gt; 0,"bos.indicus",IF(COUNTIF(lists!$L$2:$L$258, K902) &gt; 0,"cross.bred","pure.bred.exotic")),"NA")</f>
        <v>NA</v>
      </c>
      <c r="M902" t="str">
        <f>IF(J902="Sheep",IF(COUNTIF(lists!$H$2:$H$258, K902) &gt; 0,"indigenous",IF(COUNTIF(lists!$G$2:$G$258, K902) &gt; 0,"cross.bred","not found")),"NA")</f>
        <v>not found</v>
      </c>
      <c r="N902" t="str">
        <f>IF(J902="Goat",IF(COUNTIF(lists!$J$2:$J$258, K902) &gt; 0,"indigenous",IF(COUNTIF(lists!$I$2:$I$258, K902) &gt; 0,"cross.bred","not found")),"NA")</f>
        <v>NA</v>
      </c>
      <c r="O902" s="9" t="s">
        <v>180</v>
      </c>
      <c r="P902" s="9" t="s">
        <v>170</v>
      </c>
      <c r="S902" s="9" t="s">
        <v>106</v>
      </c>
      <c r="T902" s="9" t="s">
        <v>106</v>
      </c>
      <c r="U902" s="9" t="s">
        <v>106</v>
      </c>
      <c r="V902" s="9" t="s">
        <v>106</v>
      </c>
      <c r="W902" s="9" t="s">
        <v>106</v>
      </c>
      <c r="X902" s="9" t="s">
        <v>106</v>
      </c>
      <c r="Y902" s="9" t="s">
        <v>106</v>
      </c>
      <c r="Z902" s="37"/>
      <c r="AA902" s="37"/>
      <c r="AB902" s="37"/>
      <c r="AE902"/>
    </row>
    <row r="903" spans="1:31" hidden="1">
      <c r="A903" s="9" t="s">
        <v>178</v>
      </c>
      <c r="B903" s="9" t="s">
        <v>183</v>
      </c>
      <c r="C903" s="9" t="s">
        <v>105</v>
      </c>
      <c r="D903" s="9">
        <v>0.83899999999999997</v>
      </c>
      <c r="E903" s="9">
        <v>11.4</v>
      </c>
      <c r="F903" s="9" t="s">
        <v>106</v>
      </c>
      <c r="G903" s="9" t="s">
        <v>106</v>
      </c>
      <c r="H903" s="9" t="s">
        <v>106</v>
      </c>
      <c r="J903" s="9" t="s">
        <v>107</v>
      </c>
      <c r="K903" s="9" t="s">
        <v>180</v>
      </c>
      <c r="L903" t="str">
        <f>IF(OR(J903="Cattle",J903="Zebu Cattle"),IF(COUNTIF(lists!$M$2:$M$258, K903) &gt; 0,"bos.indicus",IF(COUNTIF(lists!$L$2:$L$258, K903) &gt; 0,"cross.bred","pure.bred.exotic")),"NA")</f>
        <v>NA</v>
      </c>
      <c r="M903" t="str">
        <f>IF(J903="Sheep",IF(COUNTIF(lists!$H$2:$H$258, K903) &gt; 0,"indigenous",IF(COUNTIF(lists!$G$2:$G$258, K903) &gt; 0,"cross.bred","not found")),"NA")</f>
        <v>not found</v>
      </c>
      <c r="N903" t="str">
        <f>IF(J903="Goat",IF(COUNTIF(lists!$J$2:$J$258, K903) &gt; 0,"indigenous",IF(COUNTIF(lists!$I$2:$I$258, K903) &gt; 0,"cross.bred","not found")),"NA")</f>
        <v>NA</v>
      </c>
      <c r="O903" s="9" t="s">
        <v>180</v>
      </c>
      <c r="P903" s="9" t="s">
        <v>170</v>
      </c>
      <c r="S903" s="9" t="s">
        <v>106</v>
      </c>
      <c r="T903" s="9" t="s">
        <v>106</v>
      </c>
      <c r="U903" s="9" t="s">
        <v>106</v>
      </c>
      <c r="V903" s="9" t="s">
        <v>106</v>
      </c>
      <c r="W903" s="9" t="s">
        <v>106</v>
      </c>
      <c r="X903" s="9" t="s">
        <v>106</v>
      </c>
      <c r="Y903" s="9" t="s">
        <v>106</v>
      </c>
      <c r="Z903" s="37"/>
      <c r="AA903" s="37"/>
      <c r="AB903" s="37"/>
      <c r="AE903"/>
    </row>
    <row r="904" spans="1:31" hidden="1">
      <c r="A904" s="9" t="s">
        <v>178</v>
      </c>
      <c r="B904" s="9" t="s">
        <v>184</v>
      </c>
      <c r="C904" s="9" t="s">
        <v>105</v>
      </c>
      <c r="D904" s="9">
        <v>0.83399999999999996</v>
      </c>
      <c r="E904" s="9">
        <v>11.4</v>
      </c>
      <c r="F904" s="9" t="s">
        <v>106</v>
      </c>
      <c r="G904" s="9" t="s">
        <v>106</v>
      </c>
      <c r="H904" s="9" t="s">
        <v>106</v>
      </c>
      <c r="J904" s="9" t="s">
        <v>107</v>
      </c>
      <c r="K904" s="9" t="s">
        <v>180</v>
      </c>
      <c r="L904" t="str">
        <f>IF(OR(J904="Cattle",J904="Zebu Cattle"),IF(COUNTIF(lists!$M$2:$M$258, K904) &gt; 0,"bos.indicus",IF(COUNTIF(lists!$L$2:$L$258, K904) &gt; 0,"cross.bred","pure.bred.exotic")),"NA")</f>
        <v>NA</v>
      </c>
      <c r="M904" t="str">
        <f>IF(J904="Sheep",IF(COUNTIF(lists!$H$2:$H$258, K904) &gt; 0,"indigenous",IF(COUNTIF(lists!$G$2:$G$258, K904) &gt; 0,"cross.bred","not found")),"NA")</f>
        <v>not found</v>
      </c>
      <c r="N904" t="str">
        <f>IF(J904="Goat",IF(COUNTIF(lists!$J$2:$J$258, K904) &gt; 0,"indigenous",IF(COUNTIF(lists!$I$2:$I$258, K904) &gt; 0,"cross.bred","not found")),"NA")</f>
        <v>NA</v>
      </c>
      <c r="O904" s="9" t="s">
        <v>180</v>
      </c>
      <c r="P904" s="9" t="s">
        <v>170</v>
      </c>
      <c r="S904" s="9" t="s">
        <v>106</v>
      </c>
      <c r="T904" s="9" t="s">
        <v>106</v>
      </c>
      <c r="U904" s="9" t="s">
        <v>106</v>
      </c>
      <c r="V904" s="9" t="s">
        <v>106</v>
      </c>
      <c r="W904" s="9" t="s">
        <v>106</v>
      </c>
      <c r="X904" s="9" t="s">
        <v>106</v>
      </c>
      <c r="Y904" s="9" t="s">
        <v>106</v>
      </c>
      <c r="Z904" s="37"/>
      <c r="AA904" s="37"/>
      <c r="AB904" s="37"/>
      <c r="AE904"/>
    </row>
    <row r="905" spans="1:31" hidden="1">
      <c r="A905" s="9" t="s">
        <v>185</v>
      </c>
      <c r="B905" s="9" t="s">
        <v>151</v>
      </c>
      <c r="C905" s="9" t="s">
        <v>105</v>
      </c>
      <c r="D905" s="9">
        <v>0.44244</v>
      </c>
      <c r="E905" s="9">
        <v>42.55</v>
      </c>
      <c r="F905" s="9" t="s">
        <v>106</v>
      </c>
      <c r="G905" s="9" t="s">
        <v>106</v>
      </c>
      <c r="H905" s="9" t="s">
        <v>106</v>
      </c>
      <c r="J905" s="9" t="s">
        <v>107</v>
      </c>
      <c r="K905" s="9" t="s">
        <v>186</v>
      </c>
      <c r="L905" t="str">
        <f>IF(OR(J905="Cattle",J905="Zebu Cattle"),IF(COUNTIF(lists!$M$2:$M$258, K905) &gt; 0,"bos.indicus",IF(COUNTIF(lists!$L$2:$L$258, K905) &gt; 0,"cross.bred","pure.bred.exotic")),"NA")</f>
        <v>NA</v>
      </c>
      <c r="M905" t="str">
        <f>IF(J905="Sheep",IF(COUNTIF(lists!$H$2:$H$258, K905) &gt; 0,"indigenous",IF(COUNTIF(lists!$G$2:$G$258, K905) &gt; 0,"cross.bred","not found")),"NA")</f>
        <v>not found</v>
      </c>
      <c r="N905" t="str">
        <f>IF(J905="Goat",IF(COUNTIF(lists!$J$2:$J$258, K905) &gt; 0,"indigenous",IF(COUNTIF(lists!$I$2:$I$258, K905) &gt; 0,"cross.bred","not found")),"NA")</f>
        <v>NA</v>
      </c>
      <c r="O905" s="9" t="s">
        <v>109</v>
      </c>
      <c r="P905" s="9" t="s">
        <v>187</v>
      </c>
      <c r="S905" s="9" t="s">
        <v>106</v>
      </c>
      <c r="T905" s="9" t="s">
        <v>106</v>
      </c>
      <c r="U905" s="9" t="s">
        <v>106</v>
      </c>
      <c r="V905" s="9" t="s">
        <v>106</v>
      </c>
      <c r="W905" s="9" t="s">
        <v>106</v>
      </c>
      <c r="X905" s="9" t="s">
        <v>106</v>
      </c>
      <c r="Y905" s="9">
        <v>61</v>
      </c>
      <c r="Z905" s="37"/>
      <c r="AA905" s="37"/>
      <c r="AB905" s="37"/>
      <c r="AE905"/>
    </row>
    <row r="906" spans="1:31" hidden="1">
      <c r="A906" s="9" t="s">
        <v>185</v>
      </c>
      <c r="B906" s="9" t="s">
        <v>154</v>
      </c>
      <c r="C906" s="9" t="s">
        <v>105</v>
      </c>
      <c r="D906" s="9">
        <v>0.78607000000000005</v>
      </c>
      <c r="E906" s="9">
        <v>42.55</v>
      </c>
      <c r="F906" s="9" t="s">
        <v>106</v>
      </c>
      <c r="G906" s="9" t="s">
        <v>106</v>
      </c>
      <c r="H906" s="9" t="s">
        <v>106</v>
      </c>
      <c r="J906" s="9" t="s">
        <v>107</v>
      </c>
      <c r="K906" s="9" t="s">
        <v>186</v>
      </c>
      <c r="L906" t="str">
        <f>IF(OR(J906="Cattle",J906="Zebu Cattle"),IF(COUNTIF(lists!$M$2:$M$258, K906) &gt; 0,"bos.indicus",IF(COUNTIF(lists!$L$2:$L$258, K906) &gt; 0,"cross.bred","pure.bred.exotic")),"NA")</f>
        <v>NA</v>
      </c>
      <c r="M906" t="str">
        <f>IF(J906="Sheep",IF(COUNTIF(lists!$H$2:$H$258, K906) &gt; 0,"indigenous",IF(COUNTIF(lists!$G$2:$G$258, K906) &gt; 0,"cross.bred","not found")),"NA")</f>
        <v>not found</v>
      </c>
      <c r="N906" t="str">
        <f>IF(J906="Goat",IF(COUNTIF(lists!$J$2:$J$258, K906) &gt; 0,"indigenous",IF(COUNTIF(lists!$I$2:$I$258, K906) &gt; 0,"cross.bred","not found")),"NA")</f>
        <v>NA</v>
      </c>
      <c r="O906" s="9" t="s">
        <v>109</v>
      </c>
      <c r="P906" s="9" t="s">
        <v>187</v>
      </c>
      <c r="S906" s="9" t="s">
        <v>106</v>
      </c>
      <c r="T906" s="9" t="s">
        <v>106</v>
      </c>
      <c r="U906" s="9" t="s">
        <v>106</v>
      </c>
      <c r="V906" s="9" t="s">
        <v>106</v>
      </c>
      <c r="W906" s="9" t="s">
        <v>106</v>
      </c>
      <c r="X906" s="9" t="s">
        <v>106</v>
      </c>
      <c r="Y906" s="9">
        <v>64.7</v>
      </c>
      <c r="Z906" s="37"/>
      <c r="AA906" s="37"/>
      <c r="AB906" s="37"/>
      <c r="AE906"/>
    </row>
    <row r="907" spans="1:31" hidden="1">
      <c r="A907" s="9" t="s">
        <v>185</v>
      </c>
      <c r="B907" s="9" t="s">
        <v>155</v>
      </c>
      <c r="C907" s="9" t="s">
        <v>105</v>
      </c>
      <c r="D907" s="9">
        <v>0.79737999999999998</v>
      </c>
      <c r="E907" s="9">
        <v>42.55</v>
      </c>
      <c r="F907" s="9" t="s">
        <v>106</v>
      </c>
      <c r="G907" s="9" t="s">
        <v>106</v>
      </c>
      <c r="H907" s="9" t="s">
        <v>106</v>
      </c>
      <c r="J907" s="9" t="s">
        <v>107</v>
      </c>
      <c r="K907" s="9" t="s">
        <v>186</v>
      </c>
      <c r="L907" t="str">
        <f>IF(OR(J907="Cattle",J907="Zebu Cattle"),IF(COUNTIF(lists!$M$2:$M$258, K907) &gt; 0,"bos.indicus",IF(COUNTIF(lists!$L$2:$L$258, K907) &gt; 0,"cross.bred","pure.bred.exotic")),"NA")</f>
        <v>NA</v>
      </c>
      <c r="M907" t="str">
        <f>IF(J907="Sheep",IF(COUNTIF(lists!$H$2:$H$258, K907) &gt; 0,"indigenous",IF(COUNTIF(lists!$G$2:$G$258, K907) &gt; 0,"cross.bred","not found")),"NA")</f>
        <v>not found</v>
      </c>
      <c r="N907" t="str">
        <f>IF(J907="Goat",IF(COUNTIF(lists!$J$2:$J$258, K907) &gt; 0,"indigenous",IF(COUNTIF(lists!$I$2:$I$258, K907) &gt; 0,"cross.bred","not found")),"NA")</f>
        <v>NA</v>
      </c>
      <c r="O907" s="9" t="s">
        <v>109</v>
      </c>
      <c r="P907" s="9" t="s">
        <v>187</v>
      </c>
      <c r="S907" s="9" t="s">
        <v>106</v>
      </c>
      <c r="T907" s="9" t="s">
        <v>106</v>
      </c>
      <c r="U907" s="9" t="s">
        <v>106</v>
      </c>
      <c r="V907" s="9" t="s">
        <v>106</v>
      </c>
      <c r="W907" s="9" t="s">
        <v>106</v>
      </c>
      <c r="X907" s="9" t="s">
        <v>106</v>
      </c>
      <c r="Y907" s="9">
        <v>69.599999999999994</v>
      </c>
      <c r="Z907" s="37"/>
      <c r="AA907" s="37"/>
      <c r="AB907" s="37"/>
      <c r="AE907"/>
    </row>
    <row r="908" spans="1:31" hidden="1">
      <c r="A908" s="9" t="s">
        <v>185</v>
      </c>
      <c r="B908" s="9" t="s">
        <v>156</v>
      </c>
      <c r="C908" s="9" t="s">
        <v>105</v>
      </c>
      <c r="D908" s="9">
        <v>0.90764</v>
      </c>
      <c r="E908" s="9">
        <v>42.55</v>
      </c>
      <c r="F908" s="9" t="s">
        <v>106</v>
      </c>
      <c r="G908" s="9" t="s">
        <v>106</v>
      </c>
      <c r="H908" s="9" t="s">
        <v>106</v>
      </c>
      <c r="J908" s="9" t="s">
        <v>107</v>
      </c>
      <c r="K908" s="9" t="s">
        <v>186</v>
      </c>
      <c r="L908" t="str">
        <f>IF(OR(J908="Cattle",J908="Zebu Cattle"),IF(COUNTIF(lists!$M$2:$M$258, K908) &gt; 0,"bos.indicus",IF(COUNTIF(lists!$L$2:$L$258, K908) &gt; 0,"cross.bred","pure.bred.exotic")),"NA")</f>
        <v>NA</v>
      </c>
      <c r="M908" t="str">
        <f>IF(J908="Sheep",IF(COUNTIF(lists!$H$2:$H$258, K908) &gt; 0,"indigenous",IF(COUNTIF(lists!$G$2:$G$258, K908) &gt; 0,"cross.bred","not found")),"NA")</f>
        <v>not found</v>
      </c>
      <c r="N908" t="str">
        <f>IF(J908="Goat",IF(COUNTIF(lists!$J$2:$J$258, K908) &gt; 0,"indigenous",IF(COUNTIF(lists!$I$2:$I$258, K908) &gt; 0,"cross.bred","not found")),"NA")</f>
        <v>NA</v>
      </c>
      <c r="O908" s="9" t="s">
        <v>109</v>
      </c>
      <c r="P908" s="9" t="s">
        <v>187</v>
      </c>
      <c r="S908" s="9" t="s">
        <v>106</v>
      </c>
      <c r="T908" s="9" t="s">
        <v>106</v>
      </c>
      <c r="U908" s="9" t="s">
        <v>106</v>
      </c>
      <c r="V908" s="9" t="s">
        <v>106</v>
      </c>
      <c r="W908" s="9" t="s">
        <v>106</v>
      </c>
      <c r="X908" s="9" t="s">
        <v>106</v>
      </c>
      <c r="Y908" s="9">
        <v>72.2</v>
      </c>
      <c r="Z908" s="37"/>
      <c r="AA908" s="37"/>
      <c r="AB908" s="37"/>
      <c r="AE908"/>
    </row>
    <row r="909" spans="1:31" hidden="1">
      <c r="A909" s="9" t="s">
        <v>188</v>
      </c>
      <c r="B909" s="9" t="s">
        <v>151</v>
      </c>
      <c r="C909" s="9" t="s">
        <v>105</v>
      </c>
      <c r="D909" s="9">
        <v>1.2</v>
      </c>
      <c r="E909" s="9" t="s">
        <v>106</v>
      </c>
      <c r="F909" s="9" t="s">
        <v>106</v>
      </c>
      <c r="G909" s="9" t="s">
        <v>106</v>
      </c>
      <c r="H909" s="9" t="s">
        <v>106</v>
      </c>
      <c r="J909" s="9" t="s">
        <v>107</v>
      </c>
      <c r="K909" s="9" t="s">
        <v>108</v>
      </c>
      <c r="L909" t="str">
        <f>IF(OR(J909="Cattle",J909="Zebu Cattle"),IF(COUNTIF(lists!$M$2:$M$258, K909) &gt; 0,"bos.indicus",IF(COUNTIF(lists!$L$2:$L$258, K909) &gt; 0,"cross.bred","pure.bred.exotic")),"NA")</f>
        <v>NA</v>
      </c>
      <c r="M909" t="str">
        <f>IF(J909="Sheep",IF(COUNTIF(lists!$H$2:$H$258, K909) &gt; 0,"indigenous",IF(COUNTIF(lists!$G$2:$G$258, K909) &gt; 0,"cross.bred","not found")),"NA")</f>
        <v>indigenous</v>
      </c>
      <c r="N909" t="str">
        <f>IF(J909="Goat",IF(COUNTIF(lists!$J$2:$J$258, K909) &gt; 0,"indigenous",IF(COUNTIF(lists!$I$2:$I$258, K909) &gt; 0,"cross.bred","not found")),"NA")</f>
        <v>NA</v>
      </c>
      <c r="O909" s="9" t="s">
        <v>109</v>
      </c>
      <c r="P909" s="9" t="s">
        <v>177</v>
      </c>
      <c r="S909" s="9" t="s">
        <v>106</v>
      </c>
      <c r="T909" s="9" t="s">
        <v>106</v>
      </c>
      <c r="U909" s="9" t="s">
        <v>106</v>
      </c>
      <c r="V909" s="9" t="s">
        <v>106</v>
      </c>
      <c r="W909" s="9" t="s">
        <v>106</v>
      </c>
      <c r="X909" s="9" t="s">
        <v>106</v>
      </c>
      <c r="Y909" s="9" t="s">
        <v>106</v>
      </c>
      <c r="Z909" s="37"/>
      <c r="AA909" s="37"/>
      <c r="AB909" s="37"/>
      <c r="AE909"/>
    </row>
    <row r="910" spans="1:31" hidden="1">
      <c r="A910" s="9" t="s">
        <v>188</v>
      </c>
      <c r="B910" s="9" t="s">
        <v>154</v>
      </c>
      <c r="C910" s="9" t="s">
        <v>105</v>
      </c>
      <c r="D910" s="9">
        <v>0.75</v>
      </c>
      <c r="E910" s="9" t="s">
        <v>106</v>
      </c>
      <c r="F910" s="9" t="s">
        <v>106</v>
      </c>
      <c r="G910" s="9" t="s">
        <v>106</v>
      </c>
      <c r="H910" s="9" t="s">
        <v>106</v>
      </c>
      <c r="J910" s="9" t="s">
        <v>107</v>
      </c>
      <c r="K910" s="9" t="s">
        <v>108</v>
      </c>
      <c r="L910" t="str">
        <f>IF(OR(J910="Cattle",J910="Zebu Cattle"),IF(COUNTIF(lists!$M$2:$M$258, K910) &gt; 0,"bos.indicus",IF(COUNTIF(lists!$L$2:$L$258, K910) &gt; 0,"cross.bred","pure.bred.exotic")),"NA")</f>
        <v>NA</v>
      </c>
      <c r="M910" t="str">
        <f>IF(J910="Sheep",IF(COUNTIF(lists!$H$2:$H$258, K910) &gt; 0,"indigenous",IF(COUNTIF(lists!$G$2:$G$258, K910) &gt; 0,"cross.bred","not found")),"NA")</f>
        <v>indigenous</v>
      </c>
      <c r="N910" t="str">
        <f>IF(J910="Goat",IF(COUNTIF(lists!$J$2:$J$258, K910) &gt; 0,"indigenous",IF(COUNTIF(lists!$I$2:$I$258, K910) &gt; 0,"cross.bred","not found")),"NA")</f>
        <v>NA</v>
      </c>
      <c r="O910" s="9" t="s">
        <v>109</v>
      </c>
      <c r="P910" s="9" t="s">
        <v>177</v>
      </c>
      <c r="S910" s="9" t="s">
        <v>106</v>
      </c>
      <c r="T910" s="9" t="s">
        <v>106</v>
      </c>
      <c r="U910" s="9" t="s">
        <v>106</v>
      </c>
      <c r="V910" s="9" t="s">
        <v>106</v>
      </c>
      <c r="W910" s="9" t="s">
        <v>106</v>
      </c>
      <c r="X910" s="9" t="s">
        <v>106</v>
      </c>
      <c r="Y910" s="9" t="s">
        <v>106</v>
      </c>
      <c r="Z910" s="37"/>
      <c r="AA910" s="37"/>
      <c r="AB910" s="37"/>
      <c r="AE910"/>
    </row>
    <row r="911" spans="1:31" hidden="1">
      <c r="A911" s="9" t="s">
        <v>188</v>
      </c>
      <c r="B911" s="9" t="s">
        <v>155</v>
      </c>
      <c r="C911" s="9" t="s">
        <v>105</v>
      </c>
      <c r="D911" s="9">
        <v>0.9</v>
      </c>
      <c r="E911" s="9" t="s">
        <v>106</v>
      </c>
      <c r="F911" s="9" t="s">
        <v>106</v>
      </c>
      <c r="G911" s="9" t="s">
        <v>106</v>
      </c>
      <c r="H911" s="9" t="s">
        <v>106</v>
      </c>
      <c r="J911" s="9" t="s">
        <v>107</v>
      </c>
      <c r="K911" s="9" t="s">
        <v>108</v>
      </c>
      <c r="L911" t="str">
        <f>IF(OR(J911="Cattle",J911="Zebu Cattle"),IF(COUNTIF(lists!$M$2:$M$258, K911) &gt; 0,"bos.indicus",IF(COUNTIF(lists!$L$2:$L$258, K911) &gt; 0,"cross.bred","pure.bred.exotic")),"NA")</f>
        <v>NA</v>
      </c>
      <c r="M911" t="str">
        <f>IF(J911="Sheep",IF(COUNTIF(lists!$H$2:$H$258, K911) &gt; 0,"indigenous",IF(COUNTIF(lists!$G$2:$G$258, K911) &gt; 0,"cross.bred","not found")),"NA")</f>
        <v>indigenous</v>
      </c>
      <c r="N911" t="str">
        <f>IF(J911="Goat",IF(COUNTIF(lists!$J$2:$J$258, K911) &gt; 0,"indigenous",IF(COUNTIF(lists!$I$2:$I$258, K911) &gt; 0,"cross.bred","not found")),"NA")</f>
        <v>NA</v>
      </c>
      <c r="O911" s="9" t="s">
        <v>109</v>
      </c>
      <c r="P911" s="9" t="s">
        <v>177</v>
      </c>
      <c r="S911" s="9" t="s">
        <v>106</v>
      </c>
      <c r="T911" s="9" t="s">
        <v>106</v>
      </c>
      <c r="U911" s="9" t="s">
        <v>106</v>
      </c>
      <c r="V911" s="9" t="s">
        <v>106</v>
      </c>
      <c r="W911" s="9" t="s">
        <v>106</v>
      </c>
      <c r="X911" s="9" t="s">
        <v>106</v>
      </c>
      <c r="Y911" s="9" t="s">
        <v>106</v>
      </c>
      <c r="Z911" s="37"/>
      <c r="AA911" s="37"/>
      <c r="AB911" s="37"/>
      <c r="AE911"/>
    </row>
    <row r="912" spans="1:31" hidden="1">
      <c r="A912" s="9" t="s">
        <v>188</v>
      </c>
      <c r="B912" s="9" t="s">
        <v>156</v>
      </c>
      <c r="C912" s="9" t="s">
        <v>105</v>
      </c>
      <c r="D912" s="9">
        <v>1</v>
      </c>
      <c r="E912" s="9" t="s">
        <v>106</v>
      </c>
      <c r="F912" s="9" t="s">
        <v>106</v>
      </c>
      <c r="G912" s="9" t="s">
        <v>106</v>
      </c>
      <c r="H912" s="9" t="s">
        <v>106</v>
      </c>
      <c r="J912" s="9" t="s">
        <v>107</v>
      </c>
      <c r="K912" s="9" t="s">
        <v>108</v>
      </c>
      <c r="L912" t="str">
        <f>IF(OR(J912="Cattle",J912="Zebu Cattle"),IF(COUNTIF(lists!$M$2:$M$258, K912) &gt; 0,"bos.indicus",IF(COUNTIF(lists!$L$2:$L$258, K912) &gt; 0,"cross.bred","pure.bred.exotic")),"NA")</f>
        <v>NA</v>
      </c>
      <c r="M912" t="str">
        <f>IF(J912="Sheep",IF(COUNTIF(lists!$H$2:$H$258, K912) &gt; 0,"indigenous",IF(COUNTIF(lists!$G$2:$G$258, K912) &gt; 0,"cross.bred","not found")),"NA")</f>
        <v>indigenous</v>
      </c>
      <c r="N912" t="str">
        <f>IF(J912="Goat",IF(COUNTIF(lists!$J$2:$J$258, K912) &gt; 0,"indigenous",IF(COUNTIF(lists!$I$2:$I$258, K912) &gt; 0,"cross.bred","not found")),"NA")</f>
        <v>NA</v>
      </c>
      <c r="O912" s="9" t="s">
        <v>109</v>
      </c>
      <c r="P912" s="9" t="s">
        <v>177</v>
      </c>
      <c r="S912" s="9" t="s">
        <v>106</v>
      </c>
      <c r="T912" s="9" t="s">
        <v>106</v>
      </c>
      <c r="U912" s="9" t="s">
        <v>106</v>
      </c>
      <c r="V912" s="9" t="s">
        <v>106</v>
      </c>
      <c r="W912" s="9" t="s">
        <v>106</v>
      </c>
      <c r="X912" s="9" t="s">
        <v>106</v>
      </c>
      <c r="Y912" s="9" t="s">
        <v>106</v>
      </c>
      <c r="Z912" s="37"/>
      <c r="AA912" s="37"/>
      <c r="AB912" s="37"/>
      <c r="AE912"/>
    </row>
    <row r="913" spans="1:31" hidden="1">
      <c r="A913" s="9" t="s">
        <v>188</v>
      </c>
      <c r="B913" s="9" t="s">
        <v>157</v>
      </c>
      <c r="C913" s="9" t="s">
        <v>105</v>
      </c>
      <c r="D913" s="9">
        <v>1.05</v>
      </c>
      <c r="E913" s="9" t="s">
        <v>106</v>
      </c>
      <c r="F913" s="9" t="s">
        <v>106</v>
      </c>
      <c r="G913" s="9" t="s">
        <v>106</v>
      </c>
      <c r="H913" s="9" t="s">
        <v>106</v>
      </c>
      <c r="J913" s="9" t="s">
        <v>107</v>
      </c>
      <c r="K913" s="9" t="s">
        <v>108</v>
      </c>
      <c r="L913" t="str">
        <f>IF(OR(J913="Cattle",J913="Zebu Cattle"),IF(COUNTIF(lists!$M$2:$M$258, K913) &gt; 0,"bos.indicus",IF(COUNTIF(lists!$L$2:$L$258, K913) &gt; 0,"cross.bred","pure.bred.exotic")),"NA")</f>
        <v>NA</v>
      </c>
      <c r="M913" t="str">
        <f>IF(J913="Sheep",IF(COUNTIF(lists!$H$2:$H$258, K913) &gt; 0,"indigenous",IF(COUNTIF(lists!$G$2:$G$258, K913) &gt; 0,"cross.bred","not found")),"NA")</f>
        <v>indigenous</v>
      </c>
      <c r="N913" t="str">
        <f>IF(J913="Goat",IF(COUNTIF(lists!$J$2:$J$258, K913) &gt; 0,"indigenous",IF(COUNTIF(lists!$I$2:$I$258, K913) &gt; 0,"cross.bred","not found")),"NA")</f>
        <v>NA</v>
      </c>
      <c r="O913" s="9" t="s">
        <v>109</v>
      </c>
      <c r="P913" s="9" t="s">
        <v>177</v>
      </c>
      <c r="S913" s="9" t="s">
        <v>106</v>
      </c>
      <c r="T913" s="9" t="s">
        <v>106</v>
      </c>
      <c r="U913" s="9" t="s">
        <v>106</v>
      </c>
      <c r="V913" s="9" t="s">
        <v>106</v>
      </c>
      <c r="W913" s="9" t="s">
        <v>106</v>
      </c>
      <c r="X913" s="9" t="s">
        <v>106</v>
      </c>
      <c r="Y913" s="9" t="s">
        <v>106</v>
      </c>
      <c r="Z913" s="37"/>
      <c r="AA913" s="37"/>
      <c r="AB913" s="37"/>
      <c r="AE913"/>
    </row>
    <row r="914" spans="1:31" hidden="1">
      <c r="A914" s="9" t="s">
        <v>188</v>
      </c>
      <c r="B914" s="9" t="s">
        <v>189</v>
      </c>
      <c r="C914" s="9" t="s">
        <v>105</v>
      </c>
      <c r="D914" s="9">
        <v>1.1000000000000001</v>
      </c>
      <c r="E914" s="9" t="s">
        <v>106</v>
      </c>
      <c r="F914" s="9" t="s">
        <v>106</v>
      </c>
      <c r="G914" s="9" t="s">
        <v>106</v>
      </c>
      <c r="H914" s="9" t="s">
        <v>106</v>
      </c>
      <c r="J914" s="9" t="s">
        <v>107</v>
      </c>
      <c r="K914" s="9" t="s">
        <v>108</v>
      </c>
      <c r="L914" t="str">
        <f>IF(OR(J914="Cattle",J914="Zebu Cattle"),IF(COUNTIF(lists!$M$2:$M$258, K914) &gt; 0,"bos.indicus",IF(COUNTIF(lists!$L$2:$L$258, K914) &gt; 0,"cross.bred","pure.bred.exotic")),"NA")</f>
        <v>NA</v>
      </c>
      <c r="M914" t="str">
        <f>IF(J914="Sheep",IF(COUNTIF(lists!$H$2:$H$258, K914) &gt; 0,"indigenous",IF(COUNTIF(lists!$G$2:$G$258, K914) &gt; 0,"cross.bred","not found")),"NA")</f>
        <v>indigenous</v>
      </c>
      <c r="N914" t="str">
        <f>IF(J914="Goat",IF(COUNTIF(lists!$J$2:$J$258, K914) &gt; 0,"indigenous",IF(COUNTIF(lists!$I$2:$I$258, K914) &gt; 0,"cross.bred","not found")),"NA")</f>
        <v>NA</v>
      </c>
      <c r="O914" s="9" t="s">
        <v>109</v>
      </c>
      <c r="P914" s="9" t="s">
        <v>177</v>
      </c>
      <c r="S914" s="9" t="s">
        <v>106</v>
      </c>
      <c r="T914" s="9" t="s">
        <v>106</v>
      </c>
      <c r="U914" s="9" t="s">
        <v>106</v>
      </c>
      <c r="V914" s="9" t="s">
        <v>106</v>
      </c>
      <c r="W914" s="9" t="s">
        <v>106</v>
      </c>
      <c r="X914" s="9" t="s">
        <v>106</v>
      </c>
      <c r="Y914" s="9" t="s">
        <v>106</v>
      </c>
      <c r="Z914" s="37"/>
      <c r="AA914" s="37"/>
      <c r="AB914" s="37"/>
      <c r="AE914"/>
    </row>
    <row r="915" spans="1:31" hidden="1">
      <c r="A915" s="9" t="s">
        <v>188</v>
      </c>
      <c r="B915" s="9" t="s">
        <v>190</v>
      </c>
      <c r="C915" s="9" t="s">
        <v>105</v>
      </c>
      <c r="D915" s="9">
        <v>1.1499999999999999</v>
      </c>
      <c r="E915" s="9" t="s">
        <v>106</v>
      </c>
      <c r="F915" s="9" t="s">
        <v>106</v>
      </c>
      <c r="G915" s="9" t="s">
        <v>106</v>
      </c>
      <c r="H915" s="9" t="s">
        <v>106</v>
      </c>
      <c r="J915" s="9" t="s">
        <v>107</v>
      </c>
      <c r="K915" s="9" t="s">
        <v>108</v>
      </c>
      <c r="L915" t="str">
        <f>IF(OR(J915="Cattle",J915="Zebu Cattle"),IF(COUNTIF(lists!$M$2:$M$258, K915) &gt; 0,"bos.indicus",IF(COUNTIF(lists!$L$2:$L$258, K915) &gt; 0,"cross.bred","pure.bred.exotic")),"NA")</f>
        <v>NA</v>
      </c>
      <c r="M915" t="str">
        <f>IF(J915="Sheep",IF(COUNTIF(lists!$H$2:$H$258, K915) &gt; 0,"indigenous",IF(COUNTIF(lists!$G$2:$G$258, K915) &gt; 0,"cross.bred","not found")),"NA")</f>
        <v>indigenous</v>
      </c>
      <c r="N915" t="str">
        <f>IF(J915="Goat",IF(COUNTIF(lists!$J$2:$J$258, K915) &gt; 0,"indigenous",IF(COUNTIF(lists!$I$2:$I$258, K915) &gt; 0,"cross.bred","not found")),"NA")</f>
        <v>NA</v>
      </c>
      <c r="O915" s="9" t="s">
        <v>109</v>
      </c>
      <c r="P915" s="9" t="s">
        <v>177</v>
      </c>
      <c r="S915" s="9" t="s">
        <v>106</v>
      </c>
      <c r="T915" s="9" t="s">
        <v>106</v>
      </c>
      <c r="U915" s="9" t="s">
        <v>106</v>
      </c>
      <c r="V915" s="9" t="s">
        <v>106</v>
      </c>
      <c r="W915" s="9" t="s">
        <v>106</v>
      </c>
      <c r="X915" s="9" t="s">
        <v>106</v>
      </c>
      <c r="Y915" s="9" t="s">
        <v>106</v>
      </c>
      <c r="Z915" s="37"/>
      <c r="AA915" s="37"/>
      <c r="AB915" s="37"/>
      <c r="AE915"/>
    </row>
    <row r="916" spans="1:31" hidden="1">
      <c r="A916" s="9" t="s">
        <v>191</v>
      </c>
      <c r="B916" s="9" t="s">
        <v>192</v>
      </c>
      <c r="C916" s="9" t="s">
        <v>105</v>
      </c>
      <c r="D916" s="9">
        <v>0.59399999999999997</v>
      </c>
      <c r="E916" s="9" t="s">
        <v>106</v>
      </c>
      <c r="F916" s="9" t="s">
        <v>106</v>
      </c>
      <c r="G916" s="9" t="s">
        <v>106</v>
      </c>
      <c r="H916" s="9" t="s">
        <v>106</v>
      </c>
      <c r="J916" s="9" t="s">
        <v>107</v>
      </c>
      <c r="K916" s="9" t="s">
        <v>193</v>
      </c>
      <c r="L916" t="str">
        <f>IF(OR(J916="Cattle",J916="Zebu Cattle"),IF(COUNTIF(lists!$M$2:$M$258, K916) &gt; 0,"bos.indicus",IF(COUNTIF(lists!$L$2:$L$258, K916) &gt; 0,"cross.bred","pure.bred.exotic")),"NA")</f>
        <v>NA</v>
      </c>
      <c r="M916" t="str">
        <f>IF(J916="Sheep",IF(COUNTIF(lists!$H$2:$H$258, K916) &gt; 0,"indigenous",IF(COUNTIF(lists!$G$2:$G$258, K916) &gt; 0,"cross.bred","not found")),"NA")</f>
        <v>not found</v>
      </c>
      <c r="N916" t="str">
        <f>IF(J916="Goat",IF(COUNTIF(lists!$J$2:$J$258, K916) &gt; 0,"indigenous",IF(COUNTIF(lists!$I$2:$I$258, K916) &gt; 0,"cross.bred","not found")),"NA")</f>
        <v>NA</v>
      </c>
      <c r="O916" s="9" t="s">
        <v>109</v>
      </c>
      <c r="P916" s="9" t="s">
        <v>177</v>
      </c>
      <c r="S916" s="9" t="s">
        <v>106</v>
      </c>
      <c r="T916" s="9" t="s">
        <v>106</v>
      </c>
      <c r="U916" s="9" t="s">
        <v>106</v>
      </c>
      <c r="V916" s="9" t="s">
        <v>106</v>
      </c>
      <c r="W916" s="9" t="s">
        <v>106</v>
      </c>
      <c r="X916" s="9" t="s">
        <v>106</v>
      </c>
      <c r="Y916" s="9">
        <v>66.2</v>
      </c>
      <c r="Z916" s="37"/>
      <c r="AA916" s="37"/>
      <c r="AB916" s="37"/>
      <c r="AE916"/>
    </row>
    <row r="917" spans="1:31" hidden="1">
      <c r="A917" s="9" t="s">
        <v>191</v>
      </c>
      <c r="B917" s="9" t="s">
        <v>194</v>
      </c>
      <c r="C917" s="9" t="s">
        <v>105</v>
      </c>
      <c r="D917" s="9">
        <v>0.752</v>
      </c>
      <c r="E917" s="9" t="s">
        <v>106</v>
      </c>
      <c r="F917" s="9" t="s">
        <v>106</v>
      </c>
      <c r="G917" s="9" t="s">
        <v>106</v>
      </c>
      <c r="H917" s="9" t="s">
        <v>106</v>
      </c>
      <c r="J917" s="9" t="s">
        <v>107</v>
      </c>
      <c r="K917" s="9" t="s">
        <v>193</v>
      </c>
      <c r="L917" t="str">
        <f>IF(OR(J917="Cattle",J917="Zebu Cattle"),IF(COUNTIF(lists!$M$2:$M$258, K917) &gt; 0,"bos.indicus",IF(COUNTIF(lists!$L$2:$L$258, K917) &gt; 0,"cross.bred","pure.bred.exotic")),"NA")</f>
        <v>NA</v>
      </c>
      <c r="M917" t="str">
        <f>IF(J917="Sheep",IF(COUNTIF(lists!$H$2:$H$258, K917) &gt; 0,"indigenous",IF(COUNTIF(lists!$G$2:$G$258, K917) &gt; 0,"cross.bred","not found")),"NA")</f>
        <v>not found</v>
      </c>
      <c r="N917" t="str">
        <f>IF(J917="Goat",IF(COUNTIF(lists!$J$2:$J$258, K917) &gt; 0,"indigenous",IF(COUNTIF(lists!$I$2:$I$258, K917) &gt; 0,"cross.bred","not found")),"NA")</f>
        <v>NA</v>
      </c>
      <c r="O917" s="9" t="s">
        <v>109</v>
      </c>
      <c r="P917" s="9" t="s">
        <v>177</v>
      </c>
      <c r="S917" s="9" t="s">
        <v>106</v>
      </c>
      <c r="T917" s="9" t="s">
        <v>106</v>
      </c>
      <c r="U917" s="9" t="s">
        <v>106</v>
      </c>
      <c r="V917" s="9" t="s">
        <v>106</v>
      </c>
      <c r="W917" s="9" t="s">
        <v>106</v>
      </c>
      <c r="X917" s="9" t="s">
        <v>106</v>
      </c>
      <c r="Y917" s="9">
        <v>57.05</v>
      </c>
      <c r="Z917" s="37"/>
      <c r="AA917" s="37"/>
      <c r="AB917" s="37"/>
      <c r="AE917"/>
    </row>
    <row r="918" spans="1:31" hidden="1">
      <c r="A918" s="9" t="s">
        <v>205</v>
      </c>
      <c r="B918" s="9" t="s">
        <v>206</v>
      </c>
      <c r="C918" s="9" t="s">
        <v>105</v>
      </c>
      <c r="D918" s="9">
        <v>0.79976999999999998</v>
      </c>
      <c r="E918" s="9">
        <v>12</v>
      </c>
      <c r="F918" s="9" t="s">
        <v>106</v>
      </c>
      <c r="G918" s="9" t="s">
        <v>106</v>
      </c>
      <c r="H918" s="9" t="s">
        <v>106</v>
      </c>
      <c r="J918" s="9" t="s">
        <v>107</v>
      </c>
      <c r="K918" s="9" t="s">
        <v>207</v>
      </c>
      <c r="L918" t="str">
        <f>IF(OR(J918="Cattle",J918="Zebu Cattle"),IF(COUNTIF(lists!$M$2:$M$258, K918) &gt; 0,"bos.indicus",IF(COUNTIF(lists!$L$2:$L$258, K918) &gt; 0,"cross.bred","pure.bred.exotic")),"NA")</f>
        <v>NA</v>
      </c>
      <c r="M918" t="str">
        <f>IF(J918="Sheep",IF(COUNTIF(lists!$H$2:$H$258, K918) &gt; 0,"indigenous",IF(COUNTIF(lists!$G$2:$G$258, K918) &gt; 0,"cross.bred","not found")),"NA")</f>
        <v>not found</v>
      </c>
      <c r="N918" t="str">
        <f>IF(J918="Goat",IF(COUNTIF(lists!$J$2:$J$258, K918) &gt; 0,"indigenous",IF(COUNTIF(lists!$I$2:$I$258, K918) &gt; 0,"cross.bred","not found")),"NA")</f>
        <v>NA</v>
      </c>
      <c r="O918" s="9" t="s">
        <v>109</v>
      </c>
      <c r="P918" s="9" t="s">
        <v>177</v>
      </c>
      <c r="S918" s="9">
        <v>185</v>
      </c>
      <c r="T918" s="9">
        <v>74.7</v>
      </c>
      <c r="U918" s="9">
        <v>245</v>
      </c>
      <c r="V918" s="9">
        <v>940</v>
      </c>
      <c r="W918" s="9" t="s">
        <v>106</v>
      </c>
      <c r="X918" s="9">
        <v>546</v>
      </c>
      <c r="Y918" s="9">
        <v>63.72</v>
      </c>
      <c r="Z918" s="37"/>
      <c r="AA918" s="37"/>
      <c r="AB918" s="37"/>
      <c r="AE918"/>
    </row>
    <row r="919" spans="1:31" hidden="1">
      <c r="A919" s="9" t="s">
        <v>205</v>
      </c>
      <c r="B919" s="9" t="s">
        <v>208</v>
      </c>
      <c r="C919" s="9" t="s">
        <v>105</v>
      </c>
      <c r="D919" s="9">
        <v>0.78303999999999996</v>
      </c>
      <c r="E919" s="9">
        <v>12</v>
      </c>
      <c r="F919" s="9" t="s">
        <v>106</v>
      </c>
      <c r="G919" s="9" t="s">
        <v>106</v>
      </c>
      <c r="H919" s="9" t="s">
        <v>106</v>
      </c>
      <c r="J919" s="9" t="s">
        <v>107</v>
      </c>
      <c r="K919" s="9" t="s">
        <v>207</v>
      </c>
      <c r="L919" t="str">
        <f>IF(OR(J919="Cattle",J919="Zebu Cattle"),IF(COUNTIF(lists!$M$2:$M$258, K919) &gt; 0,"bos.indicus",IF(COUNTIF(lists!$L$2:$L$258, K919) &gt; 0,"cross.bred","pure.bred.exotic")),"NA")</f>
        <v>NA</v>
      </c>
      <c r="M919" t="str">
        <f>IF(J919="Sheep",IF(COUNTIF(lists!$H$2:$H$258, K919) &gt; 0,"indigenous",IF(COUNTIF(lists!$G$2:$G$258, K919) &gt; 0,"cross.bred","not found")),"NA")</f>
        <v>not found</v>
      </c>
      <c r="N919" t="str">
        <f>IF(J919="Goat",IF(COUNTIF(lists!$J$2:$J$258, K919) &gt; 0,"indigenous",IF(COUNTIF(lists!$I$2:$I$258, K919) &gt; 0,"cross.bred","not found")),"NA")</f>
        <v>NA</v>
      </c>
      <c r="O919" s="9" t="s">
        <v>109</v>
      </c>
      <c r="P919" s="9" t="s">
        <v>177</v>
      </c>
      <c r="S919" s="9">
        <v>237</v>
      </c>
      <c r="T919" s="9">
        <v>82.8</v>
      </c>
      <c r="U919" s="9">
        <v>212</v>
      </c>
      <c r="V919" s="9">
        <v>940</v>
      </c>
      <c r="W919" s="9" t="s">
        <v>106</v>
      </c>
      <c r="X919" s="9">
        <v>520</v>
      </c>
      <c r="Y919" s="9">
        <v>69.59</v>
      </c>
      <c r="Z919" s="37"/>
      <c r="AA919" s="37"/>
      <c r="AB919" s="37"/>
      <c r="AE919"/>
    </row>
    <row r="920" spans="1:31" hidden="1">
      <c r="A920" s="9" t="s">
        <v>205</v>
      </c>
      <c r="B920" s="9" t="s">
        <v>209</v>
      </c>
      <c r="C920" s="9" t="s">
        <v>105</v>
      </c>
      <c r="D920" s="9">
        <v>0.77127999999999997</v>
      </c>
      <c r="E920" s="9">
        <v>12</v>
      </c>
      <c r="F920" s="9" t="s">
        <v>106</v>
      </c>
      <c r="G920" s="9" t="s">
        <v>106</v>
      </c>
      <c r="H920" s="9" t="s">
        <v>106</v>
      </c>
      <c r="J920" s="9" t="s">
        <v>107</v>
      </c>
      <c r="K920" s="9" t="s">
        <v>207</v>
      </c>
      <c r="L920" t="str">
        <f>IF(OR(J920="Cattle",J920="Zebu Cattle"),IF(COUNTIF(lists!$M$2:$M$258, K920) &gt; 0,"bos.indicus",IF(COUNTIF(lists!$L$2:$L$258, K920) &gt; 0,"cross.bred","pure.bred.exotic")),"NA")</f>
        <v>NA</v>
      </c>
      <c r="M920" t="str">
        <f>IF(J920="Sheep",IF(COUNTIF(lists!$H$2:$H$258, K920) &gt; 0,"indigenous",IF(COUNTIF(lists!$G$2:$G$258, K920) &gt; 0,"cross.bred","not found")),"NA")</f>
        <v>not found</v>
      </c>
      <c r="N920" t="str">
        <f>IF(J920="Goat",IF(COUNTIF(lists!$J$2:$J$258, K920) &gt; 0,"indigenous",IF(COUNTIF(lists!$I$2:$I$258, K920) &gt; 0,"cross.bred","not found")),"NA")</f>
        <v>NA</v>
      </c>
      <c r="O920" s="9" t="s">
        <v>109</v>
      </c>
      <c r="P920" s="9" t="s">
        <v>177</v>
      </c>
      <c r="S920" s="9">
        <v>277</v>
      </c>
      <c r="T920" s="9">
        <v>92.4</v>
      </c>
      <c r="U920" s="9">
        <v>208</v>
      </c>
      <c r="V920" s="9">
        <v>940</v>
      </c>
      <c r="W920" s="9" t="s">
        <v>106</v>
      </c>
      <c r="X920" s="9">
        <v>465</v>
      </c>
      <c r="Y920" s="9">
        <v>50.62</v>
      </c>
      <c r="Z920" s="37"/>
      <c r="AA920" s="37"/>
      <c r="AB920" s="37"/>
      <c r="AE920"/>
    </row>
    <row r="921" spans="1:31" hidden="1">
      <c r="A921" s="9" t="s">
        <v>205</v>
      </c>
      <c r="B921" s="9" t="s">
        <v>210</v>
      </c>
      <c r="C921" s="9" t="s">
        <v>105</v>
      </c>
      <c r="D921" s="9">
        <v>0.65008999999999995</v>
      </c>
      <c r="E921" s="9">
        <v>12</v>
      </c>
      <c r="F921" s="9" t="s">
        <v>106</v>
      </c>
      <c r="G921" s="9" t="s">
        <v>106</v>
      </c>
      <c r="H921" s="9" t="s">
        <v>106</v>
      </c>
      <c r="J921" s="9" t="s">
        <v>107</v>
      </c>
      <c r="K921" s="9" t="s">
        <v>207</v>
      </c>
      <c r="L921" t="str">
        <f>IF(OR(J921="Cattle",J921="Zebu Cattle"),IF(COUNTIF(lists!$M$2:$M$258, K921) &gt; 0,"bos.indicus",IF(COUNTIF(lists!$L$2:$L$258, K921) &gt; 0,"cross.bred","pure.bred.exotic")),"NA")</f>
        <v>NA</v>
      </c>
      <c r="M921" t="str">
        <f>IF(J921="Sheep",IF(COUNTIF(lists!$H$2:$H$258, K921) &gt; 0,"indigenous",IF(COUNTIF(lists!$G$2:$G$258, K921) &gt; 0,"cross.bred","not found")),"NA")</f>
        <v>not found</v>
      </c>
      <c r="N921" t="str">
        <f>IF(J921="Goat",IF(COUNTIF(lists!$J$2:$J$258, K921) &gt; 0,"indigenous",IF(COUNTIF(lists!$I$2:$I$258, K921) &gt; 0,"cross.bred","not found")),"NA")</f>
        <v>NA</v>
      </c>
      <c r="O921" s="9" t="s">
        <v>109</v>
      </c>
      <c r="P921" s="9" t="s">
        <v>177</v>
      </c>
      <c r="S921" s="9">
        <v>284</v>
      </c>
      <c r="T921" s="9">
        <v>92.6</v>
      </c>
      <c r="U921" s="9">
        <v>216</v>
      </c>
      <c r="V921" s="9">
        <v>940</v>
      </c>
      <c r="W921" s="9" t="s">
        <v>106</v>
      </c>
      <c r="X921" s="9">
        <v>488</v>
      </c>
      <c r="Y921" s="9">
        <v>44.88</v>
      </c>
      <c r="Z921" s="37"/>
      <c r="AA921" s="37"/>
      <c r="AB921" s="37"/>
      <c r="AE921"/>
    </row>
    <row r="922" spans="1:31" hidden="1">
      <c r="A922" s="9" t="s">
        <v>213</v>
      </c>
      <c r="B922" s="9" t="s">
        <v>214</v>
      </c>
      <c r="C922" s="9" t="s">
        <v>105</v>
      </c>
      <c r="D922" s="9">
        <v>0.96239999999999903</v>
      </c>
      <c r="E922" s="9">
        <v>38.700000000000003</v>
      </c>
      <c r="F922" s="9" t="s">
        <v>106</v>
      </c>
      <c r="G922" s="9" t="s">
        <v>106</v>
      </c>
      <c r="H922" s="9" t="s">
        <v>106</v>
      </c>
      <c r="J922" s="9" t="s">
        <v>107</v>
      </c>
      <c r="K922" s="9" t="s">
        <v>215</v>
      </c>
      <c r="L922" t="str">
        <f>IF(OR(J922="Cattle",J922="Zebu Cattle"),IF(COUNTIF(lists!$M$2:$M$258, K922) &gt; 0,"bos.indicus",IF(COUNTIF(lists!$L$2:$L$258, K922) &gt; 0,"cross.bred","pure.bred.exotic")),"NA")</f>
        <v>NA</v>
      </c>
      <c r="M922" t="str">
        <f>IF(J922="Sheep",IF(COUNTIF(lists!$H$2:$H$258, K922) &gt; 0,"indigenous",IF(COUNTIF(lists!$G$2:$G$258, K922) &gt; 0,"cross.bred","not found")),"NA")</f>
        <v>not found</v>
      </c>
      <c r="N922" t="str">
        <f>IF(J922="Goat",IF(COUNTIF(lists!$J$2:$J$258, K922) &gt; 0,"indigenous",IF(COUNTIF(lists!$I$2:$I$258, K922) &gt; 0,"cross.bred","not found")),"NA")</f>
        <v>NA</v>
      </c>
      <c r="O922" s="9" t="s">
        <v>109</v>
      </c>
      <c r="P922" s="9" t="s">
        <v>187</v>
      </c>
      <c r="S922" s="9">
        <v>258</v>
      </c>
      <c r="T922" s="9" t="s">
        <v>106</v>
      </c>
      <c r="U922" s="9">
        <v>138</v>
      </c>
      <c r="V922" s="9">
        <v>666</v>
      </c>
      <c r="W922" s="9" t="s">
        <v>106</v>
      </c>
      <c r="X922" s="9">
        <v>457</v>
      </c>
      <c r="Y922" s="9">
        <v>68.900000000000006</v>
      </c>
      <c r="Z922" s="37"/>
      <c r="AA922" s="37"/>
      <c r="AB922" s="37"/>
      <c r="AE922"/>
    </row>
    <row r="923" spans="1:31" hidden="1">
      <c r="A923" s="9" t="s">
        <v>213</v>
      </c>
      <c r="B923" s="9" t="s">
        <v>216</v>
      </c>
      <c r="C923" s="9" t="s">
        <v>105</v>
      </c>
      <c r="D923" s="9">
        <v>0.81899999999999995</v>
      </c>
      <c r="E923" s="9">
        <v>38.700000000000003</v>
      </c>
      <c r="F923" s="9" t="s">
        <v>106</v>
      </c>
      <c r="G923" s="9" t="s">
        <v>106</v>
      </c>
      <c r="H923" s="9" t="s">
        <v>106</v>
      </c>
      <c r="J923" s="9" t="s">
        <v>107</v>
      </c>
      <c r="K923" s="9" t="s">
        <v>215</v>
      </c>
      <c r="L923" t="str">
        <f>IF(OR(J923="Cattle",J923="Zebu Cattle"),IF(COUNTIF(lists!$M$2:$M$258, K923) &gt; 0,"bos.indicus",IF(COUNTIF(lists!$L$2:$L$258, K923) &gt; 0,"cross.bred","pure.bred.exotic")),"NA")</f>
        <v>NA</v>
      </c>
      <c r="M923" t="str">
        <f>IF(J923="Sheep",IF(COUNTIF(lists!$H$2:$H$258, K923) &gt; 0,"indigenous",IF(COUNTIF(lists!$G$2:$G$258, K923) &gt; 0,"cross.bred","not found")),"NA")</f>
        <v>not found</v>
      </c>
      <c r="N923" t="str">
        <f>IF(J923="Goat",IF(COUNTIF(lists!$J$2:$J$258, K923) &gt; 0,"indigenous",IF(COUNTIF(lists!$I$2:$I$258, K923) &gt; 0,"cross.bred","not found")),"NA")</f>
        <v>NA</v>
      </c>
      <c r="O923" s="9" t="s">
        <v>109</v>
      </c>
      <c r="P923" s="9" t="s">
        <v>187</v>
      </c>
      <c r="S923" s="9">
        <v>356</v>
      </c>
      <c r="T923" s="9" t="s">
        <v>106</v>
      </c>
      <c r="U923" s="9">
        <v>119</v>
      </c>
      <c r="V923" s="9">
        <v>611</v>
      </c>
      <c r="W923" s="9" t="s">
        <v>106</v>
      </c>
      <c r="X923" s="9">
        <v>576</v>
      </c>
      <c r="Y923" s="9">
        <v>67.7</v>
      </c>
      <c r="Z923" s="37"/>
      <c r="AA923" s="37"/>
      <c r="AB923" s="37"/>
      <c r="AE923"/>
    </row>
    <row r="924" spans="1:31" hidden="1">
      <c r="A924" s="9" t="s">
        <v>213</v>
      </c>
      <c r="B924" s="9" t="s">
        <v>217</v>
      </c>
      <c r="C924" s="9" t="s">
        <v>105</v>
      </c>
      <c r="D924" s="9">
        <v>1.0519000000000001</v>
      </c>
      <c r="E924" s="9">
        <v>38.700000000000003</v>
      </c>
      <c r="F924" s="9" t="s">
        <v>106</v>
      </c>
      <c r="G924" s="9" t="s">
        <v>106</v>
      </c>
      <c r="H924" s="9" t="s">
        <v>106</v>
      </c>
      <c r="J924" s="9" t="s">
        <v>107</v>
      </c>
      <c r="K924" s="9" t="s">
        <v>215</v>
      </c>
      <c r="L924" t="str">
        <f>IF(OR(J924="Cattle",J924="Zebu Cattle"),IF(COUNTIF(lists!$M$2:$M$258, K924) &gt; 0,"bos.indicus",IF(COUNTIF(lists!$L$2:$L$258, K924) &gt; 0,"cross.bred","pure.bred.exotic")),"NA")</f>
        <v>NA</v>
      </c>
      <c r="M924" t="str">
        <f>IF(J924="Sheep",IF(COUNTIF(lists!$H$2:$H$258, K924) &gt; 0,"indigenous",IF(COUNTIF(lists!$G$2:$G$258, K924) &gt; 0,"cross.bred","not found")),"NA")</f>
        <v>not found</v>
      </c>
      <c r="N924" t="str">
        <f>IF(J924="Goat",IF(COUNTIF(lists!$J$2:$J$258, K924) &gt; 0,"indigenous",IF(COUNTIF(lists!$I$2:$I$258, K924) &gt; 0,"cross.bred","not found")),"NA")</f>
        <v>NA</v>
      </c>
      <c r="O924" s="9" t="s">
        <v>109</v>
      </c>
      <c r="P924" s="9" t="s">
        <v>187</v>
      </c>
      <c r="S924" s="9">
        <v>240</v>
      </c>
      <c r="T924" s="9" t="s">
        <v>106</v>
      </c>
      <c r="U924" s="9">
        <v>156</v>
      </c>
      <c r="V924" s="9">
        <v>895</v>
      </c>
      <c r="W924" s="9" t="s">
        <v>106</v>
      </c>
      <c r="X924" s="9">
        <v>437</v>
      </c>
      <c r="Y924" s="9">
        <v>72.7</v>
      </c>
      <c r="Z924" s="37"/>
      <c r="AA924" s="37"/>
      <c r="AB924" s="37"/>
      <c r="AE924"/>
    </row>
    <row r="925" spans="1:31" hidden="1">
      <c r="A925" s="9" t="s">
        <v>213</v>
      </c>
      <c r="B925" s="9" t="s">
        <v>218</v>
      </c>
      <c r="C925" s="9" t="s">
        <v>105</v>
      </c>
      <c r="D925" s="9">
        <v>0.66189999999999904</v>
      </c>
      <c r="E925" s="9">
        <v>38.700000000000003</v>
      </c>
      <c r="F925" s="9" t="s">
        <v>106</v>
      </c>
      <c r="G925" s="9" t="s">
        <v>106</v>
      </c>
      <c r="H925" s="9" t="s">
        <v>106</v>
      </c>
      <c r="J925" s="9" t="s">
        <v>107</v>
      </c>
      <c r="K925" s="9" t="s">
        <v>215</v>
      </c>
      <c r="L925" t="str">
        <f>IF(OR(J925="Cattle",J925="Zebu Cattle"),IF(COUNTIF(lists!$M$2:$M$258, K925) &gt; 0,"bos.indicus",IF(COUNTIF(lists!$L$2:$L$258, K925) &gt; 0,"cross.bred","pure.bred.exotic")),"NA")</f>
        <v>NA</v>
      </c>
      <c r="M925" t="str">
        <f>IF(J925="Sheep",IF(COUNTIF(lists!$H$2:$H$258, K925) &gt; 0,"indigenous",IF(COUNTIF(lists!$G$2:$G$258, K925) &gt; 0,"cross.bred","not found")),"NA")</f>
        <v>not found</v>
      </c>
      <c r="N925" t="str">
        <f>IF(J925="Goat",IF(COUNTIF(lists!$J$2:$J$258, K925) &gt; 0,"indigenous",IF(COUNTIF(lists!$I$2:$I$258, K925) &gt; 0,"cross.bred","not found")),"NA")</f>
        <v>NA</v>
      </c>
      <c r="O925" s="9" t="s">
        <v>109</v>
      </c>
      <c r="P925" s="9" t="s">
        <v>187</v>
      </c>
      <c r="S925" s="9">
        <v>357</v>
      </c>
      <c r="T925" s="9" t="s">
        <v>106</v>
      </c>
      <c r="U925" s="9">
        <v>132</v>
      </c>
      <c r="V925" s="9">
        <v>899</v>
      </c>
      <c r="W925" s="9" t="s">
        <v>106</v>
      </c>
      <c r="X925" s="9">
        <v>557</v>
      </c>
      <c r="Y925" s="9">
        <v>64.5</v>
      </c>
      <c r="Z925" s="37"/>
      <c r="AA925" s="37"/>
      <c r="AB925" s="37"/>
      <c r="AE925"/>
    </row>
    <row r="926" spans="1:31" hidden="1">
      <c r="A926" s="9" t="s">
        <v>213</v>
      </c>
      <c r="B926" s="9" t="s">
        <v>219</v>
      </c>
      <c r="C926" s="9" t="s">
        <v>105</v>
      </c>
      <c r="D926" s="9">
        <v>0.94199999999999995</v>
      </c>
      <c r="E926" s="9">
        <v>38.700000000000003</v>
      </c>
      <c r="F926" s="9" t="s">
        <v>106</v>
      </c>
      <c r="G926" s="9" t="s">
        <v>106</v>
      </c>
      <c r="H926" s="9" t="s">
        <v>106</v>
      </c>
      <c r="J926" s="9" t="s">
        <v>107</v>
      </c>
      <c r="K926" s="9" t="s">
        <v>215</v>
      </c>
      <c r="L926" t="str">
        <f>IF(OR(J926="Cattle",J926="Zebu Cattle"),IF(COUNTIF(lists!$M$2:$M$258, K926) &gt; 0,"bos.indicus",IF(COUNTIF(lists!$L$2:$L$258, K926) &gt; 0,"cross.bred","pure.bred.exotic")),"NA")</f>
        <v>NA</v>
      </c>
      <c r="M926" t="str">
        <f>IF(J926="Sheep",IF(COUNTIF(lists!$H$2:$H$258, K926) &gt; 0,"indigenous",IF(COUNTIF(lists!$G$2:$G$258, K926) &gt; 0,"cross.bred","not found")),"NA")</f>
        <v>not found</v>
      </c>
      <c r="N926" t="str">
        <f>IF(J926="Goat",IF(COUNTIF(lists!$J$2:$J$258, K926) &gt; 0,"indigenous",IF(COUNTIF(lists!$I$2:$I$258, K926) &gt; 0,"cross.bred","not found")),"NA")</f>
        <v>NA</v>
      </c>
      <c r="O926" s="9" t="s">
        <v>109</v>
      </c>
      <c r="P926" s="9" t="s">
        <v>187</v>
      </c>
      <c r="S926" s="9">
        <v>300</v>
      </c>
      <c r="T926" s="9" t="s">
        <v>106</v>
      </c>
      <c r="U926" s="9">
        <v>137</v>
      </c>
      <c r="V926" s="9">
        <v>896</v>
      </c>
      <c r="W926" s="9" t="s">
        <v>106</v>
      </c>
      <c r="X926" s="9">
        <v>503</v>
      </c>
      <c r="Y926" s="9">
        <v>63.7</v>
      </c>
      <c r="Z926" s="37"/>
      <c r="AA926" s="37"/>
      <c r="AB926" s="37"/>
      <c r="AE926"/>
    </row>
    <row r="927" spans="1:31" hidden="1">
      <c r="A927" s="9" t="s">
        <v>213</v>
      </c>
      <c r="B927" s="9" t="s">
        <v>220</v>
      </c>
      <c r="C927" s="9" t="s">
        <v>105</v>
      </c>
      <c r="D927" s="9">
        <v>0.55469999999999997</v>
      </c>
      <c r="E927" s="9">
        <v>38.700000000000003</v>
      </c>
      <c r="F927" s="9" t="s">
        <v>106</v>
      </c>
      <c r="G927" s="9" t="s">
        <v>106</v>
      </c>
      <c r="H927" s="9" t="s">
        <v>106</v>
      </c>
      <c r="J927" s="9" t="s">
        <v>107</v>
      </c>
      <c r="K927" s="9" t="s">
        <v>215</v>
      </c>
      <c r="L927" t="str">
        <f>IF(OR(J927="Cattle",J927="Zebu Cattle"),IF(COUNTIF(lists!$M$2:$M$258, K927) &gt; 0,"bos.indicus",IF(COUNTIF(lists!$L$2:$L$258, K927) &gt; 0,"cross.bred","pure.bred.exotic")),"NA")</f>
        <v>NA</v>
      </c>
      <c r="M927" t="str">
        <f>IF(J927="Sheep",IF(COUNTIF(lists!$H$2:$H$258, K927) &gt; 0,"indigenous",IF(COUNTIF(lists!$G$2:$G$258, K927) &gt; 0,"cross.bred","not found")),"NA")</f>
        <v>not found</v>
      </c>
      <c r="N927" t="str">
        <f>IF(J927="Goat",IF(COUNTIF(lists!$J$2:$J$258, K927) &gt; 0,"indigenous",IF(COUNTIF(lists!$I$2:$I$258, K927) &gt; 0,"cross.bred","not found")),"NA")</f>
        <v>NA</v>
      </c>
      <c r="O927" s="9" t="s">
        <v>109</v>
      </c>
      <c r="P927" s="9" t="s">
        <v>187</v>
      </c>
      <c r="S927" s="9">
        <v>381</v>
      </c>
      <c r="T927" s="9" t="s">
        <v>106</v>
      </c>
      <c r="U927" s="9">
        <v>114</v>
      </c>
      <c r="V927" s="9">
        <v>898</v>
      </c>
      <c r="W927" s="9" t="s">
        <v>106</v>
      </c>
      <c r="X927" s="9">
        <v>602</v>
      </c>
      <c r="Y927" s="9">
        <v>60.8</v>
      </c>
      <c r="Z927" s="37"/>
      <c r="AA927" s="37"/>
      <c r="AB927" s="37"/>
      <c r="AE927"/>
    </row>
    <row r="928" spans="1:31" hidden="1">
      <c r="A928" s="9" t="s">
        <v>232</v>
      </c>
      <c r="B928" s="9" t="s">
        <v>233</v>
      </c>
      <c r="C928" s="9" t="s">
        <v>105</v>
      </c>
      <c r="D928" s="9">
        <v>1.64</v>
      </c>
      <c r="E928" s="9">
        <v>0.24199999999999999</v>
      </c>
      <c r="F928" s="9" t="s">
        <v>106</v>
      </c>
      <c r="G928" s="9" t="s">
        <v>106</v>
      </c>
      <c r="H928" s="9" t="s">
        <v>106</v>
      </c>
      <c r="J928" s="9" t="s">
        <v>107</v>
      </c>
      <c r="K928" s="9" t="s">
        <v>234</v>
      </c>
      <c r="L928" t="str">
        <f>IF(OR(J928="Cattle",J928="Zebu Cattle"),IF(COUNTIF(lists!$M$2:$M$258, K928) &gt; 0,"bos.indicus",IF(COUNTIF(lists!$L$2:$L$258, K928) &gt; 0,"cross.bred","pure.bred.exotic")),"NA")</f>
        <v>NA</v>
      </c>
      <c r="M928" t="str">
        <f>IF(J928="Sheep",IF(COUNTIF(lists!$H$2:$H$258, K928) &gt; 0,"indigenous",IF(COUNTIF(lists!$G$2:$G$258, K928) &gt; 0,"cross.bred","not found")),"NA")</f>
        <v>not found</v>
      </c>
      <c r="N928" t="str">
        <f>IF(J928="Goat",IF(COUNTIF(lists!$J$2:$J$258, K928) &gt; 0,"indigenous",IF(COUNTIF(lists!$I$2:$I$258, K928) &gt; 0,"cross.bred","not found")),"NA")</f>
        <v>NA</v>
      </c>
      <c r="O928" s="9" t="s">
        <v>109</v>
      </c>
      <c r="P928" s="9" t="s">
        <v>177</v>
      </c>
      <c r="S928" s="9">
        <v>136</v>
      </c>
      <c r="T928" s="9" t="s">
        <v>106</v>
      </c>
      <c r="U928" s="9">
        <v>168</v>
      </c>
      <c r="V928" s="9" t="s">
        <v>106</v>
      </c>
      <c r="W928" s="9">
        <v>35</v>
      </c>
      <c r="X928" s="9">
        <v>223</v>
      </c>
      <c r="Y928" s="9" t="s">
        <v>106</v>
      </c>
      <c r="Z928" s="37"/>
      <c r="AA928" s="37"/>
      <c r="AB928" s="37"/>
      <c r="AE928"/>
    </row>
    <row r="929" spans="1:31" hidden="1">
      <c r="A929" s="9" t="s">
        <v>241</v>
      </c>
      <c r="B929" s="9" t="s">
        <v>242</v>
      </c>
      <c r="C929" s="9" t="s">
        <v>105</v>
      </c>
      <c r="D929" s="9">
        <v>0.71599999999999997</v>
      </c>
      <c r="E929" s="9">
        <v>4.0000000000000001E-3</v>
      </c>
      <c r="F929" s="9" t="s">
        <v>106</v>
      </c>
      <c r="G929" s="9" t="s">
        <v>106</v>
      </c>
      <c r="H929" s="9" t="s">
        <v>106</v>
      </c>
      <c r="J929" s="9" t="s">
        <v>107</v>
      </c>
      <c r="K929" s="9" t="s">
        <v>186</v>
      </c>
      <c r="L929" t="str">
        <f>IF(OR(J929="Cattle",J929="Zebu Cattle"),IF(COUNTIF(lists!$M$2:$M$258, K929) &gt; 0,"bos.indicus",IF(COUNTIF(lists!$L$2:$L$258, K929) &gt; 0,"cross.bred","pure.bred.exotic")),"NA")</f>
        <v>NA</v>
      </c>
      <c r="M929" t="str">
        <f>IF(J929="Sheep",IF(COUNTIF(lists!$H$2:$H$258, K929) &gt; 0,"indigenous",IF(COUNTIF(lists!$G$2:$G$258, K929) &gt; 0,"cross.bred","not found")),"NA")</f>
        <v>not found</v>
      </c>
      <c r="N929" t="str">
        <f>IF(J929="Goat",IF(COUNTIF(lists!$J$2:$J$258, K929) &gt; 0,"indigenous",IF(COUNTIF(lists!$I$2:$I$258, K929) &gt; 0,"cross.bred","not found")),"NA")</f>
        <v>NA</v>
      </c>
      <c r="O929" s="9" t="s">
        <v>109</v>
      </c>
      <c r="P929" s="9" t="s">
        <v>187</v>
      </c>
      <c r="S929" s="9" t="s">
        <v>106</v>
      </c>
      <c r="T929" s="9" t="s">
        <v>106</v>
      </c>
      <c r="U929" s="9" t="s">
        <v>106</v>
      </c>
      <c r="V929" s="9" t="s">
        <v>106</v>
      </c>
      <c r="W929" s="9" t="s">
        <v>106</v>
      </c>
      <c r="X929" s="9" t="s">
        <v>106</v>
      </c>
      <c r="Y929" s="9">
        <v>66.400000000000006</v>
      </c>
      <c r="Z929" s="37"/>
      <c r="AA929" s="37"/>
      <c r="AB929" s="37"/>
      <c r="AE929"/>
    </row>
    <row r="930" spans="1:31" hidden="1">
      <c r="A930" s="9" t="s">
        <v>241</v>
      </c>
      <c r="B930" s="9" t="s">
        <v>243</v>
      </c>
      <c r="C930" s="9" t="s">
        <v>105</v>
      </c>
      <c r="D930" s="9">
        <v>0.7</v>
      </c>
      <c r="E930" s="9">
        <v>4.0000000000000001E-3</v>
      </c>
      <c r="F930" s="9" t="s">
        <v>106</v>
      </c>
      <c r="G930" s="9" t="s">
        <v>106</v>
      </c>
      <c r="H930" s="9" t="s">
        <v>106</v>
      </c>
      <c r="J930" s="9" t="s">
        <v>107</v>
      </c>
      <c r="K930" s="9" t="s">
        <v>186</v>
      </c>
      <c r="L930" t="str">
        <f>IF(OR(J930="Cattle",J930="Zebu Cattle"),IF(COUNTIF(lists!$M$2:$M$258, K930) &gt; 0,"bos.indicus",IF(COUNTIF(lists!$L$2:$L$258, K930) &gt; 0,"cross.bred","pure.bred.exotic")),"NA")</f>
        <v>NA</v>
      </c>
      <c r="M930" t="str">
        <f>IF(J930="Sheep",IF(COUNTIF(lists!$H$2:$H$258, K930) &gt; 0,"indigenous",IF(COUNTIF(lists!$G$2:$G$258, K930) &gt; 0,"cross.bred","not found")),"NA")</f>
        <v>not found</v>
      </c>
      <c r="N930" t="str">
        <f>IF(J930="Goat",IF(COUNTIF(lists!$J$2:$J$258, K930) &gt; 0,"indigenous",IF(COUNTIF(lists!$I$2:$I$258, K930) &gt; 0,"cross.bred","not found")),"NA")</f>
        <v>NA</v>
      </c>
      <c r="O930" s="9" t="s">
        <v>109</v>
      </c>
      <c r="P930" s="9" t="s">
        <v>187</v>
      </c>
      <c r="S930" s="9" t="s">
        <v>106</v>
      </c>
      <c r="T930" s="9" t="s">
        <v>106</v>
      </c>
      <c r="U930" s="9" t="s">
        <v>106</v>
      </c>
      <c r="V930" s="9" t="s">
        <v>106</v>
      </c>
      <c r="W930" s="9" t="s">
        <v>106</v>
      </c>
      <c r="X930" s="9" t="s">
        <v>106</v>
      </c>
      <c r="Y930" s="9">
        <v>68.5</v>
      </c>
      <c r="Z930" s="37"/>
      <c r="AA930" s="37"/>
      <c r="AB930" s="37"/>
      <c r="AE930"/>
    </row>
    <row r="931" spans="1:31" hidden="1">
      <c r="A931" s="9" t="s">
        <v>241</v>
      </c>
      <c r="B931" s="9" t="s">
        <v>244</v>
      </c>
      <c r="C931" s="9" t="s">
        <v>105</v>
      </c>
      <c r="D931" s="9">
        <v>0.71899999999999997</v>
      </c>
      <c r="E931" s="9">
        <v>4.0000000000000001E-3</v>
      </c>
      <c r="F931" s="9" t="s">
        <v>106</v>
      </c>
      <c r="G931" s="9" t="s">
        <v>106</v>
      </c>
      <c r="H931" s="9" t="s">
        <v>106</v>
      </c>
      <c r="J931" s="9" t="s">
        <v>107</v>
      </c>
      <c r="K931" s="9" t="s">
        <v>186</v>
      </c>
      <c r="L931" t="str">
        <f>IF(OR(J931="Cattle",J931="Zebu Cattle"),IF(COUNTIF(lists!$M$2:$M$258, K931) &gt; 0,"bos.indicus",IF(COUNTIF(lists!$L$2:$L$258, K931) &gt; 0,"cross.bred","pure.bred.exotic")),"NA")</f>
        <v>NA</v>
      </c>
      <c r="M931" t="str">
        <f>IF(J931="Sheep",IF(COUNTIF(lists!$H$2:$H$258, K931) &gt; 0,"indigenous",IF(COUNTIF(lists!$G$2:$G$258, K931) &gt; 0,"cross.bred","not found")),"NA")</f>
        <v>not found</v>
      </c>
      <c r="N931" t="str">
        <f>IF(J931="Goat",IF(COUNTIF(lists!$J$2:$J$258, K931) &gt; 0,"indigenous",IF(COUNTIF(lists!$I$2:$I$258, K931) &gt; 0,"cross.bred","not found")),"NA")</f>
        <v>NA</v>
      </c>
      <c r="O931" s="9" t="s">
        <v>109</v>
      </c>
      <c r="P931" s="9" t="s">
        <v>187</v>
      </c>
      <c r="S931" s="9" t="s">
        <v>106</v>
      </c>
      <c r="T931" s="9" t="s">
        <v>106</v>
      </c>
      <c r="U931" s="9" t="s">
        <v>106</v>
      </c>
      <c r="V931" s="9" t="s">
        <v>106</v>
      </c>
      <c r="W931" s="9" t="s">
        <v>106</v>
      </c>
      <c r="X931" s="9" t="s">
        <v>106</v>
      </c>
      <c r="Y931" s="9">
        <v>66.8</v>
      </c>
      <c r="Z931" s="37"/>
      <c r="AA931" s="37"/>
      <c r="AB931" s="37"/>
      <c r="AE931"/>
    </row>
    <row r="932" spans="1:31" hidden="1">
      <c r="A932" s="9" t="s">
        <v>241</v>
      </c>
      <c r="B932" s="9" t="s">
        <v>245</v>
      </c>
      <c r="C932" s="9" t="s">
        <v>105</v>
      </c>
      <c r="D932" s="9">
        <v>0.69599999999999995</v>
      </c>
      <c r="E932" s="9">
        <v>4.0000000000000001E-3</v>
      </c>
      <c r="F932" s="9" t="s">
        <v>106</v>
      </c>
      <c r="G932" s="9" t="s">
        <v>106</v>
      </c>
      <c r="H932" s="9" t="s">
        <v>106</v>
      </c>
      <c r="J932" s="9" t="s">
        <v>107</v>
      </c>
      <c r="K932" s="9" t="s">
        <v>186</v>
      </c>
      <c r="L932" t="str">
        <f>IF(OR(J932="Cattle",J932="Zebu Cattle"),IF(COUNTIF(lists!$M$2:$M$258, K932) &gt; 0,"bos.indicus",IF(COUNTIF(lists!$L$2:$L$258, K932) &gt; 0,"cross.bred","pure.bred.exotic")),"NA")</f>
        <v>NA</v>
      </c>
      <c r="M932" t="str">
        <f>IF(J932="Sheep",IF(COUNTIF(lists!$H$2:$H$258, K932) &gt; 0,"indigenous",IF(COUNTIF(lists!$G$2:$G$258, K932) &gt; 0,"cross.bred","not found")),"NA")</f>
        <v>not found</v>
      </c>
      <c r="N932" t="str">
        <f>IF(J932="Goat",IF(COUNTIF(lists!$J$2:$J$258, K932) &gt; 0,"indigenous",IF(COUNTIF(lists!$I$2:$I$258, K932) &gt; 0,"cross.bred","not found")),"NA")</f>
        <v>NA</v>
      </c>
      <c r="O932" s="9" t="s">
        <v>109</v>
      </c>
      <c r="P932" s="9" t="s">
        <v>187</v>
      </c>
      <c r="S932" s="9" t="s">
        <v>106</v>
      </c>
      <c r="T932" s="9" t="s">
        <v>106</v>
      </c>
      <c r="U932" s="9" t="s">
        <v>106</v>
      </c>
      <c r="V932" s="9" t="s">
        <v>106</v>
      </c>
      <c r="W932" s="9" t="s">
        <v>106</v>
      </c>
      <c r="X932" s="9" t="s">
        <v>106</v>
      </c>
      <c r="Y932" s="9">
        <v>65.400000000000006</v>
      </c>
      <c r="Z932" s="37"/>
      <c r="AA932" s="37"/>
      <c r="AB932" s="37"/>
      <c r="AE932"/>
    </row>
    <row r="933" spans="1:31" hidden="1">
      <c r="A933" s="9" t="s">
        <v>246</v>
      </c>
      <c r="B933" s="9" t="s">
        <v>247</v>
      </c>
      <c r="C933" s="9" t="s">
        <v>105</v>
      </c>
      <c r="D933" s="9">
        <v>0.30589</v>
      </c>
      <c r="E933" s="9">
        <v>1.63</v>
      </c>
      <c r="F933" s="9" t="s">
        <v>106</v>
      </c>
      <c r="G933" s="9" t="s">
        <v>106</v>
      </c>
      <c r="H933" s="9" t="s">
        <v>106</v>
      </c>
      <c r="J933" s="9" t="s">
        <v>107</v>
      </c>
      <c r="K933" s="9" t="s">
        <v>117</v>
      </c>
      <c r="L933" t="str">
        <f>IF(OR(J933="Cattle",J933="Zebu Cattle"),IF(COUNTIF(lists!$M$2:$M$258, K933) &gt; 0,"bos.indicus",IF(COUNTIF(lists!$L$2:$L$258, K933) &gt; 0,"cross.bred","pure.bred.exotic")),"NA")</f>
        <v>NA</v>
      </c>
      <c r="M933" t="str">
        <f>IF(J933="Sheep",IF(COUNTIF(lists!$H$2:$H$258, K933) &gt; 0,"indigenous",IF(COUNTIF(lists!$G$2:$G$258, K933) &gt; 0,"cross.bred","not found")),"NA")</f>
        <v>not found</v>
      </c>
      <c r="N933" t="str">
        <f>IF(J933="Goat",IF(COUNTIF(lists!$J$2:$J$258, K933) &gt; 0,"indigenous",IF(COUNTIF(lists!$I$2:$I$258, K933) &gt; 0,"cross.bred","not found")),"NA")</f>
        <v>NA</v>
      </c>
      <c r="O933" s="9" t="s">
        <v>109</v>
      </c>
      <c r="P933" s="9" t="s">
        <v>106</v>
      </c>
      <c r="Q933" s="9" t="s">
        <v>3804</v>
      </c>
      <c r="S933" s="9">
        <v>348.5</v>
      </c>
      <c r="T933" s="9">
        <v>53.8</v>
      </c>
      <c r="U933" s="9">
        <v>152.89999999999901</v>
      </c>
      <c r="V933" s="9">
        <v>874.5</v>
      </c>
      <c r="W933" s="9">
        <v>39.5</v>
      </c>
      <c r="X933" s="9">
        <v>542.5</v>
      </c>
      <c r="Y933" s="9" t="s">
        <v>106</v>
      </c>
      <c r="Z933" s="37"/>
      <c r="AA933" s="37"/>
      <c r="AB933" s="37"/>
      <c r="AE933">
        <v>0</v>
      </c>
    </row>
    <row r="934" spans="1:31" hidden="1">
      <c r="A934" s="9" t="s">
        <v>246</v>
      </c>
      <c r="B934" s="9" t="s">
        <v>248</v>
      </c>
      <c r="C934" s="9" t="s">
        <v>105</v>
      </c>
      <c r="D934" s="9">
        <v>0.29975999999999903</v>
      </c>
      <c r="E934" s="9">
        <v>1.63</v>
      </c>
      <c r="F934" s="9" t="s">
        <v>106</v>
      </c>
      <c r="G934" s="9" t="s">
        <v>106</v>
      </c>
      <c r="H934" s="9" t="s">
        <v>106</v>
      </c>
      <c r="J934" s="9" t="s">
        <v>107</v>
      </c>
      <c r="K934" s="9" t="s">
        <v>117</v>
      </c>
      <c r="L934" t="str">
        <f>IF(OR(J934="Cattle",J934="Zebu Cattle"),IF(COUNTIF(lists!$M$2:$M$258, K934) &gt; 0,"bos.indicus",IF(COUNTIF(lists!$L$2:$L$258, K934) &gt; 0,"cross.bred","pure.bred.exotic")),"NA")</f>
        <v>NA</v>
      </c>
      <c r="M934" t="str">
        <f>IF(J934="Sheep",IF(COUNTIF(lists!$H$2:$H$258, K934) &gt; 0,"indigenous",IF(COUNTIF(lists!$G$2:$G$258, K934) &gt; 0,"cross.bred","not found")),"NA")</f>
        <v>not found</v>
      </c>
      <c r="N934" t="str">
        <f>IF(J934="Goat",IF(COUNTIF(lists!$J$2:$J$258, K934) &gt; 0,"indigenous",IF(COUNTIF(lists!$I$2:$I$258, K934) &gt; 0,"cross.bred","not found")),"NA")</f>
        <v>NA</v>
      </c>
      <c r="O934" s="9" t="s">
        <v>109</v>
      </c>
      <c r="P934" s="9" t="s">
        <v>106</v>
      </c>
      <c r="Q934" s="9" t="s">
        <v>3804</v>
      </c>
      <c r="S934" s="9">
        <v>331.3</v>
      </c>
      <c r="T934" s="9">
        <v>57.4</v>
      </c>
      <c r="U934" s="9">
        <v>155.69999999999999</v>
      </c>
      <c r="V934" s="9">
        <v>859.7</v>
      </c>
      <c r="W934" s="9">
        <v>37.299999999999997</v>
      </c>
      <c r="X934" s="9">
        <v>523.6</v>
      </c>
      <c r="Y934" s="9" t="s">
        <v>106</v>
      </c>
      <c r="Z934" s="37"/>
      <c r="AA934" s="37"/>
      <c r="AB934" s="37"/>
      <c r="AE934">
        <v>0</v>
      </c>
    </row>
    <row r="935" spans="1:31" hidden="1">
      <c r="A935" s="9" t="s">
        <v>246</v>
      </c>
      <c r="B935" s="9" t="s">
        <v>249</v>
      </c>
      <c r="C935" s="9" t="s">
        <v>105</v>
      </c>
      <c r="D935" s="9">
        <v>0.32591999999999999</v>
      </c>
      <c r="E935" s="9">
        <v>1.63</v>
      </c>
      <c r="F935" s="9" t="s">
        <v>106</v>
      </c>
      <c r="G935" s="9" t="s">
        <v>106</v>
      </c>
      <c r="H935" s="9" t="s">
        <v>106</v>
      </c>
      <c r="J935" s="9" t="s">
        <v>107</v>
      </c>
      <c r="K935" s="9" t="s">
        <v>117</v>
      </c>
      <c r="L935" t="str">
        <f>IF(OR(J935="Cattle",J935="Zebu Cattle"),IF(COUNTIF(lists!$M$2:$M$258, K935) &gt; 0,"bos.indicus",IF(COUNTIF(lists!$L$2:$L$258, K935) &gt; 0,"cross.bred","pure.bred.exotic")),"NA")</f>
        <v>NA</v>
      </c>
      <c r="M935" t="str">
        <f>IF(J935="Sheep",IF(COUNTIF(lists!$H$2:$H$258, K935) &gt; 0,"indigenous",IF(COUNTIF(lists!$G$2:$G$258, K935) &gt; 0,"cross.bred","not found")),"NA")</f>
        <v>not found</v>
      </c>
      <c r="N935" t="str">
        <f>IF(J935="Goat",IF(COUNTIF(lists!$J$2:$J$258, K935) &gt; 0,"indigenous",IF(COUNTIF(lists!$I$2:$I$258, K935) &gt; 0,"cross.bred","not found")),"NA")</f>
        <v>NA</v>
      </c>
      <c r="O935" s="9" t="s">
        <v>109</v>
      </c>
      <c r="P935" s="9" t="s">
        <v>106</v>
      </c>
      <c r="Q935" s="9" t="s">
        <v>3804</v>
      </c>
      <c r="S935" s="9">
        <v>318.2</v>
      </c>
      <c r="T935" s="9">
        <v>55.2</v>
      </c>
      <c r="U935" s="9">
        <v>150.19999999999999</v>
      </c>
      <c r="V935" s="9">
        <v>809.9</v>
      </c>
      <c r="W935" s="9">
        <v>38.9</v>
      </c>
      <c r="X935" s="9">
        <v>505.79999999999899</v>
      </c>
      <c r="Y935" s="9" t="s">
        <v>106</v>
      </c>
      <c r="Z935" s="37"/>
      <c r="AA935" s="37"/>
      <c r="AB935" s="37"/>
      <c r="AE935">
        <v>0</v>
      </c>
    </row>
    <row r="936" spans="1:31" hidden="1">
      <c r="A936" s="9" t="s">
        <v>246</v>
      </c>
      <c r="B936" s="9" t="s">
        <v>250</v>
      </c>
      <c r="C936" s="9" t="s">
        <v>105</v>
      </c>
      <c r="D936" s="9">
        <v>0.31057999999999902</v>
      </c>
      <c r="E936" s="9">
        <v>1.63</v>
      </c>
      <c r="F936" s="9" t="s">
        <v>106</v>
      </c>
      <c r="G936" s="9" t="s">
        <v>106</v>
      </c>
      <c r="H936" s="9" t="s">
        <v>106</v>
      </c>
      <c r="J936" s="9" t="s">
        <v>107</v>
      </c>
      <c r="K936" s="9" t="s">
        <v>117</v>
      </c>
      <c r="L936" t="str">
        <f>IF(OR(J936="Cattle",J936="Zebu Cattle"),IF(COUNTIF(lists!$M$2:$M$258, K936) &gt; 0,"bos.indicus",IF(COUNTIF(lists!$L$2:$L$258, K936) &gt; 0,"cross.bred","pure.bred.exotic")),"NA")</f>
        <v>NA</v>
      </c>
      <c r="M936" t="str">
        <f>IF(J936="Sheep",IF(COUNTIF(lists!$H$2:$H$258, K936) &gt; 0,"indigenous",IF(COUNTIF(lists!$G$2:$G$258, K936) &gt; 0,"cross.bred","not found")),"NA")</f>
        <v>not found</v>
      </c>
      <c r="N936" t="str">
        <f>IF(J936="Goat",IF(COUNTIF(lists!$J$2:$J$258, K936) &gt; 0,"indigenous",IF(COUNTIF(lists!$I$2:$I$258, K936) &gt; 0,"cross.bred","not found")),"NA")</f>
        <v>NA</v>
      </c>
      <c r="O936" s="9" t="s">
        <v>109</v>
      </c>
      <c r="P936" s="9" t="s">
        <v>106</v>
      </c>
      <c r="Q936" s="9" t="s">
        <v>3804</v>
      </c>
      <c r="S936" s="9">
        <v>324.79999999999899</v>
      </c>
      <c r="T936" s="9">
        <v>56.3</v>
      </c>
      <c r="U936" s="9">
        <v>153</v>
      </c>
      <c r="V936" s="9">
        <v>826.2</v>
      </c>
      <c r="W936" s="9">
        <v>38.1</v>
      </c>
      <c r="X936" s="9">
        <v>514.70000000000005</v>
      </c>
      <c r="Y936" s="9" t="s">
        <v>106</v>
      </c>
      <c r="Z936" s="37"/>
      <c r="AA936" s="37"/>
      <c r="AB936" s="37"/>
      <c r="AE936">
        <v>0</v>
      </c>
    </row>
    <row r="937" spans="1:31" hidden="1">
      <c r="A937" s="9" t="s">
        <v>277</v>
      </c>
      <c r="B937" s="9" t="s">
        <v>278</v>
      </c>
      <c r="C937" s="9" t="s">
        <v>105</v>
      </c>
      <c r="D937" s="9">
        <v>1.452</v>
      </c>
      <c r="E937" s="9" t="s">
        <v>106</v>
      </c>
      <c r="F937" s="9" t="s">
        <v>106</v>
      </c>
      <c r="G937" s="9" t="s">
        <v>106</v>
      </c>
      <c r="H937" s="9" t="s">
        <v>106</v>
      </c>
      <c r="J937" s="9" t="s">
        <v>107</v>
      </c>
      <c r="K937" s="9" t="s">
        <v>279</v>
      </c>
      <c r="L937" t="str">
        <f>IF(OR(J937="Cattle",J937="Zebu Cattle"),IF(COUNTIF(lists!$M$2:$M$258, K937) &gt; 0,"bos.indicus",IF(COUNTIF(lists!$L$2:$L$258, K937) &gt; 0,"cross.bred","pure.bred.exotic")),"NA")</f>
        <v>NA</v>
      </c>
      <c r="M937" t="str">
        <f>IF(J937="Sheep",IF(COUNTIF(lists!$H$2:$H$258, K937) &gt; 0,"indigenous",IF(COUNTIF(lists!$G$2:$G$258, K937) &gt; 0,"cross.bred","not found")),"NA")</f>
        <v>not found</v>
      </c>
      <c r="N937" t="str">
        <f>IF(J937="Goat",IF(COUNTIF(lists!$J$2:$J$258, K937) &gt; 0,"indigenous",IF(COUNTIF(lists!$I$2:$I$258, K937) &gt; 0,"cross.bred","not found")),"NA")</f>
        <v>NA</v>
      </c>
      <c r="O937" s="9" t="s">
        <v>124</v>
      </c>
      <c r="P937" s="9" t="s">
        <v>164</v>
      </c>
      <c r="S937" s="9" t="s">
        <v>106</v>
      </c>
      <c r="T937" s="9" t="s">
        <v>106</v>
      </c>
      <c r="U937" s="9" t="s">
        <v>106</v>
      </c>
      <c r="V937" s="9" t="s">
        <v>106</v>
      </c>
      <c r="W937" s="9" t="s">
        <v>106</v>
      </c>
      <c r="X937" s="9" t="s">
        <v>106</v>
      </c>
      <c r="Y937" s="9" t="s">
        <v>106</v>
      </c>
      <c r="Z937" s="37"/>
      <c r="AA937" s="37"/>
      <c r="AB937" s="37"/>
      <c r="AE937"/>
    </row>
    <row r="938" spans="1:31" hidden="1">
      <c r="A938" s="9" t="s">
        <v>277</v>
      </c>
      <c r="B938" s="9" t="s">
        <v>280</v>
      </c>
      <c r="C938" s="9" t="s">
        <v>105</v>
      </c>
      <c r="D938" s="9">
        <v>1.44</v>
      </c>
      <c r="E938" s="9" t="s">
        <v>106</v>
      </c>
      <c r="F938" s="9" t="s">
        <v>106</v>
      </c>
      <c r="G938" s="9" t="s">
        <v>106</v>
      </c>
      <c r="H938" s="9" t="s">
        <v>106</v>
      </c>
      <c r="J938" s="9" t="s">
        <v>107</v>
      </c>
      <c r="K938" s="9" t="s">
        <v>279</v>
      </c>
      <c r="L938" t="str">
        <f>IF(OR(J938="Cattle",J938="Zebu Cattle"),IF(COUNTIF(lists!$M$2:$M$258, K938) &gt; 0,"bos.indicus",IF(COUNTIF(lists!$L$2:$L$258, K938) &gt; 0,"cross.bred","pure.bred.exotic")),"NA")</f>
        <v>NA</v>
      </c>
      <c r="M938" t="str">
        <f>IF(J938="Sheep",IF(COUNTIF(lists!$H$2:$H$258, K938) &gt; 0,"indigenous",IF(COUNTIF(lists!$G$2:$G$258, K938) &gt; 0,"cross.bred","not found")),"NA")</f>
        <v>not found</v>
      </c>
      <c r="N938" t="str">
        <f>IF(J938="Goat",IF(COUNTIF(lists!$J$2:$J$258, K938) &gt; 0,"indigenous",IF(COUNTIF(lists!$I$2:$I$258, K938) &gt; 0,"cross.bred","not found")),"NA")</f>
        <v>NA</v>
      </c>
      <c r="O938" s="9" t="s">
        <v>124</v>
      </c>
      <c r="P938" s="9" t="s">
        <v>164</v>
      </c>
      <c r="S938" s="9" t="s">
        <v>106</v>
      </c>
      <c r="T938" s="9" t="s">
        <v>106</v>
      </c>
      <c r="U938" s="9" t="s">
        <v>106</v>
      </c>
      <c r="V938" s="9" t="s">
        <v>106</v>
      </c>
      <c r="W938" s="9" t="s">
        <v>106</v>
      </c>
      <c r="X938" s="9" t="s">
        <v>106</v>
      </c>
      <c r="Y938" s="9" t="s">
        <v>106</v>
      </c>
      <c r="Z938" s="37"/>
      <c r="AA938" s="37"/>
      <c r="AB938" s="37"/>
      <c r="AE938"/>
    </row>
    <row r="939" spans="1:31" hidden="1">
      <c r="A939" s="9" t="s">
        <v>277</v>
      </c>
      <c r="B939" s="9" t="s">
        <v>281</v>
      </c>
      <c r="C939" s="9" t="s">
        <v>105</v>
      </c>
      <c r="D939" s="9">
        <v>1.4570000000000001</v>
      </c>
      <c r="E939" s="9" t="s">
        <v>106</v>
      </c>
      <c r="F939" s="9" t="s">
        <v>106</v>
      </c>
      <c r="G939" s="9" t="s">
        <v>106</v>
      </c>
      <c r="H939" s="9" t="s">
        <v>106</v>
      </c>
      <c r="J939" s="9" t="s">
        <v>107</v>
      </c>
      <c r="K939" s="9" t="s">
        <v>279</v>
      </c>
      <c r="L939" t="str">
        <f>IF(OR(J939="Cattle",J939="Zebu Cattle"),IF(COUNTIF(lists!$M$2:$M$258, K939) &gt; 0,"bos.indicus",IF(COUNTIF(lists!$L$2:$L$258, K939) &gt; 0,"cross.bred","pure.bred.exotic")),"NA")</f>
        <v>NA</v>
      </c>
      <c r="M939" t="str">
        <f>IF(J939="Sheep",IF(COUNTIF(lists!$H$2:$H$258, K939) &gt; 0,"indigenous",IF(COUNTIF(lists!$G$2:$G$258, K939) &gt; 0,"cross.bred","not found")),"NA")</f>
        <v>not found</v>
      </c>
      <c r="N939" t="str">
        <f>IF(J939="Goat",IF(COUNTIF(lists!$J$2:$J$258, K939) &gt; 0,"indigenous",IF(COUNTIF(lists!$I$2:$I$258, K939) &gt; 0,"cross.bred","not found")),"NA")</f>
        <v>NA</v>
      </c>
      <c r="O939" s="9" t="s">
        <v>124</v>
      </c>
      <c r="P939" s="9" t="s">
        <v>164</v>
      </c>
      <c r="S939" s="9" t="s">
        <v>106</v>
      </c>
      <c r="T939" s="9" t="s">
        <v>106</v>
      </c>
      <c r="U939" s="9" t="s">
        <v>106</v>
      </c>
      <c r="V939" s="9" t="s">
        <v>106</v>
      </c>
      <c r="W939" s="9" t="s">
        <v>106</v>
      </c>
      <c r="X939" s="9" t="s">
        <v>106</v>
      </c>
      <c r="Y939" s="9" t="s">
        <v>106</v>
      </c>
      <c r="Z939" s="37"/>
      <c r="AA939" s="37"/>
      <c r="AB939" s="37"/>
      <c r="AE939"/>
    </row>
    <row r="940" spans="1:31" hidden="1">
      <c r="A940" s="9" t="s">
        <v>277</v>
      </c>
      <c r="B940" s="9" t="s">
        <v>282</v>
      </c>
      <c r="C940" s="9" t="s">
        <v>105</v>
      </c>
      <c r="D940" s="9">
        <v>1.462</v>
      </c>
      <c r="E940" s="9" t="s">
        <v>106</v>
      </c>
      <c r="F940" s="9" t="s">
        <v>106</v>
      </c>
      <c r="G940" s="9" t="s">
        <v>106</v>
      </c>
      <c r="H940" s="9" t="s">
        <v>106</v>
      </c>
      <c r="J940" s="9" t="s">
        <v>107</v>
      </c>
      <c r="K940" s="9" t="s">
        <v>279</v>
      </c>
      <c r="L940" t="str">
        <f>IF(OR(J940="Cattle",J940="Zebu Cattle"),IF(COUNTIF(lists!$M$2:$M$258, K940) &gt; 0,"bos.indicus",IF(COUNTIF(lists!$L$2:$L$258, K940) &gt; 0,"cross.bred","pure.bred.exotic")),"NA")</f>
        <v>NA</v>
      </c>
      <c r="M940" t="str">
        <f>IF(J940="Sheep",IF(COUNTIF(lists!$H$2:$H$258, K940) &gt; 0,"indigenous",IF(COUNTIF(lists!$G$2:$G$258, K940) &gt; 0,"cross.bred","not found")),"NA")</f>
        <v>not found</v>
      </c>
      <c r="N940" t="str">
        <f>IF(J940="Goat",IF(COUNTIF(lists!$J$2:$J$258, K940) &gt; 0,"indigenous",IF(COUNTIF(lists!$I$2:$I$258, K940) &gt; 0,"cross.bred","not found")),"NA")</f>
        <v>NA</v>
      </c>
      <c r="O940" s="9" t="s">
        <v>124</v>
      </c>
      <c r="P940" s="9" t="s">
        <v>164</v>
      </c>
      <c r="S940" s="9" t="s">
        <v>106</v>
      </c>
      <c r="T940" s="9" t="s">
        <v>106</v>
      </c>
      <c r="U940" s="9" t="s">
        <v>106</v>
      </c>
      <c r="V940" s="9" t="s">
        <v>106</v>
      </c>
      <c r="W940" s="9" t="s">
        <v>106</v>
      </c>
      <c r="X940" s="9" t="s">
        <v>106</v>
      </c>
      <c r="Y940" s="9" t="s">
        <v>106</v>
      </c>
      <c r="Z940" s="37"/>
      <c r="AA940" s="37"/>
      <c r="AB940" s="37"/>
      <c r="AE940"/>
    </row>
    <row r="941" spans="1:31" hidden="1">
      <c r="A941" s="9" t="s">
        <v>283</v>
      </c>
      <c r="B941" s="9" t="s">
        <v>284</v>
      </c>
      <c r="C941" s="9" t="s">
        <v>105</v>
      </c>
      <c r="D941" s="9">
        <v>0.54400000000000004</v>
      </c>
      <c r="E941" s="9">
        <v>13.1</v>
      </c>
      <c r="F941" s="9" t="s">
        <v>106</v>
      </c>
      <c r="G941" s="9" t="s">
        <v>106</v>
      </c>
      <c r="H941" s="9" t="s">
        <v>106</v>
      </c>
      <c r="I941" s="9">
        <v>36</v>
      </c>
      <c r="J941" s="9" t="s">
        <v>107</v>
      </c>
      <c r="K941" s="9" t="s">
        <v>117</v>
      </c>
      <c r="L941" t="str">
        <f>IF(OR(J941="Cattle",J941="Zebu Cattle"),IF(COUNTIF(lists!$M$2:$M$258, K941) &gt; 0,"bos.indicus",IF(COUNTIF(lists!$L$2:$L$258, K941) &gt; 0,"cross.bred","pure.bred.exotic")),"NA")</f>
        <v>NA</v>
      </c>
      <c r="M941" t="str">
        <f>IF(J941="Sheep",IF(COUNTIF(lists!$H$2:$H$258, K941) &gt; 0,"indigenous",IF(COUNTIF(lists!$G$2:$G$258, K941) &gt; 0,"cross.bred","not found")),"NA")</f>
        <v>not found</v>
      </c>
      <c r="N941" t="str">
        <f>IF(J941="Goat",IF(COUNTIF(lists!$J$2:$J$258, K941) &gt; 0,"indigenous",IF(COUNTIF(lists!$I$2:$I$258, K941) &gt; 0,"cross.bred","not found")),"NA")</f>
        <v>NA</v>
      </c>
      <c r="O941" s="9" t="s">
        <v>109</v>
      </c>
      <c r="P941" s="9" t="s">
        <v>106</v>
      </c>
      <c r="Q941" s="9" t="s">
        <v>3804</v>
      </c>
      <c r="S941" s="9" t="s">
        <v>106</v>
      </c>
      <c r="T941" s="9">
        <v>124</v>
      </c>
      <c r="U941" s="9">
        <v>102</v>
      </c>
      <c r="V941" s="9">
        <v>894</v>
      </c>
      <c r="W941" s="9" t="s">
        <v>106</v>
      </c>
      <c r="X941" s="9" t="s">
        <v>106</v>
      </c>
      <c r="Y941" s="9" t="s">
        <v>106</v>
      </c>
      <c r="Z941" s="37"/>
      <c r="AA941" s="37"/>
      <c r="AB941" s="37"/>
      <c r="AE941">
        <v>0</v>
      </c>
    </row>
    <row r="942" spans="1:31" hidden="1">
      <c r="A942" s="9" t="s">
        <v>283</v>
      </c>
      <c r="B942" s="9" t="s">
        <v>285</v>
      </c>
      <c r="C942" s="9" t="s">
        <v>105</v>
      </c>
      <c r="D942" s="9">
        <v>0.55900000000000005</v>
      </c>
      <c r="E942" s="9">
        <v>13.1</v>
      </c>
      <c r="F942" s="9" t="s">
        <v>106</v>
      </c>
      <c r="G942" s="9" t="s">
        <v>106</v>
      </c>
      <c r="H942" s="9" t="s">
        <v>106</v>
      </c>
      <c r="I942" s="9">
        <v>36</v>
      </c>
      <c r="J942" s="9" t="s">
        <v>107</v>
      </c>
      <c r="K942" s="9" t="s">
        <v>117</v>
      </c>
      <c r="L942" t="str">
        <f>IF(OR(J942="Cattle",J942="Zebu Cattle"),IF(COUNTIF(lists!$M$2:$M$258, K942) &gt; 0,"bos.indicus",IF(COUNTIF(lists!$L$2:$L$258, K942) &gt; 0,"cross.bred","pure.bred.exotic")),"NA")</f>
        <v>NA</v>
      </c>
      <c r="M942" t="str">
        <f>IF(J942="Sheep",IF(COUNTIF(lists!$H$2:$H$258, K942) &gt; 0,"indigenous",IF(COUNTIF(lists!$G$2:$G$258, K942) &gt; 0,"cross.bred","not found")),"NA")</f>
        <v>not found</v>
      </c>
      <c r="N942" t="str">
        <f>IF(J942="Goat",IF(COUNTIF(lists!$J$2:$J$258, K942) &gt; 0,"indigenous",IF(COUNTIF(lists!$I$2:$I$258, K942) &gt; 0,"cross.bred","not found")),"NA")</f>
        <v>NA</v>
      </c>
      <c r="O942" s="9" t="s">
        <v>109</v>
      </c>
      <c r="P942" s="9" t="s">
        <v>106</v>
      </c>
      <c r="Q942" s="9" t="s">
        <v>3804</v>
      </c>
      <c r="S942" s="9" t="s">
        <v>106</v>
      </c>
      <c r="T942" s="9">
        <v>88</v>
      </c>
      <c r="U942" s="9">
        <v>115</v>
      </c>
      <c r="V942" s="9">
        <v>880.4</v>
      </c>
      <c r="W942" s="9" t="s">
        <v>106</v>
      </c>
      <c r="X942" s="9" t="s">
        <v>106</v>
      </c>
      <c r="Y942" s="9" t="s">
        <v>106</v>
      </c>
      <c r="Z942" s="37"/>
      <c r="AA942" s="37"/>
      <c r="AB942" s="37"/>
      <c r="AE942">
        <v>0</v>
      </c>
    </row>
    <row r="943" spans="1:31" hidden="1">
      <c r="A943" s="9" t="s">
        <v>283</v>
      </c>
      <c r="B943" s="9" t="s">
        <v>286</v>
      </c>
      <c r="C943" s="9" t="s">
        <v>105</v>
      </c>
      <c r="D943" s="9">
        <v>0.55400000000000005</v>
      </c>
      <c r="E943" s="9">
        <v>13.1</v>
      </c>
      <c r="F943" s="9" t="s">
        <v>106</v>
      </c>
      <c r="G943" s="9" t="s">
        <v>106</v>
      </c>
      <c r="H943" s="9" t="s">
        <v>106</v>
      </c>
      <c r="I943" s="9">
        <v>36</v>
      </c>
      <c r="J943" s="9" t="s">
        <v>107</v>
      </c>
      <c r="K943" s="9" t="s">
        <v>117</v>
      </c>
      <c r="L943" t="str">
        <f>IF(OR(J943="Cattle",J943="Zebu Cattle"),IF(COUNTIF(lists!$M$2:$M$258, K943) &gt; 0,"bos.indicus",IF(COUNTIF(lists!$L$2:$L$258, K943) &gt; 0,"cross.bred","pure.bred.exotic")),"NA")</f>
        <v>NA</v>
      </c>
      <c r="M943" t="str">
        <f>IF(J943="Sheep",IF(COUNTIF(lists!$H$2:$H$258, K943) &gt; 0,"indigenous",IF(COUNTIF(lists!$G$2:$G$258, K943) &gt; 0,"cross.bred","not found")),"NA")</f>
        <v>not found</v>
      </c>
      <c r="N943" t="str">
        <f>IF(J943="Goat",IF(COUNTIF(lists!$J$2:$J$258, K943) &gt; 0,"indigenous",IF(COUNTIF(lists!$I$2:$I$258, K943) &gt; 0,"cross.bred","not found")),"NA")</f>
        <v>NA</v>
      </c>
      <c r="O943" s="9" t="s">
        <v>109</v>
      </c>
      <c r="P943" s="9" t="s">
        <v>106</v>
      </c>
      <c r="Q943" s="9" t="s">
        <v>3804</v>
      </c>
      <c r="S943" s="9" t="s">
        <v>106</v>
      </c>
      <c r="T943" s="9">
        <v>115</v>
      </c>
      <c r="U943" s="9">
        <v>103</v>
      </c>
      <c r="V943" s="9">
        <v>888</v>
      </c>
      <c r="W943" s="9" t="s">
        <v>106</v>
      </c>
      <c r="X943" s="9" t="s">
        <v>106</v>
      </c>
      <c r="Y943" s="9" t="s">
        <v>106</v>
      </c>
      <c r="Z943" s="37"/>
      <c r="AA943" s="37"/>
      <c r="AB943" s="37"/>
      <c r="AE943">
        <v>0</v>
      </c>
    </row>
    <row r="944" spans="1:31" hidden="1">
      <c r="A944" s="9" t="s">
        <v>283</v>
      </c>
      <c r="B944" s="9" t="s">
        <v>287</v>
      </c>
      <c r="C944" s="9" t="s">
        <v>105</v>
      </c>
      <c r="D944" s="9">
        <v>0.52</v>
      </c>
      <c r="E944" s="9">
        <v>13.1</v>
      </c>
      <c r="F944" s="9" t="s">
        <v>106</v>
      </c>
      <c r="G944" s="9" t="s">
        <v>106</v>
      </c>
      <c r="H944" s="9" t="s">
        <v>106</v>
      </c>
      <c r="I944" s="9">
        <v>36</v>
      </c>
      <c r="J944" s="9" t="s">
        <v>107</v>
      </c>
      <c r="K944" s="9" t="s">
        <v>117</v>
      </c>
      <c r="L944" t="str">
        <f>IF(OR(J944="Cattle",J944="Zebu Cattle"),IF(COUNTIF(lists!$M$2:$M$258, K944) &gt; 0,"bos.indicus",IF(COUNTIF(lists!$L$2:$L$258, K944) &gt; 0,"cross.bred","pure.bred.exotic")),"NA")</f>
        <v>NA</v>
      </c>
      <c r="M944" t="str">
        <f>IF(J944="Sheep",IF(COUNTIF(lists!$H$2:$H$258, K944) &gt; 0,"indigenous",IF(COUNTIF(lists!$G$2:$G$258, K944) &gt; 0,"cross.bred","not found")),"NA")</f>
        <v>not found</v>
      </c>
      <c r="N944" t="str">
        <f>IF(J944="Goat",IF(COUNTIF(lists!$J$2:$J$258, K944) &gt; 0,"indigenous",IF(COUNTIF(lists!$I$2:$I$258, K944) &gt; 0,"cross.bred","not found")),"NA")</f>
        <v>NA</v>
      </c>
      <c r="O944" s="9" t="s">
        <v>109</v>
      </c>
      <c r="P944" s="9" t="s">
        <v>106</v>
      </c>
      <c r="Q944" s="9" t="s">
        <v>3804</v>
      </c>
      <c r="S944" s="9" t="s">
        <v>106</v>
      </c>
      <c r="T944" s="9">
        <v>88.8</v>
      </c>
      <c r="U944" s="9">
        <v>116</v>
      </c>
      <c r="V944" s="9">
        <v>845</v>
      </c>
      <c r="W944" s="9" t="s">
        <v>106</v>
      </c>
      <c r="X944" s="9" t="s">
        <v>106</v>
      </c>
      <c r="Y944" s="9" t="s">
        <v>106</v>
      </c>
      <c r="Z944" s="37"/>
      <c r="AA944" s="37"/>
      <c r="AB944" s="37"/>
      <c r="AE944">
        <v>0</v>
      </c>
    </row>
    <row r="945" spans="1:31" hidden="1">
      <c r="A945" s="9" t="s">
        <v>283</v>
      </c>
      <c r="B945" s="9" t="s">
        <v>288</v>
      </c>
      <c r="C945" s="9" t="s">
        <v>105</v>
      </c>
      <c r="D945" s="9">
        <v>0.67700000000000005</v>
      </c>
      <c r="E945" s="9">
        <v>13.1</v>
      </c>
      <c r="F945" s="9" t="s">
        <v>106</v>
      </c>
      <c r="G945" s="9" t="s">
        <v>106</v>
      </c>
      <c r="H945" s="9" t="s">
        <v>106</v>
      </c>
      <c r="I945" s="9">
        <v>36</v>
      </c>
      <c r="J945" s="9" t="s">
        <v>107</v>
      </c>
      <c r="K945" s="9" t="s">
        <v>117</v>
      </c>
      <c r="L945" t="str">
        <f>IF(OR(J945="Cattle",J945="Zebu Cattle"),IF(COUNTIF(lists!$M$2:$M$258, K945) &gt; 0,"bos.indicus",IF(COUNTIF(lists!$L$2:$L$258, K945) &gt; 0,"cross.bred","pure.bred.exotic")),"NA")</f>
        <v>NA</v>
      </c>
      <c r="M945" t="str">
        <f>IF(J945="Sheep",IF(COUNTIF(lists!$H$2:$H$258, K945) &gt; 0,"indigenous",IF(COUNTIF(lists!$G$2:$G$258, K945) &gt; 0,"cross.bred","not found")),"NA")</f>
        <v>not found</v>
      </c>
      <c r="N945" t="str">
        <f>IF(J945="Goat",IF(COUNTIF(lists!$J$2:$J$258, K945) &gt; 0,"indigenous",IF(COUNTIF(lists!$I$2:$I$258, K945) &gt; 0,"cross.bred","not found")),"NA")</f>
        <v>NA</v>
      </c>
      <c r="O945" s="9" t="s">
        <v>109</v>
      </c>
      <c r="P945" s="9" t="s">
        <v>106</v>
      </c>
      <c r="Q945" s="9" t="s">
        <v>3804</v>
      </c>
      <c r="S945" s="9" t="s">
        <v>106</v>
      </c>
      <c r="T945" s="9">
        <v>110.4</v>
      </c>
      <c r="U945" s="9">
        <v>53.2</v>
      </c>
      <c r="V945" s="9">
        <v>836</v>
      </c>
      <c r="W945" s="9" t="s">
        <v>106</v>
      </c>
      <c r="X945" s="9" t="s">
        <v>106</v>
      </c>
      <c r="Y945" s="9" t="s">
        <v>106</v>
      </c>
      <c r="Z945" s="37"/>
      <c r="AA945" s="37"/>
      <c r="AB945" s="37"/>
      <c r="AE945">
        <v>0</v>
      </c>
    </row>
    <row r="946" spans="1:31" hidden="1">
      <c r="A946" s="9" t="s">
        <v>283</v>
      </c>
      <c r="B946" s="9" t="s">
        <v>289</v>
      </c>
      <c r="C946" s="9" t="s">
        <v>105</v>
      </c>
      <c r="D946" s="9">
        <v>0.66</v>
      </c>
      <c r="E946" s="9">
        <v>13.1</v>
      </c>
      <c r="F946" s="9" t="s">
        <v>106</v>
      </c>
      <c r="G946" s="9" t="s">
        <v>106</v>
      </c>
      <c r="H946" s="9" t="s">
        <v>106</v>
      </c>
      <c r="I946" s="9">
        <v>36</v>
      </c>
      <c r="J946" s="9" t="s">
        <v>107</v>
      </c>
      <c r="K946" s="9" t="s">
        <v>117</v>
      </c>
      <c r="L946" t="str">
        <f>IF(OR(J946="Cattle",J946="Zebu Cattle"),IF(COUNTIF(lists!$M$2:$M$258, K946) &gt; 0,"bos.indicus",IF(COUNTIF(lists!$L$2:$L$258, K946) &gt; 0,"cross.bred","pure.bred.exotic")),"NA")</f>
        <v>NA</v>
      </c>
      <c r="M946" t="str">
        <f>IF(J946="Sheep",IF(COUNTIF(lists!$H$2:$H$258, K946) &gt; 0,"indigenous",IF(COUNTIF(lists!$G$2:$G$258, K946) &gt; 0,"cross.bred","not found")),"NA")</f>
        <v>not found</v>
      </c>
      <c r="N946" t="str">
        <f>IF(J946="Goat",IF(COUNTIF(lists!$J$2:$J$258, K946) &gt; 0,"indigenous",IF(COUNTIF(lists!$I$2:$I$258, K946) &gt; 0,"cross.bred","not found")),"NA")</f>
        <v>NA</v>
      </c>
      <c r="O946" s="9" t="s">
        <v>109</v>
      </c>
      <c r="P946" s="9" t="s">
        <v>106</v>
      </c>
      <c r="Q946" s="9" t="s">
        <v>3804</v>
      </c>
      <c r="S946" s="9" t="s">
        <v>106</v>
      </c>
      <c r="T946" s="9">
        <v>95.7</v>
      </c>
      <c r="U946" s="9">
        <v>64.099999999999994</v>
      </c>
      <c r="V946" s="9">
        <v>842</v>
      </c>
      <c r="W946" s="9" t="s">
        <v>106</v>
      </c>
      <c r="X946" s="9" t="s">
        <v>106</v>
      </c>
      <c r="Y946" s="9" t="s">
        <v>106</v>
      </c>
      <c r="Z946" s="37"/>
      <c r="AA946" s="37"/>
      <c r="AB946" s="37"/>
      <c r="AE946">
        <v>0</v>
      </c>
    </row>
    <row r="947" spans="1:31" hidden="1">
      <c r="A947" s="9" t="s">
        <v>290</v>
      </c>
      <c r="B947" s="9" t="s">
        <v>291</v>
      </c>
      <c r="C947" s="9" t="s">
        <v>105</v>
      </c>
      <c r="D947" s="9">
        <v>5.7189999999999998E-2</v>
      </c>
      <c r="E947" s="9">
        <v>39.5</v>
      </c>
      <c r="F947" s="9" t="s">
        <v>106</v>
      </c>
      <c r="G947" s="9" t="s">
        <v>106</v>
      </c>
      <c r="H947" s="9" t="s">
        <v>106</v>
      </c>
      <c r="J947" s="9" t="s">
        <v>107</v>
      </c>
      <c r="K947" s="9" t="s">
        <v>138</v>
      </c>
      <c r="L947" t="str">
        <f>IF(OR(J947="Cattle",J947="Zebu Cattle"),IF(COUNTIF(lists!$M$2:$M$258, K947) &gt; 0,"bos.indicus",IF(COUNTIF(lists!$L$2:$L$258, K947) &gt; 0,"cross.bred","pure.bred.exotic")),"NA")</f>
        <v>NA</v>
      </c>
      <c r="M947" t="str">
        <f>IF(J947="Sheep",IF(COUNTIF(lists!$H$2:$H$258, K947) &gt; 0,"indigenous",IF(COUNTIF(lists!$G$2:$G$258, K947) &gt; 0,"cross.bred","not found")),"NA")</f>
        <v>not found</v>
      </c>
      <c r="N947" t="str">
        <f>IF(J947="Goat",IF(COUNTIF(lists!$J$2:$J$258, K947) &gt; 0,"indigenous",IF(COUNTIF(lists!$I$2:$I$258, K947) &gt; 0,"cross.bred","not found")),"NA")</f>
        <v>NA</v>
      </c>
      <c r="O947" s="9" t="s">
        <v>109</v>
      </c>
      <c r="P947" s="9" t="s">
        <v>106</v>
      </c>
      <c r="Q947" s="9" t="s">
        <v>106</v>
      </c>
      <c r="S947" s="9">
        <v>229.5</v>
      </c>
      <c r="T947" s="9">
        <v>57.4</v>
      </c>
      <c r="U947" s="9">
        <v>117.5</v>
      </c>
      <c r="V947" s="9">
        <v>926</v>
      </c>
      <c r="W947" s="9">
        <v>80.399999999999906</v>
      </c>
      <c r="X947" s="9">
        <v>404.2</v>
      </c>
      <c r="Y947" s="9" t="s">
        <v>106</v>
      </c>
      <c r="Z947" s="37"/>
      <c r="AA947" s="37"/>
      <c r="AB947" s="37"/>
      <c r="AE947">
        <v>0</v>
      </c>
    </row>
    <row r="948" spans="1:31" hidden="1">
      <c r="A948" s="9" t="s">
        <v>290</v>
      </c>
      <c r="B948" s="9" t="s">
        <v>292</v>
      </c>
      <c r="C948" s="9" t="s">
        <v>105</v>
      </c>
      <c r="D948" s="9">
        <v>5.4210000000000001E-2</v>
      </c>
      <c r="E948" s="9">
        <v>39.5</v>
      </c>
      <c r="F948" s="9" t="s">
        <v>106</v>
      </c>
      <c r="G948" s="9" t="s">
        <v>106</v>
      </c>
      <c r="H948" s="9" t="s">
        <v>106</v>
      </c>
      <c r="J948" s="9" t="s">
        <v>107</v>
      </c>
      <c r="K948" s="9" t="s">
        <v>138</v>
      </c>
      <c r="L948" t="str">
        <f>IF(OR(J948="Cattle",J948="Zebu Cattle"),IF(COUNTIF(lists!$M$2:$M$258, K948) &gt; 0,"bos.indicus",IF(COUNTIF(lists!$L$2:$L$258, K948) &gt; 0,"cross.bred","pure.bred.exotic")),"NA")</f>
        <v>NA</v>
      </c>
      <c r="M948" t="str">
        <f>IF(J948="Sheep",IF(COUNTIF(lists!$H$2:$H$258, K948) &gt; 0,"indigenous",IF(COUNTIF(lists!$G$2:$G$258, K948) &gt; 0,"cross.bred","not found")),"NA")</f>
        <v>not found</v>
      </c>
      <c r="N948" t="str">
        <f>IF(J948="Goat",IF(COUNTIF(lists!$J$2:$J$258, K948) &gt; 0,"indigenous",IF(COUNTIF(lists!$I$2:$I$258, K948) &gt; 0,"cross.bred","not found")),"NA")</f>
        <v>NA</v>
      </c>
      <c r="O948" s="9" t="s">
        <v>109</v>
      </c>
      <c r="P948" s="9" t="s">
        <v>106</v>
      </c>
      <c r="Q948" s="9" t="s">
        <v>106</v>
      </c>
      <c r="S948" s="9">
        <v>251.3</v>
      </c>
      <c r="T948" s="9">
        <v>41.7</v>
      </c>
      <c r="U948" s="9">
        <v>81.3</v>
      </c>
      <c r="V948" s="9">
        <v>913.9</v>
      </c>
      <c r="W948" s="9">
        <v>82.6</v>
      </c>
      <c r="X948" s="9">
        <v>499.7</v>
      </c>
      <c r="Y948" s="9" t="s">
        <v>106</v>
      </c>
      <c r="Z948" s="37"/>
      <c r="AA948" s="37"/>
      <c r="AB948" s="37"/>
      <c r="AE948">
        <v>0</v>
      </c>
    </row>
    <row r="949" spans="1:31" hidden="1">
      <c r="A949" s="9" t="s">
        <v>290</v>
      </c>
      <c r="B949" s="9" t="s">
        <v>293</v>
      </c>
      <c r="C949" s="9" t="s">
        <v>105</v>
      </c>
      <c r="D949" s="9">
        <v>5.0180000000000002E-2</v>
      </c>
      <c r="E949" s="9">
        <v>39.5</v>
      </c>
      <c r="F949" s="9" t="s">
        <v>106</v>
      </c>
      <c r="G949" s="9" t="s">
        <v>106</v>
      </c>
      <c r="H949" s="9" t="s">
        <v>106</v>
      </c>
      <c r="J949" s="9" t="s">
        <v>107</v>
      </c>
      <c r="K949" s="9" t="s">
        <v>138</v>
      </c>
      <c r="L949" t="str">
        <f>IF(OR(J949="Cattle",J949="Zebu Cattle"),IF(COUNTIF(lists!$M$2:$M$258, K949) &gt; 0,"bos.indicus",IF(COUNTIF(lists!$L$2:$L$258, K949) &gt; 0,"cross.bred","pure.bred.exotic")),"NA")</f>
        <v>NA</v>
      </c>
      <c r="M949" t="str">
        <f>IF(J949="Sheep",IF(COUNTIF(lists!$H$2:$H$258, K949) &gt; 0,"indigenous",IF(COUNTIF(lists!$G$2:$G$258, K949) &gt; 0,"cross.bred","not found")),"NA")</f>
        <v>not found</v>
      </c>
      <c r="N949" t="str">
        <f>IF(J949="Goat",IF(COUNTIF(lists!$J$2:$J$258, K949) &gt; 0,"indigenous",IF(COUNTIF(lists!$I$2:$I$258, K949) &gt; 0,"cross.bred","not found")),"NA")</f>
        <v>NA</v>
      </c>
      <c r="O949" s="9" t="s">
        <v>109</v>
      </c>
      <c r="P949" s="9" t="s">
        <v>106</v>
      </c>
      <c r="Q949" s="9" t="s">
        <v>106</v>
      </c>
      <c r="S949" s="9">
        <v>325.60000000000002</v>
      </c>
      <c r="T949" s="9">
        <v>68.7</v>
      </c>
      <c r="U949" s="9">
        <v>78.8</v>
      </c>
      <c r="V949" s="9">
        <v>920.1</v>
      </c>
      <c r="W949" s="9">
        <v>72.599999999999994</v>
      </c>
      <c r="X949" s="9">
        <v>488.5</v>
      </c>
      <c r="Y949" s="9" t="s">
        <v>106</v>
      </c>
      <c r="Z949" s="37"/>
      <c r="AA949" s="37"/>
      <c r="AB949" s="37"/>
      <c r="AE949">
        <v>0</v>
      </c>
    </row>
    <row r="950" spans="1:31" hidden="1">
      <c r="A950" s="9" t="s">
        <v>290</v>
      </c>
      <c r="B950" s="9" t="s">
        <v>294</v>
      </c>
      <c r="C950" s="9" t="s">
        <v>105</v>
      </c>
      <c r="D950" s="9">
        <v>4.011E-2</v>
      </c>
      <c r="E950" s="9">
        <v>39.5</v>
      </c>
      <c r="F950" s="9" t="s">
        <v>106</v>
      </c>
      <c r="G950" s="9" t="s">
        <v>106</v>
      </c>
      <c r="H950" s="9" t="s">
        <v>106</v>
      </c>
      <c r="J950" s="9" t="s">
        <v>107</v>
      </c>
      <c r="K950" s="9" t="s">
        <v>138</v>
      </c>
      <c r="L950" t="str">
        <f>IF(OR(J950="Cattle",J950="Zebu Cattle"),IF(COUNTIF(lists!$M$2:$M$258, K950) &gt; 0,"bos.indicus",IF(COUNTIF(lists!$L$2:$L$258, K950) &gt; 0,"cross.bred","pure.bred.exotic")),"NA")</f>
        <v>NA</v>
      </c>
      <c r="M950" t="str">
        <f>IF(J950="Sheep",IF(COUNTIF(lists!$H$2:$H$258, K950) &gt; 0,"indigenous",IF(COUNTIF(lists!$G$2:$G$258, K950) &gt; 0,"cross.bred","not found")),"NA")</f>
        <v>not found</v>
      </c>
      <c r="N950" t="str">
        <f>IF(J950="Goat",IF(COUNTIF(lists!$J$2:$J$258, K950) &gt; 0,"indigenous",IF(COUNTIF(lists!$I$2:$I$258, K950) &gt; 0,"cross.bred","not found")),"NA")</f>
        <v>NA</v>
      </c>
      <c r="O950" s="9" t="s">
        <v>109</v>
      </c>
      <c r="P950" s="9" t="s">
        <v>106</v>
      </c>
      <c r="Q950" s="9" t="s">
        <v>106</v>
      </c>
      <c r="S950" s="9">
        <v>320.099999999999</v>
      </c>
      <c r="T950" s="9">
        <v>46.6</v>
      </c>
      <c r="U950" s="9">
        <v>75.599999999999994</v>
      </c>
      <c r="V950" s="9">
        <v>922.1</v>
      </c>
      <c r="W950" s="9">
        <v>94.9</v>
      </c>
      <c r="X950" s="9">
        <v>531.4</v>
      </c>
      <c r="Y950" s="9" t="s">
        <v>106</v>
      </c>
      <c r="Z950" s="37"/>
      <c r="AA950" s="37"/>
      <c r="AB950" s="37"/>
      <c r="AE950">
        <v>0</v>
      </c>
    </row>
    <row r="951" spans="1:31" hidden="1">
      <c r="A951" s="9" t="s">
        <v>295</v>
      </c>
      <c r="B951" s="9" t="s">
        <v>296</v>
      </c>
      <c r="C951" s="9" t="s">
        <v>105</v>
      </c>
      <c r="D951" s="9">
        <v>1.27511</v>
      </c>
      <c r="E951" s="9" t="s">
        <v>106</v>
      </c>
      <c r="F951" s="9" t="s">
        <v>106</v>
      </c>
      <c r="G951" s="9" t="s">
        <v>106</v>
      </c>
      <c r="H951" s="9" t="s">
        <v>106</v>
      </c>
      <c r="J951" s="9" t="s">
        <v>107</v>
      </c>
      <c r="K951" s="9" t="s">
        <v>108</v>
      </c>
      <c r="L951" t="str">
        <f>IF(OR(J951="Cattle",J951="Zebu Cattle"),IF(COUNTIF(lists!$M$2:$M$258, K951) &gt; 0,"bos.indicus",IF(COUNTIF(lists!$L$2:$L$258, K951) &gt; 0,"cross.bred","pure.bred.exotic")),"NA")</f>
        <v>NA</v>
      </c>
      <c r="M951" t="str">
        <f>IF(J951="Sheep",IF(COUNTIF(lists!$H$2:$H$258, K951) &gt; 0,"indigenous",IF(COUNTIF(lists!$G$2:$G$258, K951) &gt; 0,"cross.bred","not found")),"NA")</f>
        <v>indigenous</v>
      </c>
      <c r="N951" t="str">
        <f>IF(J951="Goat",IF(COUNTIF(lists!$J$2:$J$258, K951) &gt; 0,"indigenous",IF(COUNTIF(lists!$I$2:$I$258, K951) &gt; 0,"cross.bred","not found")),"NA")</f>
        <v>NA</v>
      </c>
      <c r="O951" s="9" t="s">
        <v>109</v>
      </c>
      <c r="P951" s="9" t="s">
        <v>297</v>
      </c>
      <c r="S951" s="9">
        <v>298.8</v>
      </c>
      <c r="T951" s="9">
        <v>102.1</v>
      </c>
      <c r="U951" s="9">
        <v>126.3</v>
      </c>
      <c r="V951" s="9">
        <v>917.5</v>
      </c>
      <c r="W951" s="9">
        <v>23.2</v>
      </c>
      <c r="X951" s="9" t="s">
        <v>106</v>
      </c>
      <c r="Y951" s="9" t="s">
        <v>106</v>
      </c>
      <c r="Z951" s="37"/>
      <c r="AA951" s="37"/>
      <c r="AB951" s="37"/>
      <c r="AE951"/>
    </row>
    <row r="952" spans="1:31" hidden="1">
      <c r="A952" s="9" t="s">
        <v>295</v>
      </c>
      <c r="B952" s="9" t="s">
        <v>298</v>
      </c>
      <c r="C952" s="9" t="s">
        <v>105</v>
      </c>
      <c r="D952" s="9">
        <v>1.3540300000000001</v>
      </c>
      <c r="E952" s="9" t="s">
        <v>106</v>
      </c>
      <c r="F952" s="9" t="s">
        <v>106</v>
      </c>
      <c r="G952" s="9" t="s">
        <v>106</v>
      </c>
      <c r="H952" s="9" t="s">
        <v>106</v>
      </c>
      <c r="J952" s="9" t="s">
        <v>107</v>
      </c>
      <c r="K952" s="9" t="s">
        <v>108</v>
      </c>
      <c r="L952" t="str">
        <f>IF(OR(J952="Cattle",J952="Zebu Cattle"),IF(COUNTIF(lists!$M$2:$M$258, K952) &gt; 0,"bos.indicus",IF(COUNTIF(lists!$L$2:$L$258, K952) &gt; 0,"cross.bred","pure.bred.exotic")),"NA")</f>
        <v>NA</v>
      </c>
      <c r="M952" t="str">
        <f>IF(J952="Sheep",IF(COUNTIF(lists!$H$2:$H$258, K952) &gt; 0,"indigenous",IF(COUNTIF(lists!$G$2:$G$258, K952) &gt; 0,"cross.bred","not found")),"NA")</f>
        <v>indigenous</v>
      </c>
      <c r="N952" t="str">
        <f>IF(J952="Goat",IF(COUNTIF(lists!$J$2:$J$258, K952) &gt; 0,"indigenous",IF(COUNTIF(lists!$I$2:$I$258, K952) &gt; 0,"cross.bred","not found")),"NA")</f>
        <v>NA</v>
      </c>
      <c r="O952" s="9" t="s">
        <v>109</v>
      </c>
      <c r="P952" s="9" t="s">
        <v>297</v>
      </c>
      <c r="S952" s="9">
        <v>221.8</v>
      </c>
      <c r="T952" s="9">
        <v>81.8</v>
      </c>
      <c r="U952" s="9">
        <v>141</v>
      </c>
      <c r="V952" s="9">
        <v>938.3</v>
      </c>
      <c r="W952" s="9">
        <v>27.2</v>
      </c>
      <c r="X952" s="9" t="s">
        <v>106</v>
      </c>
      <c r="Y952" s="9" t="s">
        <v>106</v>
      </c>
      <c r="Z952" s="37"/>
      <c r="AA952" s="37"/>
      <c r="AB952" s="37"/>
      <c r="AE952"/>
    </row>
    <row r="953" spans="1:31" hidden="1">
      <c r="A953" s="9" t="s">
        <v>295</v>
      </c>
      <c r="B953" s="9" t="s">
        <v>299</v>
      </c>
      <c r="C953" s="9" t="s">
        <v>105</v>
      </c>
      <c r="D953" s="9">
        <v>1.3758999999999999</v>
      </c>
      <c r="E953" s="9" t="s">
        <v>106</v>
      </c>
      <c r="F953" s="9" t="s">
        <v>106</v>
      </c>
      <c r="G953" s="9" t="s">
        <v>106</v>
      </c>
      <c r="H953" s="9" t="s">
        <v>106</v>
      </c>
      <c r="J953" s="9" t="s">
        <v>107</v>
      </c>
      <c r="K953" s="9" t="s">
        <v>108</v>
      </c>
      <c r="L953" t="str">
        <f>IF(OR(J953="Cattle",J953="Zebu Cattle"),IF(COUNTIF(lists!$M$2:$M$258, K953) &gt; 0,"bos.indicus",IF(COUNTIF(lists!$L$2:$L$258, K953) &gt; 0,"cross.bred","pure.bred.exotic")),"NA")</f>
        <v>NA</v>
      </c>
      <c r="M953" t="str">
        <f>IF(J953="Sheep",IF(COUNTIF(lists!$H$2:$H$258, K953) &gt; 0,"indigenous",IF(COUNTIF(lists!$G$2:$G$258, K953) &gt; 0,"cross.bred","not found")),"NA")</f>
        <v>indigenous</v>
      </c>
      <c r="N953" t="str">
        <f>IF(J953="Goat",IF(COUNTIF(lists!$J$2:$J$258, K953) &gt; 0,"indigenous",IF(COUNTIF(lists!$I$2:$I$258, K953) &gt; 0,"cross.bred","not found")),"NA")</f>
        <v>NA</v>
      </c>
      <c r="O953" s="9" t="s">
        <v>109</v>
      </c>
      <c r="P953" s="9" t="s">
        <v>297</v>
      </c>
      <c r="S953" s="9">
        <v>237.5</v>
      </c>
      <c r="T953" s="9">
        <v>83.8</v>
      </c>
      <c r="U953" s="9">
        <v>129.80000000000001</v>
      </c>
      <c r="V953" s="9">
        <v>931</v>
      </c>
      <c r="W953" s="9">
        <v>23</v>
      </c>
      <c r="X953" s="9" t="s">
        <v>106</v>
      </c>
      <c r="Y953" s="9" t="s">
        <v>106</v>
      </c>
      <c r="Z953" s="37"/>
      <c r="AA953" s="37"/>
      <c r="AB953" s="37"/>
      <c r="AE953"/>
    </row>
    <row r="954" spans="1:31" hidden="1">
      <c r="A954" s="9" t="s">
        <v>295</v>
      </c>
      <c r="B954" s="9" t="s">
        <v>300</v>
      </c>
      <c r="C954" s="9" t="s">
        <v>105</v>
      </c>
      <c r="D954" s="9">
        <v>1.1645300000000001</v>
      </c>
      <c r="E954" s="9" t="s">
        <v>106</v>
      </c>
      <c r="F954" s="9" t="s">
        <v>106</v>
      </c>
      <c r="G954" s="9" t="s">
        <v>106</v>
      </c>
      <c r="H954" s="9" t="s">
        <v>106</v>
      </c>
      <c r="J954" s="9" t="s">
        <v>107</v>
      </c>
      <c r="K954" s="9" t="s">
        <v>108</v>
      </c>
      <c r="L954" t="str">
        <f>IF(OR(J954="Cattle",J954="Zebu Cattle"),IF(COUNTIF(lists!$M$2:$M$258, K954) &gt; 0,"bos.indicus",IF(COUNTIF(lists!$L$2:$L$258, K954) &gt; 0,"cross.bred","pure.bred.exotic")),"NA")</f>
        <v>NA</v>
      </c>
      <c r="M954" t="str">
        <f>IF(J954="Sheep",IF(COUNTIF(lists!$H$2:$H$258, K954) &gt; 0,"indigenous",IF(COUNTIF(lists!$G$2:$G$258, K954) &gt; 0,"cross.bred","not found")),"NA")</f>
        <v>indigenous</v>
      </c>
      <c r="N954" t="str">
        <f>IF(J954="Goat",IF(COUNTIF(lists!$J$2:$J$258, K954) &gt; 0,"indigenous",IF(COUNTIF(lists!$I$2:$I$258, K954) &gt; 0,"cross.bred","not found")),"NA")</f>
        <v>NA</v>
      </c>
      <c r="O954" s="9" t="s">
        <v>109</v>
      </c>
      <c r="P954" s="9" t="s">
        <v>297</v>
      </c>
      <c r="S954" s="9">
        <v>231.8</v>
      </c>
      <c r="T954" s="9">
        <v>81.199999999999903</v>
      </c>
      <c r="U954" s="9">
        <v>138.19999999999999</v>
      </c>
      <c r="V954" s="9">
        <v>932.8</v>
      </c>
      <c r="W954" s="9">
        <v>26.2</v>
      </c>
      <c r="X954" s="9" t="s">
        <v>106</v>
      </c>
      <c r="Y954" s="9" t="s">
        <v>106</v>
      </c>
      <c r="Z954" s="37"/>
      <c r="AA954" s="37"/>
      <c r="AB954" s="37"/>
      <c r="AE954"/>
    </row>
    <row r="955" spans="1:31" hidden="1">
      <c r="A955" s="9" t="s">
        <v>295</v>
      </c>
      <c r="B955" s="9" t="s">
        <v>301</v>
      </c>
      <c r="C955" s="9" t="s">
        <v>105</v>
      </c>
      <c r="D955" s="9">
        <v>1.2883800000000001</v>
      </c>
      <c r="E955" s="9" t="s">
        <v>106</v>
      </c>
      <c r="F955" s="9" t="s">
        <v>106</v>
      </c>
      <c r="G955" s="9" t="s">
        <v>106</v>
      </c>
      <c r="H955" s="9" t="s">
        <v>106</v>
      </c>
      <c r="J955" s="9" t="s">
        <v>107</v>
      </c>
      <c r="K955" s="9" t="s">
        <v>108</v>
      </c>
      <c r="L955" t="str">
        <f>IF(OR(J955="Cattle",J955="Zebu Cattle"),IF(COUNTIF(lists!$M$2:$M$258, K955) &gt; 0,"bos.indicus",IF(COUNTIF(lists!$L$2:$L$258, K955) &gt; 0,"cross.bred","pure.bred.exotic")),"NA")</f>
        <v>NA</v>
      </c>
      <c r="M955" t="str">
        <f>IF(J955="Sheep",IF(COUNTIF(lists!$H$2:$H$258, K955) &gt; 0,"indigenous",IF(COUNTIF(lists!$G$2:$G$258, K955) &gt; 0,"cross.bred","not found")),"NA")</f>
        <v>indigenous</v>
      </c>
      <c r="N955" t="str">
        <f>IF(J955="Goat",IF(COUNTIF(lists!$J$2:$J$258, K955) &gt; 0,"indigenous",IF(COUNTIF(lists!$I$2:$I$258, K955) &gt; 0,"cross.bred","not found")),"NA")</f>
        <v>NA</v>
      </c>
      <c r="O955" s="9" t="s">
        <v>109</v>
      </c>
      <c r="P955" s="9" t="s">
        <v>297</v>
      </c>
      <c r="S955" s="9">
        <v>297.60000000000002</v>
      </c>
      <c r="T955" s="9">
        <v>92.2</v>
      </c>
      <c r="U955" s="9">
        <v>92.2</v>
      </c>
      <c r="V955" s="9">
        <v>924.4</v>
      </c>
      <c r="W955" s="9">
        <v>21</v>
      </c>
      <c r="X955" s="9" t="s">
        <v>106</v>
      </c>
      <c r="Y955" s="9" t="s">
        <v>106</v>
      </c>
      <c r="Z955" s="37"/>
      <c r="AA955" s="37"/>
      <c r="AB955" s="37"/>
      <c r="AE955"/>
    </row>
    <row r="956" spans="1:31" hidden="1">
      <c r="A956" s="9" t="s">
        <v>302</v>
      </c>
      <c r="B956" s="9" t="s">
        <v>303</v>
      </c>
      <c r="C956" s="9" t="s">
        <v>105</v>
      </c>
      <c r="D956" s="9">
        <v>0.96189000000000002</v>
      </c>
      <c r="E956" s="9">
        <v>29.61</v>
      </c>
      <c r="F956" s="9" t="s">
        <v>106</v>
      </c>
      <c r="G956" s="9" t="s">
        <v>106</v>
      </c>
      <c r="H956" s="9" t="s">
        <v>106</v>
      </c>
      <c r="I956" s="9">
        <v>15</v>
      </c>
      <c r="J956" s="9" t="s">
        <v>107</v>
      </c>
      <c r="K956" s="9" t="s">
        <v>108</v>
      </c>
      <c r="L956" t="str">
        <f>IF(OR(J956="Cattle",J956="Zebu Cattle"),IF(COUNTIF(lists!$M$2:$M$258, K956) &gt; 0,"bos.indicus",IF(COUNTIF(lists!$L$2:$L$258, K956) &gt; 0,"cross.bred","pure.bred.exotic")),"NA")</f>
        <v>NA</v>
      </c>
      <c r="M956" t="str">
        <f>IF(J956="Sheep",IF(COUNTIF(lists!$H$2:$H$258, K956) &gt; 0,"indigenous",IF(COUNTIF(lists!$G$2:$G$258, K956) &gt; 0,"cross.bred","not found")),"NA")</f>
        <v>indigenous</v>
      </c>
      <c r="N956" t="str">
        <f>IF(J956="Goat",IF(COUNTIF(lists!$J$2:$J$258, K956) &gt; 0,"indigenous",IF(COUNTIF(lists!$I$2:$I$258, K956) &gt; 0,"cross.bred","not found")),"NA")</f>
        <v>NA</v>
      </c>
      <c r="O956" s="9" t="s">
        <v>109</v>
      </c>
      <c r="P956" s="9" t="s">
        <v>106</v>
      </c>
      <c r="Q956" s="9" t="s">
        <v>3800</v>
      </c>
      <c r="S956" s="9">
        <v>367.29999999999899</v>
      </c>
      <c r="T956" s="9">
        <v>98.4</v>
      </c>
      <c r="U956" s="9">
        <v>51.1</v>
      </c>
      <c r="V956" s="9">
        <v>296.3</v>
      </c>
      <c r="W956" s="9">
        <v>14.4</v>
      </c>
      <c r="X956" s="9">
        <v>710.5</v>
      </c>
      <c r="Y956" s="9">
        <v>56.06</v>
      </c>
      <c r="Z956" s="37"/>
      <c r="AA956" s="37"/>
      <c r="AB956" s="37"/>
      <c r="AE956">
        <v>0</v>
      </c>
    </row>
    <row r="957" spans="1:31" hidden="1">
      <c r="A957" s="9" t="s">
        <v>302</v>
      </c>
      <c r="B957" s="9" t="s">
        <v>304</v>
      </c>
      <c r="C957" s="9" t="s">
        <v>105</v>
      </c>
      <c r="D957" s="9">
        <v>0.95657000000000003</v>
      </c>
      <c r="E957" s="9">
        <v>29.61</v>
      </c>
      <c r="F957" s="9" t="s">
        <v>106</v>
      </c>
      <c r="G957" s="9" t="s">
        <v>106</v>
      </c>
      <c r="H957" s="9" t="s">
        <v>106</v>
      </c>
      <c r="I957" s="9">
        <v>15</v>
      </c>
      <c r="J957" s="9" t="s">
        <v>107</v>
      </c>
      <c r="K957" s="9" t="s">
        <v>108</v>
      </c>
      <c r="L957" t="str">
        <f>IF(OR(J957="Cattle",J957="Zebu Cattle"),IF(COUNTIF(lists!$M$2:$M$258, K957) &gt; 0,"bos.indicus",IF(COUNTIF(lists!$L$2:$L$258, K957) &gt; 0,"cross.bred","pure.bred.exotic")),"NA")</f>
        <v>NA</v>
      </c>
      <c r="M957" t="str">
        <f>IF(J957="Sheep",IF(COUNTIF(lists!$H$2:$H$258, K957) &gt; 0,"indigenous",IF(COUNTIF(lists!$G$2:$G$258, K957) &gt; 0,"cross.bred","not found")),"NA")</f>
        <v>indigenous</v>
      </c>
      <c r="N957" t="str">
        <f>IF(J957="Goat",IF(COUNTIF(lists!$J$2:$J$258, K957) &gt; 0,"indigenous",IF(COUNTIF(lists!$I$2:$I$258, K957) &gt; 0,"cross.bred","not found")),"NA")</f>
        <v>NA</v>
      </c>
      <c r="O957" s="9" t="s">
        <v>109</v>
      </c>
      <c r="P957" s="9" t="s">
        <v>106</v>
      </c>
      <c r="Q957" s="9" t="s">
        <v>3800</v>
      </c>
      <c r="S957" s="9">
        <v>374.6</v>
      </c>
      <c r="T957" s="9">
        <v>123.6</v>
      </c>
      <c r="U957" s="9">
        <v>51.6</v>
      </c>
      <c r="V957" s="9">
        <v>351.4</v>
      </c>
      <c r="W957" s="9">
        <v>18.5</v>
      </c>
      <c r="X957" s="9">
        <v>728.5</v>
      </c>
      <c r="Y957" s="9">
        <v>56.17</v>
      </c>
      <c r="Z957" s="37"/>
      <c r="AA957" s="37"/>
      <c r="AB957" s="37"/>
      <c r="AE957">
        <v>0</v>
      </c>
    </row>
    <row r="958" spans="1:31" hidden="1">
      <c r="A958" s="9" t="s">
        <v>302</v>
      </c>
      <c r="B958" s="9" t="s">
        <v>305</v>
      </c>
      <c r="C958" s="9" t="s">
        <v>105</v>
      </c>
      <c r="D958" s="9">
        <v>0.80752000000000002</v>
      </c>
      <c r="E958" s="9">
        <v>29.61</v>
      </c>
      <c r="F958" s="9" t="s">
        <v>106</v>
      </c>
      <c r="G958" s="9" t="s">
        <v>106</v>
      </c>
      <c r="H958" s="9" t="s">
        <v>106</v>
      </c>
      <c r="I958" s="9">
        <v>15</v>
      </c>
      <c r="J958" s="9" t="s">
        <v>107</v>
      </c>
      <c r="K958" s="9" t="s">
        <v>108</v>
      </c>
      <c r="L958" t="str">
        <f>IF(OR(J958="Cattle",J958="Zebu Cattle"),IF(COUNTIF(lists!$M$2:$M$258, K958) &gt; 0,"bos.indicus",IF(COUNTIF(lists!$L$2:$L$258, K958) &gt; 0,"cross.bred","pure.bred.exotic")),"NA")</f>
        <v>NA</v>
      </c>
      <c r="M958" t="str">
        <f>IF(J958="Sheep",IF(COUNTIF(lists!$H$2:$H$258, K958) &gt; 0,"indigenous",IF(COUNTIF(lists!$G$2:$G$258, K958) &gt; 0,"cross.bred","not found")),"NA")</f>
        <v>indigenous</v>
      </c>
      <c r="N958" t="str">
        <f>IF(J958="Goat",IF(COUNTIF(lists!$J$2:$J$258, K958) &gt; 0,"indigenous",IF(COUNTIF(lists!$I$2:$I$258, K958) &gt; 0,"cross.bred","not found")),"NA")</f>
        <v>NA</v>
      </c>
      <c r="O958" s="9" t="s">
        <v>109</v>
      </c>
      <c r="P958" s="9" t="s">
        <v>106</v>
      </c>
      <c r="Q958" s="9" t="s">
        <v>3800</v>
      </c>
      <c r="S958" s="9">
        <v>371.1</v>
      </c>
      <c r="T958" s="9">
        <v>115.6</v>
      </c>
      <c r="U958" s="9">
        <v>74</v>
      </c>
      <c r="V958" s="9">
        <v>320.79999999999899</v>
      </c>
      <c r="W958" s="9">
        <v>15.4</v>
      </c>
      <c r="X958" s="9">
        <v>722.6</v>
      </c>
      <c r="Y958" s="9">
        <v>51.07</v>
      </c>
      <c r="Z958" s="37"/>
      <c r="AA958" s="37"/>
      <c r="AB958" s="37"/>
      <c r="AE958">
        <v>0</v>
      </c>
    </row>
    <row r="959" spans="1:31" hidden="1">
      <c r="A959" s="9" t="s">
        <v>302</v>
      </c>
      <c r="B959" s="9" t="s">
        <v>306</v>
      </c>
      <c r="C959" s="9" t="s">
        <v>105</v>
      </c>
      <c r="D959" s="9">
        <v>0.83631999999999995</v>
      </c>
      <c r="E959" s="9">
        <v>29.61</v>
      </c>
      <c r="F959" s="9" t="s">
        <v>106</v>
      </c>
      <c r="G959" s="9" t="s">
        <v>106</v>
      </c>
      <c r="H959" s="9" t="s">
        <v>106</v>
      </c>
      <c r="I959" s="9">
        <v>15</v>
      </c>
      <c r="J959" s="9" t="s">
        <v>107</v>
      </c>
      <c r="K959" s="9" t="s">
        <v>108</v>
      </c>
      <c r="L959" t="str">
        <f>IF(OR(J959="Cattle",J959="Zebu Cattle"),IF(COUNTIF(lists!$M$2:$M$258, K959) &gt; 0,"bos.indicus",IF(COUNTIF(lists!$L$2:$L$258, K959) &gt; 0,"cross.bred","pure.bred.exotic")),"NA")</f>
        <v>NA</v>
      </c>
      <c r="M959" t="str">
        <f>IF(J959="Sheep",IF(COUNTIF(lists!$H$2:$H$258, K959) &gt; 0,"indigenous",IF(COUNTIF(lists!$G$2:$G$258, K959) &gt; 0,"cross.bred","not found")),"NA")</f>
        <v>indigenous</v>
      </c>
      <c r="N959" t="str">
        <f>IF(J959="Goat",IF(COUNTIF(lists!$J$2:$J$258, K959) &gt; 0,"indigenous",IF(COUNTIF(lists!$I$2:$I$258, K959) &gt; 0,"cross.bred","not found")),"NA")</f>
        <v>NA</v>
      </c>
      <c r="O959" s="9" t="s">
        <v>109</v>
      </c>
      <c r="P959" s="9" t="s">
        <v>106</v>
      </c>
      <c r="Q959" s="9" t="s">
        <v>3800</v>
      </c>
      <c r="S959" s="9">
        <v>389.79999999999899</v>
      </c>
      <c r="T959" s="9">
        <v>118.7</v>
      </c>
      <c r="U959" s="9">
        <v>51.9</v>
      </c>
      <c r="V959" s="9">
        <v>356.599999999999</v>
      </c>
      <c r="W959" s="9">
        <v>20.6</v>
      </c>
      <c r="X959" s="9">
        <v>745.19999999999902</v>
      </c>
      <c r="Y959" s="9">
        <v>55.37</v>
      </c>
      <c r="Z959" s="37"/>
      <c r="AA959" s="37"/>
      <c r="AB959" s="37"/>
      <c r="AE959">
        <v>0</v>
      </c>
    </row>
    <row r="960" spans="1:31" hidden="1">
      <c r="A960" s="9" t="s">
        <v>302</v>
      </c>
      <c r="B960" s="9" t="s">
        <v>307</v>
      </c>
      <c r="C960" s="9" t="s">
        <v>105</v>
      </c>
      <c r="D960" s="9">
        <v>0.84955999999999998</v>
      </c>
      <c r="E960" s="9">
        <v>29.61</v>
      </c>
      <c r="F960" s="9" t="s">
        <v>106</v>
      </c>
      <c r="G960" s="9" t="s">
        <v>106</v>
      </c>
      <c r="H960" s="9" t="s">
        <v>106</v>
      </c>
      <c r="I960" s="9">
        <v>15</v>
      </c>
      <c r="J960" s="9" t="s">
        <v>107</v>
      </c>
      <c r="K960" s="9" t="s">
        <v>108</v>
      </c>
      <c r="L960" t="str">
        <f>IF(OR(J960="Cattle",J960="Zebu Cattle"),IF(COUNTIF(lists!$M$2:$M$258, K960) &gt; 0,"bos.indicus",IF(COUNTIF(lists!$L$2:$L$258, K960) &gt; 0,"cross.bred","pure.bred.exotic")),"NA")</f>
        <v>NA</v>
      </c>
      <c r="M960" t="str">
        <f>IF(J960="Sheep",IF(COUNTIF(lists!$H$2:$H$258, K960) &gt; 0,"indigenous",IF(COUNTIF(lists!$G$2:$G$258, K960) &gt; 0,"cross.bred","not found")),"NA")</f>
        <v>indigenous</v>
      </c>
      <c r="N960" t="str">
        <f>IF(J960="Goat",IF(COUNTIF(lists!$J$2:$J$258, K960) &gt; 0,"indigenous",IF(COUNTIF(lists!$I$2:$I$258, K960) &gt; 0,"cross.bred","not found")),"NA")</f>
        <v>NA</v>
      </c>
      <c r="O960" s="9" t="s">
        <v>109</v>
      </c>
      <c r="P960" s="9" t="s">
        <v>106</v>
      </c>
      <c r="Q960" s="9" t="s">
        <v>3800</v>
      </c>
      <c r="S960" s="9">
        <v>385.6</v>
      </c>
      <c r="T960" s="9">
        <v>101.2</v>
      </c>
      <c r="U960" s="9">
        <v>59.2</v>
      </c>
      <c r="V960" s="9">
        <v>343.1</v>
      </c>
      <c r="W960" s="9">
        <v>13.3</v>
      </c>
      <c r="X960" s="9">
        <v>743.5</v>
      </c>
      <c r="Y960" s="9">
        <v>54.76</v>
      </c>
      <c r="Z960" s="37"/>
      <c r="AA960" s="37"/>
      <c r="AB960" s="37"/>
      <c r="AE960">
        <v>0</v>
      </c>
    </row>
    <row r="961" spans="1:31" hidden="1">
      <c r="A961" s="9" t="s">
        <v>326</v>
      </c>
      <c r="B961" s="9" t="s">
        <v>327</v>
      </c>
      <c r="C961" s="9" t="s">
        <v>105</v>
      </c>
      <c r="D961" s="9">
        <v>1.4159999999999999</v>
      </c>
      <c r="E961" s="9">
        <v>0.01</v>
      </c>
      <c r="F961" s="9" t="s">
        <v>106</v>
      </c>
      <c r="G961" s="9" t="s">
        <v>106</v>
      </c>
      <c r="H961" s="9" t="s">
        <v>106</v>
      </c>
      <c r="J961" s="9" t="s">
        <v>107</v>
      </c>
      <c r="K961" s="9" t="s">
        <v>234</v>
      </c>
      <c r="L961" t="str">
        <f>IF(OR(J961="Cattle",J961="Zebu Cattle"),IF(COUNTIF(lists!$M$2:$M$258, K961) &gt; 0,"bos.indicus",IF(COUNTIF(lists!$L$2:$L$258, K961) &gt; 0,"cross.bred","pure.bred.exotic")),"NA")</f>
        <v>NA</v>
      </c>
      <c r="M961" t="str">
        <f>IF(J961="Sheep",IF(COUNTIF(lists!$H$2:$H$258, K961) &gt; 0,"indigenous",IF(COUNTIF(lists!$G$2:$G$258, K961) &gt; 0,"cross.bred","not found")),"NA")</f>
        <v>not found</v>
      </c>
      <c r="N961" t="str">
        <f>IF(J961="Goat",IF(COUNTIF(lists!$J$2:$J$258, K961) &gt; 0,"indigenous",IF(COUNTIF(lists!$I$2:$I$258, K961) &gt; 0,"cross.bred","not found")),"NA")</f>
        <v>NA</v>
      </c>
      <c r="O961" s="9" t="s">
        <v>109</v>
      </c>
      <c r="P961" s="9" t="s">
        <v>110</v>
      </c>
      <c r="S961" s="9">
        <v>432</v>
      </c>
      <c r="T961" s="9">
        <v>130.69999999999999</v>
      </c>
      <c r="U961" s="9">
        <v>80.199999999999903</v>
      </c>
      <c r="V961" s="9">
        <v>400.1</v>
      </c>
      <c r="W961" s="9">
        <v>9.8000000000000007</v>
      </c>
      <c r="X961" s="9">
        <v>611.19999999999902</v>
      </c>
      <c r="Y961" s="9">
        <v>66.75</v>
      </c>
      <c r="Z961" s="37"/>
      <c r="AA961" s="37"/>
      <c r="AB961" s="37"/>
      <c r="AE961"/>
    </row>
    <row r="962" spans="1:31" hidden="1">
      <c r="A962" s="9" t="s">
        <v>326</v>
      </c>
      <c r="B962" s="9" t="s">
        <v>328</v>
      </c>
      <c r="C962" s="9" t="s">
        <v>105</v>
      </c>
      <c r="D962" s="9">
        <v>1.401</v>
      </c>
      <c r="E962" s="9">
        <v>0.01</v>
      </c>
      <c r="F962" s="9" t="s">
        <v>106</v>
      </c>
      <c r="G962" s="9" t="s">
        <v>106</v>
      </c>
      <c r="H962" s="9" t="s">
        <v>106</v>
      </c>
      <c r="J962" s="9" t="s">
        <v>107</v>
      </c>
      <c r="K962" s="9" t="s">
        <v>234</v>
      </c>
      <c r="L962" t="str">
        <f>IF(OR(J962="Cattle",J962="Zebu Cattle"),IF(COUNTIF(lists!$M$2:$M$258, K962) &gt; 0,"bos.indicus",IF(COUNTIF(lists!$L$2:$L$258, K962) &gt; 0,"cross.bred","pure.bred.exotic")),"NA")</f>
        <v>NA</v>
      </c>
      <c r="M962" t="str">
        <f>IF(J962="Sheep",IF(COUNTIF(lists!$H$2:$H$258, K962) &gt; 0,"indigenous",IF(COUNTIF(lists!$G$2:$G$258, K962) &gt; 0,"cross.bred","not found")),"NA")</f>
        <v>not found</v>
      </c>
      <c r="N962" t="str">
        <f>IF(J962="Goat",IF(COUNTIF(lists!$J$2:$J$258, K962) &gt; 0,"indigenous",IF(COUNTIF(lists!$I$2:$I$258, K962) &gt; 0,"cross.bred","not found")),"NA")</f>
        <v>NA</v>
      </c>
      <c r="O962" s="9" t="s">
        <v>109</v>
      </c>
      <c r="P962" s="9" t="s">
        <v>110</v>
      </c>
      <c r="S962" s="9">
        <v>436.6</v>
      </c>
      <c r="T962" s="9">
        <v>127.3</v>
      </c>
      <c r="U962" s="9">
        <v>79.8</v>
      </c>
      <c r="V962" s="9">
        <v>400</v>
      </c>
      <c r="W962" s="9">
        <v>13.3</v>
      </c>
      <c r="X962" s="9">
        <v>617.70000000000005</v>
      </c>
      <c r="Y962" s="9">
        <v>66.23</v>
      </c>
      <c r="Z962" s="37"/>
      <c r="AA962" s="37"/>
      <c r="AB962" s="37"/>
      <c r="AE962"/>
    </row>
    <row r="963" spans="1:31" hidden="1">
      <c r="A963" s="9" t="s">
        <v>326</v>
      </c>
      <c r="B963" s="9" t="s">
        <v>329</v>
      </c>
      <c r="C963" s="9" t="s">
        <v>105</v>
      </c>
      <c r="D963" s="9">
        <v>1.143</v>
      </c>
      <c r="E963" s="9">
        <v>0.01</v>
      </c>
      <c r="F963" s="9" t="s">
        <v>106</v>
      </c>
      <c r="G963" s="9" t="s">
        <v>106</v>
      </c>
      <c r="H963" s="9" t="s">
        <v>106</v>
      </c>
      <c r="J963" s="9" t="s">
        <v>107</v>
      </c>
      <c r="K963" s="9" t="s">
        <v>234</v>
      </c>
      <c r="L963" t="str">
        <f>IF(OR(J963="Cattle",J963="Zebu Cattle"),IF(COUNTIF(lists!$M$2:$M$258, K963) &gt; 0,"bos.indicus",IF(COUNTIF(lists!$L$2:$L$258, K963) &gt; 0,"cross.bred","pure.bred.exotic")),"NA")</f>
        <v>NA</v>
      </c>
      <c r="M963" t="str">
        <f>IF(J963="Sheep",IF(COUNTIF(lists!$H$2:$H$258, K963) &gt; 0,"indigenous",IF(COUNTIF(lists!$G$2:$G$258, K963) &gt; 0,"cross.bred","not found")),"NA")</f>
        <v>not found</v>
      </c>
      <c r="N963" t="str">
        <f>IF(J963="Goat",IF(COUNTIF(lists!$J$2:$J$258, K963) &gt; 0,"indigenous",IF(COUNTIF(lists!$I$2:$I$258, K963) &gt; 0,"cross.bred","not found")),"NA")</f>
        <v>NA</v>
      </c>
      <c r="O963" s="9" t="s">
        <v>109</v>
      </c>
      <c r="P963" s="9" t="s">
        <v>110</v>
      </c>
      <c r="S963" s="9">
        <v>478.7</v>
      </c>
      <c r="T963" s="9">
        <v>120.9</v>
      </c>
      <c r="U963" s="9">
        <v>73.400000000000006</v>
      </c>
      <c r="V963" s="9">
        <v>400.3</v>
      </c>
      <c r="W963" s="9">
        <v>6</v>
      </c>
      <c r="X963" s="9">
        <v>677.3</v>
      </c>
      <c r="Y963" s="9">
        <v>52.04</v>
      </c>
      <c r="Z963" s="37"/>
      <c r="AA963" s="37"/>
      <c r="AB963" s="37"/>
      <c r="AE963"/>
    </row>
    <row r="964" spans="1:31" hidden="1">
      <c r="A964" s="9" t="s">
        <v>326</v>
      </c>
      <c r="B964" s="9" t="s">
        <v>330</v>
      </c>
      <c r="C964" s="9" t="s">
        <v>105</v>
      </c>
      <c r="D964" s="9">
        <v>1.27</v>
      </c>
      <c r="E964" s="9">
        <v>0.01</v>
      </c>
      <c r="F964" s="9" t="s">
        <v>106</v>
      </c>
      <c r="G964" s="9" t="s">
        <v>106</v>
      </c>
      <c r="H964" s="9" t="s">
        <v>106</v>
      </c>
      <c r="J964" s="9" t="s">
        <v>107</v>
      </c>
      <c r="K964" s="9" t="s">
        <v>234</v>
      </c>
      <c r="L964" t="str">
        <f>IF(OR(J964="Cattle",J964="Zebu Cattle"),IF(COUNTIF(lists!$M$2:$M$258, K964) &gt; 0,"bos.indicus",IF(COUNTIF(lists!$L$2:$L$258, K964) &gt; 0,"cross.bred","pure.bred.exotic")),"NA")</f>
        <v>NA</v>
      </c>
      <c r="M964" t="str">
        <f>IF(J964="Sheep",IF(COUNTIF(lists!$H$2:$H$258, K964) &gt; 0,"indigenous",IF(COUNTIF(lists!$G$2:$G$258, K964) &gt; 0,"cross.bred","not found")),"NA")</f>
        <v>not found</v>
      </c>
      <c r="N964" t="str">
        <f>IF(J964="Goat",IF(COUNTIF(lists!$J$2:$J$258, K964) &gt; 0,"indigenous",IF(COUNTIF(lists!$I$2:$I$258, K964) &gt; 0,"cross.bred","not found")),"NA")</f>
        <v>NA</v>
      </c>
      <c r="O964" s="9" t="s">
        <v>109</v>
      </c>
      <c r="P964" s="9" t="s">
        <v>110</v>
      </c>
      <c r="S964" s="9">
        <v>449</v>
      </c>
      <c r="T964" s="9">
        <v>123.7</v>
      </c>
      <c r="U964" s="9">
        <v>77.099999999999994</v>
      </c>
      <c r="V964" s="9">
        <v>400.4</v>
      </c>
      <c r="W964" s="9">
        <v>8.1999999999999993</v>
      </c>
      <c r="X964" s="9">
        <v>635.29999999999995</v>
      </c>
      <c r="Y964" s="9">
        <v>62.95</v>
      </c>
      <c r="Z964" s="37"/>
      <c r="AA964" s="37"/>
      <c r="AB964" s="37"/>
      <c r="AE964"/>
    </row>
    <row r="965" spans="1:31" hidden="1">
      <c r="A965" s="9" t="s">
        <v>354</v>
      </c>
      <c r="B965" s="9" t="s">
        <v>355</v>
      </c>
      <c r="C965" s="9" t="s">
        <v>105</v>
      </c>
      <c r="D965" s="9">
        <v>0.42159999999999997</v>
      </c>
      <c r="E965" s="9" t="s">
        <v>106</v>
      </c>
      <c r="F965" s="9" t="s">
        <v>106</v>
      </c>
      <c r="G965" s="9" t="s">
        <v>106</v>
      </c>
      <c r="H965" s="9">
        <v>3.34</v>
      </c>
      <c r="I965" s="9">
        <v>15</v>
      </c>
      <c r="J965" s="9" t="s">
        <v>107</v>
      </c>
      <c r="K965" s="9" t="s">
        <v>117</v>
      </c>
      <c r="L965" t="str">
        <f>IF(OR(J965="Cattle",J965="Zebu Cattle"),IF(COUNTIF(lists!$M$2:$M$258, K965) &gt; 0,"bos.indicus",IF(COUNTIF(lists!$L$2:$L$258, K965) &gt; 0,"cross.bred","pure.bred.exotic")),"NA")</f>
        <v>NA</v>
      </c>
      <c r="M965" t="str">
        <f>IF(J965="Sheep",IF(COUNTIF(lists!$H$2:$H$258, K965) &gt; 0,"indigenous",IF(COUNTIF(lists!$G$2:$G$258, K965) &gt; 0,"cross.bred","not found")),"NA")</f>
        <v>not found</v>
      </c>
      <c r="N965" t="str">
        <f>IF(J965="Goat",IF(COUNTIF(lists!$J$2:$J$258, K965) &gt; 0,"indigenous",IF(COUNTIF(lists!$I$2:$I$258, K965) &gt; 0,"cross.bred","not found")),"NA")</f>
        <v>NA</v>
      </c>
      <c r="O965" s="9" t="s">
        <v>109</v>
      </c>
      <c r="P965" s="9" t="s">
        <v>106</v>
      </c>
      <c r="Q965" s="9" t="s">
        <v>3806</v>
      </c>
      <c r="S965" s="9" t="s">
        <v>106</v>
      </c>
      <c r="T965" s="9" t="s">
        <v>106</v>
      </c>
      <c r="U965" s="9" t="s">
        <v>106</v>
      </c>
      <c r="V965" s="9" t="s">
        <v>106</v>
      </c>
      <c r="W965" s="9" t="s">
        <v>106</v>
      </c>
      <c r="X965" s="9" t="s">
        <v>106</v>
      </c>
      <c r="Y965" s="9">
        <v>627.6</v>
      </c>
      <c r="Z965" s="37"/>
      <c r="AA965" s="37"/>
      <c r="AB965" s="37"/>
      <c r="AE965">
        <v>0</v>
      </c>
    </row>
    <row r="966" spans="1:31" hidden="1">
      <c r="A966" s="9" t="s">
        <v>354</v>
      </c>
      <c r="B966" s="9" t="s">
        <v>357</v>
      </c>
      <c r="C966" s="9" t="s">
        <v>105</v>
      </c>
      <c r="D966" s="9">
        <v>0.26639999999999903</v>
      </c>
      <c r="E966" s="9" t="s">
        <v>106</v>
      </c>
      <c r="F966" s="9" t="s">
        <v>106</v>
      </c>
      <c r="G966" s="9" t="s">
        <v>106</v>
      </c>
      <c r="H966" s="9">
        <v>3.34</v>
      </c>
      <c r="I966" s="9">
        <v>15</v>
      </c>
      <c r="J966" s="9" t="s">
        <v>107</v>
      </c>
      <c r="K966" s="9" t="s">
        <v>117</v>
      </c>
      <c r="L966" t="str">
        <f>IF(OR(J966="Cattle",J966="Zebu Cattle"),IF(COUNTIF(lists!$M$2:$M$258, K966) &gt; 0,"bos.indicus",IF(COUNTIF(lists!$L$2:$L$258, K966) &gt; 0,"cross.bred","pure.bred.exotic")),"NA")</f>
        <v>NA</v>
      </c>
      <c r="M966" t="str">
        <f>IF(J966="Sheep",IF(COUNTIF(lists!$H$2:$H$258, K966) &gt; 0,"indigenous",IF(COUNTIF(lists!$G$2:$G$258, K966) &gt; 0,"cross.bred","not found")),"NA")</f>
        <v>not found</v>
      </c>
      <c r="N966" t="str">
        <f>IF(J966="Goat",IF(COUNTIF(lists!$J$2:$J$258, K966) &gt; 0,"indigenous",IF(COUNTIF(lists!$I$2:$I$258, K966) &gt; 0,"cross.bred","not found")),"NA")</f>
        <v>NA</v>
      </c>
      <c r="O966" s="9" t="s">
        <v>109</v>
      </c>
      <c r="P966" s="9" t="s">
        <v>106</v>
      </c>
      <c r="Q966" s="9" t="s">
        <v>3806</v>
      </c>
      <c r="S966" s="9" t="s">
        <v>106</v>
      </c>
      <c r="T966" s="9" t="s">
        <v>106</v>
      </c>
      <c r="U966" s="9" t="s">
        <v>106</v>
      </c>
      <c r="V966" s="9" t="s">
        <v>106</v>
      </c>
      <c r="W966" s="9" t="s">
        <v>106</v>
      </c>
      <c r="X966" s="9" t="s">
        <v>106</v>
      </c>
      <c r="Y966" s="9">
        <v>696.5</v>
      </c>
      <c r="Z966" s="37"/>
      <c r="AA966" s="37"/>
      <c r="AB966" s="37"/>
      <c r="AE966">
        <v>0</v>
      </c>
    </row>
    <row r="967" spans="1:31" hidden="1">
      <c r="A967" s="9" t="s">
        <v>354</v>
      </c>
      <c r="B967" s="9" t="s">
        <v>358</v>
      </c>
      <c r="C967" s="9" t="s">
        <v>105</v>
      </c>
      <c r="D967" s="9">
        <v>0.42099999999999999</v>
      </c>
      <c r="E967" s="9" t="s">
        <v>106</v>
      </c>
      <c r="F967" s="9" t="s">
        <v>106</v>
      </c>
      <c r="G967" s="9" t="s">
        <v>106</v>
      </c>
      <c r="H967" s="9">
        <v>3.34</v>
      </c>
      <c r="I967" s="9">
        <v>15</v>
      </c>
      <c r="J967" s="9" t="s">
        <v>107</v>
      </c>
      <c r="K967" s="9" t="s">
        <v>117</v>
      </c>
      <c r="L967" t="str">
        <f>IF(OR(J967="Cattle",J967="Zebu Cattle"),IF(COUNTIF(lists!$M$2:$M$258, K967) &gt; 0,"bos.indicus",IF(COUNTIF(lists!$L$2:$L$258, K967) &gt; 0,"cross.bred","pure.bred.exotic")),"NA")</f>
        <v>NA</v>
      </c>
      <c r="M967" t="str">
        <f>IF(J967="Sheep",IF(COUNTIF(lists!$H$2:$H$258, K967) &gt; 0,"indigenous",IF(COUNTIF(lists!$G$2:$G$258, K967) &gt; 0,"cross.bred","not found")),"NA")</f>
        <v>not found</v>
      </c>
      <c r="N967" t="str">
        <f>IF(J967="Goat",IF(COUNTIF(lists!$J$2:$J$258, K967) &gt; 0,"indigenous",IF(COUNTIF(lists!$I$2:$I$258, K967) &gt; 0,"cross.bred","not found")),"NA")</f>
        <v>NA</v>
      </c>
      <c r="O967" s="9" t="s">
        <v>109</v>
      </c>
      <c r="P967" s="9" t="s">
        <v>106</v>
      </c>
      <c r="Q967" s="9" t="s">
        <v>3806</v>
      </c>
      <c r="S967" s="9" t="s">
        <v>106</v>
      </c>
      <c r="T967" s="9" t="s">
        <v>106</v>
      </c>
      <c r="U967" s="9" t="s">
        <v>106</v>
      </c>
      <c r="V967" s="9" t="s">
        <v>106</v>
      </c>
      <c r="W967" s="9" t="s">
        <v>106</v>
      </c>
      <c r="X967" s="9" t="s">
        <v>106</v>
      </c>
      <c r="Y967" s="9">
        <v>789.5</v>
      </c>
      <c r="Z967" s="37"/>
      <c r="AA967" s="37"/>
      <c r="AB967" s="37"/>
      <c r="AE967">
        <v>0</v>
      </c>
    </row>
    <row r="968" spans="1:31" hidden="1">
      <c r="A968" s="9" t="s">
        <v>354</v>
      </c>
      <c r="B968" s="9" t="s">
        <v>359</v>
      </c>
      <c r="C968" s="9" t="s">
        <v>105</v>
      </c>
      <c r="D968" s="9">
        <v>0.4556</v>
      </c>
      <c r="E968" s="9" t="s">
        <v>106</v>
      </c>
      <c r="F968" s="9" t="s">
        <v>106</v>
      </c>
      <c r="G968" s="9" t="s">
        <v>106</v>
      </c>
      <c r="H968" s="9">
        <v>3.34</v>
      </c>
      <c r="I968" s="9">
        <v>15</v>
      </c>
      <c r="J968" s="9" t="s">
        <v>107</v>
      </c>
      <c r="K968" s="9" t="s">
        <v>117</v>
      </c>
      <c r="L968" t="str">
        <f>IF(OR(J968="Cattle",J968="Zebu Cattle"),IF(COUNTIF(lists!$M$2:$M$258, K968) &gt; 0,"bos.indicus",IF(COUNTIF(lists!$L$2:$L$258, K968) &gt; 0,"cross.bred","pure.bred.exotic")),"NA")</f>
        <v>NA</v>
      </c>
      <c r="M968" t="str">
        <f>IF(J968="Sheep",IF(COUNTIF(lists!$H$2:$H$258, K968) &gt; 0,"indigenous",IF(COUNTIF(lists!$G$2:$G$258, K968) &gt; 0,"cross.bred","not found")),"NA")</f>
        <v>not found</v>
      </c>
      <c r="N968" t="str">
        <f>IF(J968="Goat",IF(COUNTIF(lists!$J$2:$J$258, K968) &gt; 0,"indigenous",IF(COUNTIF(lists!$I$2:$I$258, K968) &gt; 0,"cross.bred","not found")),"NA")</f>
        <v>NA</v>
      </c>
      <c r="O968" s="9" t="s">
        <v>109</v>
      </c>
      <c r="P968" s="9" t="s">
        <v>106</v>
      </c>
      <c r="Q968" s="9" t="s">
        <v>3806</v>
      </c>
      <c r="S968" s="9" t="s">
        <v>106</v>
      </c>
      <c r="T968" s="9" t="s">
        <v>106</v>
      </c>
      <c r="U968" s="9" t="s">
        <v>106</v>
      </c>
      <c r="V968" s="9" t="s">
        <v>106</v>
      </c>
      <c r="W968" s="9" t="s">
        <v>106</v>
      </c>
      <c r="X968" s="9" t="s">
        <v>106</v>
      </c>
      <c r="Y968" s="9">
        <v>818.5</v>
      </c>
      <c r="Z968" s="37"/>
      <c r="AA968" s="37"/>
      <c r="AB968" s="37"/>
      <c r="AE968">
        <v>0</v>
      </c>
    </row>
    <row r="969" spans="1:31" hidden="1">
      <c r="A969" s="9" t="s">
        <v>354</v>
      </c>
      <c r="B969" s="9" t="s">
        <v>360</v>
      </c>
      <c r="C969" s="9" t="s">
        <v>105</v>
      </c>
      <c r="D969" s="9">
        <v>0.37269999999999998</v>
      </c>
      <c r="E969" s="9" t="s">
        <v>106</v>
      </c>
      <c r="F969" s="9" t="s">
        <v>106</v>
      </c>
      <c r="G969" s="9" t="s">
        <v>106</v>
      </c>
      <c r="H969" s="9">
        <v>3.34</v>
      </c>
      <c r="I969" s="9">
        <v>15</v>
      </c>
      <c r="J969" s="9" t="s">
        <v>107</v>
      </c>
      <c r="K969" s="9" t="s">
        <v>117</v>
      </c>
      <c r="L969" t="str">
        <f>IF(OR(J969="Cattle",J969="Zebu Cattle"),IF(COUNTIF(lists!$M$2:$M$258, K969) &gt; 0,"bos.indicus",IF(COUNTIF(lists!$L$2:$L$258, K969) &gt; 0,"cross.bred","pure.bred.exotic")),"NA")</f>
        <v>NA</v>
      </c>
      <c r="M969" t="str">
        <f>IF(J969="Sheep",IF(COUNTIF(lists!$H$2:$H$258, K969) &gt; 0,"indigenous",IF(COUNTIF(lists!$G$2:$G$258, K969) &gt; 0,"cross.bred","not found")),"NA")</f>
        <v>not found</v>
      </c>
      <c r="N969" t="str">
        <f>IF(J969="Goat",IF(COUNTIF(lists!$J$2:$J$258, K969) &gt; 0,"indigenous",IF(COUNTIF(lists!$I$2:$I$258, K969) &gt; 0,"cross.bred","not found")),"NA")</f>
        <v>NA</v>
      </c>
      <c r="O969" s="9" t="s">
        <v>109</v>
      </c>
      <c r="P969" s="9" t="s">
        <v>106</v>
      </c>
      <c r="Q969" s="9" t="s">
        <v>3806</v>
      </c>
      <c r="S969" s="9" t="s">
        <v>106</v>
      </c>
      <c r="T969" s="9" t="s">
        <v>106</v>
      </c>
      <c r="U969" s="9" t="s">
        <v>106</v>
      </c>
      <c r="V969" s="9" t="s">
        <v>106</v>
      </c>
      <c r="W969" s="9" t="s">
        <v>106</v>
      </c>
      <c r="X969" s="9" t="s">
        <v>106</v>
      </c>
      <c r="Y969" s="9">
        <v>742.3</v>
      </c>
      <c r="Z969" s="37"/>
      <c r="AA969" s="37"/>
      <c r="AB969" s="37"/>
      <c r="AE969">
        <v>0</v>
      </c>
    </row>
    <row r="970" spans="1:31" hidden="1">
      <c r="A970" s="9" t="s">
        <v>354</v>
      </c>
      <c r="B970" s="9" t="s">
        <v>361</v>
      </c>
      <c r="C970" s="9" t="s">
        <v>105</v>
      </c>
      <c r="D970" s="9">
        <v>8.85</v>
      </c>
      <c r="E970" s="9">
        <v>0.56000000000000005</v>
      </c>
      <c r="F970" s="9" t="s">
        <v>106</v>
      </c>
      <c r="G970" s="9" t="s">
        <v>106</v>
      </c>
      <c r="H970" s="9">
        <v>3.34</v>
      </c>
      <c r="I970" s="9">
        <v>15</v>
      </c>
      <c r="J970" s="9" t="s">
        <v>107</v>
      </c>
      <c r="K970" s="9" t="s">
        <v>117</v>
      </c>
      <c r="L970" t="str">
        <f>IF(OR(J970="Cattle",J970="Zebu Cattle"),IF(COUNTIF(lists!$M$2:$M$258, K970) &gt; 0,"bos.indicus",IF(COUNTIF(lists!$L$2:$L$258, K970) &gt; 0,"cross.bred","pure.bred.exotic")),"NA")</f>
        <v>NA</v>
      </c>
      <c r="M970" t="str">
        <f>IF(J970="Sheep",IF(COUNTIF(lists!$H$2:$H$258, K970) &gt; 0,"indigenous",IF(COUNTIF(lists!$G$2:$G$258, K970) &gt; 0,"cross.bred","not found")),"NA")</f>
        <v>not found</v>
      </c>
      <c r="N970" t="str">
        <f>IF(J970="Goat",IF(COUNTIF(lists!$J$2:$J$258, K970) &gt; 0,"indigenous",IF(COUNTIF(lists!$I$2:$I$258, K970) &gt; 0,"cross.bred","not found")),"NA")</f>
        <v>NA</v>
      </c>
      <c r="O970" s="9" t="s">
        <v>109</v>
      </c>
      <c r="P970" s="9" t="s">
        <v>106</v>
      </c>
      <c r="Q970" s="9" t="s">
        <v>3806</v>
      </c>
      <c r="S970" s="9" t="s">
        <v>106</v>
      </c>
      <c r="T970" s="9" t="s">
        <v>106</v>
      </c>
      <c r="U970" s="9" t="s">
        <v>106</v>
      </c>
      <c r="V970" s="9" t="s">
        <v>106</v>
      </c>
      <c r="W970" s="9" t="s">
        <v>106</v>
      </c>
      <c r="X970" s="9" t="s">
        <v>106</v>
      </c>
      <c r="Y970" s="9">
        <v>56.65</v>
      </c>
      <c r="Z970" s="37"/>
      <c r="AA970" s="37"/>
      <c r="AB970" s="37"/>
      <c r="AE970">
        <v>0</v>
      </c>
    </row>
    <row r="971" spans="1:31" hidden="1">
      <c r="A971" s="9" t="s">
        <v>354</v>
      </c>
      <c r="B971" s="9" t="s">
        <v>362</v>
      </c>
      <c r="C971" s="9" t="s">
        <v>105</v>
      </c>
      <c r="D971" s="9">
        <v>8.1</v>
      </c>
      <c r="E971" s="9">
        <v>0.56000000000000005</v>
      </c>
      <c r="F971" s="9" t="s">
        <v>106</v>
      </c>
      <c r="G971" s="9" t="s">
        <v>106</v>
      </c>
      <c r="H971" s="9">
        <v>2.71</v>
      </c>
      <c r="I971" s="9">
        <v>15</v>
      </c>
      <c r="J971" s="9" t="s">
        <v>107</v>
      </c>
      <c r="K971" s="9" t="s">
        <v>117</v>
      </c>
      <c r="L971" t="str">
        <f>IF(OR(J971="Cattle",J971="Zebu Cattle"),IF(COUNTIF(lists!$M$2:$M$258, K971) &gt; 0,"bos.indicus",IF(COUNTIF(lists!$L$2:$L$258, K971) &gt; 0,"cross.bred","pure.bred.exotic")),"NA")</f>
        <v>NA</v>
      </c>
      <c r="M971" t="str">
        <f>IF(J971="Sheep",IF(COUNTIF(lists!$H$2:$H$258, K971) &gt; 0,"indigenous",IF(COUNTIF(lists!$G$2:$G$258, K971) &gt; 0,"cross.bred","not found")),"NA")</f>
        <v>not found</v>
      </c>
      <c r="N971" t="str">
        <f>IF(J971="Goat",IF(COUNTIF(lists!$J$2:$J$258, K971) &gt; 0,"indigenous",IF(COUNTIF(lists!$I$2:$I$258, K971) &gt; 0,"cross.bred","not found")),"NA")</f>
        <v>NA</v>
      </c>
      <c r="O971" s="9" t="s">
        <v>109</v>
      </c>
      <c r="P971" s="9" t="s">
        <v>106</v>
      </c>
      <c r="Q971" s="9" t="s">
        <v>3806</v>
      </c>
      <c r="S971" s="9" t="s">
        <v>106</v>
      </c>
      <c r="T971" s="9" t="s">
        <v>106</v>
      </c>
      <c r="U971" s="9" t="s">
        <v>106</v>
      </c>
      <c r="V971" s="9" t="s">
        <v>106</v>
      </c>
      <c r="W971" s="9" t="s">
        <v>106</v>
      </c>
      <c r="X971" s="9" t="s">
        <v>106</v>
      </c>
      <c r="Y971" s="9">
        <v>54.24</v>
      </c>
      <c r="Z971" s="37"/>
      <c r="AA971" s="37"/>
      <c r="AB971" s="37"/>
      <c r="AE971">
        <v>0</v>
      </c>
    </row>
    <row r="972" spans="1:31" hidden="1">
      <c r="A972" s="9" t="s">
        <v>354</v>
      </c>
      <c r="B972" s="9" t="s">
        <v>363</v>
      </c>
      <c r="C972" s="9" t="s">
        <v>105</v>
      </c>
      <c r="D972" s="9">
        <v>6.21</v>
      </c>
      <c r="E972" s="9">
        <v>0.56000000000000005</v>
      </c>
      <c r="F972" s="9" t="s">
        <v>106</v>
      </c>
      <c r="G972" s="9" t="s">
        <v>106</v>
      </c>
      <c r="H972" s="9">
        <v>1.77</v>
      </c>
      <c r="I972" s="9">
        <v>15</v>
      </c>
      <c r="J972" s="9" t="s">
        <v>107</v>
      </c>
      <c r="K972" s="9" t="s">
        <v>117</v>
      </c>
      <c r="L972" t="str">
        <f>IF(OR(J972="Cattle",J972="Zebu Cattle"),IF(COUNTIF(lists!$M$2:$M$258, K972) &gt; 0,"bos.indicus",IF(COUNTIF(lists!$L$2:$L$258, K972) &gt; 0,"cross.bred","pure.bred.exotic")),"NA")</f>
        <v>NA</v>
      </c>
      <c r="M972" t="str">
        <f>IF(J972="Sheep",IF(COUNTIF(lists!$H$2:$H$258, K972) &gt; 0,"indigenous",IF(COUNTIF(lists!$G$2:$G$258, K972) &gt; 0,"cross.bred","not found")),"NA")</f>
        <v>not found</v>
      </c>
      <c r="N972" t="str">
        <f>IF(J972="Goat",IF(COUNTIF(lists!$J$2:$J$258, K972) &gt; 0,"indigenous",IF(COUNTIF(lists!$I$2:$I$258, K972) &gt; 0,"cross.bred","not found")),"NA")</f>
        <v>NA</v>
      </c>
      <c r="O972" s="9" t="s">
        <v>109</v>
      </c>
      <c r="P972" s="9" t="s">
        <v>106</v>
      </c>
      <c r="Q972" s="9" t="s">
        <v>3806</v>
      </c>
      <c r="S972" s="9" t="s">
        <v>106</v>
      </c>
      <c r="T972" s="9" t="s">
        <v>106</v>
      </c>
      <c r="U972" s="9" t="s">
        <v>106</v>
      </c>
      <c r="V972" s="9" t="s">
        <v>106</v>
      </c>
      <c r="W972" s="9" t="s">
        <v>106</v>
      </c>
      <c r="X972" s="9" t="s">
        <v>106</v>
      </c>
      <c r="Y972" s="9">
        <v>48.14</v>
      </c>
      <c r="Z972" s="37"/>
      <c r="AA972" s="37"/>
      <c r="AB972" s="37"/>
      <c r="AE972">
        <v>0</v>
      </c>
    </row>
    <row r="973" spans="1:31" hidden="1">
      <c r="A973" s="9" t="s">
        <v>354</v>
      </c>
      <c r="B973" s="9" t="s">
        <v>364</v>
      </c>
      <c r="C973" s="9" t="s">
        <v>105</v>
      </c>
      <c r="D973" s="9">
        <v>7.71</v>
      </c>
      <c r="E973" s="9">
        <v>0.56000000000000005</v>
      </c>
      <c r="F973" s="9" t="s">
        <v>106</v>
      </c>
      <c r="G973" s="9" t="s">
        <v>106</v>
      </c>
      <c r="H973" s="9">
        <v>2.34</v>
      </c>
      <c r="I973" s="9">
        <v>15</v>
      </c>
      <c r="J973" s="9" t="s">
        <v>107</v>
      </c>
      <c r="K973" s="9" t="s">
        <v>117</v>
      </c>
      <c r="L973" t="str">
        <f>IF(OR(J973="Cattle",J973="Zebu Cattle"),IF(COUNTIF(lists!$M$2:$M$258, K973) &gt; 0,"bos.indicus",IF(COUNTIF(lists!$L$2:$L$258, K973) &gt; 0,"cross.bred","pure.bred.exotic")),"NA")</f>
        <v>NA</v>
      </c>
      <c r="M973" t="str">
        <f>IF(J973="Sheep",IF(COUNTIF(lists!$H$2:$H$258, K973) &gt; 0,"indigenous",IF(COUNTIF(lists!$G$2:$G$258, K973) &gt; 0,"cross.bred","not found")),"NA")</f>
        <v>not found</v>
      </c>
      <c r="N973" t="str">
        <f>IF(J973="Goat",IF(COUNTIF(lists!$J$2:$J$258, K973) &gt; 0,"indigenous",IF(COUNTIF(lists!$I$2:$I$258, K973) &gt; 0,"cross.bred","not found")),"NA")</f>
        <v>NA</v>
      </c>
      <c r="O973" s="9" t="s">
        <v>109</v>
      </c>
      <c r="P973" s="9" t="s">
        <v>106</v>
      </c>
      <c r="Q973" s="9" t="s">
        <v>3806</v>
      </c>
      <c r="S973" s="9" t="s">
        <v>106</v>
      </c>
      <c r="T973" s="9" t="s">
        <v>106</v>
      </c>
      <c r="U973" s="9" t="s">
        <v>106</v>
      </c>
      <c r="V973" s="9" t="s">
        <v>106</v>
      </c>
      <c r="W973" s="9" t="s">
        <v>106</v>
      </c>
      <c r="X973" s="9" t="s">
        <v>106</v>
      </c>
      <c r="Y973" s="9">
        <v>52.89</v>
      </c>
      <c r="Z973" s="37"/>
      <c r="AA973" s="37"/>
      <c r="AB973" s="37"/>
      <c r="AE973">
        <v>0</v>
      </c>
    </row>
    <row r="974" spans="1:31" hidden="1">
      <c r="A974" s="9" t="s">
        <v>379</v>
      </c>
      <c r="B974" s="9" t="s">
        <v>380</v>
      </c>
      <c r="C974" s="9" t="s">
        <v>105</v>
      </c>
      <c r="D974" s="9">
        <v>0.59499999999999997</v>
      </c>
      <c r="E974" s="9" t="s">
        <v>106</v>
      </c>
      <c r="F974" s="9" t="s">
        <v>106</v>
      </c>
      <c r="G974" s="9" t="s">
        <v>106</v>
      </c>
      <c r="H974" s="9" t="s">
        <v>106</v>
      </c>
      <c r="I974" s="9">
        <v>32</v>
      </c>
      <c r="J974" s="9" t="s">
        <v>107</v>
      </c>
      <c r="K974" s="9" t="s">
        <v>117</v>
      </c>
      <c r="L974" t="str">
        <f>IF(OR(J974="Cattle",J974="Zebu Cattle"),IF(COUNTIF(lists!$M$2:$M$258, K974) &gt; 0,"bos.indicus",IF(COUNTIF(lists!$L$2:$L$258, K974) &gt; 0,"cross.bred","pure.bred.exotic")),"NA")</f>
        <v>NA</v>
      </c>
      <c r="M974" t="str">
        <f>IF(J974="Sheep",IF(COUNTIF(lists!$H$2:$H$258, K974) &gt; 0,"indigenous",IF(COUNTIF(lists!$G$2:$G$258, K974) &gt; 0,"cross.bred","not found")),"NA")</f>
        <v>not found</v>
      </c>
      <c r="N974" t="str">
        <f>IF(J974="Goat",IF(COUNTIF(lists!$J$2:$J$258, K974) &gt; 0,"indigenous",IF(COUNTIF(lists!$I$2:$I$258, K974) &gt; 0,"cross.bred","not found")),"NA")</f>
        <v>NA</v>
      </c>
      <c r="O974" s="9" t="s">
        <v>109</v>
      </c>
      <c r="P974" s="9" t="s">
        <v>106</v>
      </c>
      <c r="Q974" s="9" t="s">
        <v>3804</v>
      </c>
      <c r="S974" s="9" t="s">
        <v>106</v>
      </c>
      <c r="T974" s="9" t="s">
        <v>106</v>
      </c>
      <c r="U974" s="9" t="s">
        <v>106</v>
      </c>
      <c r="V974" s="9" t="s">
        <v>106</v>
      </c>
      <c r="W974" s="9" t="s">
        <v>106</v>
      </c>
      <c r="X974" s="9" t="s">
        <v>106</v>
      </c>
      <c r="Y974" s="9" t="s">
        <v>106</v>
      </c>
      <c r="Z974" s="37"/>
      <c r="AA974" s="37"/>
      <c r="AB974" s="37"/>
      <c r="AE974">
        <v>0</v>
      </c>
    </row>
    <row r="975" spans="1:31" hidden="1">
      <c r="A975" s="9" t="s">
        <v>379</v>
      </c>
      <c r="B975" s="9" t="s">
        <v>381</v>
      </c>
      <c r="C975" s="9" t="s">
        <v>105</v>
      </c>
      <c r="D975" s="9">
        <v>0.57999999999999996</v>
      </c>
      <c r="E975" s="9" t="s">
        <v>106</v>
      </c>
      <c r="F975" s="9" t="s">
        <v>106</v>
      </c>
      <c r="G975" s="9" t="s">
        <v>106</v>
      </c>
      <c r="H975" s="9" t="s">
        <v>106</v>
      </c>
      <c r="I975" s="9">
        <v>32</v>
      </c>
      <c r="J975" s="9" t="s">
        <v>107</v>
      </c>
      <c r="K975" s="9" t="s">
        <v>117</v>
      </c>
      <c r="L975" t="str">
        <f>IF(OR(J975="Cattle",J975="Zebu Cattle"),IF(COUNTIF(lists!$M$2:$M$258, K975) &gt; 0,"bos.indicus",IF(COUNTIF(lists!$L$2:$L$258, K975) &gt; 0,"cross.bred","pure.bred.exotic")),"NA")</f>
        <v>NA</v>
      </c>
      <c r="M975" t="str">
        <f>IF(J975="Sheep",IF(COUNTIF(lists!$H$2:$H$258, K975) &gt; 0,"indigenous",IF(COUNTIF(lists!$G$2:$G$258, K975) &gt; 0,"cross.bred","not found")),"NA")</f>
        <v>not found</v>
      </c>
      <c r="N975" t="str">
        <f>IF(J975="Goat",IF(COUNTIF(lists!$J$2:$J$258, K975) &gt; 0,"indigenous",IF(COUNTIF(lists!$I$2:$I$258, K975) &gt; 0,"cross.bred","not found")),"NA")</f>
        <v>NA</v>
      </c>
      <c r="O975" s="9" t="s">
        <v>109</v>
      </c>
      <c r="P975" s="9" t="s">
        <v>106</v>
      </c>
      <c r="Q975" s="9" t="s">
        <v>3804</v>
      </c>
      <c r="S975" s="9" t="s">
        <v>106</v>
      </c>
      <c r="T975" s="9" t="s">
        <v>106</v>
      </c>
      <c r="U975" s="9" t="s">
        <v>106</v>
      </c>
      <c r="V975" s="9" t="s">
        <v>106</v>
      </c>
      <c r="W975" s="9" t="s">
        <v>106</v>
      </c>
      <c r="X975" s="9" t="s">
        <v>106</v>
      </c>
      <c r="Y975" s="9" t="s">
        <v>106</v>
      </c>
      <c r="Z975" s="37"/>
      <c r="AA975" s="37"/>
      <c r="AB975" s="37"/>
      <c r="AE975">
        <v>0</v>
      </c>
    </row>
    <row r="976" spans="1:31" hidden="1">
      <c r="A976" s="9" t="s">
        <v>379</v>
      </c>
      <c r="B976" s="9" t="s">
        <v>382</v>
      </c>
      <c r="C976" s="9" t="s">
        <v>105</v>
      </c>
      <c r="D976" s="9">
        <v>0.56999999999999995</v>
      </c>
      <c r="E976" s="9" t="s">
        <v>106</v>
      </c>
      <c r="F976" s="9" t="s">
        <v>106</v>
      </c>
      <c r="G976" s="9" t="s">
        <v>106</v>
      </c>
      <c r="H976" s="9" t="s">
        <v>106</v>
      </c>
      <c r="I976" s="9">
        <v>32</v>
      </c>
      <c r="J976" s="9" t="s">
        <v>107</v>
      </c>
      <c r="K976" s="9" t="s">
        <v>117</v>
      </c>
      <c r="L976" t="str">
        <f>IF(OR(J976="Cattle",J976="Zebu Cattle"),IF(COUNTIF(lists!$M$2:$M$258, K976) &gt; 0,"bos.indicus",IF(COUNTIF(lists!$L$2:$L$258, K976) &gt; 0,"cross.bred","pure.bred.exotic")),"NA")</f>
        <v>NA</v>
      </c>
      <c r="M976" t="str">
        <f>IF(J976="Sheep",IF(COUNTIF(lists!$H$2:$H$258, K976) &gt; 0,"indigenous",IF(COUNTIF(lists!$G$2:$G$258, K976) &gt; 0,"cross.bred","not found")),"NA")</f>
        <v>not found</v>
      </c>
      <c r="N976" t="str">
        <f>IF(J976="Goat",IF(COUNTIF(lists!$J$2:$J$258, K976) &gt; 0,"indigenous",IF(COUNTIF(lists!$I$2:$I$258, K976) &gt; 0,"cross.bred","not found")),"NA")</f>
        <v>NA</v>
      </c>
      <c r="O976" s="9" t="s">
        <v>109</v>
      </c>
      <c r="P976" s="9" t="s">
        <v>106</v>
      </c>
      <c r="Q976" s="9" t="s">
        <v>3804</v>
      </c>
      <c r="S976" s="9" t="s">
        <v>106</v>
      </c>
      <c r="T976" s="9" t="s">
        <v>106</v>
      </c>
      <c r="U976" s="9" t="s">
        <v>106</v>
      </c>
      <c r="V976" s="9" t="s">
        <v>106</v>
      </c>
      <c r="W976" s="9" t="s">
        <v>106</v>
      </c>
      <c r="X976" s="9" t="s">
        <v>106</v>
      </c>
      <c r="Y976" s="9" t="s">
        <v>106</v>
      </c>
      <c r="Z976" s="37"/>
      <c r="AA976" s="37"/>
      <c r="AB976" s="37"/>
      <c r="AE976">
        <v>0</v>
      </c>
    </row>
    <row r="977" spans="1:31" hidden="1">
      <c r="A977" s="9" t="s">
        <v>379</v>
      </c>
      <c r="B977" s="9" t="s">
        <v>383</v>
      </c>
      <c r="C977" s="9" t="s">
        <v>105</v>
      </c>
      <c r="D977" s="9">
        <v>0.57299999999999995</v>
      </c>
      <c r="E977" s="9" t="s">
        <v>106</v>
      </c>
      <c r="F977" s="9" t="s">
        <v>106</v>
      </c>
      <c r="G977" s="9" t="s">
        <v>106</v>
      </c>
      <c r="H977" s="9" t="s">
        <v>106</v>
      </c>
      <c r="I977" s="9">
        <v>32</v>
      </c>
      <c r="J977" s="9" t="s">
        <v>107</v>
      </c>
      <c r="K977" s="9" t="s">
        <v>117</v>
      </c>
      <c r="L977" t="str">
        <f>IF(OR(J977="Cattle",J977="Zebu Cattle"),IF(COUNTIF(lists!$M$2:$M$258, K977) &gt; 0,"bos.indicus",IF(COUNTIF(lists!$L$2:$L$258, K977) &gt; 0,"cross.bred","pure.bred.exotic")),"NA")</f>
        <v>NA</v>
      </c>
      <c r="M977" t="str">
        <f>IF(J977="Sheep",IF(COUNTIF(lists!$H$2:$H$258, K977) &gt; 0,"indigenous",IF(COUNTIF(lists!$G$2:$G$258, K977) &gt; 0,"cross.bred","not found")),"NA")</f>
        <v>not found</v>
      </c>
      <c r="N977" t="str">
        <f>IF(J977="Goat",IF(COUNTIF(lists!$J$2:$J$258, K977) &gt; 0,"indigenous",IF(COUNTIF(lists!$I$2:$I$258, K977) &gt; 0,"cross.bred","not found")),"NA")</f>
        <v>NA</v>
      </c>
      <c r="O977" s="9" t="s">
        <v>109</v>
      </c>
      <c r="P977" s="9" t="s">
        <v>106</v>
      </c>
      <c r="Q977" s="9" t="s">
        <v>3804</v>
      </c>
      <c r="S977" s="9" t="s">
        <v>106</v>
      </c>
      <c r="T977" s="9" t="s">
        <v>106</v>
      </c>
      <c r="U977" s="9" t="s">
        <v>106</v>
      </c>
      <c r="V977" s="9" t="s">
        <v>106</v>
      </c>
      <c r="W977" s="9" t="s">
        <v>106</v>
      </c>
      <c r="X977" s="9" t="s">
        <v>106</v>
      </c>
      <c r="Y977" s="9" t="s">
        <v>106</v>
      </c>
      <c r="Z977" s="37"/>
      <c r="AA977" s="37"/>
      <c r="AB977" s="37"/>
      <c r="AE977">
        <v>0</v>
      </c>
    </row>
    <row r="978" spans="1:31" hidden="1">
      <c r="A978" s="9" t="s">
        <v>384</v>
      </c>
      <c r="B978" s="9" t="s">
        <v>385</v>
      </c>
      <c r="C978" s="9" t="s">
        <v>105</v>
      </c>
      <c r="D978" s="9">
        <v>0.48199999999999998</v>
      </c>
      <c r="E978" s="9">
        <v>18</v>
      </c>
      <c r="F978" s="9" t="s">
        <v>106</v>
      </c>
      <c r="G978" s="9" t="s">
        <v>106</v>
      </c>
      <c r="H978" s="9" t="s">
        <v>106</v>
      </c>
      <c r="J978" s="9" t="s">
        <v>107</v>
      </c>
      <c r="K978" s="9" t="s">
        <v>117</v>
      </c>
      <c r="L978" t="str">
        <f>IF(OR(J978="Cattle",J978="Zebu Cattle"),IF(COUNTIF(lists!$M$2:$M$258, K978) &gt; 0,"bos.indicus",IF(COUNTIF(lists!$L$2:$L$258, K978) &gt; 0,"cross.bred","pure.bred.exotic")),"NA")</f>
        <v>NA</v>
      </c>
      <c r="M978" t="str">
        <f>IF(J978="Sheep",IF(COUNTIF(lists!$H$2:$H$258, K978) &gt; 0,"indigenous",IF(COUNTIF(lists!$G$2:$G$258, K978) &gt; 0,"cross.bred","not found")),"NA")</f>
        <v>not found</v>
      </c>
      <c r="N978" t="str">
        <f>IF(J978="Goat",IF(COUNTIF(lists!$J$2:$J$258, K978) &gt; 0,"indigenous",IF(COUNTIF(lists!$I$2:$I$258, K978) &gt; 0,"cross.bred","not found")),"NA")</f>
        <v>NA</v>
      </c>
      <c r="O978" s="9" t="s">
        <v>109</v>
      </c>
      <c r="P978" s="9" t="s">
        <v>187</v>
      </c>
      <c r="S978" s="9" t="s">
        <v>106</v>
      </c>
      <c r="T978" s="9" t="s">
        <v>106</v>
      </c>
      <c r="U978" s="9" t="s">
        <v>106</v>
      </c>
      <c r="V978" s="9" t="s">
        <v>106</v>
      </c>
      <c r="W978" s="9" t="s">
        <v>106</v>
      </c>
      <c r="X978" s="9" t="s">
        <v>106</v>
      </c>
      <c r="Y978" s="9" t="s">
        <v>106</v>
      </c>
      <c r="Z978" s="37"/>
      <c r="AA978" s="37"/>
      <c r="AB978" s="37"/>
      <c r="AE978"/>
    </row>
    <row r="979" spans="1:31" hidden="1">
      <c r="A979" s="9" t="s">
        <v>384</v>
      </c>
      <c r="B979" s="9" t="s">
        <v>386</v>
      </c>
      <c r="C979" s="9" t="s">
        <v>105</v>
      </c>
      <c r="D979" s="9">
        <v>0.44800000000000001</v>
      </c>
      <c r="E979" s="9">
        <v>12</v>
      </c>
      <c r="F979" s="9" t="s">
        <v>106</v>
      </c>
      <c r="G979" s="9" t="s">
        <v>106</v>
      </c>
      <c r="H979" s="9" t="s">
        <v>106</v>
      </c>
      <c r="J979" s="9" t="s">
        <v>107</v>
      </c>
      <c r="K979" s="9" t="s">
        <v>117</v>
      </c>
      <c r="L979" t="str">
        <f>IF(OR(J979="Cattle",J979="Zebu Cattle"),IF(COUNTIF(lists!$M$2:$M$258, K979) &gt; 0,"bos.indicus",IF(COUNTIF(lists!$L$2:$L$258, K979) &gt; 0,"cross.bred","pure.bred.exotic")),"NA")</f>
        <v>NA</v>
      </c>
      <c r="M979" t="str">
        <f>IF(J979="Sheep",IF(COUNTIF(lists!$H$2:$H$258, K979) &gt; 0,"indigenous",IF(COUNTIF(lists!$G$2:$G$258, K979) &gt; 0,"cross.bred","not found")),"NA")</f>
        <v>not found</v>
      </c>
      <c r="N979" t="str">
        <f>IF(J979="Goat",IF(COUNTIF(lists!$J$2:$J$258, K979) &gt; 0,"indigenous",IF(COUNTIF(lists!$I$2:$I$258, K979) &gt; 0,"cross.bred","not found")),"NA")</f>
        <v>NA</v>
      </c>
      <c r="O979" s="9" t="s">
        <v>109</v>
      </c>
      <c r="P979" s="9" t="s">
        <v>187</v>
      </c>
      <c r="S979" s="9" t="s">
        <v>106</v>
      </c>
      <c r="T979" s="9" t="s">
        <v>106</v>
      </c>
      <c r="U979" s="9" t="s">
        <v>106</v>
      </c>
      <c r="V979" s="9" t="s">
        <v>106</v>
      </c>
      <c r="W979" s="9" t="s">
        <v>106</v>
      </c>
      <c r="X979" s="9" t="s">
        <v>106</v>
      </c>
      <c r="Y979" s="9" t="s">
        <v>106</v>
      </c>
      <c r="Z979" s="37"/>
      <c r="AA979" s="37"/>
      <c r="AB979" s="37"/>
      <c r="AE979"/>
    </row>
    <row r="980" spans="1:31" hidden="1">
      <c r="A980" s="9" t="s">
        <v>384</v>
      </c>
      <c r="B980" s="9" t="s">
        <v>387</v>
      </c>
      <c r="C980" s="9" t="s">
        <v>105</v>
      </c>
      <c r="D980" s="9">
        <v>0.441</v>
      </c>
      <c r="E980" s="9">
        <v>14</v>
      </c>
      <c r="F980" s="9" t="s">
        <v>106</v>
      </c>
      <c r="G980" s="9" t="s">
        <v>106</v>
      </c>
      <c r="H980" s="9" t="s">
        <v>106</v>
      </c>
      <c r="J980" s="9" t="s">
        <v>107</v>
      </c>
      <c r="K980" s="9" t="s">
        <v>117</v>
      </c>
      <c r="L980" t="str">
        <f>IF(OR(J980="Cattle",J980="Zebu Cattle"),IF(COUNTIF(lists!$M$2:$M$258, K980) &gt; 0,"bos.indicus",IF(COUNTIF(lists!$L$2:$L$258, K980) &gt; 0,"cross.bred","pure.bred.exotic")),"NA")</f>
        <v>NA</v>
      </c>
      <c r="M980" t="str">
        <f>IF(J980="Sheep",IF(COUNTIF(lists!$H$2:$H$258, K980) &gt; 0,"indigenous",IF(COUNTIF(lists!$G$2:$G$258, K980) &gt; 0,"cross.bred","not found")),"NA")</f>
        <v>not found</v>
      </c>
      <c r="N980" t="str">
        <f>IF(J980="Goat",IF(COUNTIF(lists!$J$2:$J$258, K980) &gt; 0,"indigenous",IF(COUNTIF(lists!$I$2:$I$258, K980) &gt; 0,"cross.bred","not found")),"NA")</f>
        <v>NA</v>
      </c>
      <c r="O980" s="9" t="s">
        <v>109</v>
      </c>
      <c r="P980" s="9" t="s">
        <v>187</v>
      </c>
      <c r="S980" s="9" t="s">
        <v>106</v>
      </c>
      <c r="T980" s="9" t="s">
        <v>106</v>
      </c>
      <c r="U980" s="9" t="s">
        <v>106</v>
      </c>
      <c r="V980" s="9" t="s">
        <v>106</v>
      </c>
      <c r="W980" s="9" t="s">
        <v>106</v>
      </c>
      <c r="X980" s="9" t="s">
        <v>106</v>
      </c>
      <c r="Y980" s="9" t="s">
        <v>106</v>
      </c>
      <c r="Z980" s="37"/>
      <c r="AA980" s="37"/>
      <c r="AB980" s="37"/>
      <c r="AE980"/>
    </row>
    <row r="981" spans="1:31" hidden="1">
      <c r="A981" s="9" t="s">
        <v>388</v>
      </c>
      <c r="B981" s="9" t="s">
        <v>389</v>
      </c>
      <c r="C981" s="9" t="s">
        <v>105</v>
      </c>
      <c r="D981" s="9">
        <v>0.76839999999999997</v>
      </c>
      <c r="E981" s="9">
        <v>22.53</v>
      </c>
      <c r="F981" s="9" t="s">
        <v>106</v>
      </c>
      <c r="G981" s="9" t="s">
        <v>106</v>
      </c>
      <c r="H981" s="9" t="s">
        <v>106</v>
      </c>
      <c r="J981" s="9" t="s">
        <v>107</v>
      </c>
      <c r="K981" s="9" t="s">
        <v>390</v>
      </c>
      <c r="L981" t="str">
        <f>IF(OR(J981="Cattle",J981="Zebu Cattle"),IF(COUNTIF(lists!$M$2:$M$258, K981) &gt; 0,"bos.indicus",IF(COUNTIF(lists!$L$2:$L$258, K981) &gt; 0,"cross.bred","pure.bred.exotic")),"NA")</f>
        <v>NA</v>
      </c>
      <c r="M981" t="str">
        <f>IF(J981="Sheep",IF(COUNTIF(lists!$H$2:$H$258, K981) &gt; 0,"indigenous",IF(COUNTIF(lists!$G$2:$G$258, K981) &gt; 0,"cross.bred","not found")),"NA")</f>
        <v>not found</v>
      </c>
      <c r="N981" t="str">
        <f>IF(J981="Goat",IF(COUNTIF(lists!$J$2:$J$258, K981) &gt; 0,"indigenous",IF(COUNTIF(lists!$I$2:$I$258, K981) &gt; 0,"cross.bred","not found")),"NA")</f>
        <v>NA</v>
      </c>
      <c r="O981" s="9" t="s">
        <v>109</v>
      </c>
      <c r="P981" s="9" t="s">
        <v>187</v>
      </c>
      <c r="S981" s="9">
        <v>422.29999999999899</v>
      </c>
      <c r="T981" s="9">
        <v>108.6</v>
      </c>
      <c r="U981" s="9">
        <v>87.5</v>
      </c>
      <c r="V981" s="9">
        <v>301.39999999999998</v>
      </c>
      <c r="W981" s="9" t="s">
        <v>106</v>
      </c>
      <c r="X981" s="9">
        <v>721.4</v>
      </c>
      <c r="Y981" s="9">
        <v>58.76</v>
      </c>
      <c r="Z981" s="37"/>
      <c r="AA981" s="37"/>
      <c r="AB981" s="37"/>
      <c r="AE981"/>
    </row>
    <row r="982" spans="1:31" hidden="1">
      <c r="A982" s="9" t="s">
        <v>388</v>
      </c>
      <c r="B982" s="9" t="s">
        <v>391</v>
      </c>
      <c r="C982" s="9" t="s">
        <v>105</v>
      </c>
      <c r="D982" s="9">
        <v>0.88009999999999999</v>
      </c>
      <c r="E982" s="9">
        <v>22.53</v>
      </c>
      <c r="F982" s="9" t="s">
        <v>106</v>
      </c>
      <c r="G982" s="9" t="s">
        <v>106</v>
      </c>
      <c r="H982" s="9" t="s">
        <v>106</v>
      </c>
      <c r="J982" s="9" t="s">
        <v>107</v>
      </c>
      <c r="K982" s="9" t="s">
        <v>390</v>
      </c>
      <c r="L982" t="str">
        <f>IF(OR(J982="Cattle",J982="Zebu Cattle"),IF(COUNTIF(lists!$M$2:$M$258, K982) &gt; 0,"bos.indicus",IF(COUNTIF(lists!$L$2:$L$258, K982) &gt; 0,"cross.bred","pure.bred.exotic")),"NA")</f>
        <v>NA</v>
      </c>
      <c r="M982" t="str">
        <f>IF(J982="Sheep",IF(COUNTIF(lists!$H$2:$H$258, K982) &gt; 0,"indigenous",IF(COUNTIF(lists!$G$2:$G$258, K982) &gt; 0,"cross.bred","not found")),"NA")</f>
        <v>not found</v>
      </c>
      <c r="N982" t="str">
        <f>IF(J982="Goat",IF(COUNTIF(lists!$J$2:$J$258, K982) &gt; 0,"indigenous",IF(COUNTIF(lists!$I$2:$I$258, K982) &gt; 0,"cross.bred","not found")),"NA")</f>
        <v>NA</v>
      </c>
      <c r="O982" s="9" t="s">
        <v>109</v>
      </c>
      <c r="P982" s="9" t="s">
        <v>187</v>
      </c>
      <c r="S982" s="9">
        <v>408.9</v>
      </c>
      <c r="T982" s="9">
        <v>86.4</v>
      </c>
      <c r="U982" s="9">
        <v>101.9</v>
      </c>
      <c r="V982" s="9">
        <v>324</v>
      </c>
      <c r="W982" s="9" t="s">
        <v>106</v>
      </c>
      <c r="X982" s="9">
        <v>630</v>
      </c>
      <c r="Y982" s="9">
        <v>60.6</v>
      </c>
      <c r="Z982" s="37"/>
      <c r="AA982" s="37"/>
      <c r="AB982" s="37"/>
      <c r="AE982"/>
    </row>
    <row r="983" spans="1:31" hidden="1">
      <c r="A983" s="9" t="s">
        <v>388</v>
      </c>
      <c r="B983" s="9" t="s">
        <v>392</v>
      </c>
      <c r="C983" s="9" t="s">
        <v>105</v>
      </c>
      <c r="D983" s="9">
        <v>0.92089999999999905</v>
      </c>
      <c r="E983" s="9">
        <v>22.53</v>
      </c>
      <c r="F983" s="9" t="s">
        <v>106</v>
      </c>
      <c r="G983" s="9" t="s">
        <v>106</v>
      </c>
      <c r="H983" s="9" t="s">
        <v>106</v>
      </c>
      <c r="J983" s="9" t="s">
        <v>107</v>
      </c>
      <c r="K983" s="9" t="s">
        <v>390</v>
      </c>
      <c r="L983" t="str">
        <f>IF(OR(J983="Cattle",J983="Zebu Cattle"),IF(COUNTIF(lists!$M$2:$M$258, K983) &gt; 0,"bos.indicus",IF(COUNTIF(lists!$L$2:$L$258, K983) &gt; 0,"cross.bred","pure.bred.exotic")),"NA")</f>
        <v>NA</v>
      </c>
      <c r="M983" t="str">
        <f>IF(J983="Sheep",IF(COUNTIF(lists!$H$2:$H$258, K983) &gt; 0,"indigenous",IF(COUNTIF(lists!$G$2:$G$258, K983) &gt; 0,"cross.bred","not found")),"NA")</f>
        <v>not found</v>
      </c>
      <c r="N983" t="str">
        <f>IF(J983="Goat",IF(COUNTIF(lists!$J$2:$J$258, K983) &gt; 0,"indigenous",IF(COUNTIF(lists!$I$2:$I$258, K983) &gt; 0,"cross.bred","not found")),"NA")</f>
        <v>NA</v>
      </c>
      <c r="O983" s="9" t="s">
        <v>109</v>
      </c>
      <c r="P983" s="9" t="s">
        <v>187</v>
      </c>
      <c r="S983" s="9">
        <v>388.6</v>
      </c>
      <c r="T983" s="9">
        <v>82.1</v>
      </c>
      <c r="U983" s="9">
        <v>110.6</v>
      </c>
      <c r="V983" s="9">
        <v>347</v>
      </c>
      <c r="W983" s="9" t="s">
        <v>106</v>
      </c>
      <c r="X983" s="9">
        <v>611.1</v>
      </c>
      <c r="Y983" s="9">
        <v>63.95</v>
      </c>
      <c r="Z983" s="37"/>
      <c r="AA983" s="37"/>
      <c r="AB983" s="37"/>
      <c r="AE983"/>
    </row>
    <row r="984" spans="1:31" hidden="1">
      <c r="A984" s="9" t="s">
        <v>388</v>
      </c>
      <c r="B984" s="9" t="s">
        <v>393</v>
      </c>
      <c r="C984" s="9" t="s">
        <v>105</v>
      </c>
      <c r="D984" s="9">
        <v>0.95489999999999997</v>
      </c>
      <c r="E984" s="9">
        <v>22.53</v>
      </c>
      <c r="F984" s="9" t="s">
        <v>106</v>
      </c>
      <c r="G984" s="9" t="s">
        <v>106</v>
      </c>
      <c r="H984" s="9" t="s">
        <v>106</v>
      </c>
      <c r="J984" s="9" t="s">
        <v>107</v>
      </c>
      <c r="K984" s="9" t="s">
        <v>390</v>
      </c>
      <c r="L984" t="str">
        <f>IF(OR(J984="Cattle",J984="Zebu Cattle"),IF(COUNTIF(lists!$M$2:$M$258, K984) &gt; 0,"bos.indicus",IF(COUNTIF(lists!$L$2:$L$258, K984) &gt; 0,"cross.bred","pure.bred.exotic")),"NA")</f>
        <v>NA</v>
      </c>
      <c r="M984" t="str">
        <f>IF(J984="Sheep",IF(COUNTIF(lists!$H$2:$H$258, K984) &gt; 0,"indigenous",IF(COUNTIF(lists!$G$2:$G$258, K984) &gt; 0,"cross.bred","not found")),"NA")</f>
        <v>not found</v>
      </c>
      <c r="N984" t="str">
        <f>IF(J984="Goat",IF(COUNTIF(lists!$J$2:$J$258, K984) &gt; 0,"indigenous",IF(COUNTIF(lists!$I$2:$I$258, K984) &gt; 0,"cross.bred","not found")),"NA")</f>
        <v>NA</v>
      </c>
      <c r="O984" s="9" t="s">
        <v>109</v>
      </c>
      <c r="P984" s="9" t="s">
        <v>187</v>
      </c>
      <c r="S984" s="9">
        <v>361.9</v>
      </c>
      <c r="T984" s="9">
        <v>78.3</v>
      </c>
      <c r="U984" s="9">
        <v>123.8</v>
      </c>
      <c r="V984" s="9">
        <v>353.4</v>
      </c>
      <c r="W984" s="9" t="s">
        <v>106</v>
      </c>
      <c r="X984" s="9">
        <v>612.1</v>
      </c>
      <c r="Y984" s="9">
        <v>69.8</v>
      </c>
      <c r="Z984" s="37"/>
      <c r="AA984" s="37"/>
      <c r="AB984" s="37"/>
      <c r="AE984"/>
    </row>
    <row r="985" spans="1:31" hidden="1">
      <c r="A985" s="9" t="s">
        <v>394</v>
      </c>
      <c r="B985" s="9" t="s">
        <v>149</v>
      </c>
      <c r="C985" s="9" t="s">
        <v>105</v>
      </c>
      <c r="D985" s="9">
        <v>1.25</v>
      </c>
      <c r="E985" s="9">
        <v>20</v>
      </c>
      <c r="F985" s="9" t="s">
        <v>106</v>
      </c>
      <c r="G985" s="9" t="s">
        <v>106</v>
      </c>
      <c r="H985" s="9" t="s">
        <v>106</v>
      </c>
      <c r="J985" s="9" t="s">
        <v>107</v>
      </c>
      <c r="K985" s="9" t="s">
        <v>234</v>
      </c>
      <c r="L985" t="str">
        <f>IF(OR(J985="Cattle",J985="Zebu Cattle"),IF(COUNTIF(lists!$M$2:$M$258, K985) &gt; 0,"bos.indicus",IF(COUNTIF(lists!$L$2:$L$258, K985) &gt; 0,"cross.bred","pure.bred.exotic")),"NA")</f>
        <v>NA</v>
      </c>
      <c r="M985" t="str">
        <f>IF(J985="Sheep",IF(COUNTIF(lists!$H$2:$H$258, K985) &gt; 0,"indigenous",IF(COUNTIF(lists!$G$2:$G$258, K985) &gt; 0,"cross.bred","not found")),"NA")</f>
        <v>not found</v>
      </c>
      <c r="N985" t="str">
        <f>IF(J985="Goat",IF(COUNTIF(lists!$J$2:$J$258, K985) &gt; 0,"indigenous",IF(COUNTIF(lists!$I$2:$I$258, K985) &gt; 0,"cross.bred","not found")),"NA")</f>
        <v>NA</v>
      </c>
      <c r="O985" s="9" t="s">
        <v>109</v>
      </c>
      <c r="P985" s="9" t="s">
        <v>164</v>
      </c>
      <c r="S985" s="9">
        <v>205.3</v>
      </c>
      <c r="T985" s="9">
        <v>76.599999999999994</v>
      </c>
      <c r="U985" s="9">
        <v>158.5</v>
      </c>
      <c r="V985" s="9">
        <v>901.5</v>
      </c>
      <c r="W985" s="9">
        <v>32.799999999999997</v>
      </c>
      <c r="X985" s="9">
        <v>322.10000000000002</v>
      </c>
      <c r="Y985" s="9">
        <v>56.82</v>
      </c>
      <c r="Z985" s="37"/>
      <c r="AA985" s="37"/>
      <c r="AB985" s="37"/>
      <c r="AE985"/>
    </row>
    <row r="986" spans="1:31" hidden="1">
      <c r="A986" s="9" t="s">
        <v>394</v>
      </c>
      <c r="B986" s="9" t="s">
        <v>151</v>
      </c>
      <c r="C986" s="9" t="s">
        <v>105</v>
      </c>
      <c r="D986" s="9">
        <v>1.24</v>
      </c>
      <c r="E986" s="9">
        <v>20</v>
      </c>
      <c r="F986" s="9" t="s">
        <v>106</v>
      </c>
      <c r="G986" s="9" t="s">
        <v>106</v>
      </c>
      <c r="H986" s="9" t="s">
        <v>106</v>
      </c>
      <c r="J986" s="9" t="s">
        <v>107</v>
      </c>
      <c r="K986" s="9" t="s">
        <v>234</v>
      </c>
      <c r="L986" t="str">
        <f>IF(OR(J986="Cattle",J986="Zebu Cattle"),IF(COUNTIF(lists!$M$2:$M$258, K986) &gt; 0,"bos.indicus",IF(COUNTIF(lists!$L$2:$L$258, K986) &gt; 0,"cross.bred","pure.bred.exotic")),"NA")</f>
        <v>NA</v>
      </c>
      <c r="M986" t="str">
        <f>IF(J986="Sheep",IF(COUNTIF(lists!$H$2:$H$258, K986) &gt; 0,"indigenous",IF(COUNTIF(lists!$G$2:$G$258, K986) &gt; 0,"cross.bred","not found")),"NA")</f>
        <v>not found</v>
      </c>
      <c r="N986" t="str">
        <f>IF(J986="Goat",IF(COUNTIF(lists!$J$2:$J$258, K986) &gt; 0,"indigenous",IF(COUNTIF(lists!$I$2:$I$258, K986) &gt; 0,"cross.bred","not found")),"NA")</f>
        <v>NA</v>
      </c>
      <c r="O986" s="9" t="s">
        <v>109</v>
      </c>
      <c r="P986" s="9" t="s">
        <v>164</v>
      </c>
      <c r="S986" s="9">
        <v>213.2</v>
      </c>
      <c r="T986" s="9">
        <v>78.7</v>
      </c>
      <c r="U986" s="9">
        <v>158.5</v>
      </c>
      <c r="V986" s="9">
        <v>896.2</v>
      </c>
      <c r="W986" s="9">
        <v>30</v>
      </c>
      <c r="X986" s="9">
        <v>331.7</v>
      </c>
      <c r="Y986" s="9">
        <v>58.41</v>
      </c>
      <c r="Z986" s="37"/>
      <c r="AA986" s="37"/>
      <c r="AB986" s="37"/>
      <c r="AE986"/>
    </row>
    <row r="987" spans="1:31" hidden="1">
      <c r="A987" s="9" t="s">
        <v>394</v>
      </c>
      <c r="B987" s="9" t="s">
        <v>154</v>
      </c>
      <c r="C987" s="9" t="s">
        <v>105</v>
      </c>
      <c r="D987" s="9">
        <v>1.23</v>
      </c>
      <c r="E987" s="9">
        <v>20</v>
      </c>
      <c r="F987" s="9" t="s">
        <v>106</v>
      </c>
      <c r="G987" s="9" t="s">
        <v>106</v>
      </c>
      <c r="H987" s="9" t="s">
        <v>106</v>
      </c>
      <c r="J987" s="9" t="s">
        <v>107</v>
      </c>
      <c r="K987" s="9" t="s">
        <v>234</v>
      </c>
      <c r="L987" t="str">
        <f>IF(OR(J987="Cattle",J987="Zebu Cattle"),IF(COUNTIF(lists!$M$2:$M$258, K987) &gt; 0,"bos.indicus",IF(COUNTIF(lists!$L$2:$L$258, K987) &gt; 0,"cross.bred","pure.bred.exotic")),"NA")</f>
        <v>NA</v>
      </c>
      <c r="M987" t="str">
        <f>IF(J987="Sheep",IF(COUNTIF(lists!$H$2:$H$258, K987) &gt; 0,"indigenous",IF(COUNTIF(lists!$G$2:$G$258, K987) &gt; 0,"cross.bred","not found")),"NA")</f>
        <v>not found</v>
      </c>
      <c r="N987" t="str">
        <f>IF(J987="Goat",IF(COUNTIF(lists!$J$2:$J$258, K987) &gt; 0,"indigenous",IF(COUNTIF(lists!$I$2:$I$258, K987) &gt; 0,"cross.bred","not found")),"NA")</f>
        <v>NA</v>
      </c>
      <c r="O987" s="9" t="s">
        <v>109</v>
      </c>
      <c r="P987" s="9" t="s">
        <v>164</v>
      </c>
      <c r="S987" s="9">
        <v>209.5</v>
      </c>
      <c r="T987" s="9">
        <v>81.5</v>
      </c>
      <c r="U987" s="9">
        <v>155.6</v>
      </c>
      <c r="V987" s="9">
        <v>890.8</v>
      </c>
      <c r="W987" s="9">
        <v>27.2</v>
      </c>
      <c r="X987" s="9">
        <v>320.39999999999998</v>
      </c>
      <c r="Y987" s="9">
        <v>54.79</v>
      </c>
      <c r="Z987" s="37"/>
      <c r="AA987" s="37"/>
      <c r="AB987" s="37"/>
      <c r="AE987"/>
    </row>
    <row r="988" spans="1:31" hidden="1">
      <c r="A988" s="9" t="s">
        <v>394</v>
      </c>
      <c r="B988" s="9" t="s">
        <v>155</v>
      </c>
      <c r="C988" s="9" t="s">
        <v>105</v>
      </c>
      <c r="D988" s="9">
        <v>1.24</v>
      </c>
      <c r="E988" s="9">
        <v>20</v>
      </c>
      <c r="F988" s="9" t="s">
        <v>106</v>
      </c>
      <c r="G988" s="9" t="s">
        <v>106</v>
      </c>
      <c r="H988" s="9" t="s">
        <v>106</v>
      </c>
      <c r="J988" s="9" t="s">
        <v>107</v>
      </c>
      <c r="K988" s="9" t="s">
        <v>234</v>
      </c>
      <c r="L988" t="str">
        <f>IF(OR(J988="Cattle",J988="Zebu Cattle"),IF(COUNTIF(lists!$M$2:$M$258, K988) &gt; 0,"bos.indicus",IF(COUNTIF(lists!$L$2:$L$258, K988) &gt; 0,"cross.bred","pure.bred.exotic")),"NA")</f>
        <v>NA</v>
      </c>
      <c r="M988" t="str">
        <f>IF(J988="Sheep",IF(COUNTIF(lists!$H$2:$H$258, K988) &gt; 0,"indigenous",IF(COUNTIF(lists!$G$2:$G$258, K988) &gt; 0,"cross.bred","not found")),"NA")</f>
        <v>not found</v>
      </c>
      <c r="N988" t="str">
        <f>IF(J988="Goat",IF(COUNTIF(lists!$J$2:$J$258, K988) &gt; 0,"indigenous",IF(COUNTIF(lists!$I$2:$I$258, K988) &gt; 0,"cross.bred","not found")),"NA")</f>
        <v>NA</v>
      </c>
      <c r="O988" s="9" t="s">
        <v>109</v>
      </c>
      <c r="P988" s="9" t="s">
        <v>164</v>
      </c>
      <c r="S988" s="9">
        <v>225.6</v>
      </c>
      <c r="T988" s="9">
        <v>79.599999999999994</v>
      </c>
      <c r="U988" s="9">
        <v>155.1</v>
      </c>
      <c r="V988" s="9">
        <v>902.8</v>
      </c>
      <c r="W988" s="9">
        <v>32.799999999999997</v>
      </c>
      <c r="X988" s="9">
        <v>354.099999999999</v>
      </c>
      <c r="Y988" s="9">
        <v>56.15</v>
      </c>
      <c r="Z988" s="37"/>
      <c r="AA988" s="37"/>
      <c r="AB988" s="37"/>
      <c r="AE988"/>
    </row>
    <row r="989" spans="1:31" hidden="1">
      <c r="A989" s="9" t="s">
        <v>394</v>
      </c>
      <c r="B989" s="9" t="s">
        <v>156</v>
      </c>
      <c r="C989" s="9" t="s">
        <v>105</v>
      </c>
      <c r="D989" s="9">
        <v>1.19</v>
      </c>
      <c r="E989" s="9">
        <v>20</v>
      </c>
      <c r="F989" s="9" t="s">
        <v>106</v>
      </c>
      <c r="G989" s="9" t="s">
        <v>106</v>
      </c>
      <c r="H989" s="9" t="s">
        <v>106</v>
      </c>
      <c r="J989" s="9" t="s">
        <v>107</v>
      </c>
      <c r="K989" s="9" t="s">
        <v>234</v>
      </c>
      <c r="L989" t="str">
        <f>IF(OR(J989="Cattle",J989="Zebu Cattle"),IF(COUNTIF(lists!$M$2:$M$258, K989) &gt; 0,"bos.indicus",IF(COUNTIF(lists!$L$2:$L$258, K989) &gt; 0,"cross.bred","pure.bred.exotic")),"NA")</f>
        <v>NA</v>
      </c>
      <c r="M989" t="str">
        <f>IF(J989="Sheep",IF(COUNTIF(lists!$H$2:$H$258, K989) &gt; 0,"indigenous",IF(COUNTIF(lists!$G$2:$G$258, K989) &gt; 0,"cross.bred","not found")),"NA")</f>
        <v>not found</v>
      </c>
      <c r="N989" t="str">
        <f>IF(J989="Goat",IF(COUNTIF(lists!$J$2:$J$258, K989) &gt; 0,"indigenous",IF(COUNTIF(lists!$I$2:$I$258, K989) &gt; 0,"cross.bred","not found")),"NA")</f>
        <v>NA</v>
      </c>
      <c r="O989" s="9" t="s">
        <v>109</v>
      </c>
      <c r="P989" s="9" t="s">
        <v>164</v>
      </c>
      <c r="S989" s="9">
        <v>237.5</v>
      </c>
      <c r="T989" s="9">
        <v>83.1</v>
      </c>
      <c r="U989" s="9">
        <v>155.69999999999999</v>
      </c>
      <c r="V989" s="9">
        <v>920.3</v>
      </c>
      <c r="W989" s="9">
        <v>31.9</v>
      </c>
      <c r="X989" s="9">
        <v>368.4</v>
      </c>
      <c r="Y989" s="9">
        <v>55.69</v>
      </c>
      <c r="Z989" s="37"/>
      <c r="AA989" s="37"/>
      <c r="AB989" s="37"/>
      <c r="AE989"/>
    </row>
    <row r="990" spans="1:31" hidden="1">
      <c r="A990" s="9" t="s">
        <v>394</v>
      </c>
      <c r="B990" s="9" t="s">
        <v>157</v>
      </c>
      <c r="C990" s="9" t="s">
        <v>105</v>
      </c>
      <c r="D990" s="9">
        <v>1.28</v>
      </c>
      <c r="E990" s="9">
        <v>20</v>
      </c>
      <c r="F990" s="9" t="s">
        <v>106</v>
      </c>
      <c r="G990" s="9" t="s">
        <v>106</v>
      </c>
      <c r="H990" s="9" t="s">
        <v>106</v>
      </c>
      <c r="J990" s="9" t="s">
        <v>107</v>
      </c>
      <c r="K990" s="9" t="s">
        <v>234</v>
      </c>
      <c r="L990" t="str">
        <f>IF(OR(J990="Cattle",J990="Zebu Cattle"),IF(COUNTIF(lists!$M$2:$M$258, K990) &gt; 0,"bos.indicus",IF(COUNTIF(lists!$L$2:$L$258, K990) &gt; 0,"cross.bred","pure.bred.exotic")),"NA")</f>
        <v>NA</v>
      </c>
      <c r="M990" t="str">
        <f>IF(J990="Sheep",IF(COUNTIF(lists!$H$2:$H$258, K990) &gt; 0,"indigenous",IF(COUNTIF(lists!$G$2:$G$258, K990) &gt; 0,"cross.bred","not found")),"NA")</f>
        <v>not found</v>
      </c>
      <c r="N990" t="str">
        <f>IF(J990="Goat",IF(COUNTIF(lists!$J$2:$J$258, K990) &gt; 0,"indigenous",IF(COUNTIF(lists!$I$2:$I$258, K990) &gt; 0,"cross.bred","not found")),"NA")</f>
        <v>NA</v>
      </c>
      <c r="O990" s="9" t="s">
        <v>109</v>
      </c>
      <c r="P990" s="9" t="s">
        <v>164</v>
      </c>
      <c r="S990" s="9">
        <v>221.2</v>
      </c>
      <c r="T990" s="9">
        <v>80.5</v>
      </c>
      <c r="U990" s="9">
        <v>154.69999999999999</v>
      </c>
      <c r="V990" s="9">
        <v>897.5</v>
      </c>
      <c r="W990" s="9">
        <v>29.6</v>
      </c>
      <c r="X990" s="9">
        <v>345.2</v>
      </c>
      <c r="Y990" s="9">
        <v>56.39</v>
      </c>
      <c r="Z990" s="37"/>
      <c r="AA990" s="37"/>
      <c r="AB990" s="37"/>
      <c r="AE990"/>
    </row>
    <row r="991" spans="1:31" hidden="1">
      <c r="A991" s="9" t="s">
        <v>394</v>
      </c>
      <c r="B991" s="9" t="s">
        <v>189</v>
      </c>
      <c r="C991" s="9" t="s">
        <v>105</v>
      </c>
      <c r="D991" s="9">
        <v>1.1599999999999999</v>
      </c>
      <c r="E991" s="9">
        <v>20</v>
      </c>
      <c r="F991" s="9" t="s">
        <v>106</v>
      </c>
      <c r="G991" s="9" t="s">
        <v>106</v>
      </c>
      <c r="H991" s="9" t="s">
        <v>106</v>
      </c>
      <c r="J991" s="9" t="s">
        <v>107</v>
      </c>
      <c r="K991" s="9" t="s">
        <v>234</v>
      </c>
      <c r="L991" t="str">
        <f>IF(OR(J991="Cattle",J991="Zebu Cattle"),IF(COUNTIF(lists!$M$2:$M$258, K991) &gt; 0,"bos.indicus",IF(COUNTIF(lists!$L$2:$L$258, K991) &gt; 0,"cross.bred","pure.bred.exotic")),"NA")</f>
        <v>NA</v>
      </c>
      <c r="M991" t="str">
        <f>IF(J991="Sheep",IF(COUNTIF(lists!$H$2:$H$258, K991) &gt; 0,"indigenous",IF(COUNTIF(lists!$G$2:$G$258, K991) &gt; 0,"cross.bred","not found")),"NA")</f>
        <v>not found</v>
      </c>
      <c r="N991" t="str">
        <f>IF(J991="Goat",IF(COUNTIF(lists!$J$2:$J$258, K991) &gt; 0,"indigenous",IF(COUNTIF(lists!$I$2:$I$258, K991) &gt; 0,"cross.bred","not found")),"NA")</f>
        <v>NA</v>
      </c>
      <c r="O991" s="9" t="s">
        <v>109</v>
      </c>
      <c r="P991" s="9" t="s">
        <v>164</v>
      </c>
      <c r="S991" s="9">
        <v>230.8</v>
      </c>
      <c r="T991" s="9">
        <v>84.1</v>
      </c>
      <c r="U991" s="9">
        <v>153.30000000000001</v>
      </c>
      <c r="V991" s="9">
        <v>893.6</v>
      </c>
      <c r="W991" s="9">
        <v>26.2</v>
      </c>
      <c r="X991" s="9">
        <v>357.7</v>
      </c>
      <c r="Y991" s="9">
        <v>56.64</v>
      </c>
      <c r="Z991" s="37"/>
      <c r="AA991" s="37"/>
      <c r="AB991" s="37"/>
      <c r="AE991"/>
    </row>
    <row r="992" spans="1:31" hidden="1">
      <c r="A992" s="9" t="s">
        <v>395</v>
      </c>
      <c r="B992" s="9" t="s">
        <v>396</v>
      </c>
      <c r="C992" s="9" t="s">
        <v>105</v>
      </c>
      <c r="D992" s="9">
        <v>0.82504</v>
      </c>
      <c r="E992" s="9">
        <v>43.8</v>
      </c>
      <c r="F992" s="9" t="s">
        <v>106</v>
      </c>
      <c r="G992" s="9" t="s">
        <v>106</v>
      </c>
      <c r="H992" s="9" t="s">
        <v>106</v>
      </c>
      <c r="J992" s="9" t="s">
        <v>107</v>
      </c>
      <c r="K992" s="9" t="s">
        <v>397</v>
      </c>
      <c r="L992" t="str">
        <f>IF(OR(J992="Cattle",J992="Zebu Cattle"),IF(COUNTIF(lists!$M$2:$M$258, K992) &gt; 0,"bos.indicus",IF(COUNTIF(lists!$L$2:$L$258, K992) &gt; 0,"cross.bred","pure.bred.exotic")),"NA")</f>
        <v>NA</v>
      </c>
      <c r="M992" t="str">
        <f>IF(J992="Sheep",IF(COUNTIF(lists!$H$2:$H$258, K992) &gt; 0,"indigenous",IF(COUNTIF(lists!$G$2:$G$258, K992) &gt; 0,"cross.bred","not found")),"NA")</f>
        <v>not found</v>
      </c>
      <c r="N992" t="str">
        <f>IF(J992="Goat",IF(COUNTIF(lists!$J$2:$J$258, K992) &gt; 0,"indigenous",IF(COUNTIF(lists!$I$2:$I$258, K992) &gt; 0,"cross.bred","not found")),"NA")</f>
        <v>NA</v>
      </c>
      <c r="O992" s="9" t="s">
        <v>109</v>
      </c>
      <c r="P992" s="9" t="s">
        <v>187</v>
      </c>
      <c r="S992" s="9">
        <v>283.8</v>
      </c>
      <c r="T992" s="9">
        <v>239.9</v>
      </c>
      <c r="U992" s="9">
        <v>365</v>
      </c>
      <c r="V992" s="9">
        <v>958.9</v>
      </c>
      <c r="W992" s="9" t="s">
        <v>106</v>
      </c>
      <c r="X992" s="9">
        <v>447.1</v>
      </c>
      <c r="Y992" s="9">
        <v>53.65</v>
      </c>
      <c r="Z992" s="37"/>
      <c r="AA992" s="37"/>
      <c r="AB992" s="37"/>
      <c r="AE992"/>
    </row>
    <row r="993" spans="1:31" hidden="1">
      <c r="A993" s="9" t="s">
        <v>395</v>
      </c>
      <c r="B993" s="9" t="s">
        <v>398</v>
      </c>
      <c r="C993" s="9" t="s">
        <v>105</v>
      </c>
      <c r="D993" s="9">
        <v>0.85078999999999905</v>
      </c>
      <c r="E993" s="9">
        <v>43.8</v>
      </c>
      <c r="F993" s="9" t="s">
        <v>106</v>
      </c>
      <c r="G993" s="9" t="s">
        <v>106</v>
      </c>
      <c r="H993" s="9" t="s">
        <v>106</v>
      </c>
      <c r="J993" s="9" t="s">
        <v>107</v>
      </c>
      <c r="K993" s="9" t="s">
        <v>397</v>
      </c>
      <c r="L993" t="str">
        <f>IF(OR(J993="Cattle",J993="Zebu Cattle"),IF(COUNTIF(lists!$M$2:$M$258, K993) &gt; 0,"bos.indicus",IF(COUNTIF(lists!$L$2:$L$258, K993) &gt; 0,"cross.bred","pure.bred.exotic")),"NA")</f>
        <v>NA</v>
      </c>
      <c r="M993" t="str">
        <f>IF(J993="Sheep",IF(COUNTIF(lists!$H$2:$H$258, K993) &gt; 0,"indigenous",IF(COUNTIF(lists!$G$2:$G$258, K993) &gt; 0,"cross.bred","not found")),"NA")</f>
        <v>not found</v>
      </c>
      <c r="N993" t="str">
        <f>IF(J993="Goat",IF(COUNTIF(lists!$J$2:$J$258, K993) &gt; 0,"indigenous",IF(COUNTIF(lists!$I$2:$I$258, K993) &gt; 0,"cross.bred","not found")),"NA")</f>
        <v>NA</v>
      </c>
      <c r="O993" s="9" t="s">
        <v>109</v>
      </c>
      <c r="P993" s="9" t="s">
        <v>187</v>
      </c>
      <c r="S993" s="9">
        <v>325.39999999999998</v>
      </c>
      <c r="T993" s="9">
        <v>188.8</v>
      </c>
      <c r="U993" s="9">
        <v>290</v>
      </c>
      <c r="V993" s="9">
        <v>942.4</v>
      </c>
      <c r="W993" s="9" t="s">
        <v>106</v>
      </c>
      <c r="X993" s="9">
        <v>472.6</v>
      </c>
      <c r="Y993" s="9">
        <v>56.3</v>
      </c>
      <c r="Z993" s="37"/>
      <c r="AA993" s="37"/>
      <c r="AB993" s="37"/>
      <c r="AE993"/>
    </row>
    <row r="994" spans="1:31" hidden="1">
      <c r="A994" s="9" t="s">
        <v>395</v>
      </c>
      <c r="B994" s="9" t="s">
        <v>399</v>
      </c>
      <c r="C994" s="9" t="s">
        <v>105</v>
      </c>
      <c r="D994" s="9">
        <v>0.86399999999999999</v>
      </c>
      <c r="E994" s="9">
        <v>43.8</v>
      </c>
      <c r="F994" s="9" t="s">
        <v>106</v>
      </c>
      <c r="G994" s="9" t="s">
        <v>106</v>
      </c>
      <c r="H994" s="9" t="s">
        <v>106</v>
      </c>
      <c r="J994" s="9" t="s">
        <v>107</v>
      </c>
      <c r="K994" s="9" t="s">
        <v>397</v>
      </c>
      <c r="L994" t="str">
        <f>IF(OR(J994="Cattle",J994="Zebu Cattle"),IF(COUNTIF(lists!$M$2:$M$258, K994) &gt; 0,"bos.indicus",IF(COUNTIF(lists!$L$2:$L$258, K994) &gt; 0,"cross.bred","pure.bred.exotic")),"NA")</f>
        <v>NA</v>
      </c>
      <c r="M994" t="str">
        <f>IF(J994="Sheep",IF(COUNTIF(lists!$H$2:$H$258, K994) &gt; 0,"indigenous",IF(COUNTIF(lists!$G$2:$G$258, K994) &gt; 0,"cross.bred","not found")),"NA")</f>
        <v>not found</v>
      </c>
      <c r="N994" t="str">
        <f>IF(J994="Goat",IF(COUNTIF(lists!$J$2:$J$258, K994) &gt; 0,"indigenous",IF(COUNTIF(lists!$I$2:$I$258, K994) &gt; 0,"cross.bred","not found")),"NA")</f>
        <v>NA</v>
      </c>
      <c r="O994" s="9" t="s">
        <v>109</v>
      </c>
      <c r="P994" s="9" t="s">
        <v>187</v>
      </c>
      <c r="S994" s="9">
        <v>318.099999999999</v>
      </c>
      <c r="T994" s="9">
        <v>196.9</v>
      </c>
      <c r="U994" s="9">
        <v>261.89999999999998</v>
      </c>
      <c r="V994" s="9">
        <v>945.8</v>
      </c>
      <c r="W994" s="9" t="s">
        <v>106</v>
      </c>
      <c r="X994" s="9">
        <v>460.1</v>
      </c>
      <c r="Y994" s="9">
        <v>59.4</v>
      </c>
      <c r="Z994" s="37"/>
      <c r="AA994" s="37"/>
      <c r="AB994" s="37"/>
      <c r="AE994"/>
    </row>
    <row r="995" spans="1:31" hidden="1">
      <c r="A995" s="9" t="s">
        <v>395</v>
      </c>
      <c r="B995" s="9" t="s">
        <v>400</v>
      </c>
      <c r="C995" s="9" t="s">
        <v>105</v>
      </c>
      <c r="D995" s="9">
        <v>0.88758000000000004</v>
      </c>
      <c r="E995" s="9">
        <v>43.8</v>
      </c>
      <c r="F995" s="9" t="s">
        <v>106</v>
      </c>
      <c r="G995" s="9" t="s">
        <v>106</v>
      </c>
      <c r="H995" s="9" t="s">
        <v>106</v>
      </c>
      <c r="J995" s="9" t="s">
        <v>107</v>
      </c>
      <c r="K995" s="9" t="s">
        <v>397</v>
      </c>
      <c r="L995" t="str">
        <f>IF(OR(J995="Cattle",J995="Zebu Cattle"),IF(COUNTIF(lists!$M$2:$M$258, K995) &gt; 0,"bos.indicus",IF(COUNTIF(lists!$L$2:$L$258, K995) &gt; 0,"cross.bred","pure.bred.exotic")),"NA")</f>
        <v>NA</v>
      </c>
      <c r="M995" t="str">
        <f>IF(J995="Sheep",IF(COUNTIF(lists!$H$2:$H$258, K995) &gt; 0,"indigenous",IF(COUNTIF(lists!$G$2:$G$258, K995) &gt; 0,"cross.bred","not found")),"NA")</f>
        <v>not found</v>
      </c>
      <c r="N995" t="str">
        <f>IF(J995="Goat",IF(COUNTIF(lists!$J$2:$J$258, K995) &gt; 0,"indigenous",IF(COUNTIF(lists!$I$2:$I$258, K995) &gt; 0,"cross.bred","not found")),"NA")</f>
        <v>NA</v>
      </c>
      <c r="O995" s="9" t="s">
        <v>109</v>
      </c>
      <c r="P995" s="9" t="s">
        <v>187</v>
      </c>
      <c r="S995" s="9">
        <v>327.10000000000002</v>
      </c>
      <c r="T995" s="9">
        <v>166.6</v>
      </c>
      <c r="U995" s="9">
        <v>207.5</v>
      </c>
      <c r="V995" s="9">
        <v>933.9</v>
      </c>
      <c r="W995" s="9" t="s">
        <v>106</v>
      </c>
      <c r="X995" s="9">
        <v>474</v>
      </c>
      <c r="Y995" s="9">
        <v>59.5</v>
      </c>
      <c r="Z995" s="37"/>
      <c r="AA995" s="37"/>
      <c r="AB995" s="37"/>
      <c r="AE995"/>
    </row>
    <row r="996" spans="1:31" hidden="1">
      <c r="A996" s="9" t="s">
        <v>395</v>
      </c>
      <c r="B996" s="9" t="s">
        <v>401</v>
      </c>
      <c r="C996" s="9" t="s">
        <v>105</v>
      </c>
      <c r="D996" s="9">
        <v>0.94538999999999995</v>
      </c>
      <c r="E996" s="9">
        <v>43.8</v>
      </c>
      <c r="F996" s="9" t="s">
        <v>106</v>
      </c>
      <c r="G996" s="9" t="s">
        <v>106</v>
      </c>
      <c r="H996" s="9" t="s">
        <v>106</v>
      </c>
      <c r="J996" s="9" t="s">
        <v>107</v>
      </c>
      <c r="K996" s="9" t="s">
        <v>397</v>
      </c>
      <c r="L996" t="str">
        <f>IF(OR(J996="Cattle",J996="Zebu Cattle"),IF(COUNTIF(lists!$M$2:$M$258, K996) &gt; 0,"bos.indicus",IF(COUNTIF(lists!$L$2:$L$258, K996) &gt; 0,"cross.bred","pure.bred.exotic")),"NA")</f>
        <v>NA</v>
      </c>
      <c r="M996" t="str">
        <f>IF(J996="Sheep",IF(COUNTIF(lists!$H$2:$H$258, K996) &gt; 0,"indigenous",IF(COUNTIF(lists!$G$2:$G$258, K996) &gt; 0,"cross.bred","not found")),"NA")</f>
        <v>not found</v>
      </c>
      <c r="N996" t="str">
        <f>IF(J996="Goat",IF(COUNTIF(lists!$J$2:$J$258, K996) &gt; 0,"indigenous",IF(COUNTIF(lists!$I$2:$I$258, K996) &gt; 0,"cross.bred","not found")),"NA")</f>
        <v>NA</v>
      </c>
      <c r="O996" s="9" t="s">
        <v>109</v>
      </c>
      <c r="P996" s="9" t="s">
        <v>187</v>
      </c>
      <c r="S996" s="9">
        <v>315.7</v>
      </c>
      <c r="T996" s="9">
        <v>195.2</v>
      </c>
      <c r="U996" s="9">
        <v>183.1</v>
      </c>
      <c r="V996" s="9">
        <v>933</v>
      </c>
      <c r="W996" s="9" t="s">
        <v>106</v>
      </c>
      <c r="X996" s="9">
        <v>430.2</v>
      </c>
      <c r="Y996" s="9">
        <v>61.73</v>
      </c>
      <c r="Z996" s="37"/>
      <c r="AA996" s="37"/>
      <c r="AB996" s="37"/>
      <c r="AE996"/>
    </row>
    <row r="997" spans="1:31" hidden="1">
      <c r="A997" s="9" t="s">
        <v>417</v>
      </c>
      <c r="B997" s="9" t="s">
        <v>418</v>
      </c>
      <c r="C997" s="9" t="s">
        <v>105</v>
      </c>
      <c r="D997" s="9">
        <v>0.73450000000000004</v>
      </c>
      <c r="E997" s="9">
        <v>14.78</v>
      </c>
      <c r="F997" s="9" t="s">
        <v>106</v>
      </c>
      <c r="G997" s="9" t="s">
        <v>106</v>
      </c>
      <c r="H997" s="9" t="s">
        <v>106</v>
      </c>
      <c r="J997" s="9" t="s">
        <v>107</v>
      </c>
      <c r="K997" s="9" t="s">
        <v>419</v>
      </c>
      <c r="L997" t="str">
        <f>IF(OR(J997="Cattle",J997="Zebu Cattle"),IF(COUNTIF(lists!$M$2:$M$258, K997) &gt; 0,"bos.indicus",IF(COUNTIF(lists!$L$2:$L$258, K997) &gt; 0,"cross.bred","pure.bred.exotic")),"NA")</f>
        <v>NA</v>
      </c>
      <c r="M997" t="str">
        <f>IF(J997="Sheep",IF(COUNTIF(lists!$H$2:$H$258, K997) &gt; 0,"indigenous",IF(COUNTIF(lists!$G$2:$G$258, K997) &gt; 0,"cross.bred","not found")),"NA")</f>
        <v>not found</v>
      </c>
      <c r="N997" t="str">
        <f>IF(J997="Goat",IF(COUNTIF(lists!$J$2:$J$258, K997) &gt; 0,"indigenous",IF(COUNTIF(lists!$I$2:$I$258, K997) &gt; 0,"cross.bred","not found")),"NA")</f>
        <v>NA</v>
      </c>
      <c r="O997" s="9" t="s">
        <v>109</v>
      </c>
      <c r="P997" s="9" t="s">
        <v>164</v>
      </c>
      <c r="S997" s="9" t="s">
        <v>106</v>
      </c>
      <c r="T997" s="9">
        <v>120</v>
      </c>
      <c r="U997" s="9">
        <v>170</v>
      </c>
      <c r="V997" s="9">
        <v>942</v>
      </c>
      <c r="W997" s="9">
        <v>45</v>
      </c>
      <c r="X997" s="9" t="s">
        <v>106</v>
      </c>
      <c r="Y997" s="9" t="s">
        <v>106</v>
      </c>
      <c r="Z997" s="37"/>
      <c r="AA997" s="37"/>
      <c r="AB997" s="37"/>
      <c r="AE997"/>
    </row>
    <row r="998" spans="1:31" hidden="1">
      <c r="A998" s="9" t="s">
        <v>417</v>
      </c>
      <c r="B998" s="9" t="s">
        <v>420</v>
      </c>
      <c r="C998" s="9" t="s">
        <v>105</v>
      </c>
      <c r="D998" s="9">
        <v>0.90410000000000001</v>
      </c>
      <c r="E998" s="9">
        <v>14.78</v>
      </c>
      <c r="F998" s="9" t="s">
        <v>106</v>
      </c>
      <c r="G998" s="9" t="s">
        <v>106</v>
      </c>
      <c r="H998" s="9" t="s">
        <v>106</v>
      </c>
      <c r="J998" s="9" t="s">
        <v>107</v>
      </c>
      <c r="K998" s="9" t="s">
        <v>419</v>
      </c>
      <c r="L998" t="str">
        <f>IF(OR(J998="Cattle",J998="Zebu Cattle"),IF(COUNTIF(lists!$M$2:$M$258, K998) &gt; 0,"bos.indicus",IF(COUNTIF(lists!$L$2:$L$258, K998) &gt; 0,"cross.bred","pure.bred.exotic")),"NA")</f>
        <v>NA</v>
      </c>
      <c r="M998" t="str">
        <f>IF(J998="Sheep",IF(COUNTIF(lists!$H$2:$H$258, K998) &gt; 0,"indigenous",IF(COUNTIF(lists!$G$2:$G$258, K998) &gt; 0,"cross.bred","not found")),"NA")</f>
        <v>not found</v>
      </c>
      <c r="N998" t="str">
        <f>IF(J998="Goat",IF(COUNTIF(lists!$J$2:$J$258, K998) &gt; 0,"indigenous",IF(COUNTIF(lists!$I$2:$I$258, K998) &gt; 0,"cross.bred","not found")),"NA")</f>
        <v>NA</v>
      </c>
      <c r="O998" s="9" t="s">
        <v>109</v>
      </c>
      <c r="P998" s="9" t="s">
        <v>164</v>
      </c>
      <c r="S998" s="9" t="s">
        <v>106</v>
      </c>
      <c r="T998" s="9">
        <v>110</v>
      </c>
      <c r="U998" s="9">
        <v>171</v>
      </c>
      <c r="V998" s="9">
        <v>933</v>
      </c>
      <c r="W998" s="9">
        <v>40</v>
      </c>
      <c r="X998" s="9" t="s">
        <v>106</v>
      </c>
      <c r="Y998" s="9" t="s">
        <v>106</v>
      </c>
      <c r="Z998" s="37"/>
      <c r="AA998" s="37"/>
      <c r="AB998" s="37"/>
      <c r="AE998"/>
    </row>
    <row r="999" spans="1:31" hidden="1">
      <c r="A999" s="9" t="s">
        <v>417</v>
      </c>
      <c r="B999" s="9" t="s">
        <v>421</v>
      </c>
      <c r="C999" s="9" t="s">
        <v>105</v>
      </c>
      <c r="D999" s="9">
        <v>0.67559999999999998</v>
      </c>
      <c r="E999" s="9">
        <v>14.78</v>
      </c>
      <c r="F999" s="9" t="s">
        <v>106</v>
      </c>
      <c r="G999" s="9" t="s">
        <v>106</v>
      </c>
      <c r="H999" s="9" t="s">
        <v>106</v>
      </c>
      <c r="J999" s="9" t="s">
        <v>107</v>
      </c>
      <c r="K999" s="9" t="s">
        <v>419</v>
      </c>
      <c r="L999" t="str">
        <f>IF(OR(J999="Cattle",J999="Zebu Cattle"),IF(COUNTIF(lists!$M$2:$M$258, K999) &gt; 0,"bos.indicus",IF(COUNTIF(lists!$L$2:$L$258, K999) &gt; 0,"cross.bred","pure.bred.exotic")),"NA")</f>
        <v>NA</v>
      </c>
      <c r="M999" t="str">
        <f>IF(J999="Sheep",IF(COUNTIF(lists!$H$2:$H$258, K999) &gt; 0,"indigenous",IF(COUNTIF(lists!$G$2:$G$258, K999) &gt; 0,"cross.bred","not found")),"NA")</f>
        <v>not found</v>
      </c>
      <c r="N999" t="str">
        <f>IF(J999="Goat",IF(COUNTIF(lists!$J$2:$J$258, K999) &gt; 0,"indigenous",IF(COUNTIF(lists!$I$2:$I$258, K999) &gt; 0,"cross.bred","not found")),"NA")</f>
        <v>NA</v>
      </c>
      <c r="O999" s="9" t="s">
        <v>109</v>
      </c>
      <c r="P999" s="9" t="s">
        <v>164</v>
      </c>
      <c r="S999" s="9" t="s">
        <v>106</v>
      </c>
      <c r="T999" s="9">
        <v>120</v>
      </c>
      <c r="U999" s="9">
        <v>168</v>
      </c>
      <c r="V999" s="9">
        <v>901</v>
      </c>
      <c r="W999" s="9">
        <v>35</v>
      </c>
      <c r="X999" s="9" t="s">
        <v>106</v>
      </c>
      <c r="Y999" s="9" t="s">
        <v>106</v>
      </c>
      <c r="Z999" s="37"/>
      <c r="AA999" s="37"/>
      <c r="AB999" s="37"/>
      <c r="AE999"/>
    </row>
    <row r="1000" spans="1:31" hidden="1">
      <c r="A1000" s="9" t="s">
        <v>417</v>
      </c>
      <c r="B1000" s="9" t="s">
        <v>422</v>
      </c>
      <c r="C1000" s="9" t="s">
        <v>105</v>
      </c>
      <c r="D1000" s="9">
        <v>0.71919999999999995</v>
      </c>
      <c r="E1000" s="9">
        <v>14.78</v>
      </c>
      <c r="F1000" s="9" t="s">
        <v>106</v>
      </c>
      <c r="G1000" s="9" t="s">
        <v>106</v>
      </c>
      <c r="H1000" s="9" t="s">
        <v>106</v>
      </c>
      <c r="J1000" s="9" t="s">
        <v>107</v>
      </c>
      <c r="K1000" s="9" t="s">
        <v>419</v>
      </c>
      <c r="L1000" t="str">
        <f>IF(OR(J1000="Cattle",J1000="Zebu Cattle"),IF(COUNTIF(lists!$M$2:$M$258, K1000) &gt; 0,"bos.indicus",IF(COUNTIF(lists!$L$2:$L$258, K1000) &gt; 0,"cross.bred","pure.bred.exotic")),"NA")</f>
        <v>NA</v>
      </c>
      <c r="M1000" t="str">
        <f>IF(J1000="Sheep",IF(COUNTIF(lists!$H$2:$H$258, K1000) &gt; 0,"indigenous",IF(COUNTIF(lists!$G$2:$G$258, K1000) &gt; 0,"cross.bred","not found")),"NA")</f>
        <v>not found</v>
      </c>
      <c r="N1000" t="str">
        <f>IF(J1000="Goat",IF(COUNTIF(lists!$J$2:$J$258, K1000) &gt; 0,"indigenous",IF(COUNTIF(lists!$I$2:$I$258, K1000) &gt; 0,"cross.bred","not found")),"NA")</f>
        <v>NA</v>
      </c>
      <c r="O1000" s="9" t="s">
        <v>109</v>
      </c>
      <c r="P1000" s="9" t="s">
        <v>164</v>
      </c>
      <c r="S1000" s="9" t="s">
        <v>106</v>
      </c>
      <c r="T1000" s="9">
        <v>115</v>
      </c>
      <c r="U1000" s="9">
        <v>166</v>
      </c>
      <c r="V1000" s="9">
        <v>910</v>
      </c>
      <c r="W1000" s="9">
        <v>45</v>
      </c>
      <c r="X1000" s="9" t="s">
        <v>106</v>
      </c>
      <c r="Y1000" s="9" t="s">
        <v>106</v>
      </c>
      <c r="Z1000" s="37"/>
      <c r="AA1000" s="37"/>
      <c r="AB1000" s="37"/>
      <c r="AE1000"/>
    </row>
    <row r="1001" spans="1:31" hidden="1">
      <c r="A1001" s="9" t="s">
        <v>428</v>
      </c>
      <c r="B1001" s="9" t="s">
        <v>429</v>
      </c>
      <c r="C1001" s="9" t="s">
        <v>105</v>
      </c>
      <c r="D1001" s="9">
        <v>0.67700000000000005</v>
      </c>
      <c r="E1001" s="9">
        <v>1.4</v>
      </c>
      <c r="F1001" s="9" t="s">
        <v>106</v>
      </c>
      <c r="G1001" s="9" t="s">
        <v>106</v>
      </c>
      <c r="H1001" s="9" t="s">
        <v>106</v>
      </c>
      <c r="J1001" s="9" t="s">
        <v>107</v>
      </c>
      <c r="K1001" s="9" t="s">
        <v>336</v>
      </c>
      <c r="L1001" t="str">
        <f>IF(OR(J1001="Cattle",J1001="Zebu Cattle"),IF(COUNTIF(lists!$M$2:$M$258, K1001) &gt; 0,"bos.indicus",IF(COUNTIF(lists!$L$2:$L$258, K1001) &gt; 0,"cross.bred","pure.bred.exotic")),"NA")</f>
        <v>NA</v>
      </c>
      <c r="M1001" t="str">
        <f>IF(J1001="Sheep",IF(COUNTIF(lists!$H$2:$H$258, K1001) &gt; 0,"indigenous",IF(COUNTIF(lists!$G$2:$G$258, K1001) &gt; 0,"cross.bred","not found")),"NA")</f>
        <v>not found</v>
      </c>
      <c r="N1001" t="str">
        <f>IF(J1001="Goat",IF(COUNTIF(lists!$J$2:$J$258, K1001) &gt; 0,"indigenous",IF(COUNTIF(lists!$I$2:$I$258, K1001) &gt; 0,"cross.bred","not found")),"NA")</f>
        <v>NA</v>
      </c>
      <c r="O1001" s="9" t="s">
        <v>180</v>
      </c>
      <c r="P1001" s="9" t="s">
        <v>187</v>
      </c>
      <c r="S1001" s="9" t="s">
        <v>106</v>
      </c>
      <c r="T1001" s="9" t="s">
        <v>106</v>
      </c>
      <c r="U1001" s="9" t="s">
        <v>106</v>
      </c>
      <c r="V1001" s="9" t="s">
        <v>106</v>
      </c>
      <c r="W1001" s="9" t="s">
        <v>106</v>
      </c>
      <c r="X1001" s="9" t="s">
        <v>106</v>
      </c>
      <c r="Y1001" s="9" t="s">
        <v>106</v>
      </c>
      <c r="Z1001" s="37"/>
      <c r="AA1001" s="37"/>
      <c r="AB1001" s="37"/>
      <c r="AE1001"/>
    </row>
    <row r="1002" spans="1:31" hidden="1">
      <c r="A1002" s="9" t="s">
        <v>428</v>
      </c>
      <c r="B1002" s="9" t="s">
        <v>430</v>
      </c>
      <c r="C1002" s="9" t="s">
        <v>105</v>
      </c>
      <c r="D1002" s="9">
        <v>0.69799999999999995</v>
      </c>
      <c r="E1002" s="9">
        <v>1.4</v>
      </c>
      <c r="F1002" s="9" t="s">
        <v>106</v>
      </c>
      <c r="G1002" s="9" t="s">
        <v>106</v>
      </c>
      <c r="H1002" s="9" t="s">
        <v>106</v>
      </c>
      <c r="J1002" s="9" t="s">
        <v>107</v>
      </c>
      <c r="K1002" s="9" t="s">
        <v>336</v>
      </c>
      <c r="L1002" t="str">
        <f>IF(OR(J1002="Cattle",J1002="Zebu Cattle"),IF(COUNTIF(lists!$M$2:$M$258, K1002) &gt; 0,"bos.indicus",IF(COUNTIF(lists!$L$2:$L$258, K1002) &gt; 0,"cross.bred","pure.bred.exotic")),"NA")</f>
        <v>NA</v>
      </c>
      <c r="M1002" t="str">
        <f>IF(J1002="Sheep",IF(COUNTIF(lists!$H$2:$H$258, K1002) &gt; 0,"indigenous",IF(COUNTIF(lists!$G$2:$G$258, K1002) &gt; 0,"cross.bred","not found")),"NA")</f>
        <v>not found</v>
      </c>
      <c r="N1002" t="str">
        <f>IF(J1002="Goat",IF(COUNTIF(lists!$J$2:$J$258, K1002) &gt; 0,"indigenous",IF(COUNTIF(lists!$I$2:$I$258, K1002) &gt; 0,"cross.bred","not found")),"NA")</f>
        <v>NA</v>
      </c>
      <c r="O1002" s="9" t="s">
        <v>180</v>
      </c>
      <c r="P1002" s="9" t="s">
        <v>187</v>
      </c>
      <c r="S1002" s="9" t="s">
        <v>106</v>
      </c>
      <c r="T1002" s="9" t="s">
        <v>106</v>
      </c>
      <c r="U1002" s="9" t="s">
        <v>106</v>
      </c>
      <c r="V1002" s="9" t="s">
        <v>106</v>
      </c>
      <c r="W1002" s="9" t="s">
        <v>106</v>
      </c>
      <c r="X1002" s="9" t="s">
        <v>106</v>
      </c>
      <c r="Y1002" s="9" t="s">
        <v>106</v>
      </c>
      <c r="Z1002" s="37"/>
      <c r="AA1002" s="37"/>
      <c r="AB1002" s="37"/>
      <c r="AE1002"/>
    </row>
    <row r="1003" spans="1:31" hidden="1">
      <c r="A1003" s="9" t="s">
        <v>428</v>
      </c>
      <c r="B1003" s="9" t="s">
        <v>431</v>
      </c>
      <c r="C1003" s="9" t="s">
        <v>105</v>
      </c>
      <c r="D1003" s="9">
        <v>0.73</v>
      </c>
      <c r="E1003" s="9">
        <v>1.4</v>
      </c>
      <c r="F1003" s="9" t="s">
        <v>106</v>
      </c>
      <c r="G1003" s="9" t="s">
        <v>106</v>
      </c>
      <c r="H1003" s="9" t="s">
        <v>106</v>
      </c>
      <c r="J1003" s="9" t="s">
        <v>107</v>
      </c>
      <c r="K1003" s="9" t="s">
        <v>336</v>
      </c>
      <c r="L1003" t="str">
        <f>IF(OR(J1003="Cattle",J1003="Zebu Cattle"),IF(COUNTIF(lists!$M$2:$M$258, K1003) &gt; 0,"bos.indicus",IF(COUNTIF(lists!$L$2:$L$258, K1003) &gt; 0,"cross.bred","pure.bred.exotic")),"NA")</f>
        <v>NA</v>
      </c>
      <c r="M1003" t="str">
        <f>IF(J1003="Sheep",IF(COUNTIF(lists!$H$2:$H$258, K1003) &gt; 0,"indigenous",IF(COUNTIF(lists!$G$2:$G$258, K1003) &gt; 0,"cross.bred","not found")),"NA")</f>
        <v>not found</v>
      </c>
      <c r="N1003" t="str">
        <f>IF(J1003="Goat",IF(COUNTIF(lists!$J$2:$J$258, K1003) &gt; 0,"indigenous",IF(COUNTIF(lists!$I$2:$I$258, K1003) &gt; 0,"cross.bred","not found")),"NA")</f>
        <v>NA</v>
      </c>
      <c r="O1003" s="9" t="s">
        <v>180</v>
      </c>
      <c r="P1003" s="9" t="s">
        <v>187</v>
      </c>
      <c r="S1003" s="9" t="s">
        <v>106</v>
      </c>
      <c r="T1003" s="9" t="s">
        <v>106</v>
      </c>
      <c r="U1003" s="9" t="s">
        <v>106</v>
      </c>
      <c r="V1003" s="9" t="s">
        <v>106</v>
      </c>
      <c r="W1003" s="9" t="s">
        <v>106</v>
      </c>
      <c r="X1003" s="9" t="s">
        <v>106</v>
      </c>
      <c r="Y1003" s="9" t="s">
        <v>106</v>
      </c>
      <c r="Z1003" s="37"/>
      <c r="AA1003" s="37"/>
      <c r="AB1003" s="37"/>
      <c r="AE1003"/>
    </row>
    <row r="1004" spans="1:31" hidden="1">
      <c r="A1004" s="9" t="s">
        <v>428</v>
      </c>
      <c r="B1004" s="9" t="s">
        <v>432</v>
      </c>
      <c r="C1004" s="9" t="s">
        <v>105</v>
      </c>
      <c r="D1004" s="9">
        <v>0.73499999999999999</v>
      </c>
      <c r="E1004" s="9">
        <v>1.4</v>
      </c>
      <c r="F1004" s="9" t="s">
        <v>106</v>
      </c>
      <c r="G1004" s="9" t="s">
        <v>106</v>
      </c>
      <c r="H1004" s="9" t="s">
        <v>106</v>
      </c>
      <c r="J1004" s="9" t="s">
        <v>107</v>
      </c>
      <c r="K1004" s="9" t="s">
        <v>336</v>
      </c>
      <c r="L1004" t="str">
        <f>IF(OR(J1004="Cattle",J1004="Zebu Cattle"),IF(COUNTIF(lists!$M$2:$M$258, K1004) &gt; 0,"bos.indicus",IF(COUNTIF(lists!$L$2:$L$258, K1004) &gt; 0,"cross.bred","pure.bred.exotic")),"NA")</f>
        <v>NA</v>
      </c>
      <c r="M1004" t="str">
        <f>IF(J1004="Sheep",IF(COUNTIF(lists!$H$2:$H$258, K1004) &gt; 0,"indigenous",IF(COUNTIF(lists!$G$2:$G$258, K1004) &gt; 0,"cross.bred","not found")),"NA")</f>
        <v>not found</v>
      </c>
      <c r="N1004" t="str">
        <f>IF(J1004="Goat",IF(COUNTIF(lists!$J$2:$J$258, K1004) &gt; 0,"indigenous",IF(COUNTIF(lists!$I$2:$I$258, K1004) &gt; 0,"cross.bred","not found")),"NA")</f>
        <v>NA</v>
      </c>
      <c r="O1004" s="9" t="s">
        <v>180</v>
      </c>
      <c r="P1004" s="9" t="s">
        <v>187</v>
      </c>
      <c r="S1004" s="9" t="s">
        <v>106</v>
      </c>
      <c r="T1004" s="9" t="s">
        <v>106</v>
      </c>
      <c r="U1004" s="9" t="s">
        <v>106</v>
      </c>
      <c r="V1004" s="9" t="s">
        <v>106</v>
      </c>
      <c r="W1004" s="9" t="s">
        <v>106</v>
      </c>
      <c r="X1004" s="9" t="s">
        <v>106</v>
      </c>
      <c r="Y1004" s="9" t="s">
        <v>106</v>
      </c>
      <c r="Z1004" s="37"/>
      <c r="AA1004" s="37"/>
      <c r="AB1004" s="37"/>
      <c r="AE1004"/>
    </row>
    <row r="1005" spans="1:31" hidden="1">
      <c r="A1005" s="9" t="s">
        <v>433</v>
      </c>
      <c r="B1005" s="9" t="s">
        <v>434</v>
      </c>
      <c r="C1005" s="9" t="s">
        <v>105</v>
      </c>
      <c r="D1005" s="9">
        <v>0.9788</v>
      </c>
      <c r="E1005" s="9" t="s">
        <v>106</v>
      </c>
      <c r="F1005" s="9" t="s">
        <v>106</v>
      </c>
      <c r="G1005" s="9" t="s">
        <v>106</v>
      </c>
      <c r="H1005" s="9" t="s">
        <v>106</v>
      </c>
      <c r="J1005" s="9" t="s">
        <v>107</v>
      </c>
      <c r="K1005" s="9" t="s">
        <v>435</v>
      </c>
      <c r="L1005" t="str">
        <f>IF(OR(J1005="Cattle",J1005="Zebu Cattle"),IF(COUNTIF(lists!$M$2:$M$258, K1005) &gt; 0,"bos.indicus",IF(COUNTIF(lists!$L$2:$L$258, K1005) &gt; 0,"cross.bred","pure.bred.exotic")),"NA")</f>
        <v>NA</v>
      </c>
      <c r="M1005" t="str">
        <f>IF(J1005="Sheep",IF(COUNTIF(lists!$H$2:$H$258, K1005) &gt; 0,"indigenous",IF(COUNTIF(lists!$G$2:$G$258, K1005) &gt; 0,"cross.bred","not found")),"NA")</f>
        <v>not found</v>
      </c>
      <c r="N1005" t="str">
        <f>IF(J1005="Goat",IF(COUNTIF(lists!$J$2:$J$258, K1005) &gt; 0,"indigenous",IF(COUNTIF(lists!$I$2:$I$258, K1005) &gt; 0,"cross.bred","not found")),"NA")</f>
        <v>NA</v>
      </c>
      <c r="O1005" s="9" t="s">
        <v>124</v>
      </c>
      <c r="P1005" s="9" t="s">
        <v>177</v>
      </c>
      <c r="S1005" s="9" t="s">
        <v>106</v>
      </c>
      <c r="T1005" s="9" t="s">
        <v>106</v>
      </c>
      <c r="U1005" s="9" t="s">
        <v>106</v>
      </c>
      <c r="V1005" s="9" t="s">
        <v>106</v>
      </c>
      <c r="W1005" s="9" t="s">
        <v>106</v>
      </c>
      <c r="X1005" s="9" t="s">
        <v>106</v>
      </c>
      <c r="Y1005" s="9" t="s">
        <v>106</v>
      </c>
      <c r="Z1005" s="37"/>
      <c r="AA1005" s="37"/>
      <c r="AB1005" s="37"/>
      <c r="AE1005"/>
    </row>
    <row r="1006" spans="1:31" hidden="1">
      <c r="A1006" s="9" t="s">
        <v>433</v>
      </c>
      <c r="B1006" s="9" t="s">
        <v>436</v>
      </c>
      <c r="C1006" s="9" t="s">
        <v>105</v>
      </c>
      <c r="D1006" s="9">
        <v>0.93740000000000001</v>
      </c>
      <c r="E1006" s="9" t="s">
        <v>106</v>
      </c>
      <c r="F1006" s="9" t="s">
        <v>106</v>
      </c>
      <c r="G1006" s="9" t="s">
        <v>106</v>
      </c>
      <c r="H1006" s="9" t="s">
        <v>106</v>
      </c>
      <c r="J1006" s="9" t="s">
        <v>107</v>
      </c>
      <c r="K1006" s="9" t="s">
        <v>435</v>
      </c>
      <c r="L1006" t="str">
        <f>IF(OR(J1006="Cattle",J1006="Zebu Cattle"),IF(COUNTIF(lists!$M$2:$M$258, K1006) &gt; 0,"bos.indicus",IF(COUNTIF(lists!$L$2:$L$258, K1006) &gt; 0,"cross.bred","pure.bred.exotic")),"NA")</f>
        <v>NA</v>
      </c>
      <c r="M1006" t="str">
        <f>IF(J1006="Sheep",IF(COUNTIF(lists!$H$2:$H$258, K1006) &gt; 0,"indigenous",IF(COUNTIF(lists!$G$2:$G$258, K1006) &gt; 0,"cross.bred","not found")),"NA")</f>
        <v>not found</v>
      </c>
      <c r="N1006" t="str">
        <f>IF(J1006="Goat",IF(COUNTIF(lists!$J$2:$J$258, K1006) &gt; 0,"indigenous",IF(COUNTIF(lists!$I$2:$I$258, K1006) &gt; 0,"cross.bred","not found")),"NA")</f>
        <v>NA</v>
      </c>
      <c r="O1006" s="9" t="s">
        <v>124</v>
      </c>
      <c r="P1006" s="9" t="s">
        <v>177</v>
      </c>
      <c r="S1006" s="9" t="s">
        <v>106</v>
      </c>
      <c r="T1006" s="9" t="s">
        <v>106</v>
      </c>
      <c r="U1006" s="9" t="s">
        <v>106</v>
      </c>
      <c r="V1006" s="9" t="s">
        <v>106</v>
      </c>
      <c r="W1006" s="9" t="s">
        <v>106</v>
      </c>
      <c r="X1006" s="9" t="s">
        <v>106</v>
      </c>
      <c r="Y1006" s="9" t="s">
        <v>106</v>
      </c>
      <c r="Z1006" s="37"/>
      <c r="AA1006" s="37"/>
      <c r="AB1006" s="37"/>
      <c r="AE1006"/>
    </row>
    <row r="1007" spans="1:31" hidden="1">
      <c r="A1007" s="9" t="s">
        <v>433</v>
      </c>
      <c r="B1007" s="9" t="s">
        <v>437</v>
      </c>
      <c r="C1007" s="9" t="s">
        <v>105</v>
      </c>
      <c r="D1007" s="9">
        <v>0.94910000000000005</v>
      </c>
      <c r="E1007" s="9" t="s">
        <v>106</v>
      </c>
      <c r="F1007" s="9" t="s">
        <v>106</v>
      </c>
      <c r="G1007" s="9" t="s">
        <v>106</v>
      </c>
      <c r="H1007" s="9" t="s">
        <v>106</v>
      </c>
      <c r="J1007" s="9" t="s">
        <v>107</v>
      </c>
      <c r="K1007" s="9" t="s">
        <v>435</v>
      </c>
      <c r="L1007" t="str">
        <f>IF(OR(J1007="Cattle",J1007="Zebu Cattle"),IF(COUNTIF(lists!$M$2:$M$258, K1007) &gt; 0,"bos.indicus",IF(COUNTIF(lists!$L$2:$L$258, K1007) &gt; 0,"cross.bred","pure.bred.exotic")),"NA")</f>
        <v>NA</v>
      </c>
      <c r="M1007" t="str">
        <f>IF(J1007="Sheep",IF(COUNTIF(lists!$H$2:$H$258, K1007) &gt; 0,"indigenous",IF(COUNTIF(lists!$G$2:$G$258, K1007) &gt; 0,"cross.bred","not found")),"NA")</f>
        <v>not found</v>
      </c>
      <c r="N1007" t="str">
        <f>IF(J1007="Goat",IF(COUNTIF(lists!$J$2:$J$258, K1007) &gt; 0,"indigenous",IF(COUNTIF(lists!$I$2:$I$258, K1007) &gt; 0,"cross.bred","not found")),"NA")</f>
        <v>NA</v>
      </c>
      <c r="O1007" s="9" t="s">
        <v>124</v>
      </c>
      <c r="P1007" s="9" t="s">
        <v>177</v>
      </c>
      <c r="S1007" s="9" t="s">
        <v>106</v>
      </c>
      <c r="T1007" s="9" t="s">
        <v>106</v>
      </c>
      <c r="U1007" s="9" t="s">
        <v>106</v>
      </c>
      <c r="V1007" s="9" t="s">
        <v>106</v>
      </c>
      <c r="W1007" s="9" t="s">
        <v>106</v>
      </c>
      <c r="X1007" s="9" t="s">
        <v>106</v>
      </c>
      <c r="Y1007" s="9" t="s">
        <v>106</v>
      </c>
      <c r="Z1007" s="37"/>
      <c r="AA1007" s="37"/>
      <c r="AB1007" s="37"/>
      <c r="AE1007"/>
    </row>
    <row r="1008" spans="1:31" hidden="1">
      <c r="A1008" s="9" t="s">
        <v>433</v>
      </c>
      <c r="B1008" s="9" t="s">
        <v>438</v>
      </c>
      <c r="C1008" s="9" t="s">
        <v>105</v>
      </c>
      <c r="D1008" s="9">
        <v>0.87829999999999997</v>
      </c>
      <c r="E1008" s="9" t="s">
        <v>106</v>
      </c>
      <c r="F1008" s="9" t="s">
        <v>106</v>
      </c>
      <c r="G1008" s="9" t="s">
        <v>106</v>
      </c>
      <c r="H1008" s="9" t="s">
        <v>106</v>
      </c>
      <c r="J1008" s="9" t="s">
        <v>107</v>
      </c>
      <c r="K1008" s="9" t="s">
        <v>435</v>
      </c>
      <c r="L1008" t="str">
        <f>IF(OR(J1008="Cattle",J1008="Zebu Cattle"),IF(COUNTIF(lists!$M$2:$M$258, K1008) &gt; 0,"bos.indicus",IF(COUNTIF(lists!$L$2:$L$258, K1008) &gt; 0,"cross.bred","pure.bred.exotic")),"NA")</f>
        <v>NA</v>
      </c>
      <c r="M1008" t="str">
        <f>IF(J1008="Sheep",IF(COUNTIF(lists!$H$2:$H$258, K1008) &gt; 0,"indigenous",IF(COUNTIF(lists!$G$2:$G$258, K1008) &gt; 0,"cross.bred","not found")),"NA")</f>
        <v>not found</v>
      </c>
      <c r="N1008" t="str">
        <f>IF(J1008="Goat",IF(COUNTIF(lists!$J$2:$J$258, K1008) &gt; 0,"indigenous",IF(COUNTIF(lists!$I$2:$I$258, K1008) &gt; 0,"cross.bred","not found")),"NA")</f>
        <v>NA</v>
      </c>
      <c r="O1008" s="9" t="s">
        <v>124</v>
      </c>
      <c r="P1008" s="9" t="s">
        <v>177</v>
      </c>
      <c r="S1008" s="9" t="s">
        <v>106</v>
      </c>
      <c r="T1008" s="9" t="s">
        <v>106</v>
      </c>
      <c r="U1008" s="9" t="s">
        <v>106</v>
      </c>
      <c r="V1008" s="9" t="s">
        <v>106</v>
      </c>
      <c r="W1008" s="9" t="s">
        <v>106</v>
      </c>
      <c r="X1008" s="9" t="s">
        <v>106</v>
      </c>
      <c r="Y1008" s="9" t="s">
        <v>106</v>
      </c>
      <c r="Z1008" s="37"/>
      <c r="AA1008" s="37"/>
      <c r="AB1008" s="37"/>
      <c r="AE1008"/>
    </row>
    <row r="1009" spans="1:31" hidden="1">
      <c r="A1009" s="9" t="s">
        <v>445</v>
      </c>
      <c r="B1009" s="9" t="s">
        <v>446</v>
      </c>
      <c r="C1009" s="9" t="s">
        <v>105</v>
      </c>
      <c r="D1009" s="9">
        <v>0.46439999999999998</v>
      </c>
      <c r="E1009" s="9" t="s">
        <v>106</v>
      </c>
      <c r="F1009" s="9" t="s">
        <v>106</v>
      </c>
      <c r="G1009" s="9" t="s">
        <v>106</v>
      </c>
      <c r="H1009" s="9" t="s">
        <v>106</v>
      </c>
      <c r="I1009" s="9">
        <v>16</v>
      </c>
      <c r="J1009" s="9" t="s">
        <v>107</v>
      </c>
      <c r="K1009" s="9" t="s">
        <v>117</v>
      </c>
      <c r="L1009" t="str">
        <f>IF(OR(J1009="Cattle",J1009="Zebu Cattle"),IF(COUNTIF(lists!$M$2:$M$258, K1009) &gt; 0,"bos.indicus",IF(COUNTIF(lists!$L$2:$L$258, K1009) &gt; 0,"cross.bred","pure.bred.exotic")),"NA")</f>
        <v>NA</v>
      </c>
      <c r="M1009" t="str">
        <f>IF(J1009="Sheep",IF(COUNTIF(lists!$H$2:$H$258, K1009) &gt; 0,"indigenous",IF(COUNTIF(lists!$G$2:$G$258, K1009) &gt; 0,"cross.bred","not found")),"NA")</f>
        <v>not found</v>
      </c>
      <c r="N1009" t="str">
        <f>IF(J1009="Goat",IF(COUNTIF(lists!$J$2:$J$258, K1009) &gt; 0,"indigenous",IF(COUNTIF(lists!$I$2:$I$258, K1009) &gt; 0,"cross.bred","not found")),"NA")</f>
        <v>NA</v>
      </c>
      <c r="O1009" s="9" t="s">
        <v>109</v>
      </c>
      <c r="P1009" s="9" t="s">
        <v>106</v>
      </c>
      <c r="Q1009" s="9" t="s">
        <v>3804</v>
      </c>
      <c r="S1009" s="9">
        <v>62.7</v>
      </c>
      <c r="T1009" s="9">
        <v>367</v>
      </c>
      <c r="U1009" s="9">
        <v>390.1</v>
      </c>
      <c r="V1009" s="9">
        <v>850</v>
      </c>
      <c r="W1009" s="9" t="s">
        <v>106</v>
      </c>
      <c r="X1009" s="9">
        <v>125.8</v>
      </c>
      <c r="Y1009" s="9">
        <v>43.6</v>
      </c>
      <c r="Z1009" s="37"/>
      <c r="AA1009" s="37"/>
      <c r="AB1009" s="37"/>
      <c r="AE1009">
        <v>0</v>
      </c>
    </row>
    <row r="1010" spans="1:31" hidden="1">
      <c r="A1010" s="9" t="s">
        <v>445</v>
      </c>
      <c r="B1010" s="9" t="s">
        <v>447</v>
      </c>
      <c r="C1010" s="9" t="s">
        <v>105</v>
      </c>
      <c r="D1010" s="9">
        <v>0.7046</v>
      </c>
      <c r="E1010" s="9" t="s">
        <v>106</v>
      </c>
      <c r="F1010" s="9" t="s">
        <v>106</v>
      </c>
      <c r="G1010" s="9" t="s">
        <v>106</v>
      </c>
      <c r="H1010" s="9" t="s">
        <v>106</v>
      </c>
      <c r="I1010" s="9">
        <v>16</v>
      </c>
      <c r="J1010" s="9" t="s">
        <v>107</v>
      </c>
      <c r="K1010" s="9" t="s">
        <v>117</v>
      </c>
      <c r="L1010" t="str">
        <f>IF(OR(J1010="Cattle",J1010="Zebu Cattle"),IF(COUNTIF(lists!$M$2:$M$258, K1010) &gt; 0,"bos.indicus",IF(COUNTIF(lists!$L$2:$L$258, K1010) &gt; 0,"cross.bred","pure.bred.exotic")),"NA")</f>
        <v>NA</v>
      </c>
      <c r="M1010" t="str">
        <f>IF(J1010="Sheep",IF(COUNTIF(lists!$H$2:$H$258, K1010) &gt; 0,"indigenous",IF(COUNTIF(lists!$G$2:$G$258, K1010) &gt; 0,"cross.bred","not found")),"NA")</f>
        <v>not found</v>
      </c>
      <c r="N1010" t="str">
        <f>IF(J1010="Goat",IF(COUNTIF(lists!$J$2:$J$258, K1010) &gt; 0,"indigenous",IF(COUNTIF(lists!$I$2:$I$258, K1010) &gt; 0,"cross.bred","not found")),"NA")</f>
        <v>NA</v>
      </c>
      <c r="O1010" s="9" t="s">
        <v>109</v>
      </c>
      <c r="P1010" s="9" t="s">
        <v>106</v>
      </c>
      <c r="Q1010" s="9" t="s">
        <v>3804</v>
      </c>
      <c r="S1010" s="9" t="s">
        <v>106</v>
      </c>
      <c r="T1010" s="9" t="s">
        <v>106</v>
      </c>
      <c r="U1010" s="9" t="s">
        <v>106</v>
      </c>
      <c r="V1010" s="9" t="s">
        <v>106</v>
      </c>
      <c r="W1010" s="9" t="s">
        <v>106</v>
      </c>
      <c r="X1010" s="9" t="s">
        <v>106</v>
      </c>
      <c r="Y1010" s="9">
        <v>64.8</v>
      </c>
      <c r="Z1010" s="37"/>
      <c r="AA1010" s="37"/>
      <c r="AB1010" s="37"/>
      <c r="AE1010">
        <v>0</v>
      </c>
    </row>
    <row r="1011" spans="1:31" hidden="1">
      <c r="A1011" s="9" t="s">
        <v>445</v>
      </c>
      <c r="B1011" s="9" t="s">
        <v>448</v>
      </c>
      <c r="C1011" s="9" t="s">
        <v>105</v>
      </c>
      <c r="D1011" s="9">
        <v>0.63300000000000001</v>
      </c>
      <c r="E1011" s="9" t="s">
        <v>106</v>
      </c>
      <c r="F1011" s="9" t="s">
        <v>106</v>
      </c>
      <c r="G1011" s="9" t="s">
        <v>106</v>
      </c>
      <c r="H1011" s="9" t="s">
        <v>106</v>
      </c>
      <c r="I1011" s="9">
        <v>16</v>
      </c>
      <c r="J1011" s="9" t="s">
        <v>107</v>
      </c>
      <c r="K1011" s="9" t="s">
        <v>117</v>
      </c>
      <c r="L1011" t="str">
        <f>IF(OR(J1011="Cattle",J1011="Zebu Cattle"),IF(COUNTIF(lists!$M$2:$M$258, K1011) &gt; 0,"bos.indicus",IF(COUNTIF(lists!$L$2:$L$258, K1011) &gt; 0,"cross.bred","pure.bred.exotic")),"NA")</f>
        <v>NA</v>
      </c>
      <c r="M1011" t="str">
        <f>IF(J1011="Sheep",IF(COUNTIF(lists!$H$2:$H$258, K1011) &gt; 0,"indigenous",IF(COUNTIF(lists!$G$2:$G$258, K1011) &gt; 0,"cross.bred","not found")),"NA")</f>
        <v>not found</v>
      </c>
      <c r="N1011" t="str">
        <f>IF(J1011="Goat",IF(COUNTIF(lists!$J$2:$J$258, K1011) &gt; 0,"indigenous",IF(COUNTIF(lists!$I$2:$I$258, K1011) &gt; 0,"cross.bred","not found")),"NA")</f>
        <v>NA</v>
      </c>
      <c r="O1011" s="9" t="s">
        <v>109</v>
      </c>
      <c r="P1011" s="9" t="s">
        <v>106</v>
      </c>
      <c r="Q1011" s="9" t="s">
        <v>3804</v>
      </c>
      <c r="S1011" s="9">
        <v>275.3</v>
      </c>
      <c r="T1011" s="9">
        <v>224.3</v>
      </c>
      <c r="U1011" s="9">
        <v>148.4</v>
      </c>
      <c r="V1011" s="9">
        <v>919.2</v>
      </c>
      <c r="W1011" s="9" t="s">
        <v>106</v>
      </c>
      <c r="X1011" s="9">
        <v>495</v>
      </c>
      <c r="Y1011" s="9">
        <v>65</v>
      </c>
      <c r="Z1011" s="37"/>
      <c r="AA1011" s="37"/>
      <c r="AB1011" s="37"/>
      <c r="AE1011">
        <v>0</v>
      </c>
    </row>
    <row r="1012" spans="1:31" hidden="1">
      <c r="A1012" s="9" t="s">
        <v>445</v>
      </c>
      <c r="B1012" s="9" t="s">
        <v>449</v>
      </c>
      <c r="C1012" s="9" t="s">
        <v>105</v>
      </c>
      <c r="D1012" s="9">
        <v>0.59599999999999997</v>
      </c>
      <c r="E1012" s="9" t="s">
        <v>106</v>
      </c>
      <c r="F1012" s="9" t="s">
        <v>106</v>
      </c>
      <c r="G1012" s="9" t="s">
        <v>106</v>
      </c>
      <c r="H1012" s="9" t="s">
        <v>106</v>
      </c>
      <c r="I1012" s="9">
        <v>16</v>
      </c>
      <c r="J1012" s="9" t="s">
        <v>107</v>
      </c>
      <c r="K1012" s="9" t="s">
        <v>117</v>
      </c>
      <c r="L1012" t="str">
        <f>IF(OR(J1012="Cattle",J1012="Zebu Cattle"),IF(COUNTIF(lists!$M$2:$M$258, K1012) &gt; 0,"bos.indicus",IF(COUNTIF(lists!$L$2:$L$258, K1012) &gt; 0,"cross.bred","pure.bred.exotic")),"NA")</f>
        <v>NA</v>
      </c>
      <c r="M1012" t="str">
        <f>IF(J1012="Sheep",IF(COUNTIF(lists!$H$2:$H$258, K1012) &gt; 0,"indigenous",IF(COUNTIF(lists!$G$2:$G$258, K1012) &gt; 0,"cross.bred","not found")),"NA")</f>
        <v>not found</v>
      </c>
      <c r="N1012" t="str">
        <f>IF(J1012="Goat",IF(COUNTIF(lists!$J$2:$J$258, K1012) &gt; 0,"indigenous",IF(COUNTIF(lists!$I$2:$I$258, K1012) &gt; 0,"cross.bred","not found")),"NA")</f>
        <v>NA</v>
      </c>
      <c r="O1012" s="9" t="s">
        <v>109</v>
      </c>
      <c r="P1012" s="9" t="s">
        <v>106</v>
      </c>
      <c r="Q1012" s="9" t="s">
        <v>3804</v>
      </c>
      <c r="S1012" s="9">
        <v>295.89999999999998</v>
      </c>
      <c r="T1012" s="9">
        <v>312.8</v>
      </c>
      <c r="U1012" s="9">
        <v>184.5</v>
      </c>
      <c r="V1012" s="9">
        <v>928.4</v>
      </c>
      <c r="W1012" s="9" t="s">
        <v>106</v>
      </c>
      <c r="X1012" s="9">
        <v>368.4</v>
      </c>
      <c r="Y1012" s="9">
        <v>61.1</v>
      </c>
      <c r="Z1012" s="37"/>
      <c r="AA1012" s="37"/>
      <c r="AB1012" s="37"/>
      <c r="AE1012">
        <v>0</v>
      </c>
    </row>
    <row r="1013" spans="1:31" hidden="1">
      <c r="A1013" s="9" t="s">
        <v>454</v>
      </c>
      <c r="B1013" s="9" t="s">
        <v>455</v>
      </c>
      <c r="C1013" s="9" t="s">
        <v>105</v>
      </c>
      <c r="D1013" s="9">
        <v>3.4454562287633901E-3</v>
      </c>
      <c r="E1013" s="9" t="s">
        <v>106</v>
      </c>
      <c r="F1013" s="9" t="s">
        <v>106</v>
      </c>
      <c r="G1013" s="9" t="s">
        <v>106</v>
      </c>
      <c r="H1013" s="9" t="s">
        <v>106</v>
      </c>
      <c r="J1013" s="9" t="s">
        <v>107</v>
      </c>
      <c r="K1013" s="9" t="s">
        <v>108</v>
      </c>
      <c r="L1013" t="str">
        <f>IF(OR(J1013="Cattle",J1013="Zebu Cattle"),IF(COUNTIF(lists!$M$2:$M$258, K1013) &gt; 0,"bos.indicus",IF(COUNTIF(lists!$L$2:$L$258, K1013) &gt; 0,"cross.bred","pure.bred.exotic")),"NA")</f>
        <v>NA</v>
      </c>
      <c r="M1013" t="str">
        <f>IF(J1013="Sheep",IF(COUNTIF(lists!$H$2:$H$258, K1013) &gt; 0,"indigenous",IF(COUNTIF(lists!$G$2:$G$258, K1013) &gt; 0,"cross.bred","not found")),"NA")</f>
        <v>indigenous</v>
      </c>
      <c r="N1013" t="str">
        <f>IF(J1013="Goat",IF(COUNTIF(lists!$J$2:$J$258, K1013) &gt; 0,"indigenous",IF(COUNTIF(lists!$I$2:$I$258, K1013) &gt; 0,"cross.bred","not found")),"NA")</f>
        <v>NA</v>
      </c>
      <c r="O1013" s="9" t="s">
        <v>109</v>
      </c>
      <c r="P1013" s="9" t="s">
        <v>456</v>
      </c>
      <c r="S1013" s="9">
        <v>368.2</v>
      </c>
      <c r="T1013" s="9">
        <v>134.1</v>
      </c>
      <c r="U1013" s="9">
        <v>129</v>
      </c>
      <c r="V1013" s="9">
        <v>914.9</v>
      </c>
      <c r="W1013" s="9">
        <v>28.4</v>
      </c>
      <c r="X1013" s="9">
        <v>525.29999999999995</v>
      </c>
      <c r="Y1013" s="9">
        <v>51.1</v>
      </c>
      <c r="Z1013" s="37"/>
      <c r="AA1013" s="37"/>
      <c r="AB1013" s="37"/>
      <c r="AE1013"/>
    </row>
    <row r="1014" spans="1:31" hidden="1">
      <c r="A1014" s="9" t="s">
        <v>459</v>
      </c>
      <c r="B1014" s="9" t="s">
        <v>119</v>
      </c>
      <c r="C1014" s="9" t="s">
        <v>105</v>
      </c>
      <c r="D1014" s="9">
        <v>1.26</v>
      </c>
      <c r="E1014" s="9" t="s">
        <v>106</v>
      </c>
      <c r="F1014" s="9">
        <v>18.579999999999998</v>
      </c>
      <c r="G1014" s="9">
        <v>131</v>
      </c>
      <c r="H1014" s="9" t="s">
        <v>106</v>
      </c>
      <c r="I1014" s="9">
        <v>40</v>
      </c>
      <c r="J1014" s="9" t="s">
        <v>107</v>
      </c>
      <c r="K1014" s="9" t="s">
        <v>460</v>
      </c>
      <c r="L1014" t="str">
        <f>IF(OR(J1014="Cattle",J1014="Zebu Cattle"),IF(COUNTIF(lists!$M$2:$M$258, K1014) &gt; 0,"bos.indicus",IF(COUNTIF(lists!$L$2:$L$258, K1014) &gt; 0,"cross.bred","pure.bred.exotic")),"NA")</f>
        <v>NA</v>
      </c>
      <c r="M1014" t="str">
        <f>IF(J1014="Sheep",IF(COUNTIF(lists!$H$2:$H$258, K1014) &gt; 0,"indigenous",IF(COUNTIF(lists!$G$2:$G$258, K1014) &gt; 0,"cross.bred","not found")),"NA")</f>
        <v>not found</v>
      </c>
      <c r="N1014" t="str">
        <f>IF(J1014="Goat",IF(COUNTIF(lists!$J$2:$J$258, K1014) &gt; 0,"indigenous",IF(COUNTIF(lists!$I$2:$I$258, K1014) &gt; 0,"cross.bred","not found")),"NA")</f>
        <v>NA</v>
      </c>
      <c r="O1014" s="9" t="s">
        <v>109</v>
      </c>
      <c r="P1014" s="9" t="s">
        <v>106</v>
      </c>
      <c r="Q1014" s="9" t="s">
        <v>3806</v>
      </c>
      <c r="S1014" s="9" t="s">
        <v>106</v>
      </c>
      <c r="T1014" s="9" t="s">
        <v>106</v>
      </c>
      <c r="U1014" s="9" t="s">
        <v>106</v>
      </c>
      <c r="V1014" s="9" t="s">
        <v>106</v>
      </c>
      <c r="W1014" s="9" t="s">
        <v>106</v>
      </c>
      <c r="X1014" s="9" t="s">
        <v>106</v>
      </c>
      <c r="Y1014" s="9" t="s">
        <v>106</v>
      </c>
      <c r="Z1014" s="37"/>
      <c r="AA1014" s="37"/>
      <c r="AB1014" s="37"/>
      <c r="AE1014">
        <v>0</v>
      </c>
    </row>
    <row r="1015" spans="1:31" hidden="1">
      <c r="A1015" s="9" t="s">
        <v>459</v>
      </c>
      <c r="B1015" s="9" t="s">
        <v>461</v>
      </c>
      <c r="C1015" s="9" t="s">
        <v>105</v>
      </c>
      <c r="D1015" s="9">
        <v>0.72</v>
      </c>
      <c r="E1015" s="9" t="s">
        <v>106</v>
      </c>
      <c r="F1015" s="9">
        <v>17.170000000000002</v>
      </c>
      <c r="G1015" s="9">
        <v>90</v>
      </c>
      <c r="H1015" s="9" t="s">
        <v>106</v>
      </c>
      <c r="I1015" s="9">
        <v>40</v>
      </c>
      <c r="J1015" s="9" t="s">
        <v>107</v>
      </c>
      <c r="K1015" s="9" t="s">
        <v>460</v>
      </c>
      <c r="L1015" t="str">
        <f>IF(OR(J1015="Cattle",J1015="Zebu Cattle"),IF(COUNTIF(lists!$M$2:$M$258, K1015) &gt; 0,"bos.indicus",IF(COUNTIF(lists!$L$2:$L$258, K1015) &gt; 0,"cross.bred","pure.bred.exotic")),"NA")</f>
        <v>NA</v>
      </c>
      <c r="M1015" t="str">
        <f>IF(J1015="Sheep",IF(COUNTIF(lists!$H$2:$H$258, K1015) &gt; 0,"indigenous",IF(COUNTIF(lists!$G$2:$G$258, K1015) &gt; 0,"cross.bred","not found")),"NA")</f>
        <v>not found</v>
      </c>
      <c r="N1015" t="str">
        <f>IF(J1015="Goat",IF(COUNTIF(lists!$J$2:$J$258, K1015) &gt; 0,"indigenous",IF(COUNTIF(lists!$I$2:$I$258, K1015) &gt; 0,"cross.bred","not found")),"NA")</f>
        <v>NA</v>
      </c>
      <c r="O1015" s="9" t="s">
        <v>109</v>
      </c>
      <c r="P1015" s="9" t="s">
        <v>106</v>
      </c>
      <c r="Q1015" s="9" t="s">
        <v>3806</v>
      </c>
      <c r="S1015" s="9" t="s">
        <v>106</v>
      </c>
      <c r="T1015" s="9" t="s">
        <v>106</v>
      </c>
      <c r="U1015" s="9" t="s">
        <v>106</v>
      </c>
      <c r="V1015" s="9" t="s">
        <v>106</v>
      </c>
      <c r="W1015" s="9" t="s">
        <v>106</v>
      </c>
      <c r="X1015" s="9" t="s">
        <v>106</v>
      </c>
      <c r="Y1015" s="9" t="s">
        <v>106</v>
      </c>
      <c r="Z1015" s="37"/>
      <c r="AA1015" s="37"/>
      <c r="AB1015" s="37"/>
      <c r="AE1015">
        <v>0</v>
      </c>
    </row>
    <row r="1016" spans="1:31" hidden="1">
      <c r="A1016" s="9" t="s">
        <v>459</v>
      </c>
      <c r="B1016" s="9" t="s">
        <v>462</v>
      </c>
      <c r="C1016" s="9" t="s">
        <v>105</v>
      </c>
      <c r="D1016" s="9">
        <v>0.82</v>
      </c>
      <c r="E1016" s="9" t="s">
        <v>106</v>
      </c>
      <c r="F1016" s="9">
        <v>17.79</v>
      </c>
      <c r="G1016" s="9">
        <v>112</v>
      </c>
      <c r="H1016" s="9" t="s">
        <v>106</v>
      </c>
      <c r="I1016" s="9">
        <v>40</v>
      </c>
      <c r="J1016" s="9" t="s">
        <v>107</v>
      </c>
      <c r="K1016" s="9" t="s">
        <v>460</v>
      </c>
      <c r="L1016" t="str">
        <f>IF(OR(J1016="Cattle",J1016="Zebu Cattle"),IF(COUNTIF(lists!$M$2:$M$258, K1016) &gt; 0,"bos.indicus",IF(COUNTIF(lists!$L$2:$L$258, K1016) &gt; 0,"cross.bred","pure.bred.exotic")),"NA")</f>
        <v>NA</v>
      </c>
      <c r="M1016" t="str">
        <f>IF(J1016="Sheep",IF(COUNTIF(lists!$H$2:$H$258, K1016) &gt; 0,"indigenous",IF(COUNTIF(lists!$G$2:$G$258, K1016) &gt; 0,"cross.bred","not found")),"NA")</f>
        <v>not found</v>
      </c>
      <c r="N1016" t="str">
        <f>IF(J1016="Goat",IF(COUNTIF(lists!$J$2:$J$258, K1016) &gt; 0,"indigenous",IF(COUNTIF(lists!$I$2:$I$258, K1016) &gt; 0,"cross.bred","not found")),"NA")</f>
        <v>NA</v>
      </c>
      <c r="O1016" s="9" t="s">
        <v>109</v>
      </c>
      <c r="P1016" s="9" t="s">
        <v>106</v>
      </c>
      <c r="Q1016" s="9" t="s">
        <v>3806</v>
      </c>
      <c r="S1016" s="9" t="s">
        <v>106</v>
      </c>
      <c r="T1016" s="9" t="s">
        <v>106</v>
      </c>
      <c r="U1016" s="9" t="s">
        <v>106</v>
      </c>
      <c r="V1016" s="9" t="s">
        <v>106</v>
      </c>
      <c r="W1016" s="9" t="s">
        <v>106</v>
      </c>
      <c r="X1016" s="9" t="s">
        <v>106</v>
      </c>
      <c r="Y1016" s="9" t="s">
        <v>106</v>
      </c>
      <c r="Z1016" s="37"/>
      <c r="AA1016" s="37"/>
      <c r="AB1016" s="37"/>
      <c r="AE1016">
        <v>0</v>
      </c>
    </row>
    <row r="1017" spans="1:31" hidden="1">
      <c r="A1017" s="9" t="s">
        <v>459</v>
      </c>
      <c r="B1017" s="9" t="s">
        <v>463</v>
      </c>
      <c r="C1017" s="9" t="s">
        <v>105</v>
      </c>
      <c r="D1017" s="9">
        <v>0.85</v>
      </c>
      <c r="E1017" s="9" t="s">
        <v>106</v>
      </c>
      <c r="F1017" s="9">
        <v>17.46</v>
      </c>
      <c r="G1017" s="9">
        <v>103</v>
      </c>
      <c r="H1017" s="9" t="s">
        <v>106</v>
      </c>
      <c r="I1017" s="9">
        <v>40</v>
      </c>
      <c r="J1017" s="9" t="s">
        <v>107</v>
      </c>
      <c r="K1017" s="9" t="s">
        <v>460</v>
      </c>
      <c r="L1017" t="str">
        <f>IF(OR(J1017="Cattle",J1017="Zebu Cattle"),IF(COUNTIF(lists!$M$2:$M$258, K1017) &gt; 0,"bos.indicus",IF(COUNTIF(lists!$L$2:$L$258, K1017) &gt; 0,"cross.bred","pure.bred.exotic")),"NA")</f>
        <v>NA</v>
      </c>
      <c r="M1017" t="str">
        <f>IF(J1017="Sheep",IF(COUNTIF(lists!$H$2:$H$258, K1017) &gt; 0,"indigenous",IF(COUNTIF(lists!$G$2:$G$258, K1017) &gt; 0,"cross.bred","not found")),"NA")</f>
        <v>not found</v>
      </c>
      <c r="N1017" t="str">
        <f>IF(J1017="Goat",IF(COUNTIF(lists!$J$2:$J$258, K1017) &gt; 0,"indigenous",IF(COUNTIF(lists!$I$2:$I$258, K1017) &gt; 0,"cross.bred","not found")),"NA")</f>
        <v>NA</v>
      </c>
      <c r="O1017" s="9" t="s">
        <v>109</v>
      </c>
      <c r="P1017" s="9" t="s">
        <v>106</v>
      </c>
      <c r="Q1017" s="9" t="s">
        <v>3806</v>
      </c>
      <c r="S1017" s="9" t="s">
        <v>106</v>
      </c>
      <c r="T1017" s="9" t="s">
        <v>106</v>
      </c>
      <c r="U1017" s="9" t="s">
        <v>106</v>
      </c>
      <c r="V1017" s="9" t="s">
        <v>106</v>
      </c>
      <c r="W1017" s="9" t="s">
        <v>106</v>
      </c>
      <c r="X1017" s="9" t="s">
        <v>106</v>
      </c>
      <c r="Y1017" s="9" t="s">
        <v>106</v>
      </c>
      <c r="Z1017" s="37"/>
      <c r="AA1017" s="37"/>
      <c r="AB1017" s="37"/>
      <c r="AE1017">
        <v>0</v>
      </c>
    </row>
    <row r="1018" spans="1:31" hidden="1">
      <c r="A1018" s="9" t="s">
        <v>459</v>
      </c>
      <c r="B1018" s="9" t="s">
        <v>464</v>
      </c>
      <c r="C1018" s="9" t="s">
        <v>105</v>
      </c>
      <c r="D1018" s="9">
        <v>0.95</v>
      </c>
      <c r="E1018" s="9" t="s">
        <v>106</v>
      </c>
      <c r="F1018" s="9">
        <v>18.57</v>
      </c>
      <c r="G1018" s="9">
        <v>148</v>
      </c>
      <c r="H1018" s="9" t="s">
        <v>106</v>
      </c>
      <c r="I1018" s="9">
        <v>40</v>
      </c>
      <c r="J1018" s="9" t="s">
        <v>107</v>
      </c>
      <c r="K1018" s="9" t="s">
        <v>460</v>
      </c>
      <c r="L1018" t="str">
        <f>IF(OR(J1018="Cattle",J1018="Zebu Cattle"),IF(COUNTIF(lists!$M$2:$M$258, K1018) &gt; 0,"bos.indicus",IF(COUNTIF(lists!$L$2:$L$258, K1018) &gt; 0,"cross.bred","pure.bred.exotic")),"NA")</f>
        <v>NA</v>
      </c>
      <c r="M1018" t="str">
        <f>IF(J1018="Sheep",IF(COUNTIF(lists!$H$2:$H$258, K1018) &gt; 0,"indigenous",IF(COUNTIF(lists!$G$2:$G$258, K1018) &gt; 0,"cross.bred","not found")),"NA")</f>
        <v>not found</v>
      </c>
      <c r="N1018" t="str">
        <f>IF(J1018="Goat",IF(COUNTIF(lists!$J$2:$J$258, K1018) &gt; 0,"indigenous",IF(COUNTIF(lists!$I$2:$I$258, K1018) &gt; 0,"cross.bred","not found")),"NA")</f>
        <v>NA</v>
      </c>
      <c r="O1018" s="9" t="s">
        <v>109</v>
      </c>
      <c r="P1018" s="9" t="s">
        <v>106</v>
      </c>
      <c r="Q1018" s="9" t="s">
        <v>3806</v>
      </c>
      <c r="S1018" s="9" t="s">
        <v>106</v>
      </c>
      <c r="T1018" s="9" t="s">
        <v>106</v>
      </c>
      <c r="U1018" s="9" t="s">
        <v>106</v>
      </c>
      <c r="V1018" s="9" t="s">
        <v>106</v>
      </c>
      <c r="W1018" s="9" t="s">
        <v>106</v>
      </c>
      <c r="X1018" s="9" t="s">
        <v>106</v>
      </c>
      <c r="Y1018" s="9" t="s">
        <v>106</v>
      </c>
      <c r="Z1018" s="37"/>
      <c r="AA1018" s="37"/>
      <c r="AB1018" s="37"/>
      <c r="AE1018">
        <v>0</v>
      </c>
    </row>
    <row r="1019" spans="1:31" hidden="1">
      <c r="A1019" s="9" t="s">
        <v>535</v>
      </c>
      <c r="B1019" s="9" t="s">
        <v>536</v>
      </c>
      <c r="C1019" s="9" t="s">
        <v>105</v>
      </c>
      <c r="D1019" s="9">
        <v>1.0046999999999999</v>
      </c>
      <c r="E1019" s="9">
        <v>19.3</v>
      </c>
      <c r="F1019" s="9" t="s">
        <v>106</v>
      </c>
      <c r="G1019" s="9" t="s">
        <v>106</v>
      </c>
      <c r="H1019" s="9" t="s">
        <v>106</v>
      </c>
      <c r="J1019" s="9" t="s">
        <v>107</v>
      </c>
      <c r="K1019" s="9" t="s">
        <v>537</v>
      </c>
      <c r="L1019" t="str">
        <f>IF(OR(J1019="Cattle",J1019="Zebu Cattle"),IF(COUNTIF(lists!$M$2:$M$258, K1019) &gt; 0,"bos.indicus",IF(COUNTIF(lists!$L$2:$L$258, K1019) &gt; 0,"cross.bred","pure.bred.exotic")),"NA")</f>
        <v>NA</v>
      </c>
      <c r="M1019" t="str">
        <f>IF(J1019="Sheep",IF(COUNTIF(lists!$H$2:$H$258, K1019) &gt; 0,"indigenous",IF(COUNTIF(lists!$G$2:$G$258, K1019) &gt; 0,"cross.bred","not found")),"NA")</f>
        <v>not found</v>
      </c>
      <c r="N1019" t="str">
        <f>IF(J1019="Goat",IF(COUNTIF(lists!$J$2:$J$258, K1019) &gt; 0,"indigenous",IF(COUNTIF(lists!$I$2:$I$258, K1019) &gt; 0,"cross.bred","not found")),"NA")</f>
        <v>NA</v>
      </c>
      <c r="O1019" s="9" t="s">
        <v>109</v>
      </c>
      <c r="P1019" s="9" t="s">
        <v>164</v>
      </c>
      <c r="S1019" s="9" t="s">
        <v>106</v>
      </c>
      <c r="T1019" s="9">
        <v>81.199999999999903</v>
      </c>
      <c r="U1019" s="9">
        <v>139</v>
      </c>
      <c r="V1019" s="9">
        <v>926.7</v>
      </c>
      <c r="W1019" s="9">
        <v>38.299999999999997</v>
      </c>
      <c r="X1019" s="9" t="s">
        <v>106</v>
      </c>
      <c r="Y1019" s="9" t="s">
        <v>106</v>
      </c>
      <c r="Z1019" s="37"/>
      <c r="AA1019" s="37"/>
      <c r="AB1019" s="37"/>
      <c r="AE1019"/>
    </row>
    <row r="1020" spans="1:31" hidden="1">
      <c r="A1020" s="9" t="s">
        <v>535</v>
      </c>
      <c r="B1020" s="9" t="s">
        <v>538</v>
      </c>
      <c r="C1020" s="9" t="s">
        <v>105</v>
      </c>
      <c r="D1020" s="9">
        <v>0.94540000000000002</v>
      </c>
      <c r="E1020" s="9">
        <v>17.010000000000002</v>
      </c>
      <c r="F1020" s="9" t="s">
        <v>106</v>
      </c>
      <c r="G1020" s="9" t="s">
        <v>106</v>
      </c>
      <c r="H1020" s="9" t="s">
        <v>106</v>
      </c>
      <c r="J1020" s="9" t="s">
        <v>107</v>
      </c>
      <c r="K1020" s="9" t="s">
        <v>537</v>
      </c>
      <c r="L1020" t="str">
        <f>IF(OR(J1020="Cattle",J1020="Zebu Cattle"),IF(COUNTIF(lists!$M$2:$M$258, K1020) &gt; 0,"bos.indicus",IF(COUNTIF(lists!$L$2:$L$258, K1020) &gt; 0,"cross.bred","pure.bred.exotic")),"NA")</f>
        <v>NA</v>
      </c>
      <c r="M1020" t="str">
        <f>IF(J1020="Sheep",IF(COUNTIF(lists!$H$2:$H$258, K1020) &gt; 0,"indigenous",IF(COUNTIF(lists!$G$2:$G$258, K1020) &gt; 0,"cross.bred","not found")),"NA")</f>
        <v>not found</v>
      </c>
      <c r="N1020" t="str">
        <f>IF(J1020="Goat",IF(COUNTIF(lists!$J$2:$J$258, K1020) &gt; 0,"indigenous",IF(COUNTIF(lists!$I$2:$I$258, K1020) &gt; 0,"cross.bred","not found")),"NA")</f>
        <v>NA</v>
      </c>
      <c r="O1020" s="9" t="s">
        <v>109</v>
      </c>
      <c r="P1020" s="9" t="s">
        <v>164</v>
      </c>
      <c r="S1020" s="9" t="s">
        <v>106</v>
      </c>
      <c r="T1020" s="9">
        <v>80.8</v>
      </c>
      <c r="U1020" s="9">
        <v>138.80000000000001</v>
      </c>
      <c r="V1020" s="9">
        <v>910.3</v>
      </c>
      <c r="W1020" s="9">
        <v>40.299999999999997</v>
      </c>
      <c r="X1020" s="9" t="s">
        <v>106</v>
      </c>
      <c r="Y1020" s="9" t="s">
        <v>106</v>
      </c>
      <c r="Z1020" s="37"/>
      <c r="AA1020" s="37"/>
      <c r="AB1020" s="37"/>
      <c r="AE1020"/>
    </row>
    <row r="1021" spans="1:31" hidden="1">
      <c r="A1021" s="9" t="s">
        <v>535</v>
      </c>
      <c r="B1021" s="9" t="s">
        <v>539</v>
      </c>
      <c r="C1021" s="9" t="s">
        <v>105</v>
      </c>
      <c r="D1021" s="9">
        <v>0.98089999999999999</v>
      </c>
      <c r="E1021" s="9">
        <v>17.600000000000001</v>
      </c>
      <c r="F1021" s="9" t="s">
        <v>106</v>
      </c>
      <c r="G1021" s="9" t="s">
        <v>106</v>
      </c>
      <c r="H1021" s="9" t="s">
        <v>106</v>
      </c>
      <c r="J1021" s="9" t="s">
        <v>107</v>
      </c>
      <c r="K1021" s="9" t="s">
        <v>537</v>
      </c>
      <c r="L1021" t="str">
        <f>IF(OR(J1021="Cattle",J1021="Zebu Cattle"),IF(COUNTIF(lists!$M$2:$M$258, K1021) &gt; 0,"bos.indicus",IF(COUNTIF(lists!$L$2:$L$258, K1021) &gt; 0,"cross.bred","pure.bred.exotic")),"NA")</f>
        <v>NA</v>
      </c>
      <c r="M1021" t="str">
        <f>IF(J1021="Sheep",IF(COUNTIF(lists!$H$2:$H$258, K1021) &gt; 0,"indigenous",IF(COUNTIF(lists!$G$2:$G$258, K1021) &gt; 0,"cross.bred","not found")),"NA")</f>
        <v>not found</v>
      </c>
      <c r="N1021" t="str">
        <f>IF(J1021="Goat",IF(COUNTIF(lists!$J$2:$J$258, K1021) &gt; 0,"indigenous",IF(COUNTIF(lists!$I$2:$I$258, K1021) &gt; 0,"cross.bred","not found")),"NA")</f>
        <v>NA</v>
      </c>
      <c r="O1021" s="9" t="s">
        <v>109</v>
      </c>
      <c r="P1021" s="9" t="s">
        <v>164</v>
      </c>
      <c r="S1021" s="9" t="s">
        <v>106</v>
      </c>
      <c r="T1021" s="9">
        <v>78.7</v>
      </c>
      <c r="U1021" s="9">
        <v>140.6</v>
      </c>
      <c r="V1021" s="9">
        <v>908.7</v>
      </c>
      <c r="W1021" s="9">
        <v>46.5</v>
      </c>
      <c r="X1021" s="9" t="s">
        <v>106</v>
      </c>
      <c r="Y1021" s="9" t="s">
        <v>106</v>
      </c>
      <c r="Z1021" s="37"/>
      <c r="AA1021" s="37"/>
      <c r="AB1021" s="37"/>
      <c r="AE1021"/>
    </row>
    <row r="1022" spans="1:31" hidden="1">
      <c r="A1022" s="9" t="s">
        <v>535</v>
      </c>
      <c r="B1022" s="9" t="s">
        <v>455</v>
      </c>
      <c r="C1022" s="9" t="s">
        <v>105</v>
      </c>
      <c r="D1022" s="9">
        <v>0.99819999999999998</v>
      </c>
      <c r="E1022" s="9">
        <v>32.200000000000003</v>
      </c>
      <c r="F1022" s="9" t="s">
        <v>106</v>
      </c>
      <c r="G1022" s="9" t="s">
        <v>106</v>
      </c>
      <c r="H1022" s="9" t="s">
        <v>106</v>
      </c>
      <c r="J1022" s="9" t="s">
        <v>107</v>
      </c>
      <c r="K1022" s="9" t="s">
        <v>537</v>
      </c>
      <c r="L1022" t="str">
        <f>IF(OR(J1022="Cattle",J1022="Zebu Cattle"),IF(COUNTIF(lists!$M$2:$M$258, K1022) &gt; 0,"bos.indicus",IF(COUNTIF(lists!$L$2:$L$258, K1022) &gt; 0,"cross.bred","pure.bred.exotic")),"NA")</f>
        <v>NA</v>
      </c>
      <c r="M1022" t="str">
        <f>IF(J1022="Sheep",IF(COUNTIF(lists!$H$2:$H$258, K1022) &gt; 0,"indigenous",IF(COUNTIF(lists!$G$2:$G$258, K1022) &gt; 0,"cross.bred","not found")),"NA")</f>
        <v>not found</v>
      </c>
      <c r="N1022" t="str">
        <f>IF(J1022="Goat",IF(COUNTIF(lists!$J$2:$J$258, K1022) &gt; 0,"indigenous",IF(COUNTIF(lists!$I$2:$I$258, K1022) &gt; 0,"cross.bred","not found")),"NA")</f>
        <v>NA</v>
      </c>
      <c r="O1022" s="9" t="s">
        <v>109</v>
      </c>
      <c r="P1022" s="9" t="s">
        <v>164</v>
      </c>
      <c r="S1022" s="9" t="s">
        <v>106</v>
      </c>
      <c r="T1022" s="9">
        <v>76.5</v>
      </c>
      <c r="U1022" s="9">
        <v>137</v>
      </c>
      <c r="V1022" s="9">
        <v>941.1</v>
      </c>
      <c r="W1022" s="9">
        <v>37.1</v>
      </c>
      <c r="X1022" s="9" t="s">
        <v>106</v>
      </c>
      <c r="Y1022" s="9" t="s">
        <v>106</v>
      </c>
      <c r="Z1022" s="37"/>
      <c r="AA1022" s="37"/>
      <c r="AB1022" s="37"/>
      <c r="AE1022"/>
    </row>
    <row r="1023" spans="1:31" hidden="1">
      <c r="A1023" s="9" t="s">
        <v>540</v>
      </c>
      <c r="B1023" s="9" t="s">
        <v>541</v>
      </c>
      <c r="C1023" s="9" t="s">
        <v>105</v>
      </c>
      <c r="D1023" s="9">
        <v>0.60599999999999998</v>
      </c>
      <c r="E1023" s="9">
        <v>7.58</v>
      </c>
      <c r="F1023" s="9" t="s">
        <v>106</v>
      </c>
      <c r="G1023" s="9" t="s">
        <v>106</v>
      </c>
      <c r="H1023" s="9" t="s">
        <v>106</v>
      </c>
      <c r="J1023" s="9" t="s">
        <v>107</v>
      </c>
      <c r="K1023" s="9" t="s">
        <v>542</v>
      </c>
      <c r="L1023" t="str">
        <f>IF(OR(J1023="Cattle",J1023="Zebu Cattle"),IF(COUNTIF(lists!$M$2:$M$258, K1023) &gt; 0,"bos.indicus",IF(COUNTIF(lists!$L$2:$L$258, K1023) &gt; 0,"cross.bred","pure.bred.exotic")),"NA")</f>
        <v>NA</v>
      </c>
      <c r="M1023" t="str">
        <f>IF(J1023="Sheep",IF(COUNTIF(lists!$H$2:$H$258, K1023) &gt; 0,"indigenous",IF(COUNTIF(lists!$G$2:$G$258, K1023) &gt; 0,"cross.bred","not found")),"NA")</f>
        <v>not found</v>
      </c>
      <c r="N1023" t="str">
        <f>IF(J1023="Goat",IF(COUNTIF(lists!$J$2:$J$258, K1023) &gt; 0,"indigenous",IF(COUNTIF(lists!$I$2:$I$258, K1023) &gt; 0,"cross.bred","not found")),"NA")</f>
        <v>NA</v>
      </c>
      <c r="O1023" s="9" t="s">
        <v>109</v>
      </c>
      <c r="P1023" s="9" t="s">
        <v>187</v>
      </c>
      <c r="S1023" s="9" t="s">
        <v>106</v>
      </c>
      <c r="T1023" s="9" t="s">
        <v>106</v>
      </c>
      <c r="U1023" s="9" t="s">
        <v>106</v>
      </c>
      <c r="V1023" s="9" t="s">
        <v>106</v>
      </c>
      <c r="W1023" s="9" t="s">
        <v>106</v>
      </c>
      <c r="X1023" s="9" t="s">
        <v>106</v>
      </c>
      <c r="Y1023" s="9">
        <v>59.7</v>
      </c>
      <c r="Z1023" s="37"/>
      <c r="AA1023" s="37"/>
      <c r="AB1023" s="37"/>
      <c r="AE1023"/>
    </row>
    <row r="1024" spans="1:31" hidden="1">
      <c r="A1024" s="9" t="s">
        <v>540</v>
      </c>
      <c r="B1024" s="9" t="s">
        <v>543</v>
      </c>
      <c r="C1024" s="9" t="s">
        <v>105</v>
      </c>
      <c r="D1024" s="9">
        <v>0.82799999999999996</v>
      </c>
      <c r="E1024" s="9">
        <v>7.58</v>
      </c>
      <c r="F1024" s="9" t="s">
        <v>106</v>
      </c>
      <c r="G1024" s="9" t="s">
        <v>106</v>
      </c>
      <c r="H1024" s="9" t="s">
        <v>106</v>
      </c>
      <c r="J1024" s="9" t="s">
        <v>107</v>
      </c>
      <c r="K1024" s="9" t="s">
        <v>542</v>
      </c>
      <c r="L1024" t="str">
        <f>IF(OR(J1024="Cattle",J1024="Zebu Cattle"),IF(COUNTIF(lists!$M$2:$M$258, K1024) &gt; 0,"bos.indicus",IF(COUNTIF(lists!$L$2:$L$258, K1024) &gt; 0,"cross.bred","pure.bred.exotic")),"NA")</f>
        <v>NA</v>
      </c>
      <c r="M1024" t="str">
        <f>IF(J1024="Sheep",IF(COUNTIF(lists!$H$2:$H$258, K1024) &gt; 0,"indigenous",IF(COUNTIF(lists!$G$2:$G$258, K1024) &gt; 0,"cross.bred","not found")),"NA")</f>
        <v>not found</v>
      </c>
      <c r="N1024" t="str">
        <f>IF(J1024="Goat",IF(COUNTIF(lists!$J$2:$J$258, K1024) &gt; 0,"indigenous",IF(COUNTIF(lists!$I$2:$I$258, K1024) &gt; 0,"cross.bred","not found")),"NA")</f>
        <v>NA</v>
      </c>
      <c r="O1024" s="9" t="s">
        <v>109</v>
      </c>
      <c r="P1024" s="9" t="s">
        <v>187</v>
      </c>
      <c r="S1024" s="9" t="s">
        <v>106</v>
      </c>
      <c r="T1024" s="9" t="s">
        <v>106</v>
      </c>
      <c r="U1024" s="9" t="s">
        <v>106</v>
      </c>
      <c r="V1024" s="9" t="s">
        <v>106</v>
      </c>
      <c r="W1024" s="9" t="s">
        <v>106</v>
      </c>
      <c r="X1024" s="9" t="s">
        <v>106</v>
      </c>
      <c r="Y1024" s="9">
        <v>70</v>
      </c>
      <c r="Z1024" s="37"/>
      <c r="AA1024" s="37"/>
      <c r="AB1024" s="37"/>
      <c r="AE1024"/>
    </row>
    <row r="1025" spans="1:31" hidden="1">
      <c r="A1025" s="9" t="s">
        <v>540</v>
      </c>
      <c r="B1025" s="9" t="s">
        <v>544</v>
      </c>
      <c r="C1025" s="9" t="s">
        <v>105</v>
      </c>
      <c r="D1025" s="9">
        <v>0.82399999999999995</v>
      </c>
      <c r="E1025" s="9">
        <v>7.58</v>
      </c>
      <c r="F1025" s="9" t="s">
        <v>106</v>
      </c>
      <c r="G1025" s="9" t="s">
        <v>106</v>
      </c>
      <c r="H1025" s="9" t="s">
        <v>106</v>
      </c>
      <c r="J1025" s="9" t="s">
        <v>107</v>
      </c>
      <c r="K1025" s="9" t="s">
        <v>542</v>
      </c>
      <c r="L1025" t="str">
        <f>IF(OR(J1025="Cattle",J1025="Zebu Cattle"),IF(COUNTIF(lists!$M$2:$M$258, K1025) &gt; 0,"bos.indicus",IF(COUNTIF(lists!$L$2:$L$258, K1025) &gt; 0,"cross.bred","pure.bred.exotic")),"NA")</f>
        <v>NA</v>
      </c>
      <c r="M1025" t="str">
        <f>IF(J1025="Sheep",IF(COUNTIF(lists!$H$2:$H$258, K1025) &gt; 0,"indigenous",IF(COUNTIF(lists!$G$2:$G$258, K1025) &gt; 0,"cross.bred","not found")),"NA")</f>
        <v>not found</v>
      </c>
      <c r="N1025" t="str">
        <f>IF(J1025="Goat",IF(COUNTIF(lists!$J$2:$J$258, K1025) &gt; 0,"indigenous",IF(COUNTIF(lists!$I$2:$I$258, K1025) &gt; 0,"cross.bred","not found")),"NA")</f>
        <v>NA</v>
      </c>
      <c r="O1025" s="9" t="s">
        <v>109</v>
      </c>
      <c r="P1025" s="9" t="s">
        <v>187</v>
      </c>
      <c r="S1025" s="9" t="s">
        <v>106</v>
      </c>
      <c r="T1025" s="9" t="s">
        <v>106</v>
      </c>
      <c r="U1025" s="9" t="s">
        <v>106</v>
      </c>
      <c r="V1025" s="9" t="s">
        <v>106</v>
      </c>
      <c r="W1025" s="9" t="s">
        <v>106</v>
      </c>
      <c r="X1025" s="9" t="s">
        <v>106</v>
      </c>
      <c r="Y1025" s="9">
        <v>63.3</v>
      </c>
      <c r="Z1025" s="37"/>
      <c r="AA1025" s="37"/>
      <c r="AB1025" s="37"/>
      <c r="AE1025"/>
    </row>
    <row r="1026" spans="1:31" hidden="1">
      <c r="A1026" s="9" t="s">
        <v>540</v>
      </c>
      <c r="B1026" s="9" t="s">
        <v>545</v>
      </c>
      <c r="C1026" s="9" t="s">
        <v>105</v>
      </c>
      <c r="D1026" s="9">
        <v>0.81899999999999995</v>
      </c>
      <c r="E1026" s="9">
        <v>7.58</v>
      </c>
      <c r="F1026" s="9" t="s">
        <v>106</v>
      </c>
      <c r="G1026" s="9" t="s">
        <v>106</v>
      </c>
      <c r="H1026" s="9" t="s">
        <v>106</v>
      </c>
      <c r="J1026" s="9" t="s">
        <v>107</v>
      </c>
      <c r="K1026" s="9" t="s">
        <v>542</v>
      </c>
      <c r="L1026" t="str">
        <f>IF(OR(J1026="Cattle",J1026="Zebu Cattle"),IF(COUNTIF(lists!$M$2:$M$258, K1026) &gt; 0,"bos.indicus",IF(COUNTIF(lists!$L$2:$L$258, K1026) &gt; 0,"cross.bred","pure.bred.exotic")),"NA")</f>
        <v>NA</v>
      </c>
      <c r="M1026" t="str">
        <f>IF(J1026="Sheep",IF(COUNTIF(lists!$H$2:$H$258, K1026) &gt; 0,"indigenous",IF(COUNTIF(lists!$G$2:$G$258, K1026) &gt; 0,"cross.bred","not found")),"NA")</f>
        <v>not found</v>
      </c>
      <c r="N1026" t="str">
        <f>IF(J1026="Goat",IF(COUNTIF(lists!$J$2:$J$258, K1026) &gt; 0,"indigenous",IF(COUNTIF(lists!$I$2:$I$258, K1026) &gt; 0,"cross.bred","not found")),"NA")</f>
        <v>NA</v>
      </c>
      <c r="O1026" s="9" t="s">
        <v>109</v>
      </c>
      <c r="P1026" s="9" t="s">
        <v>187</v>
      </c>
      <c r="S1026" s="9" t="s">
        <v>106</v>
      </c>
      <c r="T1026" s="9" t="s">
        <v>106</v>
      </c>
      <c r="U1026" s="9" t="s">
        <v>106</v>
      </c>
      <c r="V1026" s="9" t="s">
        <v>106</v>
      </c>
      <c r="W1026" s="9" t="s">
        <v>106</v>
      </c>
      <c r="X1026" s="9" t="s">
        <v>106</v>
      </c>
      <c r="Y1026" s="9">
        <v>63</v>
      </c>
      <c r="Z1026" s="37"/>
      <c r="AA1026" s="37"/>
      <c r="AB1026" s="37"/>
      <c r="AE1026"/>
    </row>
    <row r="1027" spans="1:31" hidden="1">
      <c r="A1027" s="9" t="s">
        <v>553</v>
      </c>
      <c r="B1027" s="9" t="s">
        <v>554</v>
      </c>
      <c r="C1027" s="9" t="s">
        <v>105</v>
      </c>
      <c r="D1027" s="9">
        <v>0.95616000000000001</v>
      </c>
      <c r="E1027" s="9">
        <v>19.401</v>
      </c>
      <c r="F1027" s="9" t="s">
        <v>106</v>
      </c>
      <c r="G1027" s="9" t="s">
        <v>106</v>
      </c>
      <c r="H1027" s="9" t="s">
        <v>106</v>
      </c>
      <c r="J1027" s="9" t="s">
        <v>107</v>
      </c>
      <c r="K1027" s="9" t="s">
        <v>336</v>
      </c>
      <c r="L1027" t="str">
        <f>IF(OR(J1027="Cattle",J1027="Zebu Cattle"),IF(COUNTIF(lists!$M$2:$M$258, K1027) &gt; 0,"bos.indicus",IF(COUNTIF(lists!$L$2:$L$258, K1027) &gt; 0,"cross.bred","pure.bred.exotic")),"NA")</f>
        <v>NA</v>
      </c>
      <c r="M1027" t="str">
        <f>IF(J1027="Sheep",IF(COUNTIF(lists!$H$2:$H$258, K1027) &gt; 0,"indigenous",IF(COUNTIF(lists!$G$2:$G$258, K1027) &gt; 0,"cross.bred","not found")),"NA")</f>
        <v>not found</v>
      </c>
      <c r="N1027" t="str">
        <f>IF(J1027="Goat",IF(COUNTIF(lists!$J$2:$J$258, K1027) &gt; 0,"indigenous",IF(COUNTIF(lists!$I$2:$I$258, K1027) &gt; 0,"cross.bred","not found")),"NA")</f>
        <v>NA</v>
      </c>
      <c r="O1027" s="9" t="s">
        <v>109</v>
      </c>
      <c r="P1027" s="9" t="s">
        <v>187</v>
      </c>
      <c r="S1027" s="9" t="s">
        <v>106</v>
      </c>
      <c r="T1027" s="9" t="s">
        <v>106</v>
      </c>
      <c r="U1027" s="9" t="s">
        <v>106</v>
      </c>
      <c r="V1027" s="9" t="s">
        <v>106</v>
      </c>
      <c r="W1027" s="9" t="s">
        <v>106</v>
      </c>
      <c r="X1027" s="9" t="s">
        <v>106</v>
      </c>
      <c r="Y1027" s="9">
        <v>44.71</v>
      </c>
      <c r="Z1027" s="37"/>
      <c r="AA1027" s="37"/>
      <c r="AB1027" s="37"/>
      <c r="AE1027"/>
    </row>
    <row r="1028" spans="1:31" hidden="1">
      <c r="A1028" s="9" t="s">
        <v>553</v>
      </c>
      <c r="B1028" s="9" t="s">
        <v>555</v>
      </c>
      <c r="C1028" s="9" t="s">
        <v>105</v>
      </c>
      <c r="D1028" s="9">
        <v>0.92540999999999995</v>
      </c>
      <c r="E1028" s="9">
        <v>19.401</v>
      </c>
      <c r="F1028" s="9" t="s">
        <v>106</v>
      </c>
      <c r="G1028" s="9" t="s">
        <v>106</v>
      </c>
      <c r="H1028" s="9" t="s">
        <v>106</v>
      </c>
      <c r="J1028" s="9" t="s">
        <v>107</v>
      </c>
      <c r="K1028" s="9" t="s">
        <v>336</v>
      </c>
      <c r="L1028" t="str">
        <f>IF(OR(J1028="Cattle",J1028="Zebu Cattle"),IF(COUNTIF(lists!$M$2:$M$258, K1028) &gt; 0,"bos.indicus",IF(COUNTIF(lists!$L$2:$L$258, K1028) &gt; 0,"cross.bred","pure.bred.exotic")),"NA")</f>
        <v>NA</v>
      </c>
      <c r="M1028" t="str">
        <f>IF(J1028="Sheep",IF(COUNTIF(lists!$H$2:$H$258, K1028) &gt; 0,"indigenous",IF(COUNTIF(lists!$G$2:$G$258, K1028) &gt; 0,"cross.bred","not found")),"NA")</f>
        <v>not found</v>
      </c>
      <c r="N1028" t="str">
        <f>IF(J1028="Goat",IF(COUNTIF(lists!$J$2:$J$258, K1028) &gt; 0,"indigenous",IF(COUNTIF(lists!$I$2:$I$258, K1028) &gt; 0,"cross.bred","not found")),"NA")</f>
        <v>NA</v>
      </c>
      <c r="O1028" s="9" t="s">
        <v>109</v>
      </c>
      <c r="P1028" s="9" t="s">
        <v>187</v>
      </c>
      <c r="S1028" s="9" t="s">
        <v>106</v>
      </c>
      <c r="T1028" s="9" t="s">
        <v>106</v>
      </c>
      <c r="U1028" s="9" t="s">
        <v>106</v>
      </c>
      <c r="V1028" s="9" t="s">
        <v>106</v>
      </c>
      <c r="W1028" s="9" t="s">
        <v>106</v>
      </c>
      <c r="X1028" s="9" t="s">
        <v>106</v>
      </c>
      <c r="Y1028" s="9">
        <v>49.15</v>
      </c>
      <c r="Z1028" s="37"/>
      <c r="AA1028" s="37"/>
      <c r="AB1028" s="37"/>
      <c r="AE1028"/>
    </row>
    <row r="1029" spans="1:31" hidden="1">
      <c r="A1029" s="9" t="s">
        <v>553</v>
      </c>
      <c r="B1029" s="9" t="s">
        <v>556</v>
      </c>
      <c r="C1029" s="9" t="s">
        <v>105</v>
      </c>
      <c r="D1029" s="9">
        <v>1.07813</v>
      </c>
      <c r="E1029" s="9">
        <v>19.401</v>
      </c>
      <c r="F1029" s="9" t="s">
        <v>106</v>
      </c>
      <c r="G1029" s="9" t="s">
        <v>106</v>
      </c>
      <c r="H1029" s="9" t="s">
        <v>106</v>
      </c>
      <c r="J1029" s="9" t="s">
        <v>107</v>
      </c>
      <c r="K1029" s="9" t="s">
        <v>336</v>
      </c>
      <c r="L1029" t="str">
        <f>IF(OR(J1029="Cattle",J1029="Zebu Cattle"),IF(COUNTIF(lists!$M$2:$M$258, K1029) &gt; 0,"bos.indicus",IF(COUNTIF(lists!$L$2:$L$258, K1029) &gt; 0,"cross.bred","pure.bred.exotic")),"NA")</f>
        <v>NA</v>
      </c>
      <c r="M1029" t="str">
        <f>IF(J1029="Sheep",IF(COUNTIF(lists!$H$2:$H$258, K1029) &gt; 0,"indigenous",IF(COUNTIF(lists!$G$2:$G$258, K1029) &gt; 0,"cross.bred","not found")),"NA")</f>
        <v>not found</v>
      </c>
      <c r="N1029" t="str">
        <f>IF(J1029="Goat",IF(COUNTIF(lists!$J$2:$J$258, K1029) &gt; 0,"indigenous",IF(COUNTIF(lists!$I$2:$I$258, K1029) &gt; 0,"cross.bred","not found")),"NA")</f>
        <v>NA</v>
      </c>
      <c r="O1029" s="9" t="s">
        <v>109</v>
      </c>
      <c r="P1029" s="9" t="s">
        <v>187</v>
      </c>
      <c r="S1029" s="9" t="s">
        <v>106</v>
      </c>
      <c r="T1029" s="9" t="s">
        <v>106</v>
      </c>
      <c r="U1029" s="9" t="s">
        <v>106</v>
      </c>
      <c r="V1029" s="9" t="s">
        <v>106</v>
      </c>
      <c r="W1029" s="9" t="s">
        <v>106</v>
      </c>
      <c r="X1029" s="9" t="s">
        <v>106</v>
      </c>
      <c r="Y1029" s="9">
        <v>55.25</v>
      </c>
      <c r="Z1029" s="37"/>
      <c r="AA1029" s="37"/>
      <c r="AB1029" s="37"/>
      <c r="AE1029"/>
    </row>
    <row r="1030" spans="1:31" hidden="1">
      <c r="A1030" s="9" t="s">
        <v>553</v>
      </c>
      <c r="B1030" s="9" t="s">
        <v>455</v>
      </c>
      <c r="C1030" s="9" t="s">
        <v>105</v>
      </c>
      <c r="D1030" s="9">
        <v>1.0156499999999999</v>
      </c>
      <c r="E1030" s="9">
        <v>19.401</v>
      </c>
      <c r="F1030" s="9" t="s">
        <v>106</v>
      </c>
      <c r="G1030" s="9" t="s">
        <v>106</v>
      </c>
      <c r="H1030" s="9" t="s">
        <v>106</v>
      </c>
      <c r="J1030" s="9" t="s">
        <v>107</v>
      </c>
      <c r="K1030" s="9" t="s">
        <v>336</v>
      </c>
      <c r="L1030" t="str">
        <f>IF(OR(J1030="Cattle",J1030="Zebu Cattle"),IF(COUNTIF(lists!$M$2:$M$258, K1030) &gt; 0,"bos.indicus",IF(COUNTIF(lists!$L$2:$L$258, K1030) &gt; 0,"cross.bred","pure.bred.exotic")),"NA")</f>
        <v>NA</v>
      </c>
      <c r="M1030" t="str">
        <f>IF(J1030="Sheep",IF(COUNTIF(lists!$H$2:$H$258, K1030) &gt; 0,"indigenous",IF(COUNTIF(lists!$G$2:$G$258, K1030) &gt; 0,"cross.bred","not found")),"NA")</f>
        <v>not found</v>
      </c>
      <c r="N1030" t="str">
        <f>IF(J1030="Goat",IF(COUNTIF(lists!$J$2:$J$258, K1030) &gt; 0,"indigenous",IF(COUNTIF(lists!$I$2:$I$258, K1030) &gt; 0,"cross.bred","not found")),"NA")</f>
        <v>NA</v>
      </c>
      <c r="O1030" s="9" t="s">
        <v>109</v>
      </c>
      <c r="P1030" s="9" t="s">
        <v>187</v>
      </c>
      <c r="S1030" s="9" t="s">
        <v>106</v>
      </c>
      <c r="T1030" s="9" t="s">
        <v>106</v>
      </c>
      <c r="U1030" s="9" t="s">
        <v>106</v>
      </c>
      <c r="V1030" s="9" t="s">
        <v>106</v>
      </c>
      <c r="W1030" s="9" t="s">
        <v>106</v>
      </c>
      <c r="X1030" s="9" t="s">
        <v>106</v>
      </c>
      <c r="Y1030" s="9">
        <v>46.6</v>
      </c>
      <c r="Z1030" s="37"/>
      <c r="AA1030" s="37"/>
      <c r="AB1030" s="37"/>
      <c r="AE1030"/>
    </row>
    <row r="1031" spans="1:31" hidden="1">
      <c r="A1031" s="9" t="s">
        <v>557</v>
      </c>
      <c r="B1031" s="9" t="s">
        <v>558</v>
      </c>
      <c r="C1031" s="9" t="s">
        <v>105</v>
      </c>
      <c r="D1031" s="9">
        <v>0.72499999999999998</v>
      </c>
      <c r="E1031" s="9">
        <v>6.6</v>
      </c>
      <c r="F1031" s="9" t="s">
        <v>106</v>
      </c>
      <c r="G1031" s="9" t="s">
        <v>106</v>
      </c>
      <c r="H1031" s="9" t="s">
        <v>106</v>
      </c>
      <c r="J1031" s="9" t="s">
        <v>107</v>
      </c>
      <c r="K1031" s="9" t="s">
        <v>144</v>
      </c>
      <c r="L1031" t="str">
        <f>IF(OR(J1031="Cattle",J1031="Zebu Cattle"),IF(COUNTIF(lists!$M$2:$M$258, K1031) &gt; 0,"bos.indicus",IF(COUNTIF(lists!$L$2:$L$258, K1031) &gt; 0,"cross.bred","pure.bred.exotic")),"NA")</f>
        <v>NA</v>
      </c>
      <c r="M1031" t="str">
        <f>IF(J1031="Sheep",IF(COUNTIF(lists!$H$2:$H$258, K1031) &gt; 0,"indigenous",IF(COUNTIF(lists!$G$2:$G$258, K1031) &gt; 0,"cross.bred","not found")),"NA")</f>
        <v>not found</v>
      </c>
      <c r="N1031" t="str">
        <f>IF(J1031="Goat",IF(COUNTIF(lists!$J$2:$J$258, K1031) &gt; 0,"indigenous",IF(COUNTIF(lists!$I$2:$I$258, K1031) &gt; 0,"cross.bred","not found")),"NA")</f>
        <v>NA</v>
      </c>
      <c r="O1031" s="9" t="s">
        <v>109</v>
      </c>
      <c r="P1031" s="9" t="s">
        <v>187</v>
      </c>
      <c r="S1031" s="9" t="s">
        <v>106</v>
      </c>
      <c r="T1031" s="9" t="s">
        <v>106</v>
      </c>
      <c r="U1031" s="9" t="s">
        <v>106</v>
      </c>
      <c r="V1031" s="9" t="s">
        <v>106</v>
      </c>
      <c r="W1031" s="9" t="s">
        <v>106</v>
      </c>
      <c r="X1031" s="9" t="s">
        <v>106</v>
      </c>
      <c r="Y1031" s="9">
        <v>58.04</v>
      </c>
      <c r="Z1031" s="37"/>
      <c r="AA1031" s="37"/>
      <c r="AB1031" s="37"/>
      <c r="AE1031"/>
    </row>
    <row r="1032" spans="1:31" hidden="1">
      <c r="A1032" s="9" t="s">
        <v>557</v>
      </c>
      <c r="B1032" s="9" t="s">
        <v>559</v>
      </c>
      <c r="C1032" s="9" t="s">
        <v>105</v>
      </c>
      <c r="D1032" s="9">
        <v>0.84719999999999995</v>
      </c>
      <c r="E1032" s="9">
        <v>6.6</v>
      </c>
      <c r="F1032" s="9" t="s">
        <v>106</v>
      </c>
      <c r="G1032" s="9" t="s">
        <v>106</v>
      </c>
      <c r="H1032" s="9" t="s">
        <v>106</v>
      </c>
      <c r="J1032" s="9" t="s">
        <v>107</v>
      </c>
      <c r="K1032" s="9" t="s">
        <v>144</v>
      </c>
      <c r="L1032" t="str">
        <f>IF(OR(J1032="Cattle",J1032="Zebu Cattle"),IF(COUNTIF(lists!$M$2:$M$258, K1032) &gt; 0,"bos.indicus",IF(COUNTIF(lists!$L$2:$L$258, K1032) &gt; 0,"cross.bred","pure.bred.exotic")),"NA")</f>
        <v>NA</v>
      </c>
      <c r="M1032" t="str">
        <f>IF(J1032="Sheep",IF(COUNTIF(lists!$H$2:$H$258, K1032) &gt; 0,"indigenous",IF(COUNTIF(lists!$G$2:$G$258, K1032) &gt; 0,"cross.bred","not found")),"NA")</f>
        <v>not found</v>
      </c>
      <c r="N1032" t="str">
        <f>IF(J1032="Goat",IF(COUNTIF(lists!$J$2:$J$258, K1032) &gt; 0,"indigenous",IF(COUNTIF(lists!$I$2:$I$258, K1032) &gt; 0,"cross.bred","not found")),"NA")</f>
        <v>NA</v>
      </c>
      <c r="O1032" s="9" t="s">
        <v>109</v>
      </c>
      <c r="P1032" s="9" t="s">
        <v>187</v>
      </c>
      <c r="S1032" s="9" t="s">
        <v>106</v>
      </c>
      <c r="T1032" s="9" t="s">
        <v>106</v>
      </c>
      <c r="U1032" s="9" t="s">
        <v>106</v>
      </c>
      <c r="V1032" s="9" t="s">
        <v>106</v>
      </c>
      <c r="W1032" s="9" t="s">
        <v>106</v>
      </c>
      <c r="X1032" s="9" t="s">
        <v>106</v>
      </c>
      <c r="Y1032" s="9">
        <v>71.23</v>
      </c>
      <c r="Z1032" s="37"/>
      <c r="AA1032" s="37"/>
      <c r="AB1032" s="37"/>
      <c r="AE1032"/>
    </row>
    <row r="1033" spans="1:31" hidden="1">
      <c r="A1033" s="9" t="s">
        <v>557</v>
      </c>
      <c r="B1033" s="9" t="s">
        <v>560</v>
      </c>
      <c r="C1033" s="9" t="s">
        <v>105</v>
      </c>
      <c r="D1033" s="9">
        <v>0.94140000000000001</v>
      </c>
      <c r="E1033" s="9">
        <v>6.6</v>
      </c>
      <c r="F1033" s="9" t="s">
        <v>106</v>
      </c>
      <c r="G1033" s="9" t="s">
        <v>106</v>
      </c>
      <c r="H1033" s="9" t="s">
        <v>106</v>
      </c>
      <c r="J1033" s="9" t="s">
        <v>107</v>
      </c>
      <c r="K1033" s="9" t="s">
        <v>144</v>
      </c>
      <c r="L1033" t="str">
        <f>IF(OR(J1033="Cattle",J1033="Zebu Cattle"),IF(COUNTIF(lists!$M$2:$M$258, K1033) &gt; 0,"bos.indicus",IF(COUNTIF(lists!$L$2:$L$258, K1033) &gt; 0,"cross.bred","pure.bred.exotic")),"NA")</f>
        <v>NA</v>
      </c>
      <c r="M1033" t="str">
        <f>IF(J1033="Sheep",IF(COUNTIF(lists!$H$2:$H$258, K1033) &gt; 0,"indigenous",IF(COUNTIF(lists!$G$2:$G$258, K1033) &gt; 0,"cross.bred","not found")),"NA")</f>
        <v>not found</v>
      </c>
      <c r="N1033" t="str">
        <f>IF(J1033="Goat",IF(COUNTIF(lists!$J$2:$J$258, K1033) &gt; 0,"indigenous",IF(COUNTIF(lists!$I$2:$I$258, K1033) &gt; 0,"cross.bred","not found")),"NA")</f>
        <v>NA</v>
      </c>
      <c r="O1033" s="9" t="s">
        <v>109</v>
      </c>
      <c r="P1033" s="9" t="s">
        <v>187</v>
      </c>
      <c r="S1033" s="9" t="s">
        <v>106</v>
      </c>
      <c r="T1033" s="9" t="s">
        <v>106</v>
      </c>
      <c r="U1033" s="9" t="s">
        <v>106</v>
      </c>
      <c r="V1033" s="9" t="s">
        <v>106</v>
      </c>
      <c r="W1033" s="9" t="s">
        <v>106</v>
      </c>
      <c r="X1033" s="9" t="s">
        <v>106</v>
      </c>
      <c r="Y1033" s="9">
        <v>68.05</v>
      </c>
      <c r="Z1033" s="37"/>
      <c r="AA1033" s="37"/>
      <c r="AB1033" s="37"/>
      <c r="AE1033"/>
    </row>
    <row r="1034" spans="1:31" hidden="1">
      <c r="A1034" s="9" t="s">
        <v>557</v>
      </c>
      <c r="B1034" s="9" t="s">
        <v>561</v>
      </c>
      <c r="C1034" s="9" t="s">
        <v>105</v>
      </c>
      <c r="D1034" s="9">
        <v>1.0530999999999999</v>
      </c>
      <c r="E1034" s="9">
        <v>6.6</v>
      </c>
      <c r="F1034" s="9" t="s">
        <v>106</v>
      </c>
      <c r="G1034" s="9" t="s">
        <v>106</v>
      </c>
      <c r="H1034" s="9" t="s">
        <v>106</v>
      </c>
      <c r="J1034" s="9" t="s">
        <v>107</v>
      </c>
      <c r="K1034" s="9" t="s">
        <v>144</v>
      </c>
      <c r="L1034" t="str">
        <f>IF(OR(J1034="Cattle",J1034="Zebu Cattle"),IF(COUNTIF(lists!$M$2:$M$258, K1034) &gt; 0,"bos.indicus",IF(COUNTIF(lists!$L$2:$L$258, K1034) &gt; 0,"cross.bred","pure.bred.exotic")),"NA")</f>
        <v>NA</v>
      </c>
      <c r="M1034" t="str">
        <f>IF(J1034="Sheep",IF(COUNTIF(lists!$H$2:$H$258, K1034) &gt; 0,"indigenous",IF(COUNTIF(lists!$G$2:$G$258, K1034) &gt; 0,"cross.bred","not found")),"NA")</f>
        <v>not found</v>
      </c>
      <c r="N1034" t="str">
        <f>IF(J1034="Goat",IF(COUNTIF(lists!$J$2:$J$258, K1034) &gt; 0,"indigenous",IF(COUNTIF(lists!$I$2:$I$258, K1034) &gt; 0,"cross.bred","not found")),"NA")</f>
        <v>NA</v>
      </c>
      <c r="O1034" s="9" t="s">
        <v>109</v>
      </c>
      <c r="P1034" s="9" t="s">
        <v>187</v>
      </c>
      <c r="S1034" s="9" t="s">
        <v>106</v>
      </c>
      <c r="T1034" s="9" t="s">
        <v>106</v>
      </c>
      <c r="U1034" s="9" t="s">
        <v>106</v>
      </c>
      <c r="V1034" s="9" t="s">
        <v>106</v>
      </c>
      <c r="W1034" s="9" t="s">
        <v>106</v>
      </c>
      <c r="X1034" s="9" t="s">
        <v>106</v>
      </c>
      <c r="Y1034" s="9">
        <v>70.58</v>
      </c>
      <c r="Z1034" s="37"/>
      <c r="AA1034" s="37"/>
      <c r="AB1034" s="37"/>
      <c r="AE1034"/>
    </row>
    <row r="1035" spans="1:31" hidden="1">
      <c r="A1035" s="9" t="s">
        <v>577</v>
      </c>
      <c r="B1035" s="9" t="s">
        <v>578</v>
      </c>
      <c r="C1035" s="9" t="s">
        <v>105</v>
      </c>
      <c r="D1035" s="9">
        <v>1.3435699999999999</v>
      </c>
      <c r="E1035" s="9" t="s">
        <v>106</v>
      </c>
      <c r="F1035" s="9" t="s">
        <v>106</v>
      </c>
      <c r="G1035" s="9" t="s">
        <v>106</v>
      </c>
      <c r="H1035" s="9" t="s">
        <v>106</v>
      </c>
      <c r="J1035" s="9" t="s">
        <v>107</v>
      </c>
      <c r="K1035" s="9" t="s">
        <v>537</v>
      </c>
      <c r="L1035" t="str">
        <f>IF(OR(J1035="Cattle",J1035="Zebu Cattle"),IF(COUNTIF(lists!$M$2:$M$258, K1035) &gt; 0,"bos.indicus",IF(COUNTIF(lists!$L$2:$L$258, K1035) &gt; 0,"cross.bred","pure.bred.exotic")),"NA")</f>
        <v>NA</v>
      </c>
      <c r="M1035" t="str">
        <f>IF(J1035="Sheep",IF(COUNTIF(lists!$H$2:$H$258, K1035) &gt; 0,"indigenous",IF(COUNTIF(lists!$G$2:$G$258, K1035) &gt; 0,"cross.bred","not found")),"NA")</f>
        <v>not found</v>
      </c>
      <c r="N1035" t="str">
        <f>IF(J1035="Goat",IF(COUNTIF(lists!$J$2:$J$258, K1035) &gt; 0,"indigenous",IF(COUNTIF(lists!$I$2:$I$258, K1035) &gt; 0,"cross.bred","not found")),"NA")</f>
        <v>NA</v>
      </c>
      <c r="O1035" s="9" t="s">
        <v>109</v>
      </c>
      <c r="P1035" s="9" t="s">
        <v>110</v>
      </c>
      <c r="S1035" s="9" t="s">
        <v>106</v>
      </c>
      <c r="T1035" s="9" t="s">
        <v>106</v>
      </c>
      <c r="U1035" s="9" t="s">
        <v>106</v>
      </c>
      <c r="V1035" s="9" t="s">
        <v>106</v>
      </c>
      <c r="W1035" s="9" t="s">
        <v>106</v>
      </c>
      <c r="X1035" s="9" t="s">
        <v>106</v>
      </c>
      <c r="Y1035" s="9" t="s">
        <v>106</v>
      </c>
      <c r="Z1035" s="37"/>
      <c r="AA1035" s="37"/>
      <c r="AB1035" s="37"/>
      <c r="AE1035"/>
    </row>
    <row r="1036" spans="1:31" hidden="1">
      <c r="A1036" s="9" t="s">
        <v>577</v>
      </c>
      <c r="B1036" s="9" t="s">
        <v>579</v>
      </c>
      <c r="C1036" s="9" t="s">
        <v>105</v>
      </c>
      <c r="D1036" s="9">
        <v>1.4048499999999999</v>
      </c>
      <c r="E1036" s="9" t="s">
        <v>106</v>
      </c>
      <c r="F1036" s="9" t="s">
        <v>106</v>
      </c>
      <c r="G1036" s="9" t="s">
        <v>106</v>
      </c>
      <c r="H1036" s="9" t="s">
        <v>106</v>
      </c>
      <c r="J1036" s="9" t="s">
        <v>107</v>
      </c>
      <c r="K1036" s="9" t="s">
        <v>537</v>
      </c>
      <c r="L1036" t="str">
        <f>IF(OR(J1036="Cattle",J1036="Zebu Cattle"),IF(COUNTIF(lists!$M$2:$M$258, K1036) &gt; 0,"bos.indicus",IF(COUNTIF(lists!$L$2:$L$258, K1036) &gt; 0,"cross.bred","pure.bred.exotic")),"NA")</f>
        <v>NA</v>
      </c>
      <c r="M1036" t="str">
        <f>IF(J1036="Sheep",IF(COUNTIF(lists!$H$2:$H$258, K1036) &gt; 0,"indigenous",IF(COUNTIF(lists!$G$2:$G$258, K1036) &gt; 0,"cross.bred","not found")),"NA")</f>
        <v>not found</v>
      </c>
      <c r="N1036" t="str">
        <f>IF(J1036="Goat",IF(COUNTIF(lists!$J$2:$J$258, K1036) &gt; 0,"indigenous",IF(COUNTIF(lists!$I$2:$I$258, K1036) &gt; 0,"cross.bred","not found")),"NA")</f>
        <v>NA</v>
      </c>
      <c r="O1036" s="9" t="s">
        <v>109</v>
      </c>
      <c r="P1036" s="9" t="s">
        <v>110</v>
      </c>
      <c r="S1036" s="9" t="s">
        <v>106</v>
      </c>
      <c r="T1036" s="9" t="s">
        <v>106</v>
      </c>
      <c r="U1036" s="9" t="s">
        <v>106</v>
      </c>
      <c r="V1036" s="9" t="s">
        <v>106</v>
      </c>
      <c r="W1036" s="9" t="s">
        <v>106</v>
      </c>
      <c r="X1036" s="9" t="s">
        <v>106</v>
      </c>
      <c r="Y1036" s="9" t="s">
        <v>106</v>
      </c>
      <c r="Z1036" s="37"/>
      <c r="AA1036" s="37"/>
      <c r="AB1036" s="37"/>
      <c r="AE1036"/>
    </row>
    <row r="1037" spans="1:31" hidden="1">
      <c r="A1037" s="9" t="s">
        <v>577</v>
      </c>
      <c r="B1037" s="9" t="s">
        <v>580</v>
      </c>
      <c r="C1037" s="9" t="s">
        <v>105</v>
      </c>
      <c r="D1037" s="9">
        <v>1.4581999999999999</v>
      </c>
      <c r="E1037" s="9" t="s">
        <v>106</v>
      </c>
      <c r="F1037" s="9" t="s">
        <v>106</v>
      </c>
      <c r="G1037" s="9" t="s">
        <v>106</v>
      </c>
      <c r="H1037" s="9" t="s">
        <v>106</v>
      </c>
      <c r="J1037" s="9" t="s">
        <v>107</v>
      </c>
      <c r="K1037" s="9" t="s">
        <v>537</v>
      </c>
      <c r="L1037" t="str">
        <f>IF(OR(J1037="Cattle",J1037="Zebu Cattle"),IF(COUNTIF(lists!$M$2:$M$258, K1037) &gt; 0,"bos.indicus",IF(COUNTIF(lists!$L$2:$L$258, K1037) &gt; 0,"cross.bred","pure.bred.exotic")),"NA")</f>
        <v>NA</v>
      </c>
      <c r="M1037" t="str">
        <f>IF(J1037="Sheep",IF(COUNTIF(lists!$H$2:$H$258, K1037) &gt; 0,"indigenous",IF(COUNTIF(lists!$G$2:$G$258, K1037) &gt; 0,"cross.bred","not found")),"NA")</f>
        <v>not found</v>
      </c>
      <c r="N1037" t="str">
        <f>IF(J1037="Goat",IF(COUNTIF(lists!$J$2:$J$258, K1037) &gt; 0,"indigenous",IF(COUNTIF(lists!$I$2:$I$258, K1037) &gt; 0,"cross.bred","not found")),"NA")</f>
        <v>NA</v>
      </c>
      <c r="O1037" s="9" t="s">
        <v>109</v>
      </c>
      <c r="P1037" s="9" t="s">
        <v>110</v>
      </c>
      <c r="S1037" s="9" t="s">
        <v>106</v>
      </c>
      <c r="T1037" s="9" t="s">
        <v>106</v>
      </c>
      <c r="U1037" s="9" t="s">
        <v>106</v>
      </c>
      <c r="V1037" s="9" t="s">
        <v>106</v>
      </c>
      <c r="W1037" s="9" t="s">
        <v>106</v>
      </c>
      <c r="X1037" s="9" t="s">
        <v>106</v>
      </c>
      <c r="Y1037" s="9" t="s">
        <v>106</v>
      </c>
      <c r="Z1037" s="37"/>
      <c r="AA1037" s="37"/>
      <c r="AB1037" s="37"/>
      <c r="AE1037"/>
    </row>
    <row r="1038" spans="1:31" hidden="1">
      <c r="A1038" s="9" t="s">
        <v>577</v>
      </c>
      <c r="B1038" s="9" t="s">
        <v>581</v>
      </c>
      <c r="C1038" s="9" t="s">
        <v>105</v>
      </c>
      <c r="D1038" s="9">
        <v>1.4661599999999999</v>
      </c>
      <c r="E1038" s="9" t="s">
        <v>106</v>
      </c>
      <c r="F1038" s="9" t="s">
        <v>106</v>
      </c>
      <c r="G1038" s="9" t="s">
        <v>106</v>
      </c>
      <c r="H1038" s="9" t="s">
        <v>106</v>
      </c>
      <c r="J1038" s="9" t="s">
        <v>107</v>
      </c>
      <c r="K1038" s="9" t="s">
        <v>537</v>
      </c>
      <c r="L1038" t="str">
        <f>IF(OR(J1038="Cattle",J1038="Zebu Cattle"),IF(COUNTIF(lists!$M$2:$M$258, K1038) &gt; 0,"bos.indicus",IF(COUNTIF(lists!$L$2:$L$258, K1038) &gt; 0,"cross.bred","pure.bred.exotic")),"NA")</f>
        <v>NA</v>
      </c>
      <c r="M1038" t="str">
        <f>IF(J1038="Sheep",IF(COUNTIF(lists!$H$2:$H$258, K1038) &gt; 0,"indigenous",IF(COUNTIF(lists!$G$2:$G$258, K1038) &gt; 0,"cross.bred","not found")),"NA")</f>
        <v>not found</v>
      </c>
      <c r="N1038" t="str">
        <f>IF(J1038="Goat",IF(COUNTIF(lists!$J$2:$J$258, K1038) &gt; 0,"indigenous",IF(COUNTIF(lists!$I$2:$I$258, K1038) &gt; 0,"cross.bred","not found")),"NA")</f>
        <v>NA</v>
      </c>
      <c r="O1038" s="9" t="s">
        <v>109</v>
      </c>
      <c r="P1038" s="9" t="s">
        <v>110</v>
      </c>
      <c r="S1038" s="9" t="s">
        <v>106</v>
      </c>
      <c r="T1038" s="9" t="s">
        <v>106</v>
      </c>
      <c r="U1038" s="9" t="s">
        <v>106</v>
      </c>
      <c r="V1038" s="9" t="s">
        <v>106</v>
      </c>
      <c r="W1038" s="9" t="s">
        <v>106</v>
      </c>
      <c r="X1038" s="9" t="s">
        <v>106</v>
      </c>
      <c r="Y1038" s="9" t="s">
        <v>106</v>
      </c>
      <c r="Z1038" s="37"/>
      <c r="AA1038" s="37"/>
      <c r="AB1038" s="37"/>
      <c r="AE1038"/>
    </row>
    <row r="1039" spans="1:31" hidden="1">
      <c r="A1039" s="9" t="s">
        <v>582</v>
      </c>
      <c r="B1039" s="9" t="s">
        <v>541</v>
      </c>
      <c r="C1039" s="9" t="s">
        <v>105</v>
      </c>
      <c r="D1039" s="9">
        <v>0.76700000000000002</v>
      </c>
      <c r="E1039" s="9">
        <v>2.1</v>
      </c>
      <c r="F1039" s="9" t="s">
        <v>106</v>
      </c>
      <c r="G1039" s="9" t="s">
        <v>106</v>
      </c>
      <c r="H1039" s="9" t="s">
        <v>106</v>
      </c>
      <c r="J1039" s="9" t="s">
        <v>107</v>
      </c>
      <c r="K1039" s="9" t="s">
        <v>336</v>
      </c>
      <c r="L1039" t="str">
        <f>IF(OR(J1039="Cattle",J1039="Zebu Cattle"),IF(COUNTIF(lists!$M$2:$M$258, K1039) &gt; 0,"bos.indicus",IF(COUNTIF(lists!$L$2:$L$258, K1039) &gt; 0,"cross.bred","pure.bred.exotic")),"NA")</f>
        <v>NA</v>
      </c>
      <c r="M1039" t="str">
        <f>IF(J1039="Sheep",IF(COUNTIF(lists!$H$2:$H$258, K1039) &gt; 0,"indigenous",IF(COUNTIF(lists!$G$2:$G$258, K1039) &gt; 0,"cross.bred","not found")),"NA")</f>
        <v>not found</v>
      </c>
      <c r="N1039" t="str">
        <f>IF(J1039="Goat",IF(COUNTIF(lists!$J$2:$J$258, K1039) &gt; 0,"indigenous",IF(COUNTIF(lists!$I$2:$I$258, K1039) &gt; 0,"cross.bred","not found")),"NA")</f>
        <v>NA</v>
      </c>
      <c r="O1039" s="9" t="s">
        <v>109</v>
      </c>
      <c r="P1039" s="9" t="s">
        <v>170</v>
      </c>
      <c r="S1039" s="9" t="s">
        <v>106</v>
      </c>
      <c r="T1039" s="9" t="s">
        <v>106</v>
      </c>
      <c r="U1039" s="9" t="s">
        <v>106</v>
      </c>
      <c r="V1039" s="9" t="s">
        <v>106</v>
      </c>
      <c r="W1039" s="9" t="s">
        <v>106</v>
      </c>
      <c r="X1039" s="9" t="s">
        <v>106</v>
      </c>
      <c r="Y1039" s="9">
        <v>62.6</v>
      </c>
      <c r="Z1039" s="37"/>
      <c r="AA1039" s="37"/>
      <c r="AB1039" s="37"/>
      <c r="AE1039"/>
    </row>
    <row r="1040" spans="1:31" hidden="1">
      <c r="A1040" s="9" t="s">
        <v>582</v>
      </c>
      <c r="B1040" s="9" t="s">
        <v>583</v>
      </c>
      <c r="C1040" s="9" t="s">
        <v>105</v>
      </c>
      <c r="D1040" s="9">
        <v>0.93400000000000005</v>
      </c>
      <c r="E1040" s="9">
        <v>2.1</v>
      </c>
      <c r="F1040" s="9" t="s">
        <v>106</v>
      </c>
      <c r="G1040" s="9" t="s">
        <v>106</v>
      </c>
      <c r="H1040" s="9" t="s">
        <v>106</v>
      </c>
      <c r="J1040" s="9" t="s">
        <v>107</v>
      </c>
      <c r="K1040" s="9" t="s">
        <v>336</v>
      </c>
      <c r="L1040" t="str">
        <f>IF(OR(J1040="Cattle",J1040="Zebu Cattle"),IF(COUNTIF(lists!$M$2:$M$258, K1040) &gt; 0,"bos.indicus",IF(COUNTIF(lists!$L$2:$L$258, K1040) &gt; 0,"cross.bred","pure.bred.exotic")),"NA")</f>
        <v>NA</v>
      </c>
      <c r="M1040" t="str">
        <f>IF(J1040="Sheep",IF(COUNTIF(lists!$H$2:$H$258, K1040) &gt; 0,"indigenous",IF(COUNTIF(lists!$G$2:$G$258, K1040) &gt; 0,"cross.bred","not found")),"NA")</f>
        <v>not found</v>
      </c>
      <c r="N1040" t="str">
        <f>IF(J1040="Goat",IF(COUNTIF(lists!$J$2:$J$258, K1040) &gt; 0,"indigenous",IF(COUNTIF(lists!$I$2:$I$258, K1040) &gt; 0,"cross.bred","not found")),"NA")</f>
        <v>NA</v>
      </c>
      <c r="O1040" s="9" t="s">
        <v>109</v>
      </c>
      <c r="P1040" s="9" t="s">
        <v>170</v>
      </c>
      <c r="S1040" s="9" t="s">
        <v>106</v>
      </c>
      <c r="T1040" s="9" t="s">
        <v>106</v>
      </c>
      <c r="U1040" s="9" t="s">
        <v>106</v>
      </c>
      <c r="V1040" s="9" t="s">
        <v>106</v>
      </c>
      <c r="W1040" s="9" t="s">
        <v>106</v>
      </c>
      <c r="X1040" s="9" t="s">
        <v>106</v>
      </c>
      <c r="Y1040" s="9">
        <v>79.8</v>
      </c>
      <c r="Z1040" s="37"/>
      <c r="AA1040" s="37"/>
      <c r="AB1040" s="37"/>
      <c r="AE1040"/>
    </row>
    <row r="1041" spans="1:31" hidden="1">
      <c r="A1041" s="9" t="s">
        <v>582</v>
      </c>
      <c r="B1041" s="9" t="s">
        <v>584</v>
      </c>
      <c r="C1041" s="9" t="s">
        <v>105</v>
      </c>
      <c r="D1041" s="9">
        <v>0.93700000000000006</v>
      </c>
      <c r="E1041" s="9">
        <v>2.1</v>
      </c>
      <c r="F1041" s="9" t="s">
        <v>106</v>
      </c>
      <c r="G1041" s="9" t="s">
        <v>106</v>
      </c>
      <c r="H1041" s="9" t="s">
        <v>106</v>
      </c>
      <c r="J1041" s="9" t="s">
        <v>107</v>
      </c>
      <c r="K1041" s="9" t="s">
        <v>336</v>
      </c>
      <c r="L1041" t="str">
        <f>IF(OR(J1041="Cattle",J1041="Zebu Cattle"),IF(COUNTIF(lists!$M$2:$M$258, K1041) &gt; 0,"bos.indicus",IF(COUNTIF(lists!$L$2:$L$258, K1041) &gt; 0,"cross.bred","pure.bred.exotic")),"NA")</f>
        <v>NA</v>
      </c>
      <c r="M1041" t="str">
        <f>IF(J1041="Sheep",IF(COUNTIF(lists!$H$2:$H$258, K1041) &gt; 0,"indigenous",IF(COUNTIF(lists!$G$2:$G$258, K1041) &gt; 0,"cross.bred","not found")),"NA")</f>
        <v>not found</v>
      </c>
      <c r="N1041" t="str">
        <f>IF(J1041="Goat",IF(COUNTIF(lists!$J$2:$J$258, K1041) &gt; 0,"indigenous",IF(COUNTIF(lists!$I$2:$I$258, K1041) &gt; 0,"cross.bred","not found")),"NA")</f>
        <v>NA</v>
      </c>
      <c r="O1041" s="9" t="s">
        <v>109</v>
      </c>
      <c r="P1041" s="9" t="s">
        <v>170</v>
      </c>
      <c r="S1041" s="9" t="s">
        <v>106</v>
      </c>
      <c r="T1041" s="9" t="s">
        <v>106</v>
      </c>
      <c r="U1041" s="9" t="s">
        <v>106</v>
      </c>
      <c r="V1041" s="9" t="s">
        <v>106</v>
      </c>
      <c r="W1041" s="9" t="s">
        <v>106</v>
      </c>
      <c r="X1041" s="9" t="s">
        <v>106</v>
      </c>
      <c r="Y1041" s="9">
        <v>80</v>
      </c>
      <c r="Z1041" s="37"/>
      <c r="AA1041" s="37"/>
      <c r="AB1041" s="37"/>
      <c r="AE1041"/>
    </row>
    <row r="1042" spans="1:31" hidden="1">
      <c r="A1042" s="9" t="s">
        <v>582</v>
      </c>
      <c r="B1042" s="9" t="s">
        <v>585</v>
      </c>
      <c r="C1042" s="9" t="s">
        <v>105</v>
      </c>
      <c r="D1042" s="9">
        <v>0.94099999999999995</v>
      </c>
      <c r="E1042" s="9">
        <v>2.1</v>
      </c>
      <c r="F1042" s="9" t="s">
        <v>106</v>
      </c>
      <c r="G1042" s="9" t="s">
        <v>106</v>
      </c>
      <c r="H1042" s="9" t="s">
        <v>106</v>
      </c>
      <c r="J1042" s="9" t="s">
        <v>107</v>
      </c>
      <c r="K1042" s="9" t="s">
        <v>336</v>
      </c>
      <c r="L1042" t="str">
        <f>IF(OR(J1042="Cattle",J1042="Zebu Cattle"),IF(COUNTIF(lists!$M$2:$M$258, K1042) &gt; 0,"bos.indicus",IF(COUNTIF(lists!$L$2:$L$258, K1042) &gt; 0,"cross.bred","pure.bred.exotic")),"NA")</f>
        <v>NA</v>
      </c>
      <c r="M1042" t="str">
        <f>IF(J1042="Sheep",IF(COUNTIF(lists!$H$2:$H$258, K1042) &gt; 0,"indigenous",IF(COUNTIF(lists!$G$2:$G$258, K1042) &gt; 0,"cross.bred","not found")),"NA")</f>
        <v>not found</v>
      </c>
      <c r="N1042" t="str">
        <f>IF(J1042="Goat",IF(COUNTIF(lists!$J$2:$J$258, K1042) &gt; 0,"indigenous",IF(COUNTIF(lists!$I$2:$I$258, K1042) &gt; 0,"cross.bred","not found")),"NA")</f>
        <v>NA</v>
      </c>
      <c r="O1042" s="9" t="s">
        <v>109</v>
      </c>
      <c r="P1042" s="9" t="s">
        <v>170</v>
      </c>
      <c r="S1042" s="9" t="s">
        <v>106</v>
      </c>
      <c r="T1042" s="9" t="s">
        <v>106</v>
      </c>
      <c r="U1042" s="9" t="s">
        <v>106</v>
      </c>
      <c r="V1042" s="9" t="s">
        <v>106</v>
      </c>
      <c r="W1042" s="9" t="s">
        <v>106</v>
      </c>
      <c r="X1042" s="9" t="s">
        <v>106</v>
      </c>
      <c r="Y1042" s="9">
        <v>80.900000000000006</v>
      </c>
      <c r="Z1042" s="37"/>
      <c r="AA1042" s="37"/>
      <c r="AB1042" s="37"/>
      <c r="AE1042"/>
    </row>
    <row r="1043" spans="1:31" hidden="1">
      <c r="A1043" s="9" t="s">
        <v>586</v>
      </c>
      <c r="B1043" s="9" t="s">
        <v>587</v>
      </c>
      <c r="C1043" s="9" t="s">
        <v>105</v>
      </c>
      <c r="D1043" s="9">
        <v>0.73199999999999998</v>
      </c>
      <c r="E1043" s="9">
        <v>8.7100000000000009</v>
      </c>
      <c r="F1043" s="9" t="s">
        <v>106</v>
      </c>
      <c r="G1043" s="9" t="s">
        <v>106</v>
      </c>
      <c r="H1043" s="9" t="s">
        <v>106</v>
      </c>
      <c r="J1043" s="9" t="s">
        <v>107</v>
      </c>
      <c r="K1043" s="9" t="s">
        <v>152</v>
      </c>
      <c r="L1043" t="str">
        <f>IF(OR(J1043="Cattle",J1043="Zebu Cattle"),IF(COUNTIF(lists!$M$2:$M$258, K1043) &gt; 0,"bos.indicus",IF(COUNTIF(lists!$L$2:$L$258, K1043) &gt; 0,"cross.bred","pure.bred.exotic")),"NA")</f>
        <v>NA</v>
      </c>
      <c r="M1043" t="str">
        <f>IF(J1043="Sheep",IF(COUNTIF(lists!$H$2:$H$258, K1043) &gt; 0,"indigenous",IF(COUNTIF(lists!$G$2:$G$258, K1043) &gt; 0,"cross.bred","not found")),"NA")</f>
        <v>not found</v>
      </c>
      <c r="N1043" t="str">
        <f>IF(J1043="Goat",IF(COUNTIF(lists!$J$2:$J$258, K1043) &gt; 0,"indigenous",IF(COUNTIF(lists!$I$2:$I$258, K1043) &gt; 0,"cross.bred","not found")),"NA")</f>
        <v>NA</v>
      </c>
      <c r="O1043" s="9" t="s">
        <v>109</v>
      </c>
      <c r="P1043" s="9" t="s">
        <v>170</v>
      </c>
      <c r="S1043" s="9" t="s">
        <v>106</v>
      </c>
      <c r="T1043" s="9" t="s">
        <v>106</v>
      </c>
      <c r="U1043" s="9" t="s">
        <v>106</v>
      </c>
      <c r="V1043" s="9" t="s">
        <v>106</v>
      </c>
      <c r="W1043" s="9" t="s">
        <v>106</v>
      </c>
      <c r="X1043" s="9" t="s">
        <v>106</v>
      </c>
      <c r="Y1043" s="9">
        <v>64</v>
      </c>
      <c r="Z1043" s="37"/>
      <c r="AA1043" s="37"/>
      <c r="AB1043" s="37"/>
      <c r="AE1043"/>
    </row>
    <row r="1044" spans="1:31" hidden="1">
      <c r="A1044" s="9" t="s">
        <v>586</v>
      </c>
      <c r="B1044" s="9" t="s">
        <v>588</v>
      </c>
      <c r="C1044" s="9" t="s">
        <v>105</v>
      </c>
      <c r="D1044" s="9">
        <v>0.76400000000000001</v>
      </c>
      <c r="E1044" s="9">
        <v>8.7100000000000009</v>
      </c>
      <c r="F1044" s="9" t="s">
        <v>106</v>
      </c>
      <c r="G1044" s="9" t="s">
        <v>106</v>
      </c>
      <c r="H1044" s="9" t="s">
        <v>106</v>
      </c>
      <c r="J1044" s="9" t="s">
        <v>107</v>
      </c>
      <c r="K1044" s="9" t="s">
        <v>152</v>
      </c>
      <c r="L1044" t="str">
        <f>IF(OR(J1044="Cattle",J1044="Zebu Cattle"),IF(COUNTIF(lists!$M$2:$M$258, K1044) &gt; 0,"bos.indicus",IF(COUNTIF(lists!$L$2:$L$258, K1044) &gt; 0,"cross.bred","pure.bred.exotic")),"NA")</f>
        <v>NA</v>
      </c>
      <c r="M1044" t="str">
        <f>IF(J1044="Sheep",IF(COUNTIF(lists!$H$2:$H$258, K1044) &gt; 0,"indigenous",IF(COUNTIF(lists!$G$2:$G$258, K1044) &gt; 0,"cross.bred","not found")),"NA")</f>
        <v>not found</v>
      </c>
      <c r="N1044" t="str">
        <f>IF(J1044="Goat",IF(COUNTIF(lists!$J$2:$J$258, K1044) &gt; 0,"indigenous",IF(COUNTIF(lists!$I$2:$I$258, K1044) &gt; 0,"cross.bred","not found")),"NA")</f>
        <v>NA</v>
      </c>
      <c r="O1044" s="9" t="s">
        <v>109</v>
      </c>
      <c r="P1044" s="9" t="s">
        <v>170</v>
      </c>
      <c r="S1044" s="9" t="s">
        <v>106</v>
      </c>
      <c r="T1044" s="9" t="s">
        <v>106</v>
      </c>
      <c r="U1044" s="9" t="s">
        <v>106</v>
      </c>
      <c r="V1044" s="9" t="s">
        <v>106</v>
      </c>
      <c r="W1044" s="9" t="s">
        <v>106</v>
      </c>
      <c r="X1044" s="9" t="s">
        <v>106</v>
      </c>
      <c r="Y1044" s="9">
        <v>69</v>
      </c>
      <c r="Z1044" s="37"/>
      <c r="AA1044" s="37"/>
      <c r="AB1044" s="37"/>
      <c r="AE1044"/>
    </row>
    <row r="1045" spans="1:31" hidden="1">
      <c r="A1045" s="9" t="s">
        <v>586</v>
      </c>
      <c r="B1045" s="9" t="s">
        <v>589</v>
      </c>
      <c r="C1045" s="9" t="s">
        <v>105</v>
      </c>
      <c r="D1045" s="9">
        <v>0.77400000000000002</v>
      </c>
      <c r="E1045" s="9">
        <v>8.7100000000000009</v>
      </c>
      <c r="F1045" s="9" t="s">
        <v>106</v>
      </c>
      <c r="G1045" s="9" t="s">
        <v>106</v>
      </c>
      <c r="H1045" s="9" t="s">
        <v>106</v>
      </c>
      <c r="J1045" s="9" t="s">
        <v>107</v>
      </c>
      <c r="K1045" s="9" t="s">
        <v>152</v>
      </c>
      <c r="L1045" t="str">
        <f>IF(OR(J1045="Cattle",J1045="Zebu Cattle"),IF(COUNTIF(lists!$M$2:$M$258, K1045) &gt; 0,"bos.indicus",IF(COUNTIF(lists!$L$2:$L$258, K1045) &gt; 0,"cross.bred","pure.bred.exotic")),"NA")</f>
        <v>NA</v>
      </c>
      <c r="M1045" t="str">
        <f>IF(J1045="Sheep",IF(COUNTIF(lists!$H$2:$H$258, K1045) &gt; 0,"indigenous",IF(COUNTIF(lists!$G$2:$G$258, K1045) &gt; 0,"cross.bred","not found")),"NA")</f>
        <v>not found</v>
      </c>
      <c r="N1045" t="str">
        <f>IF(J1045="Goat",IF(COUNTIF(lists!$J$2:$J$258, K1045) &gt; 0,"indigenous",IF(COUNTIF(lists!$I$2:$I$258, K1045) &gt; 0,"cross.bred","not found")),"NA")</f>
        <v>NA</v>
      </c>
      <c r="O1045" s="9" t="s">
        <v>109</v>
      </c>
      <c r="P1045" s="9" t="s">
        <v>170</v>
      </c>
      <c r="S1045" s="9" t="s">
        <v>106</v>
      </c>
      <c r="T1045" s="9" t="s">
        <v>106</v>
      </c>
      <c r="U1045" s="9" t="s">
        <v>106</v>
      </c>
      <c r="V1045" s="9" t="s">
        <v>106</v>
      </c>
      <c r="W1045" s="9" t="s">
        <v>106</v>
      </c>
      <c r="X1045" s="9" t="s">
        <v>106</v>
      </c>
      <c r="Y1045" s="9">
        <v>76</v>
      </c>
      <c r="Z1045" s="37"/>
      <c r="AA1045" s="37"/>
      <c r="AB1045" s="37"/>
      <c r="AE1045"/>
    </row>
    <row r="1046" spans="1:31" hidden="1">
      <c r="A1046" s="9" t="s">
        <v>586</v>
      </c>
      <c r="B1046" s="9" t="s">
        <v>590</v>
      </c>
      <c r="C1046" s="9" t="s">
        <v>105</v>
      </c>
      <c r="D1046" s="9">
        <v>0.80700000000000005</v>
      </c>
      <c r="E1046" s="9">
        <v>8.7100000000000009</v>
      </c>
      <c r="F1046" s="9" t="s">
        <v>106</v>
      </c>
      <c r="G1046" s="9" t="s">
        <v>106</v>
      </c>
      <c r="H1046" s="9" t="s">
        <v>106</v>
      </c>
      <c r="J1046" s="9" t="s">
        <v>107</v>
      </c>
      <c r="K1046" s="9" t="s">
        <v>152</v>
      </c>
      <c r="L1046" t="str">
        <f>IF(OR(J1046="Cattle",J1046="Zebu Cattle"),IF(COUNTIF(lists!$M$2:$M$258, K1046) &gt; 0,"bos.indicus",IF(COUNTIF(lists!$L$2:$L$258, K1046) &gt; 0,"cross.bred","pure.bred.exotic")),"NA")</f>
        <v>NA</v>
      </c>
      <c r="M1046" t="str">
        <f>IF(J1046="Sheep",IF(COUNTIF(lists!$H$2:$H$258, K1046) &gt; 0,"indigenous",IF(COUNTIF(lists!$G$2:$G$258, K1046) &gt; 0,"cross.bred","not found")),"NA")</f>
        <v>not found</v>
      </c>
      <c r="N1046" t="str">
        <f>IF(J1046="Goat",IF(COUNTIF(lists!$J$2:$J$258, K1046) &gt; 0,"indigenous",IF(COUNTIF(lists!$I$2:$I$258, K1046) &gt; 0,"cross.bred","not found")),"NA")</f>
        <v>NA</v>
      </c>
      <c r="O1046" s="9" t="s">
        <v>109</v>
      </c>
      <c r="P1046" s="9" t="s">
        <v>170</v>
      </c>
      <c r="S1046" s="9" t="s">
        <v>106</v>
      </c>
      <c r="T1046" s="9" t="s">
        <v>106</v>
      </c>
      <c r="U1046" s="9" t="s">
        <v>106</v>
      </c>
      <c r="V1046" s="9" t="s">
        <v>106</v>
      </c>
      <c r="W1046" s="9" t="s">
        <v>106</v>
      </c>
      <c r="X1046" s="9" t="s">
        <v>106</v>
      </c>
      <c r="Y1046" s="9">
        <v>77</v>
      </c>
      <c r="Z1046" s="37"/>
      <c r="AA1046" s="37"/>
      <c r="AB1046" s="37"/>
      <c r="AE1046"/>
    </row>
    <row r="1047" spans="1:31" hidden="1">
      <c r="A1047" s="9" t="s">
        <v>586</v>
      </c>
      <c r="B1047" s="9" t="s">
        <v>591</v>
      </c>
      <c r="C1047" s="9" t="s">
        <v>105</v>
      </c>
      <c r="D1047" s="9">
        <v>0.85099999999999998</v>
      </c>
      <c r="E1047" s="9">
        <v>8.7100000000000009</v>
      </c>
      <c r="F1047" s="9" t="s">
        <v>106</v>
      </c>
      <c r="G1047" s="9" t="s">
        <v>106</v>
      </c>
      <c r="H1047" s="9" t="s">
        <v>106</v>
      </c>
      <c r="J1047" s="9" t="s">
        <v>107</v>
      </c>
      <c r="K1047" s="9" t="s">
        <v>152</v>
      </c>
      <c r="L1047" t="str">
        <f>IF(OR(J1047="Cattle",J1047="Zebu Cattle"),IF(COUNTIF(lists!$M$2:$M$258, K1047) &gt; 0,"bos.indicus",IF(COUNTIF(lists!$L$2:$L$258, K1047) &gt; 0,"cross.bred","pure.bred.exotic")),"NA")</f>
        <v>NA</v>
      </c>
      <c r="M1047" t="str">
        <f>IF(J1047="Sheep",IF(COUNTIF(lists!$H$2:$H$258, K1047) &gt; 0,"indigenous",IF(COUNTIF(lists!$G$2:$G$258, K1047) &gt; 0,"cross.bred","not found")),"NA")</f>
        <v>not found</v>
      </c>
      <c r="N1047" t="str">
        <f>IF(J1047="Goat",IF(COUNTIF(lists!$J$2:$J$258, K1047) &gt; 0,"indigenous",IF(COUNTIF(lists!$I$2:$I$258, K1047) &gt; 0,"cross.bred","not found")),"NA")</f>
        <v>NA</v>
      </c>
      <c r="O1047" s="9" t="s">
        <v>109</v>
      </c>
      <c r="P1047" s="9" t="s">
        <v>170</v>
      </c>
      <c r="S1047" s="9" t="s">
        <v>106</v>
      </c>
      <c r="T1047" s="9" t="s">
        <v>106</v>
      </c>
      <c r="U1047" s="9" t="s">
        <v>106</v>
      </c>
      <c r="V1047" s="9" t="s">
        <v>106</v>
      </c>
      <c r="W1047" s="9" t="s">
        <v>106</v>
      </c>
      <c r="X1047" s="9" t="s">
        <v>106</v>
      </c>
      <c r="Y1047" s="9">
        <v>82</v>
      </c>
      <c r="Z1047" s="37"/>
      <c r="AA1047" s="37"/>
      <c r="AB1047" s="37"/>
      <c r="AE1047"/>
    </row>
    <row r="1048" spans="1:31" hidden="1">
      <c r="A1048" s="9" t="s">
        <v>592</v>
      </c>
      <c r="B1048" s="9" t="s">
        <v>593</v>
      </c>
      <c r="C1048" s="9" t="s">
        <v>105</v>
      </c>
      <c r="D1048" s="9">
        <v>10.7875</v>
      </c>
      <c r="E1048" s="9">
        <v>1.04</v>
      </c>
      <c r="F1048" s="9" t="s">
        <v>106</v>
      </c>
      <c r="G1048" s="9" t="s">
        <v>106</v>
      </c>
      <c r="H1048" s="9" t="s">
        <v>106</v>
      </c>
      <c r="J1048" s="9" t="s">
        <v>107</v>
      </c>
      <c r="K1048" s="9" t="s">
        <v>138</v>
      </c>
      <c r="L1048" t="str">
        <f>IF(OR(J1048="Cattle",J1048="Zebu Cattle"),IF(COUNTIF(lists!$M$2:$M$258, K1048) &gt; 0,"bos.indicus",IF(COUNTIF(lists!$L$2:$L$258, K1048) &gt; 0,"cross.bred","pure.bred.exotic")),"NA")</f>
        <v>NA</v>
      </c>
      <c r="M1048" t="str">
        <f>IF(J1048="Sheep",IF(COUNTIF(lists!$H$2:$H$258, K1048) &gt; 0,"indigenous",IF(COUNTIF(lists!$G$2:$G$258, K1048) &gt; 0,"cross.bred","not found")),"NA")</f>
        <v>not found</v>
      </c>
      <c r="N1048" t="str">
        <f>IF(J1048="Goat",IF(COUNTIF(lists!$J$2:$J$258, K1048) &gt; 0,"indigenous",IF(COUNTIF(lists!$I$2:$I$258, K1048) &gt; 0,"cross.bred","not found")),"NA")</f>
        <v>NA</v>
      </c>
      <c r="O1048" s="9" t="s">
        <v>109</v>
      </c>
      <c r="P1048" s="9" t="s">
        <v>170</v>
      </c>
      <c r="S1048" s="9">
        <v>250</v>
      </c>
      <c r="T1048" s="9" t="s">
        <v>106</v>
      </c>
      <c r="U1048" s="9">
        <v>127.2</v>
      </c>
      <c r="V1048" s="9">
        <v>955.7</v>
      </c>
      <c r="W1048" s="9" t="s">
        <v>106</v>
      </c>
      <c r="X1048" s="9">
        <v>478.8</v>
      </c>
      <c r="Y1048" s="9">
        <v>72.83</v>
      </c>
      <c r="Z1048" s="37"/>
      <c r="AA1048" s="37"/>
      <c r="AB1048" s="37"/>
      <c r="AE1048"/>
    </row>
    <row r="1049" spans="1:31" hidden="1">
      <c r="A1049" s="9" t="s">
        <v>592</v>
      </c>
      <c r="B1049" s="9" t="s">
        <v>594</v>
      </c>
      <c r="C1049" s="9" t="s">
        <v>105</v>
      </c>
      <c r="D1049" s="9">
        <v>12.1175</v>
      </c>
      <c r="E1049" s="9">
        <v>1.04</v>
      </c>
      <c r="F1049" s="9" t="s">
        <v>106</v>
      </c>
      <c r="G1049" s="9" t="s">
        <v>106</v>
      </c>
      <c r="H1049" s="9" t="s">
        <v>106</v>
      </c>
      <c r="J1049" s="9" t="s">
        <v>107</v>
      </c>
      <c r="K1049" s="9" t="s">
        <v>138</v>
      </c>
      <c r="L1049" t="str">
        <f>IF(OR(J1049="Cattle",J1049="Zebu Cattle"),IF(COUNTIF(lists!$M$2:$M$258, K1049) &gt; 0,"bos.indicus",IF(COUNTIF(lists!$L$2:$L$258, K1049) &gt; 0,"cross.bred","pure.bred.exotic")),"NA")</f>
        <v>NA</v>
      </c>
      <c r="M1049" t="str">
        <f>IF(J1049="Sheep",IF(COUNTIF(lists!$H$2:$H$258, K1049) &gt; 0,"indigenous",IF(COUNTIF(lists!$G$2:$G$258, K1049) &gt; 0,"cross.bred","not found")),"NA")</f>
        <v>not found</v>
      </c>
      <c r="N1049" t="str">
        <f>IF(J1049="Goat",IF(COUNTIF(lists!$J$2:$J$258, K1049) &gt; 0,"indigenous",IF(COUNTIF(lists!$I$2:$I$258, K1049) &gt; 0,"cross.bred","not found")),"NA")</f>
        <v>NA</v>
      </c>
      <c r="O1049" s="9" t="s">
        <v>109</v>
      </c>
      <c r="P1049" s="9" t="s">
        <v>170</v>
      </c>
      <c r="S1049" s="9">
        <v>241.9</v>
      </c>
      <c r="T1049" s="9" t="s">
        <v>106</v>
      </c>
      <c r="U1049" s="9">
        <v>121.6</v>
      </c>
      <c r="V1049" s="9">
        <v>841.4</v>
      </c>
      <c r="W1049" s="9" t="s">
        <v>106</v>
      </c>
      <c r="X1049" s="9">
        <v>382.7</v>
      </c>
      <c r="Y1049" s="9">
        <v>75.28</v>
      </c>
      <c r="Z1049" s="37"/>
      <c r="AA1049" s="37"/>
      <c r="AB1049" s="37"/>
      <c r="AE1049"/>
    </row>
    <row r="1050" spans="1:31" hidden="1">
      <c r="A1050" s="9" t="s">
        <v>592</v>
      </c>
      <c r="B1050" s="9" t="s">
        <v>595</v>
      </c>
      <c r="C1050" s="9" t="s">
        <v>105</v>
      </c>
      <c r="D1050" s="9">
        <v>9.8450000000000006</v>
      </c>
      <c r="E1050" s="9">
        <v>1.04</v>
      </c>
      <c r="F1050" s="9" t="s">
        <v>106</v>
      </c>
      <c r="G1050" s="9" t="s">
        <v>106</v>
      </c>
      <c r="H1050" s="9" t="s">
        <v>106</v>
      </c>
      <c r="J1050" s="9" t="s">
        <v>107</v>
      </c>
      <c r="K1050" s="9" t="s">
        <v>138</v>
      </c>
      <c r="L1050" t="str">
        <f>IF(OR(J1050="Cattle",J1050="Zebu Cattle"),IF(COUNTIF(lists!$M$2:$M$258, K1050) &gt; 0,"bos.indicus",IF(COUNTIF(lists!$L$2:$L$258, K1050) &gt; 0,"cross.bred","pure.bred.exotic")),"NA")</f>
        <v>NA</v>
      </c>
      <c r="M1050" t="str">
        <f>IF(J1050="Sheep",IF(COUNTIF(lists!$H$2:$H$258, K1050) &gt; 0,"indigenous",IF(COUNTIF(lists!$G$2:$G$258, K1050) &gt; 0,"cross.bred","not found")),"NA")</f>
        <v>not found</v>
      </c>
      <c r="N1050" t="str">
        <f>IF(J1050="Goat",IF(COUNTIF(lists!$J$2:$J$258, K1050) &gt; 0,"indigenous",IF(COUNTIF(lists!$I$2:$I$258, K1050) &gt; 0,"cross.bred","not found")),"NA")</f>
        <v>NA</v>
      </c>
      <c r="O1050" s="9" t="s">
        <v>109</v>
      </c>
      <c r="P1050" s="9" t="s">
        <v>170</v>
      </c>
      <c r="S1050" s="9">
        <v>241.9</v>
      </c>
      <c r="T1050" s="9" t="s">
        <v>106</v>
      </c>
      <c r="U1050" s="9">
        <v>121.6</v>
      </c>
      <c r="V1050" s="9">
        <v>841.4</v>
      </c>
      <c r="W1050" s="9" t="s">
        <v>106</v>
      </c>
      <c r="X1050" s="9">
        <v>382.7</v>
      </c>
      <c r="Y1050" s="9">
        <v>75.3</v>
      </c>
      <c r="Z1050" s="37"/>
      <c r="AA1050" s="37"/>
      <c r="AB1050" s="37"/>
      <c r="AE1050"/>
    </row>
    <row r="1051" spans="1:31" hidden="1">
      <c r="A1051" s="9" t="s">
        <v>592</v>
      </c>
      <c r="B1051" s="9" t="s">
        <v>596</v>
      </c>
      <c r="C1051" s="9" t="s">
        <v>105</v>
      </c>
      <c r="D1051" s="9">
        <v>8.8524999999999991</v>
      </c>
      <c r="E1051" s="9">
        <v>1.04</v>
      </c>
      <c r="F1051" s="9" t="s">
        <v>106</v>
      </c>
      <c r="G1051" s="9" t="s">
        <v>106</v>
      </c>
      <c r="H1051" s="9" t="s">
        <v>106</v>
      </c>
      <c r="J1051" s="9" t="s">
        <v>107</v>
      </c>
      <c r="K1051" s="9" t="s">
        <v>138</v>
      </c>
      <c r="L1051" t="str">
        <f>IF(OR(J1051="Cattle",J1051="Zebu Cattle"),IF(COUNTIF(lists!$M$2:$M$258, K1051) &gt; 0,"bos.indicus",IF(COUNTIF(lists!$L$2:$L$258, K1051) &gt; 0,"cross.bred","pure.bred.exotic")),"NA")</f>
        <v>NA</v>
      </c>
      <c r="M1051" t="str">
        <f>IF(J1051="Sheep",IF(COUNTIF(lists!$H$2:$H$258, K1051) &gt; 0,"indigenous",IF(COUNTIF(lists!$G$2:$G$258, K1051) &gt; 0,"cross.bred","not found")),"NA")</f>
        <v>not found</v>
      </c>
      <c r="N1051" t="str">
        <f>IF(J1051="Goat",IF(COUNTIF(lists!$J$2:$J$258, K1051) &gt; 0,"indigenous",IF(COUNTIF(lists!$I$2:$I$258, K1051) &gt; 0,"cross.bred","not found")),"NA")</f>
        <v>NA</v>
      </c>
      <c r="O1051" s="9" t="s">
        <v>109</v>
      </c>
      <c r="P1051" s="9" t="s">
        <v>170</v>
      </c>
      <c r="S1051" s="9">
        <v>241.9</v>
      </c>
      <c r="T1051" s="9" t="s">
        <v>106</v>
      </c>
      <c r="U1051" s="9">
        <v>121.6</v>
      </c>
      <c r="V1051" s="9">
        <v>841.4</v>
      </c>
      <c r="W1051" s="9" t="s">
        <v>106</v>
      </c>
      <c r="X1051" s="9">
        <v>382.7</v>
      </c>
      <c r="Y1051" s="9">
        <v>67.86</v>
      </c>
      <c r="Z1051" s="37"/>
      <c r="AA1051" s="37"/>
      <c r="AB1051" s="37"/>
      <c r="AE1051"/>
    </row>
    <row r="1052" spans="1:31" hidden="1">
      <c r="A1052" s="9" t="s">
        <v>601</v>
      </c>
      <c r="B1052" s="9" t="s">
        <v>602</v>
      </c>
      <c r="C1052" s="9" t="s">
        <v>105</v>
      </c>
      <c r="D1052" s="9">
        <v>2.31</v>
      </c>
      <c r="E1052" s="9">
        <v>0.04</v>
      </c>
      <c r="F1052" s="9" t="s">
        <v>106</v>
      </c>
      <c r="G1052" s="9" t="s">
        <v>106</v>
      </c>
      <c r="H1052" s="9" t="s">
        <v>106</v>
      </c>
      <c r="J1052" s="9" t="s">
        <v>107</v>
      </c>
      <c r="K1052" s="9" t="s">
        <v>603</v>
      </c>
      <c r="L1052" t="str">
        <f>IF(OR(J1052="Cattle",J1052="Zebu Cattle"),IF(COUNTIF(lists!$M$2:$M$258, K1052) &gt; 0,"bos.indicus",IF(COUNTIF(lists!$L$2:$L$258, K1052) &gt; 0,"cross.bred","pure.bred.exotic")),"NA")</f>
        <v>NA</v>
      </c>
      <c r="M1052" t="str">
        <f>IF(J1052="Sheep",IF(COUNTIF(lists!$H$2:$H$258, K1052) &gt; 0,"indigenous",IF(COUNTIF(lists!$G$2:$G$258, K1052) &gt; 0,"cross.bred","not found")),"NA")</f>
        <v>not found</v>
      </c>
      <c r="N1052" t="str">
        <f>IF(J1052="Goat",IF(COUNTIF(lists!$J$2:$J$258, K1052) &gt; 0,"indigenous",IF(COUNTIF(lists!$I$2:$I$258, K1052) &gt; 0,"cross.bred","not found")),"NA")</f>
        <v>NA</v>
      </c>
      <c r="O1052" s="9" t="s">
        <v>109</v>
      </c>
      <c r="P1052" s="9" t="s">
        <v>170</v>
      </c>
      <c r="S1052" s="9" t="s">
        <v>106</v>
      </c>
      <c r="T1052" s="9" t="s">
        <v>106</v>
      </c>
      <c r="U1052" s="9" t="s">
        <v>106</v>
      </c>
      <c r="V1052" s="9" t="s">
        <v>106</v>
      </c>
      <c r="W1052" s="9" t="s">
        <v>106</v>
      </c>
      <c r="X1052" s="9" t="s">
        <v>106</v>
      </c>
      <c r="Y1052" s="9" t="s">
        <v>106</v>
      </c>
      <c r="Z1052" s="37"/>
      <c r="AA1052" s="37"/>
      <c r="AB1052" s="37"/>
      <c r="AE1052"/>
    </row>
    <row r="1053" spans="1:31" hidden="1">
      <c r="A1053" s="9" t="s">
        <v>601</v>
      </c>
      <c r="B1053" s="9" t="s">
        <v>604</v>
      </c>
      <c r="C1053" s="9" t="s">
        <v>105</v>
      </c>
      <c r="D1053" s="9">
        <v>1.69</v>
      </c>
      <c r="E1053" s="9">
        <v>0.04</v>
      </c>
      <c r="F1053" s="9" t="s">
        <v>106</v>
      </c>
      <c r="G1053" s="9" t="s">
        <v>106</v>
      </c>
      <c r="H1053" s="9" t="s">
        <v>106</v>
      </c>
      <c r="J1053" s="9" t="s">
        <v>107</v>
      </c>
      <c r="K1053" s="9" t="s">
        <v>603</v>
      </c>
      <c r="L1053" t="str">
        <f>IF(OR(J1053="Cattle",J1053="Zebu Cattle"),IF(COUNTIF(lists!$M$2:$M$258, K1053) &gt; 0,"bos.indicus",IF(COUNTIF(lists!$L$2:$L$258, K1053) &gt; 0,"cross.bred","pure.bred.exotic")),"NA")</f>
        <v>NA</v>
      </c>
      <c r="M1053" t="str">
        <f>IF(J1053="Sheep",IF(COUNTIF(lists!$H$2:$H$258, K1053) &gt; 0,"indigenous",IF(COUNTIF(lists!$G$2:$G$258, K1053) &gt; 0,"cross.bred","not found")),"NA")</f>
        <v>not found</v>
      </c>
      <c r="N1053" t="str">
        <f>IF(J1053="Goat",IF(COUNTIF(lists!$J$2:$J$258, K1053) &gt; 0,"indigenous",IF(COUNTIF(lists!$I$2:$I$258, K1053) &gt; 0,"cross.bred","not found")),"NA")</f>
        <v>NA</v>
      </c>
      <c r="O1053" s="9" t="s">
        <v>109</v>
      </c>
      <c r="P1053" s="9" t="s">
        <v>170</v>
      </c>
      <c r="S1053" s="9" t="s">
        <v>106</v>
      </c>
      <c r="T1053" s="9" t="s">
        <v>106</v>
      </c>
      <c r="U1053" s="9" t="s">
        <v>106</v>
      </c>
      <c r="V1053" s="9" t="s">
        <v>106</v>
      </c>
      <c r="W1053" s="9" t="s">
        <v>106</v>
      </c>
      <c r="X1053" s="9" t="s">
        <v>106</v>
      </c>
      <c r="Y1053" s="9" t="s">
        <v>106</v>
      </c>
      <c r="Z1053" s="37"/>
      <c r="AA1053" s="37"/>
      <c r="AB1053" s="37"/>
      <c r="AE1053"/>
    </row>
    <row r="1054" spans="1:31" hidden="1">
      <c r="A1054" s="9" t="s">
        <v>601</v>
      </c>
      <c r="B1054" s="9" t="s">
        <v>605</v>
      </c>
      <c r="C1054" s="9" t="s">
        <v>105</v>
      </c>
      <c r="D1054" s="9">
        <v>1.71</v>
      </c>
      <c r="E1054" s="9">
        <v>0.04</v>
      </c>
      <c r="F1054" s="9" t="s">
        <v>106</v>
      </c>
      <c r="G1054" s="9" t="s">
        <v>106</v>
      </c>
      <c r="H1054" s="9" t="s">
        <v>106</v>
      </c>
      <c r="J1054" s="9" t="s">
        <v>107</v>
      </c>
      <c r="K1054" s="9" t="s">
        <v>603</v>
      </c>
      <c r="L1054" t="str">
        <f>IF(OR(J1054="Cattle",J1054="Zebu Cattle"),IF(COUNTIF(lists!$M$2:$M$258, K1054) &gt; 0,"bos.indicus",IF(COUNTIF(lists!$L$2:$L$258, K1054) &gt; 0,"cross.bred","pure.bred.exotic")),"NA")</f>
        <v>NA</v>
      </c>
      <c r="M1054" t="str">
        <f>IF(J1054="Sheep",IF(COUNTIF(lists!$H$2:$H$258, K1054) &gt; 0,"indigenous",IF(COUNTIF(lists!$G$2:$G$258, K1054) &gt; 0,"cross.bred","not found")),"NA")</f>
        <v>not found</v>
      </c>
      <c r="N1054" t="str">
        <f>IF(J1054="Goat",IF(COUNTIF(lists!$J$2:$J$258, K1054) &gt; 0,"indigenous",IF(COUNTIF(lists!$I$2:$I$258, K1054) &gt; 0,"cross.bred","not found")),"NA")</f>
        <v>NA</v>
      </c>
      <c r="O1054" s="9" t="s">
        <v>109</v>
      </c>
      <c r="P1054" s="9" t="s">
        <v>170</v>
      </c>
      <c r="S1054" s="9" t="s">
        <v>106</v>
      </c>
      <c r="T1054" s="9" t="s">
        <v>106</v>
      </c>
      <c r="U1054" s="9" t="s">
        <v>106</v>
      </c>
      <c r="V1054" s="9" t="s">
        <v>106</v>
      </c>
      <c r="W1054" s="9" t="s">
        <v>106</v>
      </c>
      <c r="X1054" s="9" t="s">
        <v>106</v>
      </c>
      <c r="Y1054" s="9" t="s">
        <v>106</v>
      </c>
      <c r="Z1054" s="37"/>
      <c r="AA1054" s="37"/>
      <c r="AB1054" s="37"/>
      <c r="AE1054"/>
    </row>
    <row r="1055" spans="1:31" hidden="1">
      <c r="A1055" s="9" t="s">
        <v>601</v>
      </c>
      <c r="B1055" s="9" t="s">
        <v>606</v>
      </c>
      <c r="C1055" s="9" t="s">
        <v>105</v>
      </c>
      <c r="D1055" s="9">
        <v>1.71</v>
      </c>
      <c r="E1055" s="9">
        <v>0.04</v>
      </c>
      <c r="F1055" s="9" t="s">
        <v>106</v>
      </c>
      <c r="G1055" s="9" t="s">
        <v>106</v>
      </c>
      <c r="H1055" s="9" t="s">
        <v>106</v>
      </c>
      <c r="J1055" s="9" t="s">
        <v>107</v>
      </c>
      <c r="K1055" s="9" t="s">
        <v>603</v>
      </c>
      <c r="L1055" t="str">
        <f>IF(OR(J1055="Cattle",J1055="Zebu Cattle"),IF(COUNTIF(lists!$M$2:$M$258, K1055) &gt; 0,"bos.indicus",IF(COUNTIF(lists!$L$2:$L$258, K1055) &gt; 0,"cross.bred","pure.bred.exotic")),"NA")</f>
        <v>NA</v>
      </c>
      <c r="M1055" t="str">
        <f>IF(J1055="Sheep",IF(COUNTIF(lists!$H$2:$H$258, K1055) &gt; 0,"indigenous",IF(COUNTIF(lists!$G$2:$G$258, K1055) &gt; 0,"cross.bred","not found")),"NA")</f>
        <v>not found</v>
      </c>
      <c r="N1055" t="str">
        <f>IF(J1055="Goat",IF(COUNTIF(lists!$J$2:$J$258, K1055) &gt; 0,"indigenous",IF(COUNTIF(lists!$I$2:$I$258, K1055) &gt; 0,"cross.bred","not found")),"NA")</f>
        <v>NA</v>
      </c>
      <c r="O1055" s="9" t="s">
        <v>109</v>
      </c>
      <c r="P1055" s="9" t="s">
        <v>170</v>
      </c>
      <c r="S1055" s="9" t="s">
        <v>106</v>
      </c>
      <c r="T1055" s="9" t="s">
        <v>106</v>
      </c>
      <c r="U1055" s="9" t="s">
        <v>106</v>
      </c>
      <c r="V1055" s="9" t="s">
        <v>106</v>
      </c>
      <c r="W1055" s="9" t="s">
        <v>106</v>
      </c>
      <c r="X1055" s="9" t="s">
        <v>106</v>
      </c>
      <c r="Y1055" s="9" t="s">
        <v>106</v>
      </c>
      <c r="Z1055" s="37"/>
      <c r="AA1055" s="37"/>
      <c r="AB1055" s="37"/>
      <c r="AE1055"/>
    </row>
    <row r="1056" spans="1:31" hidden="1">
      <c r="A1056" s="9" t="s">
        <v>601</v>
      </c>
      <c r="B1056" s="9" t="s">
        <v>607</v>
      </c>
      <c r="C1056" s="9" t="s">
        <v>105</v>
      </c>
      <c r="D1056" s="9">
        <v>1.7</v>
      </c>
      <c r="E1056" s="9">
        <v>0.04</v>
      </c>
      <c r="F1056" s="9" t="s">
        <v>106</v>
      </c>
      <c r="G1056" s="9" t="s">
        <v>106</v>
      </c>
      <c r="H1056" s="9" t="s">
        <v>106</v>
      </c>
      <c r="J1056" s="9" t="s">
        <v>107</v>
      </c>
      <c r="K1056" s="9" t="s">
        <v>603</v>
      </c>
      <c r="L1056" t="str">
        <f>IF(OR(J1056="Cattle",J1056="Zebu Cattle"),IF(COUNTIF(lists!$M$2:$M$258, K1056) &gt; 0,"bos.indicus",IF(COUNTIF(lists!$L$2:$L$258, K1056) &gt; 0,"cross.bred","pure.bred.exotic")),"NA")</f>
        <v>NA</v>
      </c>
      <c r="M1056" t="str">
        <f>IF(J1056="Sheep",IF(COUNTIF(lists!$H$2:$H$258, K1056) &gt; 0,"indigenous",IF(COUNTIF(lists!$G$2:$G$258, K1056) &gt; 0,"cross.bred","not found")),"NA")</f>
        <v>not found</v>
      </c>
      <c r="N1056" t="str">
        <f>IF(J1056="Goat",IF(COUNTIF(lists!$J$2:$J$258, K1056) &gt; 0,"indigenous",IF(COUNTIF(lists!$I$2:$I$258, K1056) &gt; 0,"cross.bred","not found")),"NA")</f>
        <v>NA</v>
      </c>
      <c r="O1056" s="9" t="s">
        <v>109</v>
      </c>
      <c r="P1056" s="9" t="s">
        <v>170</v>
      </c>
      <c r="S1056" s="9" t="s">
        <v>106</v>
      </c>
      <c r="T1056" s="9" t="s">
        <v>106</v>
      </c>
      <c r="U1056" s="9" t="s">
        <v>106</v>
      </c>
      <c r="V1056" s="9" t="s">
        <v>106</v>
      </c>
      <c r="W1056" s="9" t="s">
        <v>106</v>
      </c>
      <c r="X1056" s="9" t="s">
        <v>106</v>
      </c>
      <c r="Y1056" s="9" t="s">
        <v>106</v>
      </c>
      <c r="Z1056" s="37"/>
      <c r="AA1056" s="37"/>
      <c r="AB1056" s="37"/>
      <c r="AE1056"/>
    </row>
    <row r="1057" spans="1:31" hidden="1">
      <c r="A1057" s="9" t="s">
        <v>608</v>
      </c>
      <c r="B1057" s="9" t="s">
        <v>609</v>
      </c>
      <c r="C1057" s="9" t="s">
        <v>105</v>
      </c>
      <c r="D1057" s="9">
        <v>0.80100000000000005</v>
      </c>
      <c r="E1057" s="9">
        <v>42.2</v>
      </c>
      <c r="F1057" s="9" t="s">
        <v>106</v>
      </c>
      <c r="G1057" s="9" t="s">
        <v>106</v>
      </c>
      <c r="H1057" s="9" t="s">
        <v>106</v>
      </c>
      <c r="J1057" s="9" t="s">
        <v>107</v>
      </c>
      <c r="K1057" s="9" t="s">
        <v>610</v>
      </c>
      <c r="L1057" t="str">
        <f>IF(OR(J1057="Cattle",J1057="Zebu Cattle"),IF(COUNTIF(lists!$M$2:$M$258, K1057) &gt; 0,"bos.indicus",IF(COUNTIF(lists!$L$2:$L$258, K1057) &gt; 0,"cross.bred","pure.bred.exotic")),"NA")</f>
        <v>NA</v>
      </c>
      <c r="M1057" t="str">
        <f>IF(J1057="Sheep",IF(COUNTIF(lists!$H$2:$H$258, K1057) &gt; 0,"indigenous",IF(COUNTIF(lists!$G$2:$G$258, K1057) &gt; 0,"cross.bred","not found")),"NA")</f>
        <v>not found</v>
      </c>
      <c r="N1057" t="str">
        <f>IF(J1057="Goat",IF(COUNTIF(lists!$J$2:$J$258, K1057) &gt; 0,"indigenous",IF(COUNTIF(lists!$I$2:$I$258, K1057) &gt; 0,"cross.bred","not found")),"NA")</f>
        <v>NA</v>
      </c>
      <c r="O1057" s="9" t="s">
        <v>109</v>
      </c>
      <c r="P1057" s="9" t="s">
        <v>164</v>
      </c>
      <c r="S1057" s="9">
        <v>239</v>
      </c>
      <c r="T1057" s="9" t="s">
        <v>106</v>
      </c>
      <c r="U1057" s="9">
        <v>137.79999999999899</v>
      </c>
      <c r="V1057" s="9">
        <v>920</v>
      </c>
      <c r="W1057" s="9" t="s">
        <v>106</v>
      </c>
      <c r="X1057" s="9">
        <v>354.6</v>
      </c>
      <c r="Y1057" s="9">
        <v>56.51</v>
      </c>
      <c r="Z1057" s="37"/>
      <c r="AA1057" s="37"/>
      <c r="AB1057" s="37"/>
      <c r="AE1057"/>
    </row>
    <row r="1058" spans="1:31" hidden="1">
      <c r="A1058" s="9" t="s">
        <v>608</v>
      </c>
      <c r="B1058" s="9" t="s">
        <v>611</v>
      </c>
      <c r="C1058" s="9" t="s">
        <v>105</v>
      </c>
      <c r="D1058" s="9">
        <v>0.93799999999999994</v>
      </c>
      <c r="E1058" s="9">
        <v>42.2</v>
      </c>
      <c r="F1058" s="9" t="s">
        <v>106</v>
      </c>
      <c r="G1058" s="9" t="s">
        <v>106</v>
      </c>
      <c r="H1058" s="9" t="s">
        <v>106</v>
      </c>
      <c r="J1058" s="9" t="s">
        <v>107</v>
      </c>
      <c r="K1058" s="9" t="s">
        <v>610</v>
      </c>
      <c r="L1058" t="str">
        <f>IF(OR(J1058="Cattle",J1058="Zebu Cattle"),IF(COUNTIF(lists!$M$2:$M$258, K1058) &gt; 0,"bos.indicus",IF(COUNTIF(lists!$L$2:$L$258, K1058) &gt; 0,"cross.bred","pure.bred.exotic")),"NA")</f>
        <v>NA</v>
      </c>
      <c r="M1058" t="str">
        <f>IF(J1058="Sheep",IF(COUNTIF(lists!$H$2:$H$258, K1058) &gt; 0,"indigenous",IF(COUNTIF(lists!$G$2:$G$258, K1058) &gt; 0,"cross.bred","not found")),"NA")</f>
        <v>not found</v>
      </c>
      <c r="N1058" t="str">
        <f>IF(J1058="Goat",IF(COUNTIF(lists!$J$2:$J$258, K1058) &gt; 0,"indigenous",IF(COUNTIF(lists!$I$2:$I$258, K1058) &gt; 0,"cross.bred","not found")),"NA")</f>
        <v>NA</v>
      </c>
      <c r="O1058" s="9" t="s">
        <v>109</v>
      </c>
      <c r="P1058" s="9" t="s">
        <v>164</v>
      </c>
      <c r="S1058" s="9">
        <v>305.2</v>
      </c>
      <c r="T1058" s="9" t="s">
        <v>106</v>
      </c>
      <c r="U1058" s="9">
        <v>200.6</v>
      </c>
      <c r="V1058" s="9">
        <v>928.6</v>
      </c>
      <c r="W1058" s="9" t="s">
        <v>106</v>
      </c>
      <c r="X1058" s="9">
        <v>454.4</v>
      </c>
      <c r="Y1058" s="9">
        <v>54.71</v>
      </c>
      <c r="Z1058" s="37"/>
      <c r="AA1058" s="37"/>
      <c r="AB1058" s="37"/>
      <c r="AE1058"/>
    </row>
    <row r="1059" spans="1:31" hidden="1">
      <c r="A1059" s="9" t="s">
        <v>608</v>
      </c>
      <c r="B1059" s="9" t="s">
        <v>612</v>
      </c>
      <c r="C1059" s="9" t="s">
        <v>105</v>
      </c>
      <c r="D1059" s="9">
        <v>0.96120000000000005</v>
      </c>
      <c r="E1059" s="9">
        <v>42.2</v>
      </c>
      <c r="F1059" s="9" t="s">
        <v>106</v>
      </c>
      <c r="G1059" s="9" t="s">
        <v>106</v>
      </c>
      <c r="H1059" s="9" t="s">
        <v>106</v>
      </c>
      <c r="J1059" s="9" t="s">
        <v>107</v>
      </c>
      <c r="K1059" s="9" t="s">
        <v>610</v>
      </c>
      <c r="L1059" t="str">
        <f>IF(OR(J1059="Cattle",J1059="Zebu Cattle"),IF(COUNTIF(lists!$M$2:$M$258, K1059) &gt; 0,"bos.indicus",IF(COUNTIF(lists!$L$2:$L$258, K1059) &gt; 0,"cross.bred","pure.bred.exotic")),"NA")</f>
        <v>NA</v>
      </c>
      <c r="M1059" t="str">
        <f>IF(J1059="Sheep",IF(COUNTIF(lists!$H$2:$H$258, K1059) &gt; 0,"indigenous",IF(COUNTIF(lists!$G$2:$G$258, K1059) &gt; 0,"cross.bred","not found")),"NA")</f>
        <v>not found</v>
      </c>
      <c r="N1059" t="str">
        <f>IF(J1059="Goat",IF(COUNTIF(lists!$J$2:$J$258, K1059) &gt; 0,"indigenous",IF(COUNTIF(lists!$I$2:$I$258, K1059) &gt; 0,"cross.bred","not found")),"NA")</f>
        <v>NA</v>
      </c>
      <c r="O1059" s="9" t="s">
        <v>109</v>
      </c>
      <c r="P1059" s="9" t="s">
        <v>164</v>
      </c>
      <c r="S1059" s="9">
        <v>311</v>
      </c>
      <c r="T1059" s="9" t="s">
        <v>106</v>
      </c>
      <c r="U1059" s="9">
        <v>206.1</v>
      </c>
      <c r="V1059" s="9">
        <v>929.3</v>
      </c>
      <c r="W1059" s="9" t="s">
        <v>106</v>
      </c>
      <c r="X1059" s="9">
        <v>463.2</v>
      </c>
      <c r="Y1059" s="9">
        <v>61.64</v>
      </c>
      <c r="Z1059" s="37"/>
      <c r="AA1059" s="37"/>
      <c r="AB1059" s="37"/>
      <c r="AE1059"/>
    </row>
    <row r="1060" spans="1:31" hidden="1">
      <c r="A1060" s="9" t="s">
        <v>608</v>
      </c>
      <c r="B1060" s="9" t="s">
        <v>613</v>
      </c>
      <c r="C1060" s="9" t="s">
        <v>105</v>
      </c>
      <c r="D1060" s="9">
        <v>0.98339999999999905</v>
      </c>
      <c r="E1060" s="9">
        <v>42.2</v>
      </c>
      <c r="F1060" s="9" t="s">
        <v>106</v>
      </c>
      <c r="G1060" s="9" t="s">
        <v>106</v>
      </c>
      <c r="H1060" s="9" t="s">
        <v>106</v>
      </c>
      <c r="J1060" s="9" t="s">
        <v>107</v>
      </c>
      <c r="K1060" s="9" t="s">
        <v>610</v>
      </c>
      <c r="L1060" t="str">
        <f>IF(OR(J1060="Cattle",J1060="Zebu Cattle"),IF(COUNTIF(lists!$M$2:$M$258, K1060) &gt; 0,"bos.indicus",IF(COUNTIF(lists!$L$2:$L$258, K1060) &gt; 0,"cross.bred","pure.bred.exotic")),"NA")</f>
        <v>NA</v>
      </c>
      <c r="M1060" t="str">
        <f>IF(J1060="Sheep",IF(COUNTIF(lists!$H$2:$H$258, K1060) &gt; 0,"indigenous",IF(COUNTIF(lists!$G$2:$G$258, K1060) &gt; 0,"cross.bred","not found")),"NA")</f>
        <v>not found</v>
      </c>
      <c r="N1060" t="str">
        <f>IF(J1060="Goat",IF(COUNTIF(lists!$J$2:$J$258, K1060) &gt; 0,"indigenous",IF(COUNTIF(lists!$I$2:$I$258, K1060) &gt; 0,"cross.bred","not found")),"NA")</f>
        <v>NA</v>
      </c>
      <c r="O1060" s="9" t="s">
        <v>109</v>
      </c>
      <c r="P1060" s="9" t="s">
        <v>164</v>
      </c>
      <c r="S1060" s="9">
        <v>316</v>
      </c>
      <c r="T1060" s="9" t="s">
        <v>106</v>
      </c>
      <c r="U1060" s="9">
        <v>211</v>
      </c>
      <c r="V1060" s="9">
        <v>930</v>
      </c>
      <c r="W1060" s="9" t="s">
        <v>106</v>
      </c>
      <c r="X1060" s="9">
        <v>471.1</v>
      </c>
      <c r="Y1060" s="9">
        <v>62.96</v>
      </c>
      <c r="Z1060" s="37"/>
      <c r="AA1060" s="37"/>
      <c r="AB1060" s="37"/>
      <c r="AE1060"/>
    </row>
    <row r="1061" spans="1:31" hidden="1">
      <c r="A1061" s="9" t="s">
        <v>614</v>
      </c>
      <c r="B1061" s="9" t="s">
        <v>615</v>
      </c>
      <c r="C1061" s="9" t="s">
        <v>105</v>
      </c>
      <c r="D1061" s="9">
        <v>0.69799999999999995</v>
      </c>
      <c r="E1061" s="9">
        <v>1.34</v>
      </c>
      <c r="F1061" s="9" t="s">
        <v>106</v>
      </c>
      <c r="G1061" s="9" t="s">
        <v>106</v>
      </c>
      <c r="H1061" s="9" t="s">
        <v>106</v>
      </c>
      <c r="J1061" s="9" t="s">
        <v>107</v>
      </c>
      <c r="K1061" s="9" t="s">
        <v>390</v>
      </c>
      <c r="L1061" t="str">
        <f>IF(OR(J1061="Cattle",J1061="Zebu Cattle"),IF(COUNTIF(lists!$M$2:$M$258, K1061) &gt; 0,"bos.indicus",IF(COUNTIF(lists!$L$2:$L$258, K1061) &gt; 0,"cross.bred","pure.bred.exotic")),"NA")</f>
        <v>NA</v>
      </c>
      <c r="M1061" t="str">
        <f>IF(J1061="Sheep",IF(COUNTIF(lists!$H$2:$H$258, K1061) &gt; 0,"indigenous",IF(COUNTIF(lists!$G$2:$G$258, K1061) &gt; 0,"cross.bred","not found")),"NA")</f>
        <v>not found</v>
      </c>
      <c r="N1061" t="str">
        <f>IF(J1061="Goat",IF(COUNTIF(lists!$J$2:$J$258, K1061) &gt; 0,"indigenous",IF(COUNTIF(lists!$I$2:$I$258, K1061) &gt; 0,"cross.bred","not found")),"NA")</f>
        <v>NA</v>
      </c>
      <c r="O1061" s="9" t="s">
        <v>109</v>
      </c>
      <c r="P1061" s="9" t="s">
        <v>187</v>
      </c>
      <c r="S1061" s="9" t="s">
        <v>106</v>
      </c>
      <c r="T1061" s="9" t="s">
        <v>106</v>
      </c>
      <c r="U1061" s="9" t="s">
        <v>106</v>
      </c>
      <c r="V1061" s="9" t="s">
        <v>106</v>
      </c>
      <c r="W1061" s="9" t="s">
        <v>106</v>
      </c>
      <c r="X1061" s="9" t="s">
        <v>106</v>
      </c>
      <c r="Y1061" s="9">
        <v>0.36</v>
      </c>
      <c r="Z1061" s="37"/>
      <c r="AA1061" s="37"/>
      <c r="AB1061" s="37"/>
      <c r="AE1061"/>
    </row>
    <row r="1062" spans="1:31" hidden="1">
      <c r="A1062" s="9" t="s">
        <v>614</v>
      </c>
      <c r="B1062" s="9" t="s">
        <v>616</v>
      </c>
      <c r="C1062" s="9" t="s">
        <v>105</v>
      </c>
      <c r="D1062" s="9">
        <v>0.72539999999999905</v>
      </c>
      <c r="E1062" s="9">
        <v>1.34</v>
      </c>
      <c r="F1062" s="9" t="s">
        <v>106</v>
      </c>
      <c r="G1062" s="9" t="s">
        <v>106</v>
      </c>
      <c r="H1062" s="9" t="s">
        <v>106</v>
      </c>
      <c r="J1062" s="9" t="s">
        <v>107</v>
      </c>
      <c r="K1062" s="9" t="s">
        <v>390</v>
      </c>
      <c r="L1062" t="str">
        <f>IF(OR(J1062="Cattle",J1062="Zebu Cattle"),IF(COUNTIF(lists!$M$2:$M$258, K1062) &gt; 0,"bos.indicus",IF(COUNTIF(lists!$L$2:$L$258, K1062) &gt; 0,"cross.bred","pure.bred.exotic")),"NA")</f>
        <v>NA</v>
      </c>
      <c r="M1062" t="str">
        <f>IF(J1062="Sheep",IF(COUNTIF(lists!$H$2:$H$258, K1062) &gt; 0,"indigenous",IF(COUNTIF(lists!$G$2:$G$258, K1062) &gt; 0,"cross.bred","not found")),"NA")</f>
        <v>not found</v>
      </c>
      <c r="N1062" t="str">
        <f>IF(J1062="Goat",IF(COUNTIF(lists!$J$2:$J$258, K1062) &gt; 0,"indigenous",IF(COUNTIF(lists!$I$2:$I$258, K1062) &gt; 0,"cross.bred","not found")),"NA")</f>
        <v>NA</v>
      </c>
      <c r="O1062" s="9" t="s">
        <v>109</v>
      </c>
      <c r="P1062" s="9" t="s">
        <v>187</v>
      </c>
      <c r="S1062" s="9" t="s">
        <v>106</v>
      </c>
      <c r="T1062" s="9" t="s">
        <v>106</v>
      </c>
      <c r="U1062" s="9" t="s">
        <v>106</v>
      </c>
      <c r="V1062" s="9" t="s">
        <v>106</v>
      </c>
      <c r="W1062" s="9" t="s">
        <v>106</v>
      </c>
      <c r="X1062" s="9" t="s">
        <v>106</v>
      </c>
      <c r="Y1062" s="9">
        <v>0.64</v>
      </c>
      <c r="Z1062" s="37"/>
      <c r="AA1062" s="37"/>
      <c r="AB1062" s="37"/>
      <c r="AE1062"/>
    </row>
    <row r="1063" spans="1:31" hidden="1">
      <c r="A1063" s="9" t="s">
        <v>614</v>
      </c>
      <c r="B1063" s="9" t="s">
        <v>617</v>
      </c>
      <c r="C1063" s="9" t="s">
        <v>105</v>
      </c>
      <c r="D1063" s="9">
        <v>0.77329999999999999</v>
      </c>
      <c r="E1063" s="9">
        <v>1.34</v>
      </c>
      <c r="F1063" s="9" t="s">
        <v>106</v>
      </c>
      <c r="G1063" s="9" t="s">
        <v>106</v>
      </c>
      <c r="H1063" s="9" t="s">
        <v>106</v>
      </c>
      <c r="J1063" s="9" t="s">
        <v>107</v>
      </c>
      <c r="K1063" s="9" t="s">
        <v>390</v>
      </c>
      <c r="L1063" t="str">
        <f>IF(OR(J1063="Cattle",J1063="Zebu Cattle"),IF(COUNTIF(lists!$M$2:$M$258, K1063) &gt; 0,"bos.indicus",IF(COUNTIF(lists!$L$2:$L$258, K1063) &gt; 0,"cross.bred","pure.bred.exotic")),"NA")</f>
        <v>NA</v>
      </c>
      <c r="M1063" t="str">
        <f>IF(J1063="Sheep",IF(COUNTIF(lists!$H$2:$H$258, K1063) &gt; 0,"indigenous",IF(COUNTIF(lists!$G$2:$G$258, K1063) &gt; 0,"cross.bred","not found")),"NA")</f>
        <v>not found</v>
      </c>
      <c r="N1063" t="str">
        <f>IF(J1063="Goat",IF(COUNTIF(lists!$J$2:$J$258, K1063) &gt; 0,"indigenous",IF(COUNTIF(lists!$I$2:$I$258, K1063) &gt; 0,"cross.bred","not found")),"NA")</f>
        <v>NA</v>
      </c>
      <c r="O1063" s="9" t="s">
        <v>109</v>
      </c>
      <c r="P1063" s="9" t="s">
        <v>187</v>
      </c>
      <c r="S1063" s="9" t="s">
        <v>106</v>
      </c>
      <c r="T1063" s="9" t="s">
        <v>106</v>
      </c>
      <c r="U1063" s="9" t="s">
        <v>106</v>
      </c>
      <c r="V1063" s="9" t="s">
        <v>106</v>
      </c>
      <c r="W1063" s="9" t="s">
        <v>106</v>
      </c>
      <c r="X1063" s="9" t="s">
        <v>106</v>
      </c>
      <c r="Y1063" s="9">
        <v>0.68</v>
      </c>
      <c r="Z1063" s="37"/>
      <c r="AA1063" s="37"/>
      <c r="AB1063" s="37"/>
      <c r="AE1063"/>
    </row>
    <row r="1064" spans="1:31" hidden="1">
      <c r="A1064" s="9" t="s">
        <v>614</v>
      </c>
      <c r="B1064" s="9" t="s">
        <v>618</v>
      </c>
      <c r="C1064" s="9" t="s">
        <v>105</v>
      </c>
      <c r="D1064" s="9">
        <v>0.86399999999999999</v>
      </c>
      <c r="E1064" s="9">
        <v>1.34</v>
      </c>
      <c r="F1064" s="9" t="s">
        <v>106</v>
      </c>
      <c r="G1064" s="9" t="s">
        <v>106</v>
      </c>
      <c r="H1064" s="9" t="s">
        <v>106</v>
      </c>
      <c r="J1064" s="9" t="s">
        <v>107</v>
      </c>
      <c r="K1064" s="9" t="s">
        <v>390</v>
      </c>
      <c r="L1064" t="str">
        <f>IF(OR(J1064="Cattle",J1064="Zebu Cattle"),IF(COUNTIF(lists!$M$2:$M$258, K1064) &gt; 0,"bos.indicus",IF(COUNTIF(lists!$L$2:$L$258, K1064) &gt; 0,"cross.bred","pure.bred.exotic")),"NA")</f>
        <v>NA</v>
      </c>
      <c r="M1064" t="str">
        <f>IF(J1064="Sheep",IF(COUNTIF(lists!$H$2:$H$258, K1064) &gt; 0,"indigenous",IF(COUNTIF(lists!$G$2:$G$258, K1064) &gt; 0,"cross.bred","not found")),"NA")</f>
        <v>not found</v>
      </c>
      <c r="N1064" t="str">
        <f>IF(J1064="Goat",IF(COUNTIF(lists!$J$2:$J$258, K1064) &gt; 0,"indigenous",IF(COUNTIF(lists!$I$2:$I$258, K1064) &gt; 0,"cross.bred","not found")),"NA")</f>
        <v>NA</v>
      </c>
      <c r="O1064" s="9" t="s">
        <v>109</v>
      </c>
      <c r="P1064" s="9" t="s">
        <v>187</v>
      </c>
      <c r="S1064" s="9" t="s">
        <v>106</v>
      </c>
      <c r="T1064" s="9" t="s">
        <v>106</v>
      </c>
      <c r="U1064" s="9" t="s">
        <v>106</v>
      </c>
      <c r="V1064" s="9" t="s">
        <v>106</v>
      </c>
      <c r="W1064" s="9" t="s">
        <v>106</v>
      </c>
      <c r="X1064" s="9" t="s">
        <v>106</v>
      </c>
      <c r="Y1064" s="9">
        <v>0.78</v>
      </c>
      <c r="Z1064" s="37"/>
      <c r="AA1064" s="37"/>
      <c r="AB1064" s="37"/>
      <c r="AE1064"/>
    </row>
    <row r="1065" spans="1:31" hidden="1">
      <c r="A1065" s="9" t="s">
        <v>619</v>
      </c>
      <c r="B1065" s="9" t="s">
        <v>541</v>
      </c>
      <c r="C1065" s="9" t="s">
        <v>105</v>
      </c>
      <c r="D1065" s="9">
        <v>0.62066999999999894</v>
      </c>
      <c r="E1065" s="9">
        <v>17.88</v>
      </c>
      <c r="F1065" s="9" t="s">
        <v>106</v>
      </c>
      <c r="G1065" s="9" t="s">
        <v>106</v>
      </c>
      <c r="H1065" s="9" t="s">
        <v>106</v>
      </c>
      <c r="J1065" s="9" t="s">
        <v>107</v>
      </c>
      <c r="K1065" s="9" t="s">
        <v>620</v>
      </c>
      <c r="L1065" t="str">
        <f>IF(OR(J1065="Cattle",J1065="Zebu Cattle"),IF(COUNTIF(lists!$M$2:$M$258, K1065) &gt; 0,"bos.indicus",IF(COUNTIF(lists!$L$2:$L$258, K1065) &gt; 0,"cross.bred","pure.bred.exotic")),"NA")</f>
        <v>NA</v>
      </c>
      <c r="M1065" t="str">
        <f>IF(J1065="Sheep",IF(COUNTIF(lists!$H$2:$H$258, K1065) &gt; 0,"indigenous",IF(COUNTIF(lists!$G$2:$G$258, K1065) &gt; 0,"cross.bred","not found")),"NA")</f>
        <v>not found</v>
      </c>
      <c r="N1065" t="str">
        <f>IF(J1065="Goat",IF(COUNTIF(lists!$J$2:$J$258, K1065) &gt; 0,"indigenous",IF(COUNTIF(lists!$I$2:$I$258, K1065) &gt; 0,"cross.bred","not found")),"NA")</f>
        <v>NA</v>
      </c>
      <c r="O1065" s="9" t="s">
        <v>109</v>
      </c>
      <c r="P1065" s="9" t="s">
        <v>164</v>
      </c>
      <c r="S1065" s="9" t="s">
        <v>106</v>
      </c>
      <c r="T1065" s="9" t="s">
        <v>106</v>
      </c>
      <c r="U1065" s="9" t="s">
        <v>106</v>
      </c>
      <c r="V1065" s="9" t="s">
        <v>106</v>
      </c>
      <c r="W1065" s="9" t="s">
        <v>106</v>
      </c>
      <c r="X1065" s="9" t="s">
        <v>106</v>
      </c>
      <c r="Y1065" s="9">
        <v>0.67979999999999996</v>
      </c>
      <c r="Z1065" s="37"/>
      <c r="AA1065" s="37"/>
      <c r="AB1065" s="37"/>
      <c r="AE1065"/>
    </row>
    <row r="1066" spans="1:31" hidden="1">
      <c r="A1066" s="9" t="s">
        <v>619</v>
      </c>
      <c r="B1066" s="9" t="s">
        <v>621</v>
      </c>
      <c r="C1066" s="9" t="s">
        <v>105</v>
      </c>
      <c r="D1066" s="9">
        <v>0.72860999999999998</v>
      </c>
      <c r="E1066" s="9">
        <v>17.88</v>
      </c>
      <c r="F1066" s="9" t="s">
        <v>106</v>
      </c>
      <c r="G1066" s="9" t="s">
        <v>106</v>
      </c>
      <c r="H1066" s="9" t="s">
        <v>106</v>
      </c>
      <c r="J1066" s="9" t="s">
        <v>107</v>
      </c>
      <c r="K1066" s="9" t="s">
        <v>620</v>
      </c>
      <c r="L1066" t="str">
        <f>IF(OR(J1066="Cattle",J1066="Zebu Cattle"),IF(COUNTIF(lists!$M$2:$M$258, K1066) &gt; 0,"bos.indicus",IF(COUNTIF(lists!$L$2:$L$258, K1066) &gt; 0,"cross.bred","pure.bred.exotic")),"NA")</f>
        <v>NA</v>
      </c>
      <c r="M1066" t="str">
        <f>IF(J1066="Sheep",IF(COUNTIF(lists!$H$2:$H$258, K1066) &gt; 0,"indigenous",IF(COUNTIF(lists!$G$2:$G$258, K1066) &gt; 0,"cross.bred","not found")),"NA")</f>
        <v>not found</v>
      </c>
      <c r="N1066" t="str">
        <f>IF(J1066="Goat",IF(COUNTIF(lists!$J$2:$J$258, K1066) &gt; 0,"indigenous",IF(COUNTIF(lists!$I$2:$I$258, K1066) &gt; 0,"cross.bred","not found")),"NA")</f>
        <v>NA</v>
      </c>
      <c r="O1066" s="9" t="s">
        <v>109</v>
      </c>
      <c r="P1066" s="9" t="s">
        <v>164</v>
      </c>
      <c r="S1066" s="9" t="s">
        <v>106</v>
      </c>
      <c r="T1066" s="9" t="s">
        <v>106</v>
      </c>
      <c r="U1066" s="9" t="s">
        <v>106</v>
      </c>
      <c r="V1066" s="9" t="s">
        <v>106</v>
      </c>
      <c r="W1066" s="9" t="s">
        <v>106</v>
      </c>
      <c r="X1066" s="9" t="s">
        <v>106</v>
      </c>
      <c r="Y1066" s="9">
        <v>0.63729999999999998</v>
      </c>
      <c r="Z1066" s="37"/>
      <c r="AA1066" s="37"/>
      <c r="AB1066" s="37"/>
      <c r="AE1066"/>
    </row>
    <row r="1067" spans="1:31" hidden="1">
      <c r="A1067" s="9" t="s">
        <v>619</v>
      </c>
      <c r="B1067" s="9" t="s">
        <v>622</v>
      </c>
      <c r="C1067" s="9" t="s">
        <v>105</v>
      </c>
      <c r="D1067" s="9">
        <v>0.91116999999999904</v>
      </c>
      <c r="E1067" s="9">
        <v>17.88</v>
      </c>
      <c r="F1067" s="9" t="s">
        <v>106</v>
      </c>
      <c r="G1067" s="9" t="s">
        <v>106</v>
      </c>
      <c r="H1067" s="9" t="s">
        <v>106</v>
      </c>
      <c r="J1067" s="9" t="s">
        <v>107</v>
      </c>
      <c r="K1067" s="9" t="s">
        <v>620</v>
      </c>
      <c r="L1067" t="str">
        <f>IF(OR(J1067="Cattle",J1067="Zebu Cattle"),IF(COUNTIF(lists!$M$2:$M$258, K1067) &gt; 0,"bos.indicus",IF(COUNTIF(lists!$L$2:$L$258, K1067) &gt; 0,"cross.bred","pure.bred.exotic")),"NA")</f>
        <v>NA</v>
      </c>
      <c r="M1067" t="str">
        <f>IF(J1067="Sheep",IF(COUNTIF(lists!$H$2:$H$258, K1067) &gt; 0,"indigenous",IF(COUNTIF(lists!$G$2:$G$258, K1067) &gt; 0,"cross.bred","not found")),"NA")</f>
        <v>not found</v>
      </c>
      <c r="N1067" t="str">
        <f>IF(J1067="Goat",IF(COUNTIF(lists!$J$2:$J$258, K1067) &gt; 0,"indigenous",IF(COUNTIF(lists!$I$2:$I$258, K1067) &gt; 0,"cross.bred","not found")),"NA")</f>
        <v>NA</v>
      </c>
      <c r="O1067" s="9" t="s">
        <v>109</v>
      </c>
      <c r="P1067" s="9" t="s">
        <v>164</v>
      </c>
      <c r="S1067" s="9" t="s">
        <v>106</v>
      </c>
      <c r="T1067" s="9" t="s">
        <v>106</v>
      </c>
      <c r="U1067" s="9" t="s">
        <v>106</v>
      </c>
      <c r="V1067" s="9" t="s">
        <v>106</v>
      </c>
      <c r="W1067" s="9" t="s">
        <v>106</v>
      </c>
      <c r="X1067" s="9" t="s">
        <v>106</v>
      </c>
      <c r="Y1067" s="9">
        <v>0.68730000000000002</v>
      </c>
      <c r="Z1067" s="37"/>
      <c r="AA1067" s="37"/>
      <c r="AB1067" s="37"/>
      <c r="AE1067"/>
    </row>
    <row r="1068" spans="1:31" hidden="1">
      <c r="A1068" s="9" t="s">
        <v>647</v>
      </c>
      <c r="B1068" s="9" t="s">
        <v>642</v>
      </c>
      <c r="C1068" s="9" t="s">
        <v>105</v>
      </c>
      <c r="D1068" s="9">
        <v>1.19879</v>
      </c>
      <c r="E1068" s="9" t="s">
        <v>106</v>
      </c>
      <c r="F1068" s="9" t="s">
        <v>106</v>
      </c>
      <c r="G1068" s="9" t="s">
        <v>106</v>
      </c>
      <c r="H1068" s="9" t="s">
        <v>106</v>
      </c>
      <c r="J1068" s="9" t="s">
        <v>107</v>
      </c>
      <c r="K1068" s="9" t="s">
        <v>648</v>
      </c>
      <c r="L1068" t="str">
        <f>IF(OR(J1068="Cattle",J1068="Zebu Cattle"),IF(COUNTIF(lists!$M$2:$M$258, K1068) &gt; 0,"bos.indicus",IF(COUNTIF(lists!$L$2:$L$258, K1068) &gt; 0,"cross.bred","pure.bred.exotic")),"NA")</f>
        <v>NA</v>
      </c>
      <c r="M1068" t="str">
        <f>IF(J1068="Sheep",IF(COUNTIF(lists!$H$2:$H$258, K1068) &gt; 0,"indigenous",IF(COUNTIF(lists!$G$2:$G$258, K1068) &gt; 0,"cross.bred","not found")),"NA")</f>
        <v>not found</v>
      </c>
      <c r="N1068" t="str">
        <f>IF(J1068="Goat",IF(COUNTIF(lists!$J$2:$J$258, K1068) &gt; 0,"indigenous",IF(COUNTIF(lists!$I$2:$I$258, K1068) &gt; 0,"cross.bred","not found")),"NA")</f>
        <v>NA</v>
      </c>
      <c r="O1068" s="9" t="s">
        <v>109</v>
      </c>
      <c r="P1068" s="9" t="s">
        <v>164</v>
      </c>
      <c r="S1068" s="9" t="s">
        <v>106</v>
      </c>
      <c r="T1068" s="9">
        <v>89.399999999999906</v>
      </c>
      <c r="U1068" s="9">
        <v>90.4</v>
      </c>
      <c r="V1068" s="9">
        <v>922.2</v>
      </c>
      <c r="W1068" s="9">
        <v>25.7</v>
      </c>
      <c r="X1068" s="9" t="s">
        <v>106</v>
      </c>
      <c r="Y1068" s="9" t="s">
        <v>106</v>
      </c>
      <c r="Z1068" s="37"/>
      <c r="AA1068" s="37"/>
      <c r="AB1068" s="37"/>
      <c r="AE1068"/>
    </row>
    <row r="1069" spans="1:31" hidden="1">
      <c r="A1069" s="9" t="s">
        <v>647</v>
      </c>
      <c r="B1069" s="9" t="s">
        <v>643</v>
      </c>
      <c r="C1069" s="9" t="s">
        <v>105</v>
      </c>
      <c r="D1069" s="9">
        <v>1.2173399999999901</v>
      </c>
      <c r="E1069" s="9" t="s">
        <v>106</v>
      </c>
      <c r="F1069" s="9" t="s">
        <v>106</v>
      </c>
      <c r="G1069" s="9" t="s">
        <v>106</v>
      </c>
      <c r="H1069" s="9" t="s">
        <v>106</v>
      </c>
      <c r="J1069" s="9" t="s">
        <v>107</v>
      </c>
      <c r="K1069" s="9" t="s">
        <v>648</v>
      </c>
      <c r="L1069" t="str">
        <f>IF(OR(J1069="Cattle",J1069="Zebu Cattle"),IF(COUNTIF(lists!$M$2:$M$258, K1069) &gt; 0,"bos.indicus",IF(COUNTIF(lists!$L$2:$L$258, K1069) &gt; 0,"cross.bred","pure.bred.exotic")),"NA")</f>
        <v>NA</v>
      </c>
      <c r="M1069" t="str">
        <f>IF(J1069="Sheep",IF(COUNTIF(lists!$H$2:$H$258, K1069) &gt; 0,"indigenous",IF(COUNTIF(lists!$G$2:$G$258, K1069) &gt; 0,"cross.bred","not found")),"NA")</f>
        <v>not found</v>
      </c>
      <c r="N1069" t="str">
        <f>IF(J1069="Goat",IF(COUNTIF(lists!$J$2:$J$258, K1069) &gt; 0,"indigenous",IF(COUNTIF(lists!$I$2:$I$258, K1069) &gt; 0,"cross.bred","not found")),"NA")</f>
        <v>NA</v>
      </c>
      <c r="O1069" s="9" t="s">
        <v>109</v>
      </c>
      <c r="P1069" s="9" t="s">
        <v>164</v>
      </c>
      <c r="S1069" s="9" t="s">
        <v>106</v>
      </c>
      <c r="T1069" s="9">
        <v>97.9</v>
      </c>
      <c r="U1069" s="9">
        <v>135</v>
      </c>
      <c r="V1069" s="9">
        <v>925.4</v>
      </c>
      <c r="W1069" s="9">
        <v>22.4</v>
      </c>
      <c r="X1069" s="9" t="s">
        <v>106</v>
      </c>
      <c r="Y1069" s="9" t="s">
        <v>106</v>
      </c>
      <c r="Z1069" s="37"/>
      <c r="AA1069" s="37"/>
      <c r="AB1069" s="37"/>
      <c r="AE1069"/>
    </row>
    <row r="1070" spans="1:31" hidden="1">
      <c r="A1070" s="9" t="s">
        <v>647</v>
      </c>
      <c r="B1070" s="9" t="s">
        <v>644</v>
      </c>
      <c r="C1070" s="9" t="s">
        <v>105</v>
      </c>
      <c r="D1070" s="9">
        <v>1.27789</v>
      </c>
      <c r="E1070" s="9" t="s">
        <v>106</v>
      </c>
      <c r="F1070" s="9" t="s">
        <v>106</v>
      </c>
      <c r="G1070" s="9" t="s">
        <v>106</v>
      </c>
      <c r="H1070" s="9" t="s">
        <v>106</v>
      </c>
      <c r="J1070" s="9" t="s">
        <v>107</v>
      </c>
      <c r="K1070" s="9" t="s">
        <v>648</v>
      </c>
      <c r="L1070" t="str">
        <f>IF(OR(J1070="Cattle",J1070="Zebu Cattle"),IF(COUNTIF(lists!$M$2:$M$258, K1070) &gt; 0,"bos.indicus",IF(COUNTIF(lists!$L$2:$L$258, K1070) &gt; 0,"cross.bred","pure.bred.exotic")),"NA")</f>
        <v>NA</v>
      </c>
      <c r="M1070" t="str">
        <f>IF(J1070="Sheep",IF(COUNTIF(lists!$H$2:$H$258, K1070) &gt; 0,"indigenous",IF(COUNTIF(lists!$G$2:$G$258, K1070) &gt; 0,"cross.bred","not found")),"NA")</f>
        <v>not found</v>
      </c>
      <c r="N1070" t="str">
        <f>IF(J1070="Goat",IF(COUNTIF(lists!$J$2:$J$258, K1070) &gt; 0,"indigenous",IF(COUNTIF(lists!$I$2:$I$258, K1070) &gt; 0,"cross.bred","not found")),"NA")</f>
        <v>NA</v>
      </c>
      <c r="O1070" s="9" t="s">
        <v>109</v>
      </c>
      <c r="P1070" s="9" t="s">
        <v>164</v>
      </c>
      <c r="S1070" s="9" t="s">
        <v>106</v>
      </c>
      <c r="T1070" s="9">
        <v>94.4</v>
      </c>
      <c r="U1070" s="9">
        <v>159</v>
      </c>
      <c r="V1070" s="9">
        <v>928</v>
      </c>
      <c r="W1070" s="9">
        <v>22.1</v>
      </c>
      <c r="X1070" s="9" t="s">
        <v>106</v>
      </c>
      <c r="Y1070" s="9" t="s">
        <v>106</v>
      </c>
      <c r="Z1070" s="37"/>
      <c r="AA1070" s="37"/>
      <c r="AB1070" s="37"/>
      <c r="AE1070"/>
    </row>
    <row r="1071" spans="1:31" hidden="1">
      <c r="A1071" s="9" t="s">
        <v>656</v>
      </c>
      <c r="B1071" s="9" t="s">
        <v>541</v>
      </c>
      <c r="C1071" s="9" t="s">
        <v>105</v>
      </c>
      <c r="D1071" s="9">
        <v>0.64322000000000001</v>
      </c>
      <c r="E1071" s="9">
        <v>1.68</v>
      </c>
      <c r="F1071" s="9" t="s">
        <v>106</v>
      </c>
      <c r="G1071" s="9" t="s">
        <v>106</v>
      </c>
      <c r="H1071" s="9" t="s">
        <v>106</v>
      </c>
      <c r="J1071" s="9" t="s">
        <v>107</v>
      </c>
      <c r="K1071" s="9" t="s">
        <v>336</v>
      </c>
      <c r="L1071" t="str">
        <f>IF(OR(J1071="Cattle",J1071="Zebu Cattle"),IF(COUNTIF(lists!$M$2:$M$258, K1071) &gt; 0,"bos.indicus",IF(COUNTIF(lists!$L$2:$L$258, K1071) &gt; 0,"cross.bred","pure.bred.exotic")),"NA")</f>
        <v>NA</v>
      </c>
      <c r="M1071" t="str">
        <f>IF(J1071="Sheep",IF(COUNTIF(lists!$H$2:$H$258, K1071) &gt; 0,"indigenous",IF(COUNTIF(lists!$G$2:$G$258, K1071) &gt; 0,"cross.bred","not found")),"NA")</f>
        <v>not found</v>
      </c>
      <c r="N1071" t="str">
        <f>IF(J1071="Goat",IF(COUNTIF(lists!$J$2:$J$258, K1071) &gt; 0,"indigenous",IF(COUNTIF(lists!$I$2:$I$258, K1071) &gt; 0,"cross.bred","not found")),"NA")</f>
        <v>NA</v>
      </c>
      <c r="O1071" s="9" t="s">
        <v>109</v>
      </c>
      <c r="P1071" s="9" t="s">
        <v>170</v>
      </c>
      <c r="S1071" s="9">
        <v>101.9</v>
      </c>
      <c r="T1071" s="9">
        <v>55.5</v>
      </c>
      <c r="U1071" s="9">
        <v>216.9</v>
      </c>
      <c r="V1071" s="9">
        <v>910.2</v>
      </c>
      <c r="W1071" s="9" t="s">
        <v>106</v>
      </c>
      <c r="X1071" s="9">
        <v>429.4</v>
      </c>
      <c r="Y1071" s="9" t="s">
        <v>106</v>
      </c>
      <c r="Z1071" s="37"/>
      <c r="AA1071" s="37"/>
      <c r="AB1071" s="37"/>
      <c r="AE1071"/>
    </row>
    <row r="1072" spans="1:31" hidden="1">
      <c r="A1072" s="9" t="s">
        <v>656</v>
      </c>
      <c r="B1072" s="9" t="s">
        <v>657</v>
      </c>
      <c r="C1072" s="9" t="s">
        <v>105</v>
      </c>
      <c r="D1072" s="9">
        <v>0.70550999999999997</v>
      </c>
      <c r="E1072" s="9">
        <v>1.68</v>
      </c>
      <c r="F1072" s="9" t="s">
        <v>106</v>
      </c>
      <c r="G1072" s="9" t="s">
        <v>106</v>
      </c>
      <c r="H1072" s="9" t="s">
        <v>106</v>
      </c>
      <c r="J1072" s="9" t="s">
        <v>107</v>
      </c>
      <c r="K1072" s="9" t="s">
        <v>336</v>
      </c>
      <c r="L1072" t="str">
        <f>IF(OR(J1072="Cattle",J1072="Zebu Cattle"),IF(COUNTIF(lists!$M$2:$M$258, K1072) &gt; 0,"bos.indicus",IF(COUNTIF(lists!$L$2:$L$258, K1072) &gt; 0,"cross.bred","pure.bred.exotic")),"NA")</f>
        <v>NA</v>
      </c>
      <c r="M1072" t="str">
        <f>IF(J1072="Sheep",IF(COUNTIF(lists!$H$2:$H$258, K1072) &gt; 0,"indigenous",IF(COUNTIF(lists!$G$2:$G$258, K1072) &gt; 0,"cross.bred","not found")),"NA")</f>
        <v>not found</v>
      </c>
      <c r="N1072" t="str">
        <f>IF(J1072="Goat",IF(COUNTIF(lists!$J$2:$J$258, K1072) &gt; 0,"indigenous",IF(COUNTIF(lists!$I$2:$I$258, K1072) &gt; 0,"cross.bred","not found")),"NA")</f>
        <v>NA</v>
      </c>
      <c r="O1072" s="9" t="s">
        <v>109</v>
      </c>
      <c r="P1072" s="9" t="s">
        <v>170</v>
      </c>
      <c r="S1072" s="9">
        <v>227</v>
      </c>
      <c r="T1072" s="9">
        <v>48.2</v>
      </c>
      <c r="U1072" s="9">
        <v>214.4</v>
      </c>
      <c r="V1072" s="9">
        <v>908.6</v>
      </c>
      <c r="W1072" s="9" t="s">
        <v>106</v>
      </c>
      <c r="X1072" s="9">
        <v>548.1</v>
      </c>
      <c r="Y1072" s="9" t="s">
        <v>106</v>
      </c>
      <c r="Z1072" s="37"/>
      <c r="AA1072" s="37"/>
      <c r="AB1072" s="37"/>
      <c r="AE1072"/>
    </row>
    <row r="1073" spans="1:31" hidden="1">
      <c r="A1073" s="9" t="s">
        <v>656</v>
      </c>
      <c r="B1073" s="9" t="s">
        <v>658</v>
      </c>
      <c r="C1073" s="9" t="s">
        <v>105</v>
      </c>
      <c r="D1073" s="9">
        <v>0.71414999999999995</v>
      </c>
      <c r="E1073" s="9">
        <v>1.68</v>
      </c>
      <c r="F1073" s="9" t="s">
        <v>106</v>
      </c>
      <c r="G1073" s="9" t="s">
        <v>106</v>
      </c>
      <c r="H1073" s="9" t="s">
        <v>106</v>
      </c>
      <c r="J1073" s="9" t="s">
        <v>107</v>
      </c>
      <c r="K1073" s="9" t="s">
        <v>336</v>
      </c>
      <c r="L1073" t="str">
        <f>IF(OR(J1073="Cattle",J1073="Zebu Cattle"),IF(COUNTIF(lists!$M$2:$M$258, K1073) &gt; 0,"bos.indicus",IF(COUNTIF(lists!$L$2:$L$258, K1073) &gt; 0,"cross.bred","pure.bred.exotic")),"NA")</f>
        <v>NA</v>
      </c>
      <c r="M1073" t="str">
        <f>IF(J1073="Sheep",IF(COUNTIF(lists!$H$2:$H$258, K1073) &gt; 0,"indigenous",IF(COUNTIF(lists!$G$2:$G$258, K1073) &gt; 0,"cross.bred","not found")),"NA")</f>
        <v>not found</v>
      </c>
      <c r="N1073" t="str">
        <f>IF(J1073="Goat",IF(COUNTIF(lists!$J$2:$J$258, K1073) &gt; 0,"indigenous",IF(COUNTIF(lists!$I$2:$I$258, K1073) &gt; 0,"cross.bred","not found")),"NA")</f>
        <v>NA</v>
      </c>
      <c r="O1073" s="9" t="s">
        <v>109</v>
      </c>
      <c r="P1073" s="9" t="s">
        <v>170</v>
      </c>
      <c r="S1073" s="9">
        <v>278.8</v>
      </c>
      <c r="T1073" s="9">
        <v>40</v>
      </c>
      <c r="U1073" s="9">
        <v>213.1</v>
      </c>
      <c r="V1073" s="9">
        <v>910.7</v>
      </c>
      <c r="W1073" s="9" t="s">
        <v>106</v>
      </c>
      <c r="X1073" s="9">
        <v>593.9</v>
      </c>
      <c r="Y1073" s="9" t="s">
        <v>106</v>
      </c>
      <c r="Z1073" s="37"/>
      <c r="AA1073" s="37"/>
      <c r="AB1073" s="37"/>
      <c r="AE1073"/>
    </row>
    <row r="1074" spans="1:31" hidden="1">
      <c r="A1074" s="9" t="s">
        <v>660</v>
      </c>
      <c r="B1074" s="9" t="s">
        <v>661</v>
      </c>
      <c r="C1074" s="9" t="s">
        <v>105</v>
      </c>
      <c r="D1074" s="9">
        <v>0.41789999999999999</v>
      </c>
      <c r="E1074" s="9">
        <v>19.096</v>
      </c>
      <c r="F1074" s="9" t="s">
        <v>106</v>
      </c>
      <c r="G1074" s="9" t="s">
        <v>106</v>
      </c>
      <c r="H1074" s="9" t="s">
        <v>106</v>
      </c>
      <c r="J1074" s="9" t="s">
        <v>107</v>
      </c>
      <c r="K1074" s="9" t="s">
        <v>117</v>
      </c>
      <c r="L1074" t="str">
        <f>IF(OR(J1074="Cattle",J1074="Zebu Cattle"),IF(COUNTIF(lists!$M$2:$M$258, K1074) &gt; 0,"bos.indicus",IF(COUNTIF(lists!$L$2:$L$258, K1074) &gt; 0,"cross.bred","pure.bred.exotic")),"NA")</f>
        <v>NA</v>
      </c>
      <c r="M1074" t="str">
        <f>IF(J1074="Sheep",IF(COUNTIF(lists!$H$2:$H$258, K1074) &gt; 0,"indigenous",IF(COUNTIF(lists!$G$2:$G$258, K1074) &gt; 0,"cross.bred","not found")),"NA")</f>
        <v>not found</v>
      </c>
      <c r="N1074" t="str">
        <f>IF(J1074="Goat",IF(COUNTIF(lists!$J$2:$J$258, K1074) &gt; 0,"indigenous",IF(COUNTIF(lists!$I$2:$I$258, K1074) &gt; 0,"cross.bred","not found")),"NA")</f>
        <v>NA</v>
      </c>
      <c r="O1074" s="9" t="s">
        <v>109</v>
      </c>
      <c r="P1074" s="9" t="s">
        <v>479</v>
      </c>
      <c r="S1074" s="9" t="s">
        <v>106</v>
      </c>
      <c r="T1074" s="9" t="s">
        <v>106</v>
      </c>
      <c r="U1074" s="9" t="s">
        <v>106</v>
      </c>
      <c r="V1074" s="9" t="s">
        <v>106</v>
      </c>
      <c r="W1074" s="9" t="s">
        <v>106</v>
      </c>
      <c r="X1074" s="9" t="s">
        <v>106</v>
      </c>
      <c r="Y1074" s="9" t="s">
        <v>106</v>
      </c>
      <c r="Z1074" s="37"/>
      <c r="AA1074" s="37"/>
      <c r="AB1074" s="37"/>
      <c r="AE1074"/>
    </row>
    <row r="1075" spans="1:31" hidden="1">
      <c r="A1075" s="9" t="s">
        <v>660</v>
      </c>
      <c r="B1075" s="9" t="s">
        <v>662</v>
      </c>
      <c r="C1075" s="9" t="s">
        <v>105</v>
      </c>
      <c r="D1075" s="9">
        <v>0.42892999999999998</v>
      </c>
      <c r="E1075" s="9">
        <v>19.096</v>
      </c>
      <c r="F1075" s="9" t="s">
        <v>106</v>
      </c>
      <c r="G1075" s="9" t="s">
        <v>106</v>
      </c>
      <c r="H1075" s="9" t="s">
        <v>106</v>
      </c>
      <c r="J1075" s="9" t="s">
        <v>107</v>
      </c>
      <c r="K1075" s="9" t="s">
        <v>117</v>
      </c>
      <c r="L1075" t="str">
        <f>IF(OR(J1075="Cattle",J1075="Zebu Cattle"),IF(COUNTIF(lists!$M$2:$M$258, K1075) &gt; 0,"bos.indicus",IF(COUNTIF(lists!$L$2:$L$258, K1075) &gt; 0,"cross.bred","pure.bred.exotic")),"NA")</f>
        <v>NA</v>
      </c>
      <c r="M1075" t="str">
        <f>IF(J1075="Sheep",IF(COUNTIF(lists!$H$2:$H$258, K1075) &gt; 0,"indigenous",IF(COUNTIF(lists!$G$2:$G$258, K1075) &gt; 0,"cross.bred","not found")),"NA")</f>
        <v>not found</v>
      </c>
      <c r="N1075" t="str">
        <f>IF(J1075="Goat",IF(COUNTIF(lists!$J$2:$J$258, K1075) &gt; 0,"indigenous",IF(COUNTIF(lists!$I$2:$I$258, K1075) &gt; 0,"cross.bred","not found")),"NA")</f>
        <v>NA</v>
      </c>
      <c r="O1075" s="9" t="s">
        <v>109</v>
      </c>
      <c r="P1075" s="9" t="s">
        <v>479</v>
      </c>
      <c r="S1075" s="9" t="s">
        <v>106</v>
      </c>
      <c r="T1075" s="9" t="s">
        <v>106</v>
      </c>
      <c r="U1075" s="9" t="s">
        <v>106</v>
      </c>
      <c r="V1075" s="9" t="s">
        <v>106</v>
      </c>
      <c r="W1075" s="9" t="s">
        <v>106</v>
      </c>
      <c r="X1075" s="9" t="s">
        <v>106</v>
      </c>
      <c r="Y1075" s="9" t="s">
        <v>106</v>
      </c>
      <c r="Z1075" s="37"/>
      <c r="AA1075" s="37"/>
      <c r="AB1075" s="37"/>
      <c r="AE1075"/>
    </row>
    <row r="1076" spans="1:31" hidden="1">
      <c r="A1076" s="9" t="s">
        <v>660</v>
      </c>
      <c r="B1076" s="9" t="s">
        <v>663</v>
      </c>
      <c r="C1076" s="9" t="s">
        <v>105</v>
      </c>
      <c r="D1076" s="9">
        <v>0.32200000000000001</v>
      </c>
      <c r="E1076" s="9">
        <v>19.096</v>
      </c>
      <c r="F1076" s="9" t="s">
        <v>106</v>
      </c>
      <c r="G1076" s="9" t="s">
        <v>106</v>
      </c>
      <c r="H1076" s="9" t="s">
        <v>106</v>
      </c>
      <c r="J1076" s="9" t="s">
        <v>107</v>
      </c>
      <c r="K1076" s="9" t="s">
        <v>117</v>
      </c>
      <c r="L1076" t="str">
        <f>IF(OR(J1076="Cattle",J1076="Zebu Cattle"),IF(COUNTIF(lists!$M$2:$M$258, K1076) &gt; 0,"bos.indicus",IF(COUNTIF(lists!$L$2:$L$258, K1076) &gt; 0,"cross.bred","pure.bred.exotic")),"NA")</f>
        <v>NA</v>
      </c>
      <c r="M1076" t="str">
        <f>IF(J1076="Sheep",IF(COUNTIF(lists!$H$2:$H$258, K1076) &gt; 0,"indigenous",IF(COUNTIF(lists!$G$2:$G$258, K1076) &gt; 0,"cross.bred","not found")),"NA")</f>
        <v>not found</v>
      </c>
      <c r="N1076" t="str">
        <f>IF(J1076="Goat",IF(COUNTIF(lists!$J$2:$J$258, K1076) &gt; 0,"indigenous",IF(COUNTIF(lists!$I$2:$I$258, K1076) &gt; 0,"cross.bred","not found")),"NA")</f>
        <v>NA</v>
      </c>
      <c r="O1076" s="9" t="s">
        <v>109</v>
      </c>
      <c r="P1076" s="9" t="s">
        <v>479</v>
      </c>
      <c r="S1076" s="9" t="s">
        <v>106</v>
      </c>
      <c r="T1076" s="9" t="s">
        <v>106</v>
      </c>
      <c r="U1076" s="9" t="s">
        <v>106</v>
      </c>
      <c r="V1076" s="9" t="s">
        <v>106</v>
      </c>
      <c r="W1076" s="9" t="s">
        <v>106</v>
      </c>
      <c r="X1076" s="9" t="s">
        <v>106</v>
      </c>
      <c r="Y1076" s="9" t="s">
        <v>106</v>
      </c>
      <c r="Z1076" s="37"/>
      <c r="AA1076" s="37"/>
      <c r="AB1076" s="37"/>
      <c r="AE1076"/>
    </row>
    <row r="1077" spans="1:31" hidden="1">
      <c r="A1077" s="9" t="s">
        <v>660</v>
      </c>
      <c r="B1077" s="9" t="s">
        <v>664</v>
      </c>
      <c r="C1077" s="9" t="s">
        <v>105</v>
      </c>
      <c r="D1077" s="9">
        <v>0.28810000000000002</v>
      </c>
      <c r="E1077" s="9">
        <v>19.096</v>
      </c>
      <c r="F1077" s="9" t="s">
        <v>106</v>
      </c>
      <c r="G1077" s="9" t="s">
        <v>106</v>
      </c>
      <c r="H1077" s="9" t="s">
        <v>106</v>
      </c>
      <c r="J1077" s="9" t="s">
        <v>107</v>
      </c>
      <c r="K1077" s="9" t="s">
        <v>117</v>
      </c>
      <c r="L1077" t="str">
        <f>IF(OR(J1077="Cattle",J1077="Zebu Cattle"),IF(COUNTIF(lists!$M$2:$M$258, K1077) &gt; 0,"bos.indicus",IF(COUNTIF(lists!$L$2:$L$258, K1077) &gt; 0,"cross.bred","pure.bred.exotic")),"NA")</f>
        <v>NA</v>
      </c>
      <c r="M1077" t="str">
        <f>IF(J1077="Sheep",IF(COUNTIF(lists!$H$2:$H$258, K1077) &gt; 0,"indigenous",IF(COUNTIF(lists!$G$2:$G$258, K1077) &gt; 0,"cross.bred","not found")),"NA")</f>
        <v>not found</v>
      </c>
      <c r="N1077" t="str">
        <f>IF(J1077="Goat",IF(COUNTIF(lists!$J$2:$J$258, K1077) &gt; 0,"indigenous",IF(COUNTIF(lists!$I$2:$I$258, K1077) &gt; 0,"cross.bred","not found")),"NA")</f>
        <v>NA</v>
      </c>
      <c r="O1077" s="9" t="s">
        <v>109</v>
      </c>
      <c r="P1077" s="9" t="s">
        <v>479</v>
      </c>
      <c r="S1077" s="9" t="s">
        <v>106</v>
      </c>
      <c r="T1077" s="9" t="s">
        <v>106</v>
      </c>
      <c r="U1077" s="9" t="s">
        <v>106</v>
      </c>
      <c r="V1077" s="9" t="s">
        <v>106</v>
      </c>
      <c r="W1077" s="9" t="s">
        <v>106</v>
      </c>
      <c r="X1077" s="9" t="s">
        <v>106</v>
      </c>
      <c r="Y1077" s="9" t="s">
        <v>106</v>
      </c>
      <c r="Z1077" s="37"/>
      <c r="AA1077" s="37"/>
      <c r="AB1077" s="37"/>
      <c r="AE1077"/>
    </row>
    <row r="1078" spans="1:31" hidden="1">
      <c r="A1078" s="9" t="s">
        <v>675</v>
      </c>
      <c r="B1078" s="9" t="s">
        <v>642</v>
      </c>
      <c r="C1078" s="9" t="s">
        <v>105</v>
      </c>
      <c r="D1078" s="9">
        <v>0.54413999999999996</v>
      </c>
      <c r="E1078" s="9">
        <v>93.19</v>
      </c>
      <c r="F1078" s="9" t="s">
        <v>106</v>
      </c>
      <c r="G1078" s="9" t="s">
        <v>106</v>
      </c>
      <c r="H1078" s="9" t="s">
        <v>106</v>
      </c>
      <c r="J1078" s="9" t="s">
        <v>107</v>
      </c>
      <c r="K1078" s="9" t="s">
        <v>117</v>
      </c>
      <c r="L1078" t="str">
        <f>IF(OR(J1078="Cattle",J1078="Zebu Cattle"),IF(COUNTIF(lists!$M$2:$M$258, K1078) &gt; 0,"bos.indicus",IF(COUNTIF(lists!$L$2:$L$258, K1078) &gt; 0,"cross.bred","pure.bred.exotic")),"NA")</f>
        <v>NA</v>
      </c>
      <c r="M1078" t="str">
        <f>IF(J1078="Sheep",IF(COUNTIF(lists!$H$2:$H$258, K1078) &gt; 0,"indigenous",IF(COUNTIF(lists!$G$2:$G$258, K1078) &gt; 0,"cross.bred","not found")),"NA")</f>
        <v>not found</v>
      </c>
      <c r="N1078" t="str">
        <f>IF(J1078="Goat",IF(COUNTIF(lists!$J$2:$J$258, K1078) &gt; 0,"indigenous",IF(COUNTIF(lists!$I$2:$I$258, K1078) &gt; 0,"cross.bred","not found")),"NA")</f>
        <v>NA</v>
      </c>
      <c r="O1078" s="9" t="s">
        <v>109</v>
      </c>
      <c r="P1078" s="9" t="s">
        <v>110</v>
      </c>
      <c r="S1078" s="9" t="s">
        <v>106</v>
      </c>
      <c r="T1078" s="9" t="s">
        <v>106</v>
      </c>
      <c r="U1078" s="9" t="s">
        <v>106</v>
      </c>
      <c r="V1078" s="9" t="s">
        <v>106</v>
      </c>
      <c r="W1078" s="9" t="s">
        <v>106</v>
      </c>
      <c r="X1078" s="9" t="s">
        <v>106</v>
      </c>
      <c r="Y1078" s="9" t="s">
        <v>106</v>
      </c>
      <c r="Z1078" s="37"/>
      <c r="AA1078" s="37"/>
      <c r="AB1078" s="37"/>
      <c r="AE1078"/>
    </row>
    <row r="1079" spans="1:31" hidden="1">
      <c r="A1079" s="9" t="s">
        <v>675</v>
      </c>
      <c r="B1079" s="9" t="s">
        <v>643</v>
      </c>
      <c r="C1079" s="9" t="s">
        <v>105</v>
      </c>
      <c r="D1079" s="9">
        <v>0.49720999999999999</v>
      </c>
      <c r="E1079" s="9">
        <v>93.19</v>
      </c>
      <c r="F1079" s="9" t="s">
        <v>106</v>
      </c>
      <c r="G1079" s="9" t="s">
        <v>106</v>
      </c>
      <c r="H1079" s="9" t="s">
        <v>106</v>
      </c>
      <c r="J1079" s="9" t="s">
        <v>107</v>
      </c>
      <c r="K1079" s="9" t="s">
        <v>117</v>
      </c>
      <c r="L1079" t="str">
        <f>IF(OR(J1079="Cattle",J1079="Zebu Cattle"),IF(COUNTIF(lists!$M$2:$M$258, K1079) &gt; 0,"bos.indicus",IF(COUNTIF(lists!$L$2:$L$258, K1079) &gt; 0,"cross.bred","pure.bred.exotic")),"NA")</f>
        <v>NA</v>
      </c>
      <c r="M1079" t="str">
        <f>IF(J1079="Sheep",IF(COUNTIF(lists!$H$2:$H$258, K1079) &gt; 0,"indigenous",IF(COUNTIF(lists!$G$2:$G$258, K1079) &gt; 0,"cross.bred","not found")),"NA")</f>
        <v>not found</v>
      </c>
      <c r="N1079" t="str">
        <f>IF(J1079="Goat",IF(COUNTIF(lists!$J$2:$J$258, K1079) &gt; 0,"indigenous",IF(COUNTIF(lists!$I$2:$I$258, K1079) &gt; 0,"cross.bred","not found")),"NA")</f>
        <v>NA</v>
      </c>
      <c r="O1079" s="9" t="s">
        <v>109</v>
      </c>
      <c r="P1079" s="9" t="s">
        <v>110</v>
      </c>
      <c r="S1079" s="9" t="s">
        <v>106</v>
      </c>
      <c r="T1079" s="9" t="s">
        <v>106</v>
      </c>
      <c r="U1079" s="9" t="s">
        <v>106</v>
      </c>
      <c r="V1079" s="9" t="s">
        <v>106</v>
      </c>
      <c r="W1079" s="9" t="s">
        <v>106</v>
      </c>
      <c r="X1079" s="9" t="s">
        <v>106</v>
      </c>
      <c r="Y1079" s="9" t="s">
        <v>106</v>
      </c>
      <c r="Z1079" s="37"/>
      <c r="AA1079" s="37"/>
      <c r="AB1079" s="37"/>
      <c r="AE1079"/>
    </row>
    <row r="1080" spans="1:31" hidden="1">
      <c r="A1080" s="9" t="s">
        <v>675</v>
      </c>
      <c r="B1080" s="9" t="s">
        <v>644</v>
      </c>
      <c r="C1080" s="9" t="s">
        <v>105</v>
      </c>
      <c r="D1080" s="9">
        <v>0.50746000000000002</v>
      </c>
      <c r="E1080" s="9">
        <v>93.19</v>
      </c>
      <c r="F1080" s="9" t="s">
        <v>106</v>
      </c>
      <c r="G1080" s="9" t="s">
        <v>106</v>
      </c>
      <c r="H1080" s="9" t="s">
        <v>106</v>
      </c>
      <c r="J1080" s="9" t="s">
        <v>107</v>
      </c>
      <c r="K1080" s="9" t="s">
        <v>117</v>
      </c>
      <c r="L1080" t="str">
        <f>IF(OR(J1080="Cattle",J1080="Zebu Cattle"),IF(COUNTIF(lists!$M$2:$M$258, K1080) &gt; 0,"bos.indicus",IF(COUNTIF(lists!$L$2:$L$258, K1080) &gt; 0,"cross.bred","pure.bred.exotic")),"NA")</f>
        <v>NA</v>
      </c>
      <c r="M1080" t="str">
        <f>IF(J1080="Sheep",IF(COUNTIF(lists!$H$2:$H$258, K1080) &gt; 0,"indigenous",IF(COUNTIF(lists!$G$2:$G$258, K1080) &gt; 0,"cross.bred","not found")),"NA")</f>
        <v>not found</v>
      </c>
      <c r="N1080" t="str">
        <f>IF(J1080="Goat",IF(COUNTIF(lists!$J$2:$J$258, K1080) &gt; 0,"indigenous",IF(COUNTIF(lists!$I$2:$I$258, K1080) &gt; 0,"cross.bred","not found")),"NA")</f>
        <v>NA</v>
      </c>
      <c r="O1080" s="9" t="s">
        <v>109</v>
      </c>
      <c r="P1080" s="9" t="s">
        <v>110</v>
      </c>
      <c r="S1080" s="9" t="s">
        <v>106</v>
      </c>
      <c r="T1080" s="9" t="s">
        <v>106</v>
      </c>
      <c r="U1080" s="9" t="s">
        <v>106</v>
      </c>
      <c r="V1080" s="9" t="s">
        <v>106</v>
      </c>
      <c r="W1080" s="9" t="s">
        <v>106</v>
      </c>
      <c r="X1080" s="9" t="s">
        <v>106</v>
      </c>
      <c r="Y1080" s="9" t="s">
        <v>106</v>
      </c>
      <c r="Z1080" s="37"/>
      <c r="AA1080" s="37"/>
      <c r="AB1080" s="37"/>
      <c r="AE1080"/>
    </row>
    <row r="1081" spans="1:31" hidden="1">
      <c r="A1081" s="9" t="s">
        <v>675</v>
      </c>
      <c r="B1081" s="9" t="s">
        <v>645</v>
      </c>
      <c r="C1081" s="9" t="s">
        <v>105</v>
      </c>
      <c r="D1081" s="9">
        <v>0.49437999999999999</v>
      </c>
      <c r="E1081" s="9">
        <v>93.19</v>
      </c>
      <c r="F1081" s="9" t="s">
        <v>106</v>
      </c>
      <c r="G1081" s="9" t="s">
        <v>106</v>
      </c>
      <c r="H1081" s="9" t="s">
        <v>106</v>
      </c>
      <c r="J1081" s="9" t="s">
        <v>107</v>
      </c>
      <c r="K1081" s="9" t="s">
        <v>117</v>
      </c>
      <c r="L1081" t="str">
        <f>IF(OR(J1081="Cattle",J1081="Zebu Cattle"),IF(COUNTIF(lists!$M$2:$M$258, K1081) &gt; 0,"bos.indicus",IF(COUNTIF(lists!$L$2:$L$258, K1081) &gt; 0,"cross.bred","pure.bred.exotic")),"NA")</f>
        <v>NA</v>
      </c>
      <c r="M1081" t="str">
        <f>IF(J1081="Sheep",IF(COUNTIF(lists!$H$2:$H$258, K1081) &gt; 0,"indigenous",IF(COUNTIF(lists!$G$2:$G$258, K1081) &gt; 0,"cross.bred","not found")),"NA")</f>
        <v>not found</v>
      </c>
      <c r="N1081" t="str">
        <f>IF(J1081="Goat",IF(COUNTIF(lists!$J$2:$J$258, K1081) &gt; 0,"indigenous",IF(COUNTIF(lists!$I$2:$I$258, K1081) &gt; 0,"cross.bred","not found")),"NA")</f>
        <v>NA</v>
      </c>
      <c r="O1081" s="9" t="s">
        <v>109</v>
      </c>
      <c r="P1081" s="9" t="s">
        <v>110</v>
      </c>
      <c r="S1081" s="9" t="s">
        <v>106</v>
      </c>
      <c r="T1081" s="9" t="s">
        <v>106</v>
      </c>
      <c r="U1081" s="9" t="s">
        <v>106</v>
      </c>
      <c r="V1081" s="9" t="s">
        <v>106</v>
      </c>
      <c r="W1081" s="9" t="s">
        <v>106</v>
      </c>
      <c r="X1081" s="9" t="s">
        <v>106</v>
      </c>
      <c r="Y1081" s="9" t="s">
        <v>106</v>
      </c>
      <c r="Z1081" s="37"/>
      <c r="AA1081" s="37"/>
      <c r="AB1081" s="37"/>
      <c r="AE1081"/>
    </row>
    <row r="1082" spans="1:31" hidden="1">
      <c r="A1082" s="9" t="s">
        <v>699</v>
      </c>
      <c r="B1082" s="9" t="s">
        <v>642</v>
      </c>
      <c r="C1082" s="9" t="s">
        <v>105</v>
      </c>
      <c r="D1082" s="9">
        <v>0.79100000000000004</v>
      </c>
      <c r="E1082" s="9">
        <v>14</v>
      </c>
      <c r="F1082" s="9" t="s">
        <v>106</v>
      </c>
      <c r="G1082" s="9" t="s">
        <v>106</v>
      </c>
      <c r="H1082" s="9" t="s">
        <v>106</v>
      </c>
      <c r="J1082" s="9" t="s">
        <v>107</v>
      </c>
      <c r="K1082" s="9" t="s">
        <v>336</v>
      </c>
      <c r="L1082" t="str">
        <f>IF(OR(J1082="Cattle",J1082="Zebu Cattle"),IF(COUNTIF(lists!$M$2:$M$258, K1082) &gt; 0,"bos.indicus",IF(COUNTIF(lists!$L$2:$L$258, K1082) &gt; 0,"cross.bred","pure.bred.exotic")),"NA")</f>
        <v>NA</v>
      </c>
      <c r="M1082" t="str">
        <f>IF(J1082="Sheep",IF(COUNTIF(lists!$H$2:$H$258, K1082) &gt; 0,"indigenous",IF(COUNTIF(lists!$G$2:$G$258, K1082) &gt; 0,"cross.bred","not found")),"NA")</f>
        <v>not found</v>
      </c>
      <c r="N1082" t="str">
        <f>IF(J1082="Goat",IF(COUNTIF(lists!$J$2:$J$258, K1082) &gt; 0,"indigenous",IF(COUNTIF(lists!$I$2:$I$258, K1082) &gt; 0,"cross.bred","not found")),"NA")</f>
        <v>NA</v>
      </c>
      <c r="O1082" s="9" t="s">
        <v>109</v>
      </c>
      <c r="P1082" s="9" t="s">
        <v>187</v>
      </c>
      <c r="S1082" s="9" t="s">
        <v>106</v>
      </c>
      <c r="T1082" s="9" t="s">
        <v>106</v>
      </c>
      <c r="U1082" s="9" t="s">
        <v>106</v>
      </c>
      <c r="V1082" s="9" t="s">
        <v>106</v>
      </c>
      <c r="W1082" s="9" t="s">
        <v>106</v>
      </c>
      <c r="X1082" s="9" t="s">
        <v>106</v>
      </c>
      <c r="Y1082" s="9">
        <v>60.2</v>
      </c>
      <c r="Z1082" s="37"/>
      <c r="AA1082" s="37"/>
      <c r="AB1082" s="37"/>
      <c r="AE1082"/>
    </row>
    <row r="1083" spans="1:31" hidden="1">
      <c r="A1083" s="9" t="s">
        <v>699</v>
      </c>
      <c r="B1083" s="9" t="s">
        <v>643</v>
      </c>
      <c r="C1083" s="9" t="s">
        <v>105</v>
      </c>
      <c r="D1083" s="9">
        <v>0.84199999999999997</v>
      </c>
      <c r="E1083" s="9">
        <v>14</v>
      </c>
      <c r="F1083" s="9" t="s">
        <v>106</v>
      </c>
      <c r="G1083" s="9" t="s">
        <v>106</v>
      </c>
      <c r="H1083" s="9" t="s">
        <v>106</v>
      </c>
      <c r="J1083" s="9" t="s">
        <v>107</v>
      </c>
      <c r="K1083" s="9" t="s">
        <v>336</v>
      </c>
      <c r="L1083" t="str">
        <f>IF(OR(J1083="Cattle",J1083="Zebu Cattle"),IF(COUNTIF(lists!$M$2:$M$258, K1083) &gt; 0,"bos.indicus",IF(COUNTIF(lists!$L$2:$L$258, K1083) &gt; 0,"cross.bred","pure.bred.exotic")),"NA")</f>
        <v>NA</v>
      </c>
      <c r="M1083" t="str">
        <f>IF(J1083="Sheep",IF(COUNTIF(lists!$H$2:$H$258, K1083) &gt; 0,"indigenous",IF(COUNTIF(lists!$G$2:$G$258, K1083) &gt; 0,"cross.bred","not found")),"NA")</f>
        <v>not found</v>
      </c>
      <c r="N1083" t="str">
        <f>IF(J1083="Goat",IF(COUNTIF(lists!$J$2:$J$258, K1083) &gt; 0,"indigenous",IF(COUNTIF(lists!$I$2:$I$258, K1083) &gt; 0,"cross.bred","not found")),"NA")</f>
        <v>NA</v>
      </c>
      <c r="O1083" s="9" t="s">
        <v>109</v>
      </c>
      <c r="P1083" s="9" t="s">
        <v>187</v>
      </c>
      <c r="S1083" s="9" t="s">
        <v>106</v>
      </c>
      <c r="T1083" s="9" t="s">
        <v>106</v>
      </c>
      <c r="U1083" s="9" t="s">
        <v>106</v>
      </c>
      <c r="V1083" s="9" t="s">
        <v>106</v>
      </c>
      <c r="W1083" s="9" t="s">
        <v>106</v>
      </c>
      <c r="X1083" s="9" t="s">
        <v>106</v>
      </c>
      <c r="Y1083" s="9">
        <v>66.2</v>
      </c>
      <c r="Z1083" s="37"/>
      <c r="AA1083" s="37"/>
      <c r="AB1083" s="37"/>
      <c r="AE1083"/>
    </row>
    <row r="1084" spans="1:31" hidden="1">
      <c r="A1084" s="9" t="s">
        <v>699</v>
      </c>
      <c r="B1084" s="9" t="s">
        <v>644</v>
      </c>
      <c r="C1084" s="9" t="s">
        <v>105</v>
      </c>
      <c r="D1084" s="9">
        <v>0.85199999999999998</v>
      </c>
      <c r="E1084" s="9">
        <v>14</v>
      </c>
      <c r="F1084" s="9" t="s">
        <v>106</v>
      </c>
      <c r="G1084" s="9" t="s">
        <v>106</v>
      </c>
      <c r="H1084" s="9" t="s">
        <v>106</v>
      </c>
      <c r="J1084" s="9" t="s">
        <v>107</v>
      </c>
      <c r="K1084" s="9" t="s">
        <v>336</v>
      </c>
      <c r="L1084" t="str">
        <f>IF(OR(J1084="Cattle",J1084="Zebu Cattle"),IF(COUNTIF(lists!$M$2:$M$258, K1084) &gt; 0,"bos.indicus",IF(COUNTIF(lists!$L$2:$L$258, K1084) &gt; 0,"cross.bred","pure.bred.exotic")),"NA")</f>
        <v>NA</v>
      </c>
      <c r="M1084" t="str">
        <f>IF(J1084="Sheep",IF(COUNTIF(lists!$H$2:$H$258, K1084) &gt; 0,"indigenous",IF(COUNTIF(lists!$G$2:$G$258, K1084) &gt; 0,"cross.bred","not found")),"NA")</f>
        <v>not found</v>
      </c>
      <c r="N1084" t="str">
        <f>IF(J1084="Goat",IF(COUNTIF(lists!$J$2:$J$258, K1084) &gt; 0,"indigenous",IF(COUNTIF(lists!$I$2:$I$258, K1084) &gt; 0,"cross.bred","not found")),"NA")</f>
        <v>NA</v>
      </c>
      <c r="O1084" s="9" t="s">
        <v>109</v>
      </c>
      <c r="P1084" s="9" t="s">
        <v>187</v>
      </c>
      <c r="S1084" s="9" t="s">
        <v>106</v>
      </c>
      <c r="T1084" s="9" t="s">
        <v>106</v>
      </c>
      <c r="U1084" s="9" t="s">
        <v>106</v>
      </c>
      <c r="V1084" s="9" t="s">
        <v>106</v>
      </c>
      <c r="W1084" s="9" t="s">
        <v>106</v>
      </c>
      <c r="X1084" s="9" t="s">
        <v>106</v>
      </c>
      <c r="Y1084" s="9">
        <v>67.8</v>
      </c>
      <c r="Z1084" s="37"/>
      <c r="AA1084" s="37"/>
      <c r="AB1084" s="37"/>
      <c r="AE1084"/>
    </row>
    <row r="1085" spans="1:31" hidden="1">
      <c r="A1085" s="9" t="s">
        <v>699</v>
      </c>
      <c r="B1085" s="9" t="s">
        <v>645</v>
      </c>
      <c r="C1085" s="9" t="s">
        <v>105</v>
      </c>
      <c r="D1085" s="9">
        <v>0.86099999999999999</v>
      </c>
      <c r="E1085" s="9">
        <v>14</v>
      </c>
      <c r="F1085" s="9" t="s">
        <v>106</v>
      </c>
      <c r="G1085" s="9" t="s">
        <v>106</v>
      </c>
      <c r="H1085" s="9" t="s">
        <v>106</v>
      </c>
      <c r="J1085" s="9" t="s">
        <v>107</v>
      </c>
      <c r="K1085" s="9" t="s">
        <v>336</v>
      </c>
      <c r="L1085" t="str">
        <f>IF(OR(J1085="Cattle",J1085="Zebu Cattle"),IF(COUNTIF(lists!$M$2:$M$258, K1085) &gt; 0,"bos.indicus",IF(COUNTIF(lists!$L$2:$L$258, K1085) &gt; 0,"cross.bred","pure.bred.exotic")),"NA")</f>
        <v>NA</v>
      </c>
      <c r="M1085" t="str">
        <f>IF(J1085="Sheep",IF(COUNTIF(lists!$H$2:$H$258, K1085) &gt; 0,"indigenous",IF(COUNTIF(lists!$G$2:$G$258, K1085) &gt; 0,"cross.bred","not found")),"NA")</f>
        <v>not found</v>
      </c>
      <c r="N1085" t="str">
        <f>IF(J1085="Goat",IF(COUNTIF(lists!$J$2:$J$258, K1085) &gt; 0,"indigenous",IF(COUNTIF(lists!$I$2:$I$258, K1085) &gt; 0,"cross.bred","not found")),"NA")</f>
        <v>NA</v>
      </c>
      <c r="O1085" s="9" t="s">
        <v>109</v>
      </c>
      <c r="P1085" s="9" t="s">
        <v>187</v>
      </c>
      <c r="S1085" s="9" t="s">
        <v>106</v>
      </c>
      <c r="T1085" s="9" t="s">
        <v>106</v>
      </c>
      <c r="U1085" s="9" t="s">
        <v>106</v>
      </c>
      <c r="V1085" s="9" t="s">
        <v>106</v>
      </c>
      <c r="W1085" s="9" t="s">
        <v>106</v>
      </c>
      <c r="X1085" s="9" t="s">
        <v>106</v>
      </c>
      <c r="Y1085" s="9">
        <v>68.900000000000006</v>
      </c>
      <c r="Z1085" s="37"/>
      <c r="AA1085" s="37"/>
      <c r="AB1085" s="37"/>
      <c r="AE1085"/>
    </row>
    <row r="1086" spans="1:31" hidden="1">
      <c r="A1086" s="9" t="s">
        <v>700</v>
      </c>
      <c r="B1086" s="9" t="s">
        <v>642</v>
      </c>
      <c r="C1086" s="9" t="s">
        <v>105</v>
      </c>
      <c r="D1086" s="9">
        <v>0.60707</v>
      </c>
      <c r="E1086" s="9">
        <v>5.36</v>
      </c>
      <c r="F1086" s="9" t="s">
        <v>106</v>
      </c>
      <c r="G1086" s="9" t="s">
        <v>106</v>
      </c>
      <c r="H1086" s="9" t="s">
        <v>106</v>
      </c>
      <c r="J1086" s="9" t="s">
        <v>107</v>
      </c>
      <c r="K1086" s="9" t="s">
        <v>620</v>
      </c>
      <c r="L1086" t="str">
        <f>IF(OR(J1086="Cattle",J1086="Zebu Cattle"),IF(COUNTIF(lists!$M$2:$M$258, K1086) &gt; 0,"bos.indicus",IF(COUNTIF(lists!$L$2:$L$258, K1086) &gt; 0,"cross.bred","pure.bred.exotic")),"NA")</f>
        <v>NA</v>
      </c>
      <c r="M1086" t="str">
        <f>IF(J1086="Sheep",IF(COUNTIF(lists!$H$2:$H$258, K1086) &gt; 0,"indigenous",IF(COUNTIF(lists!$G$2:$G$258, K1086) &gt; 0,"cross.bred","not found")),"NA")</f>
        <v>not found</v>
      </c>
      <c r="N1086" t="str">
        <f>IF(J1086="Goat",IF(COUNTIF(lists!$J$2:$J$258, K1086) &gt; 0,"indigenous",IF(COUNTIF(lists!$I$2:$I$258, K1086) &gt; 0,"cross.bred","not found")),"NA")</f>
        <v>NA</v>
      </c>
      <c r="O1086" s="9" t="s">
        <v>109</v>
      </c>
      <c r="P1086" s="9" t="s">
        <v>187</v>
      </c>
      <c r="S1086" s="9" t="s">
        <v>106</v>
      </c>
      <c r="T1086" s="9" t="s">
        <v>106</v>
      </c>
      <c r="U1086" s="9" t="s">
        <v>106</v>
      </c>
      <c r="V1086" s="9" t="s">
        <v>106</v>
      </c>
      <c r="W1086" s="9" t="s">
        <v>106</v>
      </c>
      <c r="X1086" s="9" t="s">
        <v>106</v>
      </c>
      <c r="Y1086" s="9" t="s">
        <v>106</v>
      </c>
      <c r="Z1086" s="37"/>
      <c r="AA1086" s="37"/>
      <c r="AB1086" s="37"/>
      <c r="AE1086"/>
    </row>
    <row r="1087" spans="1:31" hidden="1">
      <c r="A1087" s="9" t="s">
        <v>700</v>
      </c>
      <c r="B1087" s="9" t="s">
        <v>643</v>
      </c>
      <c r="C1087" s="9" t="s">
        <v>105</v>
      </c>
      <c r="D1087" s="9">
        <v>0.60960000000000003</v>
      </c>
      <c r="E1087" s="9">
        <v>5.36</v>
      </c>
      <c r="F1087" s="9" t="s">
        <v>106</v>
      </c>
      <c r="G1087" s="9" t="s">
        <v>106</v>
      </c>
      <c r="H1087" s="9" t="s">
        <v>106</v>
      </c>
      <c r="J1087" s="9" t="s">
        <v>107</v>
      </c>
      <c r="K1087" s="9" t="s">
        <v>620</v>
      </c>
      <c r="L1087" t="str">
        <f>IF(OR(J1087="Cattle",J1087="Zebu Cattle"),IF(COUNTIF(lists!$M$2:$M$258, K1087) &gt; 0,"bos.indicus",IF(COUNTIF(lists!$L$2:$L$258, K1087) &gt; 0,"cross.bred","pure.bred.exotic")),"NA")</f>
        <v>NA</v>
      </c>
      <c r="M1087" t="str">
        <f>IF(J1087="Sheep",IF(COUNTIF(lists!$H$2:$H$258, K1087) &gt; 0,"indigenous",IF(COUNTIF(lists!$G$2:$G$258, K1087) &gt; 0,"cross.bred","not found")),"NA")</f>
        <v>not found</v>
      </c>
      <c r="N1087" t="str">
        <f>IF(J1087="Goat",IF(COUNTIF(lists!$J$2:$J$258, K1087) &gt; 0,"indigenous",IF(COUNTIF(lists!$I$2:$I$258, K1087) &gt; 0,"cross.bred","not found")),"NA")</f>
        <v>NA</v>
      </c>
      <c r="O1087" s="9" t="s">
        <v>109</v>
      </c>
      <c r="P1087" s="9" t="s">
        <v>187</v>
      </c>
      <c r="S1087" s="9" t="s">
        <v>106</v>
      </c>
      <c r="T1087" s="9" t="s">
        <v>106</v>
      </c>
      <c r="U1087" s="9" t="s">
        <v>106</v>
      </c>
      <c r="V1087" s="9" t="s">
        <v>106</v>
      </c>
      <c r="W1087" s="9" t="s">
        <v>106</v>
      </c>
      <c r="X1087" s="9" t="s">
        <v>106</v>
      </c>
      <c r="Y1087" s="9" t="s">
        <v>106</v>
      </c>
      <c r="Z1087" s="37"/>
      <c r="AA1087" s="37"/>
      <c r="AB1087" s="37"/>
      <c r="AE1087"/>
    </row>
    <row r="1088" spans="1:31" hidden="1">
      <c r="A1088" s="9" t="s">
        <v>700</v>
      </c>
      <c r="B1088" s="9" t="s">
        <v>644</v>
      </c>
      <c r="C1088" s="9" t="s">
        <v>105</v>
      </c>
      <c r="D1088" s="9">
        <v>0.61694000000000004</v>
      </c>
      <c r="E1088" s="9">
        <v>5.36</v>
      </c>
      <c r="F1088" s="9" t="s">
        <v>106</v>
      </c>
      <c r="G1088" s="9" t="s">
        <v>106</v>
      </c>
      <c r="H1088" s="9" t="s">
        <v>106</v>
      </c>
      <c r="J1088" s="9" t="s">
        <v>107</v>
      </c>
      <c r="K1088" s="9" t="s">
        <v>620</v>
      </c>
      <c r="L1088" t="str">
        <f>IF(OR(J1088="Cattle",J1088="Zebu Cattle"),IF(COUNTIF(lists!$M$2:$M$258, K1088) &gt; 0,"bos.indicus",IF(COUNTIF(lists!$L$2:$L$258, K1088) &gt; 0,"cross.bred","pure.bred.exotic")),"NA")</f>
        <v>NA</v>
      </c>
      <c r="M1088" t="str">
        <f>IF(J1088="Sheep",IF(COUNTIF(lists!$H$2:$H$258, K1088) &gt; 0,"indigenous",IF(COUNTIF(lists!$G$2:$G$258, K1088) &gt; 0,"cross.bred","not found")),"NA")</f>
        <v>not found</v>
      </c>
      <c r="N1088" t="str">
        <f>IF(J1088="Goat",IF(COUNTIF(lists!$J$2:$J$258, K1088) &gt; 0,"indigenous",IF(COUNTIF(lists!$I$2:$I$258, K1088) &gt; 0,"cross.bred","not found")),"NA")</f>
        <v>NA</v>
      </c>
      <c r="O1088" s="9" t="s">
        <v>109</v>
      </c>
      <c r="P1088" s="9" t="s">
        <v>187</v>
      </c>
      <c r="S1088" s="9" t="s">
        <v>106</v>
      </c>
      <c r="T1088" s="9" t="s">
        <v>106</v>
      </c>
      <c r="U1088" s="9" t="s">
        <v>106</v>
      </c>
      <c r="V1088" s="9" t="s">
        <v>106</v>
      </c>
      <c r="W1088" s="9" t="s">
        <v>106</v>
      </c>
      <c r="X1088" s="9" t="s">
        <v>106</v>
      </c>
      <c r="Y1088" s="9" t="s">
        <v>106</v>
      </c>
      <c r="Z1088" s="37"/>
      <c r="AA1088" s="37"/>
      <c r="AB1088" s="37"/>
      <c r="AE1088"/>
    </row>
    <row r="1089" spans="1:31" hidden="1">
      <c r="A1089" s="9" t="s">
        <v>700</v>
      </c>
      <c r="B1089" s="9" t="s">
        <v>645</v>
      </c>
      <c r="C1089" s="9" t="s">
        <v>105</v>
      </c>
      <c r="D1089" s="9">
        <v>0.64659999999999995</v>
      </c>
      <c r="E1089" s="9">
        <v>5.36</v>
      </c>
      <c r="F1089" s="9" t="s">
        <v>106</v>
      </c>
      <c r="G1089" s="9" t="s">
        <v>106</v>
      </c>
      <c r="H1089" s="9" t="s">
        <v>106</v>
      </c>
      <c r="J1089" s="9" t="s">
        <v>107</v>
      </c>
      <c r="K1089" s="9" t="s">
        <v>620</v>
      </c>
      <c r="L1089" t="str">
        <f>IF(OR(J1089="Cattle",J1089="Zebu Cattle"),IF(COUNTIF(lists!$M$2:$M$258, K1089) &gt; 0,"bos.indicus",IF(COUNTIF(lists!$L$2:$L$258, K1089) &gt; 0,"cross.bred","pure.bred.exotic")),"NA")</f>
        <v>NA</v>
      </c>
      <c r="M1089" t="str">
        <f>IF(J1089="Sheep",IF(COUNTIF(lists!$H$2:$H$258, K1089) &gt; 0,"indigenous",IF(COUNTIF(lists!$G$2:$G$258, K1089) &gt; 0,"cross.bred","not found")),"NA")</f>
        <v>not found</v>
      </c>
      <c r="N1089" t="str">
        <f>IF(J1089="Goat",IF(COUNTIF(lists!$J$2:$J$258, K1089) &gt; 0,"indigenous",IF(COUNTIF(lists!$I$2:$I$258, K1089) &gt; 0,"cross.bred","not found")),"NA")</f>
        <v>NA</v>
      </c>
      <c r="O1089" s="9" t="s">
        <v>109</v>
      </c>
      <c r="P1089" s="9" t="s">
        <v>187</v>
      </c>
      <c r="S1089" s="9" t="s">
        <v>106</v>
      </c>
      <c r="T1089" s="9" t="s">
        <v>106</v>
      </c>
      <c r="U1089" s="9" t="s">
        <v>106</v>
      </c>
      <c r="V1089" s="9" t="s">
        <v>106</v>
      </c>
      <c r="W1089" s="9" t="s">
        <v>106</v>
      </c>
      <c r="X1089" s="9" t="s">
        <v>106</v>
      </c>
      <c r="Y1089" s="9" t="s">
        <v>106</v>
      </c>
      <c r="Z1089" s="37"/>
      <c r="AA1089" s="37"/>
      <c r="AB1089" s="37"/>
      <c r="AE1089"/>
    </row>
    <row r="1090" spans="1:31" hidden="1">
      <c r="A1090" s="9" t="s">
        <v>703</v>
      </c>
      <c r="B1090" s="9" t="s">
        <v>455</v>
      </c>
      <c r="C1090" s="9" t="s">
        <v>105</v>
      </c>
      <c r="D1090" s="9">
        <v>1.139</v>
      </c>
      <c r="E1090" s="9">
        <v>5.7</v>
      </c>
      <c r="F1090" s="9" t="s">
        <v>106</v>
      </c>
      <c r="G1090" s="9" t="s">
        <v>106</v>
      </c>
      <c r="H1090" s="9" t="s">
        <v>106</v>
      </c>
      <c r="J1090" s="9" t="s">
        <v>107</v>
      </c>
      <c r="K1090" s="9" t="s">
        <v>704</v>
      </c>
      <c r="L1090" t="str">
        <f>IF(OR(J1090="Cattle",J1090="Zebu Cattle"),IF(COUNTIF(lists!$M$2:$M$258, K1090) &gt; 0,"bos.indicus",IF(COUNTIF(lists!$L$2:$L$258, K1090) &gt; 0,"cross.bred","pure.bred.exotic")),"NA")</f>
        <v>NA</v>
      </c>
      <c r="M1090" t="str">
        <f>IF(J1090="Sheep",IF(COUNTIF(lists!$H$2:$H$258, K1090) &gt; 0,"indigenous",IF(COUNTIF(lists!$G$2:$G$258, K1090) &gt; 0,"cross.bred","not found")),"NA")</f>
        <v>not found</v>
      </c>
      <c r="N1090" t="str">
        <f>IF(J1090="Goat",IF(COUNTIF(lists!$J$2:$J$258, K1090) &gt; 0,"indigenous",IF(COUNTIF(lists!$I$2:$I$258, K1090) &gt; 0,"cross.bred","not found")),"NA")</f>
        <v>NA</v>
      </c>
      <c r="O1090" s="9" t="s">
        <v>109</v>
      </c>
      <c r="P1090" s="9" t="s">
        <v>496</v>
      </c>
      <c r="S1090" s="9" t="s">
        <v>106</v>
      </c>
      <c r="T1090" s="9" t="s">
        <v>106</v>
      </c>
      <c r="U1090" s="9" t="s">
        <v>106</v>
      </c>
      <c r="V1090" s="9" t="s">
        <v>106</v>
      </c>
      <c r="W1090" s="9" t="s">
        <v>106</v>
      </c>
      <c r="X1090" s="9" t="s">
        <v>106</v>
      </c>
      <c r="Y1090" s="9" t="s">
        <v>106</v>
      </c>
      <c r="Z1090" s="37"/>
      <c r="AA1090" s="37"/>
      <c r="AB1090" s="37"/>
      <c r="AE1090"/>
    </row>
    <row r="1091" spans="1:31" hidden="1">
      <c r="A1091" s="9" t="s">
        <v>703</v>
      </c>
      <c r="B1091" s="9" t="s">
        <v>705</v>
      </c>
      <c r="C1091" s="9" t="s">
        <v>105</v>
      </c>
      <c r="D1091" s="9">
        <v>1.143</v>
      </c>
      <c r="E1091" s="9">
        <v>5.7</v>
      </c>
      <c r="F1091" s="9" t="s">
        <v>106</v>
      </c>
      <c r="G1091" s="9" t="s">
        <v>106</v>
      </c>
      <c r="H1091" s="9" t="s">
        <v>106</v>
      </c>
      <c r="J1091" s="9" t="s">
        <v>107</v>
      </c>
      <c r="K1091" s="9" t="s">
        <v>704</v>
      </c>
      <c r="L1091" t="str">
        <f>IF(OR(J1091="Cattle",J1091="Zebu Cattle"),IF(COUNTIF(lists!$M$2:$M$258, K1091) &gt; 0,"bos.indicus",IF(COUNTIF(lists!$L$2:$L$258, K1091) &gt; 0,"cross.bred","pure.bred.exotic")),"NA")</f>
        <v>NA</v>
      </c>
      <c r="M1091" t="str">
        <f>IF(J1091="Sheep",IF(COUNTIF(lists!$H$2:$H$258, K1091) &gt; 0,"indigenous",IF(COUNTIF(lists!$G$2:$G$258, K1091) &gt; 0,"cross.bred","not found")),"NA")</f>
        <v>not found</v>
      </c>
      <c r="N1091" t="str">
        <f>IF(J1091="Goat",IF(COUNTIF(lists!$J$2:$J$258, K1091) &gt; 0,"indigenous",IF(COUNTIF(lists!$I$2:$I$258, K1091) &gt; 0,"cross.bred","not found")),"NA")</f>
        <v>NA</v>
      </c>
      <c r="O1091" s="9" t="s">
        <v>109</v>
      </c>
      <c r="P1091" s="9" t="s">
        <v>496</v>
      </c>
      <c r="S1091" s="9" t="s">
        <v>106</v>
      </c>
      <c r="T1091" s="9" t="s">
        <v>106</v>
      </c>
      <c r="U1091" s="9" t="s">
        <v>106</v>
      </c>
      <c r="V1091" s="9" t="s">
        <v>106</v>
      </c>
      <c r="W1091" s="9" t="s">
        <v>106</v>
      </c>
      <c r="X1091" s="9" t="s">
        <v>106</v>
      </c>
      <c r="Y1091" s="9" t="s">
        <v>106</v>
      </c>
      <c r="Z1091" s="37"/>
      <c r="AA1091" s="37"/>
      <c r="AB1091" s="37"/>
      <c r="AE1091"/>
    </row>
    <row r="1092" spans="1:31" hidden="1">
      <c r="A1092" s="9" t="s">
        <v>703</v>
      </c>
      <c r="B1092" s="9" t="s">
        <v>706</v>
      </c>
      <c r="C1092" s="9" t="s">
        <v>105</v>
      </c>
      <c r="D1092" s="9">
        <v>1.085</v>
      </c>
      <c r="E1092" s="9">
        <v>5.7</v>
      </c>
      <c r="F1092" s="9" t="s">
        <v>106</v>
      </c>
      <c r="G1092" s="9" t="s">
        <v>106</v>
      </c>
      <c r="H1092" s="9" t="s">
        <v>106</v>
      </c>
      <c r="J1092" s="9" t="s">
        <v>107</v>
      </c>
      <c r="K1092" s="9" t="s">
        <v>704</v>
      </c>
      <c r="L1092" t="str">
        <f>IF(OR(J1092="Cattle",J1092="Zebu Cattle"),IF(COUNTIF(lists!$M$2:$M$258, K1092) &gt; 0,"bos.indicus",IF(COUNTIF(lists!$L$2:$L$258, K1092) &gt; 0,"cross.bred","pure.bred.exotic")),"NA")</f>
        <v>NA</v>
      </c>
      <c r="M1092" t="str">
        <f>IF(J1092="Sheep",IF(COUNTIF(lists!$H$2:$H$258, K1092) &gt; 0,"indigenous",IF(COUNTIF(lists!$G$2:$G$258, K1092) &gt; 0,"cross.bred","not found")),"NA")</f>
        <v>not found</v>
      </c>
      <c r="N1092" t="str">
        <f>IF(J1092="Goat",IF(COUNTIF(lists!$J$2:$J$258, K1092) &gt; 0,"indigenous",IF(COUNTIF(lists!$I$2:$I$258, K1092) &gt; 0,"cross.bred","not found")),"NA")</f>
        <v>NA</v>
      </c>
      <c r="O1092" s="9" t="s">
        <v>109</v>
      </c>
      <c r="P1092" s="9" t="s">
        <v>496</v>
      </c>
      <c r="S1092" s="9" t="s">
        <v>106</v>
      </c>
      <c r="T1092" s="9" t="s">
        <v>106</v>
      </c>
      <c r="U1092" s="9" t="s">
        <v>106</v>
      </c>
      <c r="V1092" s="9" t="s">
        <v>106</v>
      </c>
      <c r="W1092" s="9" t="s">
        <v>106</v>
      </c>
      <c r="X1092" s="9" t="s">
        <v>106</v>
      </c>
      <c r="Y1092" s="9" t="s">
        <v>106</v>
      </c>
      <c r="Z1092" s="37"/>
      <c r="AA1092" s="37"/>
      <c r="AB1092" s="37"/>
      <c r="AE1092"/>
    </row>
    <row r="1093" spans="1:31" hidden="1">
      <c r="A1093" s="9" t="s">
        <v>707</v>
      </c>
      <c r="B1093" s="9" t="s">
        <v>708</v>
      </c>
      <c r="C1093" s="9" t="s">
        <v>105</v>
      </c>
      <c r="D1093" s="9">
        <v>1.716</v>
      </c>
      <c r="E1093" s="9">
        <v>35.49</v>
      </c>
      <c r="F1093" s="9" t="s">
        <v>106</v>
      </c>
      <c r="G1093" s="9" t="s">
        <v>106</v>
      </c>
      <c r="H1093" s="9" t="s">
        <v>106</v>
      </c>
      <c r="J1093" s="9" t="s">
        <v>107</v>
      </c>
      <c r="K1093" s="9" t="s">
        <v>709</v>
      </c>
      <c r="L1093" t="str">
        <f>IF(OR(J1093="Cattle",J1093="Zebu Cattle"),IF(COUNTIF(lists!$M$2:$M$258, K1093) &gt; 0,"bos.indicus",IF(COUNTIF(lists!$L$2:$L$258, K1093) &gt; 0,"cross.bred","pure.bred.exotic")),"NA")</f>
        <v>NA</v>
      </c>
      <c r="M1093" t="str">
        <f>IF(J1093="Sheep",IF(COUNTIF(lists!$H$2:$H$258, K1093) &gt; 0,"indigenous",IF(COUNTIF(lists!$G$2:$G$258, K1093) &gt; 0,"cross.bred","not found")),"NA")</f>
        <v>not found</v>
      </c>
      <c r="N1093" t="str">
        <f>IF(J1093="Goat",IF(COUNTIF(lists!$J$2:$J$258, K1093) &gt; 0,"indigenous",IF(COUNTIF(lists!$I$2:$I$258, K1093) &gt; 0,"cross.bred","not found")),"NA")</f>
        <v>NA</v>
      </c>
      <c r="O1093" s="9" t="s">
        <v>109</v>
      </c>
      <c r="P1093" s="9" t="s">
        <v>164</v>
      </c>
      <c r="S1093" s="9">
        <v>181</v>
      </c>
      <c r="T1093" s="9">
        <v>94</v>
      </c>
      <c r="U1093" s="9">
        <v>154</v>
      </c>
      <c r="V1093" s="9">
        <v>933</v>
      </c>
      <c r="W1093" s="9">
        <v>32</v>
      </c>
      <c r="X1093" s="9">
        <v>265</v>
      </c>
      <c r="Y1093" s="9" t="s">
        <v>106</v>
      </c>
      <c r="Z1093" s="37"/>
      <c r="AA1093" s="37"/>
      <c r="AB1093" s="37"/>
      <c r="AE1093"/>
    </row>
    <row r="1094" spans="1:31" hidden="1">
      <c r="A1094" s="9" t="s">
        <v>707</v>
      </c>
      <c r="B1094" s="9" t="s">
        <v>710</v>
      </c>
      <c r="C1094" s="9" t="s">
        <v>105</v>
      </c>
      <c r="D1094" s="9">
        <v>1.6040000000000001</v>
      </c>
      <c r="E1094" s="9">
        <v>35.49</v>
      </c>
      <c r="F1094" s="9" t="s">
        <v>106</v>
      </c>
      <c r="G1094" s="9" t="s">
        <v>106</v>
      </c>
      <c r="H1094" s="9" t="s">
        <v>106</v>
      </c>
      <c r="J1094" s="9" t="s">
        <v>107</v>
      </c>
      <c r="K1094" s="9" t="s">
        <v>709</v>
      </c>
      <c r="L1094" t="str">
        <f>IF(OR(J1094="Cattle",J1094="Zebu Cattle"),IF(COUNTIF(lists!$M$2:$M$258, K1094) &gt; 0,"bos.indicus",IF(COUNTIF(lists!$L$2:$L$258, K1094) &gt; 0,"cross.bred","pure.bred.exotic")),"NA")</f>
        <v>NA</v>
      </c>
      <c r="M1094" t="str">
        <f>IF(J1094="Sheep",IF(COUNTIF(lists!$H$2:$H$258, K1094) &gt; 0,"indigenous",IF(COUNTIF(lists!$G$2:$G$258, K1094) &gt; 0,"cross.bred","not found")),"NA")</f>
        <v>not found</v>
      </c>
      <c r="N1094" t="str">
        <f>IF(J1094="Goat",IF(COUNTIF(lists!$J$2:$J$258, K1094) &gt; 0,"indigenous",IF(COUNTIF(lists!$I$2:$I$258, K1094) &gt; 0,"cross.bred","not found")),"NA")</f>
        <v>NA</v>
      </c>
      <c r="O1094" s="9" t="s">
        <v>109</v>
      </c>
      <c r="P1094" s="9" t="s">
        <v>164</v>
      </c>
      <c r="S1094" s="9">
        <v>176</v>
      </c>
      <c r="T1094" s="9">
        <v>78</v>
      </c>
      <c r="U1094" s="9">
        <v>153</v>
      </c>
      <c r="V1094" s="9">
        <v>926</v>
      </c>
      <c r="W1094" s="9">
        <v>37</v>
      </c>
      <c r="X1094" s="9">
        <v>245</v>
      </c>
      <c r="Y1094" s="9" t="s">
        <v>106</v>
      </c>
      <c r="Z1094" s="37"/>
      <c r="AA1094" s="37"/>
      <c r="AB1094" s="37"/>
      <c r="AE1094"/>
    </row>
    <row r="1095" spans="1:31" hidden="1">
      <c r="A1095" s="9" t="s">
        <v>707</v>
      </c>
      <c r="B1095" s="9" t="s">
        <v>711</v>
      </c>
      <c r="C1095" s="9" t="s">
        <v>105</v>
      </c>
      <c r="D1095" s="9">
        <v>1.694</v>
      </c>
      <c r="E1095" s="9">
        <v>35.49</v>
      </c>
      <c r="F1095" s="9" t="s">
        <v>106</v>
      </c>
      <c r="G1095" s="9" t="s">
        <v>106</v>
      </c>
      <c r="H1095" s="9" t="s">
        <v>106</v>
      </c>
      <c r="J1095" s="9" t="s">
        <v>107</v>
      </c>
      <c r="K1095" s="9" t="s">
        <v>709</v>
      </c>
      <c r="L1095" t="str">
        <f>IF(OR(J1095="Cattle",J1095="Zebu Cattle"),IF(COUNTIF(lists!$M$2:$M$258, K1095) &gt; 0,"bos.indicus",IF(COUNTIF(lists!$L$2:$L$258, K1095) &gt; 0,"cross.bred","pure.bred.exotic")),"NA")</f>
        <v>NA</v>
      </c>
      <c r="M1095" t="str">
        <f>IF(J1095="Sheep",IF(COUNTIF(lists!$H$2:$H$258, K1095) &gt; 0,"indigenous",IF(COUNTIF(lists!$G$2:$G$258, K1095) &gt; 0,"cross.bred","not found")),"NA")</f>
        <v>not found</v>
      </c>
      <c r="N1095" t="str">
        <f>IF(J1095="Goat",IF(COUNTIF(lists!$J$2:$J$258, K1095) &gt; 0,"indigenous",IF(COUNTIF(lists!$I$2:$I$258, K1095) &gt; 0,"cross.bred","not found")),"NA")</f>
        <v>NA</v>
      </c>
      <c r="O1095" s="9" t="s">
        <v>109</v>
      </c>
      <c r="P1095" s="9" t="s">
        <v>164</v>
      </c>
      <c r="S1095" s="9">
        <v>189</v>
      </c>
      <c r="T1095" s="9">
        <v>92</v>
      </c>
      <c r="U1095" s="9">
        <v>151</v>
      </c>
      <c r="V1095" s="9">
        <v>931</v>
      </c>
      <c r="W1095" s="9">
        <v>31</v>
      </c>
      <c r="X1095" s="9">
        <v>240</v>
      </c>
      <c r="Y1095" s="9" t="s">
        <v>106</v>
      </c>
      <c r="Z1095" s="37"/>
      <c r="AA1095" s="37"/>
      <c r="AB1095" s="37"/>
      <c r="AE1095"/>
    </row>
    <row r="1096" spans="1:31" hidden="1">
      <c r="A1096" s="9" t="s">
        <v>707</v>
      </c>
      <c r="B1096" s="9" t="s">
        <v>712</v>
      </c>
      <c r="C1096" s="9" t="s">
        <v>105</v>
      </c>
      <c r="D1096" s="9">
        <v>1.4359999999999999</v>
      </c>
      <c r="E1096" s="9">
        <v>35.49</v>
      </c>
      <c r="F1096" s="9" t="s">
        <v>106</v>
      </c>
      <c r="G1096" s="9" t="s">
        <v>106</v>
      </c>
      <c r="H1096" s="9" t="s">
        <v>106</v>
      </c>
      <c r="J1096" s="9" t="s">
        <v>107</v>
      </c>
      <c r="K1096" s="9" t="s">
        <v>709</v>
      </c>
      <c r="L1096" t="str">
        <f>IF(OR(J1096="Cattle",J1096="Zebu Cattle"),IF(COUNTIF(lists!$M$2:$M$258, K1096) &gt; 0,"bos.indicus",IF(COUNTIF(lists!$L$2:$L$258, K1096) &gt; 0,"cross.bred","pure.bred.exotic")),"NA")</f>
        <v>NA</v>
      </c>
      <c r="M1096" t="str">
        <f>IF(J1096="Sheep",IF(COUNTIF(lists!$H$2:$H$258, K1096) &gt; 0,"indigenous",IF(COUNTIF(lists!$G$2:$G$258, K1096) &gt; 0,"cross.bred","not found")),"NA")</f>
        <v>not found</v>
      </c>
      <c r="N1096" t="str">
        <f>IF(J1096="Goat",IF(COUNTIF(lists!$J$2:$J$258, K1096) &gt; 0,"indigenous",IF(COUNTIF(lists!$I$2:$I$258, K1096) &gt; 0,"cross.bred","not found")),"NA")</f>
        <v>NA</v>
      </c>
      <c r="O1096" s="9" t="s">
        <v>109</v>
      </c>
      <c r="P1096" s="9" t="s">
        <v>164</v>
      </c>
      <c r="S1096" s="9">
        <v>197</v>
      </c>
      <c r="T1096" s="9">
        <v>84</v>
      </c>
      <c r="U1096" s="9">
        <v>156</v>
      </c>
      <c r="V1096" s="9">
        <v>924</v>
      </c>
      <c r="W1096" s="9">
        <v>35</v>
      </c>
      <c r="X1096" s="9">
        <v>232</v>
      </c>
      <c r="Y1096" s="9" t="s">
        <v>106</v>
      </c>
      <c r="Z1096" s="37"/>
      <c r="AA1096" s="37"/>
      <c r="AB1096" s="37"/>
      <c r="AE1096"/>
    </row>
    <row r="1097" spans="1:31" hidden="1">
      <c r="A1097" s="9" t="s">
        <v>713</v>
      </c>
      <c r="B1097" s="9" t="s">
        <v>714</v>
      </c>
      <c r="C1097" s="9" t="s">
        <v>105</v>
      </c>
      <c r="D1097" s="9">
        <v>0.56620000000000004</v>
      </c>
      <c r="E1097" s="9">
        <v>9.77</v>
      </c>
      <c r="F1097" s="9" t="s">
        <v>106</v>
      </c>
      <c r="G1097" s="9" t="s">
        <v>106</v>
      </c>
      <c r="H1097" s="9" t="s">
        <v>106</v>
      </c>
      <c r="J1097" s="9" t="s">
        <v>107</v>
      </c>
      <c r="K1097" s="9" t="s">
        <v>180</v>
      </c>
      <c r="L1097" t="str">
        <f>IF(OR(J1097="Cattle",J1097="Zebu Cattle"),IF(COUNTIF(lists!$M$2:$M$258, K1097) &gt; 0,"bos.indicus",IF(COUNTIF(lists!$L$2:$L$258, K1097) &gt; 0,"cross.bred","pure.bred.exotic")),"NA")</f>
        <v>NA</v>
      </c>
      <c r="M1097" t="str">
        <f>IF(J1097="Sheep",IF(COUNTIF(lists!$H$2:$H$258, K1097) &gt; 0,"indigenous",IF(COUNTIF(lists!$G$2:$G$258, K1097) &gt; 0,"cross.bred","not found")),"NA")</f>
        <v>not found</v>
      </c>
      <c r="N1097" t="str">
        <f>IF(J1097="Goat",IF(COUNTIF(lists!$J$2:$J$258, K1097) &gt; 0,"indigenous",IF(COUNTIF(lists!$I$2:$I$258, K1097) &gt; 0,"cross.bred","not found")),"NA")</f>
        <v>NA</v>
      </c>
      <c r="O1097" s="9" t="s">
        <v>180</v>
      </c>
      <c r="P1097" s="9" t="s">
        <v>549</v>
      </c>
      <c r="S1097" s="9" t="s">
        <v>106</v>
      </c>
      <c r="T1097" s="9" t="s">
        <v>106</v>
      </c>
      <c r="U1097" s="9" t="s">
        <v>106</v>
      </c>
      <c r="V1097" s="9" t="s">
        <v>106</v>
      </c>
      <c r="W1097" s="9" t="s">
        <v>106</v>
      </c>
      <c r="X1097" s="9" t="s">
        <v>106</v>
      </c>
      <c r="Y1097" s="9">
        <v>70.254999999999995</v>
      </c>
      <c r="Z1097" s="37"/>
      <c r="AA1097" s="37"/>
      <c r="AB1097" s="37"/>
      <c r="AE1097"/>
    </row>
    <row r="1098" spans="1:31" hidden="1">
      <c r="A1098" s="9" t="s">
        <v>713</v>
      </c>
      <c r="B1098" s="9" t="s">
        <v>715</v>
      </c>
      <c r="C1098" s="9" t="s">
        <v>105</v>
      </c>
      <c r="D1098" s="9">
        <v>0.57038999999999995</v>
      </c>
      <c r="E1098" s="9">
        <v>9.77</v>
      </c>
      <c r="F1098" s="9" t="s">
        <v>106</v>
      </c>
      <c r="G1098" s="9" t="s">
        <v>106</v>
      </c>
      <c r="H1098" s="9" t="s">
        <v>106</v>
      </c>
      <c r="J1098" s="9" t="s">
        <v>107</v>
      </c>
      <c r="K1098" s="9" t="s">
        <v>180</v>
      </c>
      <c r="L1098" t="str">
        <f>IF(OR(J1098="Cattle",J1098="Zebu Cattle"),IF(COUNTIF(lists!$M$2:$M$258, K1098) &gt; 0,"bos.indicus",IF(COUNTIF(lists!$L$2:$L$258, K1098) &gt; 0,"cross.bred","pure.bred.exotic")),"NA")</f>
        <v>NA</v>
      </c>
      <c r="M1098" t="str">
        <f>IF(J1098="Sheep",IF(COUNTIF(lists!$H$2:$H$258, K1098) &gt; 0,"indigenous",IF(COUNTIF(lists!$G$2:$G$258, K1098) &gt; 0,"cross.bred","not found")),"NA")</f>
        <v>not found</v>
      </c>
      <c r="N1098" t="str">
        <f>IF(J1098="Goat",IF(COUNTIF(lists!$J$2:$J$258, K1098) &gt; 0,"indigenous",IF(COUNTIF(lists!$I$2:$I$258, K1098) &gt; 0,"cross.bred","not found")),"NA")</f>
        <v>NA</v>
      </c>
      <c r="O1098" s="9" t="s">
        <v>180</v>
      </c>
      <c r="P1098" s="9" t="s">
        <v>549</v>
      </c>
      <c r="S1098" s="9" t="s">
        <v>106</v>
      </c>
      <c r="T1098" s="9" t="s">
        <v>106</v>
      </c>
      <c r="U1098" s="9" t="s">
        <v>106</v>
      </c>
      <c r="V1098" s="9" t="s">
        <v>106</v>
      </c>
      <c r="W1098" s="9" t="s">
        <v>106</v>
      </c>
      <c r="X1098" s="9" t="s">
        <v>106</v>
      </c>
      <c r="Y1098" s="9">
        <v>71.22</v>
      </c>
      <c r="Z1098" s="37"/>
      <c r="AA1098" s="37"/>
      <c r="AB1098" s="37"/>
      <c r="AE1098"/>
    </row>
    <row r="1099" spans="1:31" hidden="1">
      <c r="A1099" s="9" t="s">
        <v>713</v>
      </c>
      <c r="B1099" s="9" t="s">
        <v>716</v>
      </c>
      <c r="C1099" s="9" t="s">
        <v>105</v>
      </c>
      <c r="D1099" s="9">
        <v>0.60377000000000003</v>
      </c>
      <c r="E1099" s="9">
        <v>9.77</v>
      </c>
      <c r="F1099" s="9" t="s">
        <v>106</v>
      </c>
      <c r="G1099" s="9" t="s">
        <v>106</v>
      </c>
      <c r="H1099" s="9" t="s">
        <v>106</v>
      </c>
      <c r="J1099" s="9" t="s">
        <v>107</v>
      </c>
      <c r="K1099" s="9" t="s">
        <v>180</v>
      </c>
      <c r="L1099" t="str">
        <f>IF(OR(J1099="Cattle",J1099="Zebu Cattle"),IF(COUNTIF(lists!$M$2:$M$258, K1099) &gt; 0,"bos.indicus",IF(COUNTIF(lists!$L$2:$L$258, K1099) &gt; 0,"cross.bred","pure.bred.exotic")),"NA")</f>
        <v>NA</v>
      </c>
      <c r="M1099" t="str">
        <f>IF(J1099="Sheep",IF(COUNTIF(lists!$H$2:$H$258, K1099) &gt; 0,"indigenous",IF(COUNTIF(lists!$G$2:$G$258, K1099) &gt; 0,"cross.bred","not found")),"NA")</f>
        <v>not found</v>
      </c>
      <c r="N1099" t="str">
        <f>IF(J1099="Goat",IF(COUNTIF(lists!$J$2:$J$258, K1099) &gt; 0,"indigenous",IF(COUNTIF(lists!$I$2:$I$258, K1099) &gt; 0,"cross.bred","not found")),"NA")</f>
        <v>NA</v>
      </c>
      <c r="O1099" s="9" t="s">
        <v>180</v>
      </c>
      <c r="P1099" s="9" t="s">
        <v>549</v>
      </c>
      <c r="S1099" s="9" t="s">
        <v>106</v>
      </c>
      <c r="T1099" s="9" t="s">
        <v>106</v>
      </c>
      <c r="U1099" s="9" t="s">
        <v>106</v>
      </c>
      <c r="V1099" s="9" t="s">
        <v>106</v>
      </c>
      <c r="W1099" s="9" t="s">
        <v>106</v>
      </c>
      <c r="X1099" s="9" t="s">
        <v>106</v>
      </c>
      <c r="Y1099" s="9">
        <v>73.834999999999994</v>
      </c>
      <c r="Z1099" s="37"/>
      <c r="AA1099" s="37"/>
      <c r="AB1099" s="37"/>
      <c r="AE1099"/>
    </row>
    <row r="1100" spans="1:31" hidden="1">
      <c r="A1100" s="9" t="s">
        <v>717</v>
      </c>
      <c r="B1100" s="9" t="s">
        <v>642</v>
      </c>
      <c r="C1100" s="9" t="s">
        <v>105</v>
      </c>
      <c r="D1100" s="9">
        <v>0.70233000000000001</v>
      </c>
      <c r="E1100" s="9">
        <v>15.81</v>
      </c>
      <c r="F1100" s="9" t="s">
        <v>106</v>
      </c>
      <c r="G1100" s="9" t="s">
        <v>106</v>
      </c>
      <c r="H1100" s="9" t="s">
        <v>106</v>
      </c>
      <c r="J1100" s="9" t="s">
        <v>107</v>
      </c>
      <c r="K1100" s="9" t="s">
        <v>152</v>
      </c>
      <c r="L1100" t="str">
        <f>IF(OR(J1100="Cattle",J1100="Zebu Cattle"),IF(COUNTIF(lists!$M$2:$M$258, K1100) &gt; 0,"bos.indicus",IF(COUNTIF(lists!$L$2:$L$258, K1100) &gt; 0,"cross.bred","pure.bred.exotic")),"NA")</f>
        <v>NA</v>
      </c>
      <c r="M1100" t="str">
        <f>IF(J1100="Sheep",IF(COUNTIF(lists!$H$2:$H$258, K1100) &gt; 0,"indigenous",IF(COUNTIF(lists!$G$2:$G$258, K1100) &gt; 0,"cross.bred","not found")),"NA")</f>
        <v>not found</v>
      </c>
      <c r="N1100" t="str">
        <f>IF(J1100="Goat",IF(COUNTIF(lists!$J$2:$J$258, K1100) &gt; 0,"indigenous",IF(COUNTIF(lists!$I$2:$I$258, K1100) &gt; 0,"cross.bred","not found")),"NA")</f>
        <v>NA</v>
      </c>
      <c r="O1100" s="9" t="s">
        <v>109</v>
      </c>
      <c r="P1100" s="9" t="s">
        <v>187</v>
      </c>
      <c r="S1100" s="9" t="s">
        <v>106</v>
      </c>
      <c r="T1100" s="9" t="s">
        <v>106</v>
      </c>
      <c r="U1100" s="9" t="s">
        <v>106</v>
      </c>
      <c r="V1100" s="9" t="s">
        <v>106</v>
      </c>
      <c r="W1100" s="9" t="s">
        <v>106</v>
      </c>
      <c r="X1100" s="9" t="s">
        <v>106</v>
      </c>
      <c r="Y1100" s="9">
        <v>0.45</v>
      </c>
      <c r="Z1100" s="37"/>
      <c r="AA1100" s="37"/>
      <c r="AB1100" s="37"/>
      <c r="AE1100"/>
    </row>
    <row r="1101" spans="1:31" hidden="1">
      <c r="A1101" s="9" t="s">
        <v>717</v>
      </c>
      <c r="B1101" s="9" t="s">
        <v>643</v>
      </c>
      <c r="C1101" s="9" t="s">
        <v>105</v>
      </c>
      <c r="D1101" s="9">
        <v>0.70852999999999999</v>
      </c>
      <c r="E1101" s="9">
        <v>15.81</v>
      </c>
      <c r="F1101" s="9" t="s">
        <v>106</v>
      </c>
      <c r="G1101" s="9" t="s">
        <v>106</v>
      </c>
      <c r="H1101" s="9" t="s">
        <v>106</v>
      </c>
      <c r="J1101" s="9" t="s">
        <v>107</v>
      </c>
      <c r="K1101" s="9" t="s">
        <v>152</v>
      </c>
      <c r="L1101" t="str">
        <f>IF(OR(J1101="Cattle",J1101="Zebu Cattle"),IF(COUNTIF(lists!$M$2:$M$258, K1101) &gt; 0,"bos.indicus",IF(COUNTIF(lists!$L$2:$L$258, K1101) &gt; 0,"cross.bred","pure.bred.exotic")),"NA")</f>
        <v>NA</v>
      </c>
      <c r="M1101" t="str">
        <f>IF(J1101="Sheep",IF(COUNTIF(lists!$H$2:$H$258, K1101) &gt; 0,"indigenous",IF(COUNTIF(lists!$G$2:$G$258, K1101) &gt; 0,"cross.bred","not found")),"NA")</f>
        <v>not found</v>
      </c>
      <c r="N1101" t="str">
        <f>IF(J1101="Goat",IF(COUNTIF(lists!$J$2:$J$258, K1101) &gt; 0,"indigenous",IF(COUNTIF(lists!$I$2:$I$258, K1101) &gt; 0,"cross.bred","not found")),"NA")</f>
        <v>NA</v>
      </c>
      <c r="O1101" s="9" t="s">
        <v>109</v>
      </c>
      <c r="P1101" s="9" t="s">
        <v>187</v>
      </c>
      <c r="S1101" s="9" t="s">
        <v>106</v>
      </c>
      <c r="T1101" s="9" t="s">
        <v>106</v>
      </c>
      <c r="U1101" s="9" t="s">
        <v>106</v>
      </c>
      <c r="V1101" s="9" t="s">
        <v>106</v>
      </c>
      <c r="W1101" s="9" t="s">
        <v>106</v>
      </c>
      <c r="X1101" s="9" t="s">
        <v>106</v>
      </c>
      <c r="Y1101" s="9">
        <v>0.48</v>
      </c>
      <c r="Z1101" s="37"/>
      <c r="AA1101" s="37"/>
      <c r="AB1101" s="37"/>
      <c r="AE1101"/>
    </row>
    <row r="1102" spans="1:31" hidden="1">
      <c r="A1102" s="9" t="s">
        <v>717</v>
      </c>
      <c r="B1102" s="9" t="s">
        <v>644</v>
      </c>
      <c r="C1102" s="9" t="s">
        <v>105</v>
      </c>
      <c r="D1102" s="9">
        <v>0.71631999999999996</v>
      </c>
      <c r="E1102" s="9">
        <v>15.81</v>
      </c>
      <c r="F1102" s="9" t="s">
        <v>106</v>
      </c>
      <c r="G1102" s="9" t="s">
        <v>106</v>
      </c>
      <c r="H1102" s="9" t="s">
        <v>106</v>
      </c>
      <c r="J1102" s="9" t="s">
        <v>107</v>
      </c>
      <c r="K1102" s="9" t="s">
        <v>152</v>
      </c>
      <c r="L1102" t="str">
        <f>IF(OR(J1102="Cattle",J1102="Zebu Cattle"),IF(COUNTIF(lists!$M$2:$M$258, K1102) &gt; 0,"bos.indicus",IF(COUNTIF(lists!$L$2:$L$258, K1102) &gt; 0,"cross.bred","pure.bred.exotic")),"NA")</f>
        <v>NA</v>
      </c>
      <c r="M1102" t="str">
        <f>IF(J1102="Sheep",IF(COUNTIF(lists!$H$2:$H$258, K1102) &gt; 0,"indigenous",IF(COUNTIF(lists!$G$2:$G$258, K1102) &gt; 0,"cross.bred","not found")),"NA")</f>
        <v>not found</v>
      </c>
      <c r="N1102" t="str">
        <f>IF(J1102="Goat",IF(COUNTIF(lists!$J$2:$J$258, K1102) &gt; 0,"indigenous",IF(COUNTIF(lists!$I$2:$I$258, K1102) &gt; 0,"cross.bred","not found")),"NA")</f>
        <v>NA</v>
      </c>
      <c r="O1102" s="9" t="s">
        <v>109</v>
      </c>
      <c r="P1102" s="9" t="s">
        <v>187</v>
      </c>
      <c r="S1102" s="9" t="s">
        <v>106</v>
      </c>
      <c r="T1102" s="9" t="s">
        <v>106</v>
      </c>
      <c r="U1102" s="9" t="s">
        <v>106</v>
      </c>
      <c r="V1102" s="9" t="s">
        <v>106</v>
      </c>
      <c r="W1102" s="9" t="s">
        <v>106</v>
      </c>
      <c r="X1102" s="9" t="s">
        <v>106</v>
      </c>
      <c r="Y1102" s="9">
        <v>0.54</v>
      </c>
      <c r="Z1102" s="37"/>
      <c r="AA1102" s="37"/>
      <c r="AB1102" s="37"/>
      <c r="AE1102"/>
    </row>
    <row r="1103" spans="1:31" hidden="1">
      <c r="A1103" s="9" t="s">
        <v>717</v>
      </c>
      <c r="B1103" s="9" t="s">
        <v>645</v>
      </c>
      <c r="C1103" s="9" t="s">
        <v>105</v>
      </c>
      <c r="D1103" s="9">
        <v>0.72248999999999997</v>
      </c>
      <c r="E1103" s="9">
        <v>15.81</v>
      </c>
      <c r="F1103" s="9" t="s">
        <v>106</v>
      </c>
      <c r="G1103" s="9" t="s">
        <v>106</v>
      </c>
      <c r="H1103" s="9" t="s">
        <v>106</v>
      </c>
      <c r="J1103" s="9" t="s">
        <v>107</v>
      </c>
      <c r="K1103" s="9" t="s">
        <v>152</v>
      </c>
      <c r="L1103" t="str">
        <f>IF(OR(J1103="Cattle",J1103="Zebu Cattle"),IF(COUNTIF(lists!$M$2:$M$258, K1103) &gt; 0,"bos.indicus",IF(COUNTIF(lists!$L$2:$L$258, K1103) &gt; 0,"cross.bred","pure.bred.exotic")),"NA")</f>
        <v>NA</v>
      </c>
      <c r="M1103" t="str">
        <f>IF(J1103="Sheep",IF(COUNTIF(lists!$H$2:$H$258, K1103) &gt; 0,"indigenous",IF(COUNTIF(lists!$G$2:$G$258, K1103) &gt; 0,"cross.bred","not found")),"NA")</f>
        <v>not found</v>
      </c>
      <c r="N1103" t="str">
        <f>IF(J1103="Goat",IF(COUNTIF(lists!$J$2:$J$258, K1103) &gt; 0,"indigenous",IF(COUNTIF(lists!$I$2:$I$258, K1103) &gt; 0,"cross.bred","not found")),"NA")</f>
        <v>NA</v>
      </c>
      <c r="O1103" s="9" t="s">
        <v>109</v>
      </c>
      <c r="P1103" s="9" t="s">
        <v>187</v>
      </c>
      <c r="S1103" s="9" t="s">
        <v>106</v>
      </c>
      <c r="T1103" s="9" t="s">
        <v>106</v>
      </c>
      <c r="U1103" s="9" t="s">
        <v>106</v>
      </c>
      <c r="V1103" s="9" t="s">
        <v>106</v>
      </c>
      <c r="W1103" s="9" t="s">
        <v>106</v>
      </c>
      <c r="X1103" s="9" t="s">
        <v>106</v>
      </c>
      <c r="Y1103" s="9">
        <v>0.56000000000000005</v>
      </c>
      <c r="Z1103" s="37"/>
      <c r="AA1103" s="37"/>
      <c r="AB1103" s="37"/>
      <c r="AE1103"/>
    </row>
    <row r="1104" spans="1:31" hidden="1">
      <c r="A1104" s="9" t="s">
        <v>717</v>
      </c>
      <c r="B1104" s="9" t="s">
        <v>646</v>
      </c>
      <c r="C1104" s="9" t="s">
        <v>105</v>
      </c>
      <c r="D1104" s="9">
        <v>0.73038000000000003</v>
      </c>
      <c r="E1104" s="9">
        <v>15.81</v>
      </c>
      <c r="F1104" s="9" t="s">
        <v>106</v>
      </c>
      <c r="G1104" s="9" t="s">
        <v>106</v>
      </c>
      <c r="H1104" s="9" t="s">
        <v>106</v>
      </c>
      <c r="J1104" s="9" t="s">
        <v>107</v>
      </c>
      <c r="K1104" s="9" t="s">
        <v>152</v>
      </c>
      <c r="L1104" t="str">
        <f>IF(OR(J1104="Cattle",J1104="Zebu Cattle"),IF(COUNTIF(lists!$M$2:$M$258, K1104) &gt; 0,"bos.indicus",IF(COUNTIF(lists!$L$2:$L$258, K1104) &gt; 0,"cross.bred","pure.bred.exotic")),"NA")</f>
        <v>NA</v>
      </c>
      <c r="M1104" t="str">
        <f>IF(J1104="Sheep",IF(COUNTIF(lists!$H$2:$H$258, K1104) &gt; 0,"indigenous",IF(COUNTIF(lists!$G$2:$G$258, K1104) &gt; 0,"cross.bred","not found")),"NA")</f>
        <v>not found</v>
      </c>
      <c r="N1104" t="str">
        <f>IF(J1104="Goat",IF(COUNTIF(lists!$J$2:$J$258, K1104) &gt; 0,"indigenous",IF(COUNTIF(lists!$I$2:$I$258, K1104) &gt; 0,"cross.bred","not found")),"NA")</f>
        <v>NA</v>
      </c>
      <c r="O1104" s="9" t="s">
        <v>109</v>
      </c>
      <c r="P1104" s="9" t="s">
        <v>187</v>
      </c>
      <c r="S1104" s="9" t="s">
        <v>106</v>
      </c>
      <c r="T1104" s="9" t="s">
        <v>106</v>
      </c>
      <c r="U1104" s="9" t="s">
        <v>106</v>
      </c>
      <c r="V1104" s="9" t="s">
        <v>106</v>
      </c>
      <c r="W1104" s="9" t="s">
        <v>106</v>
      </c>
      <c r="X1104" s="9" t="s">
        <v>106</v>
      </c>
      <c r="Y1104" s="9">
        <v>0.62</v>
      </c>
      <c r="Z1104" s="37"/>
      <c r="AA1104" s="37"/>
      <c r="AB1104" s="37"/>
      <c r="AE1104"/>
    </row>
    <row r="1105" spans="1:31" hidden="1">
      <c r="A1105" s="9" t="s">
        <v>718</v>
      </c>
      <c r="B1105" s="9" t="s">
        <v>642</v>
      </c>
      <c r="C1105" s="9" t="s">
        <v>105</v>
      </c>
      <c r="D1105" s="9">
        <v>1.2110000000000001</v>
      </c>
      <c r="E1105" s="9" t="s">
        <v>106</v>
      </c>
      <c r="F1105" s="9" t="s">
        <v>106</v>
      </c>
      <c r="G1105" s="9" t="s">
        <v>106</v>
      </c>
      <c r="H1105" s="9" t="s">
        <v>106</v>
      </c>
      <c r="J1105" s="9" t="s">
        <v>107</v>
      </c>
      <c r="K1105" s="9" t="s">
        <v>234</v>
      </c>
      <c r="L1105" t="str">
        <f>IF(OR(J1105="Cattle",J1105="Zebu Cattle"),IF(COUNTIF(lists!$M$2:$M$258, K1105) &gt; 0,"bos.indicus",IF(COUNTIF(lists!$L$2:$L$258, K1105) &gt; 0,"cross.bred","pure.bred.exotic")),"NA")</f>
        <v>NA</v>
      </c>
      <c r="M1105" t="str">
        <f>IF(J1105="Sheep",IF(COUNTIF(lists!$H$2:$H$258, K1105) &gt; 0,"indigenous",IF(COUNTIF(lists!$G$2:$G$258, K1105) &gt; 0,"cross.bred","not found")),"NA")</f>
        <v>not found</v>
      </c>
      <c r="N1105" t="str">
        <f>IF(J1105="Goat",IF(COUNTIF(lists!$J$2:$J$258, K1105) &gt; 0,"indigenous",IF(COUNTIF(lists!$I$2:$I$258, K1105) &gt; 0,"cross.bred","not found")),"NA")</f>
        <v>NA</v>
      </c>
      <c r="O1105" s="9" t="s">
        <v>109</v>
      </c>
      <c r="P1105" s="9" t="s">
        <v>164</v>
      </c>
      <c r="S1105" s="9" t="s">
        <v>106</v>
      </c>
      <c r="T1105" s="9" t="s">
        <v>106</v>
      </c>
      <c r="U1105" s="9" t="s">
        <v>106</v>
      </c>
      <c r="V1105" s="9" t="s">
        <v>106</v>
      </c>
      <c r="W1105" s="9" t="s">
        <v>106</v>
      </c>
      <c r="X1105" s="9" t="s">
        <v>106</v>
      </c>
      <c r="Y1105" s="9" t="s">
        <v>106</v>
      </c>
      <c r="Z1105" s="37"/>
      <c r="AA1105" s="37"/>
      <c r="AB1105" s="37"/>
      <c r="AE1105"/>
    </row>
    <row r="1106" spans="1:31" hidden="1">
      <c r="A1106" s="9" t="s">
        <v>718</v>
      </c>
      <c r="B1106" s="9" t="s">
        <v>643</v>
      </c>
      <c r="C1106" s="9" t="s">
        <v>105</v>
      </c>
      <c r="D1106" s="9">
        <v>1.3360000000000001</v>
      </c>
      <c r="E1106" s="9" t="s">
        <v>106</v>
      </c>
      <c r="F1106" s="9" t="s">
        <v>106</v>
      </c>
      <c r="G1106" s="9" t="s">
        <v>106</v>
      </c>
      <c r="H1106" s="9" t="s">
        <v>106</v>
      </c>
      <c r="J1106" s="9" t="s">
        <v>107</v>
      </c>
      <c r="K1106" s="9" t="s">
        <v>234</v>
      </c>
      <c r="L1106" t="str">
        <f>IF(OR(J1106="Cattle",J1106="Zebu Cattle"),IF(COUNTIF(lists!$M$2:$M$258, K1106) &gt; 0,"bos.indicus",IF(COUNTIF(lists!$L$2:$L$258, K1106) &gt; 0,"cross.bred","pure.bred.exotic")),"NA")</f>
        <v>NA</v>
      </c>
      <c r="M1106" t="str">
        <f>IF(J1106="Sheep",IF(COUNTIF(lists!$H$2:$H$258, K1106) &gt; 0,"indigenous",IF(COUNTIF(lists!$G$2:$G$258, K1106) &gt; 0,"cross.bred","not found")),"NA")</f>
        <v>not found</v>
      </c>
      <c r="N1106" t="str">
        <f>IF(J1106="Goat",IF(COUNTIF(lists!$J$2:$J$258, K1106) &gt; 0,"indigenous",IF(COUNTIF(lists!$I$2:$I$258, K1106) &gt; 0,"cross.bred","not found")),"NA")</f>
        <v>NA</v>
      </c>
      <c r="O1106" s="9" t="s">
        <v>109</v>
      </c>
      <c r="P1106" s="9" t="s">
        <v>164</v>
      </c>
      <c r="S1106" s="9" t="s">
        <v>106</v>
      </c>
      <c r="T1106" s="9" t="s">
        <v>106</v>
      </c>
      <c r="U1106" s="9" t="s">
        <v>106</v>
      </c>
      <c r="V1106" s="9" t="s">
        <v>106</v>
      </c>
      <c r="W1106" s="9" t="s">
        <v>106</v>
      </c>
      <c r="X1106" s="9" t="s">
        <v>106</v>
      </c>
      <c r="Y1106" s="9" t="s">
        <v>106</v>
      </c>
      <c r="Z1106" s="37"/>
      <c r="AA1106" s="37"/>
      <c r="AB1106" s="37"/>
      <c r="AE1106"/>
    </row>
    <row r="1107" spans="1:31" hidden="1">
      <c r="A1107" s="9" t="s">
        <v>718</v>
      </c>
      <c r="B1107" s="9" t="s">
        <v>644</v>
      </c>
      <c r="C1107" s="9" t="s">
        <v>105</v>
      </c>
      <c r="D1107" s="9">
        <v>1.36</v>
      </c>
      <c r="E1107" s="9" t="s">
        <v>106</v>
      </c>
      <c r="F1107" s="9" t="s">
        <v>106</v>
      </c>
      <c r="G1107" s="9" t="s">
        <v>106</v>
      </c>
      <c r="H1107" s="9" t="s">
        <v>106</v>
      </c>
      <c r="J1107" s="9" t="s">
        <v>107</v>
      </c>
      <c r="K1107" s="9" t="s">
        <v>234</v>
      </c>
      <c r="L1107" t="str">
        <f>IF(OR(J1107="Cattle",J1107="Zebu Cattle"),IF(COUNTIF(lists!$M$2:$M$258, K1107) &gt; 0,"bos.indicus",IF(COUNTIF(lists!$L$2:$L$258, K1107) &gt; 0,"cross.bred","pure.bred.exotic")),"NA")</f>
        <v>NA</v>
      </c>
      <c r="M1107" t="str">
        <f>IF(J1107="Sheep",IF(COUNTIF(lists!$H$2:$H$258, K1107) &gt; 0,"indigenous",IF(COUNTIF(lists!$G$2:$G$258, K1107) &gt; 0,"cross.bred","not found")),"NA")</f>
        <v>not found</v>
      </c>
      <c r="N1107" t="str">
        <f>IF(J1107="Goat",IF(COUNTIF(lists!$J$2:$J$258, K1107) &gt; 0,"indigenous",IF(COUNTIF(lists!$I$2:$I$258, K1107) &gt; 0,"cross.bred","not found")),"NA")</f>
        <v>NA</v>
      </c>
      <c r="O1107" s="9" t="s">
        <v>109</v>
      </c>
      <c r="P1107" s="9" t="s">
        <v>164</v>
      </c>
      <c r="S1107" s="9" t="s">
        <v>106</v>
      </c>
      <c r="T1107" s="9" t="s">
        <v>106</v>
      </c>
      <c r="U1107" s="9" t="s">
        <v>106</v>
      </c>
      <c r="V1107" s="9" t="s">
        <v>106</v>
      </c>
      <c r="W1107" s="9" t="s">
        <v>106</v>
      </c>
      <c r="X1107" s="9" t="s">
        <v>106</v>
      </c>
      <c r="Y1107" s="9" t="s">
        <v>106</v>
      </c>
      <c r="Z1107" s="37"/>
      <c r="AA1107" s="37"/>
      <c r="AB1107" s="37"/>
      <c r="AE1107"/>
    </row>
    <row r="1108" spans="1:31" hidden="1">
      <c r="A1108" s="9" t="s">
        <v>718</v>
      </c>
      <c r="B1108" s="9" t="s">
        <v>645</v>
      </c>
      <c r="C1108" s="9" t="s">
        <v>105</v>
      </c>
      <c r="D1108" s="9">
        <v>1.375</v>
      </c>
      <c r="E1108" s="9" t="s">
        <v>106</v>
      </c>
      <c r="F1108" s="9" t="s">
        <v>106</v>
      </c>
      <c r="G1108" s="9" t="s">
        <v>106</v>
      </c>
      <c r="H1108" s="9" t="s">
        <v>106</v>
      </c>
      <c r="J1108" s="9" t="s">
        <v>107</v>
      </c>
      <c r="K1108" s="9" t="s">
        <v>234</v>
      </c>
      <c r="L1108" t="str">
        <f>IF(OR(J1108="Cattle",J1108="Zebu Cattle"),IF(COUNTIF(lists!$M$2:$M$258, K1108) &gt; 0,"bos.indicus",IF(COUNTIF(lists!$L$2:$L$258, K1108) &gt; 0,"cross.bred","pure.bred.exotic")),"NA")</f>
        <v>NA</v>
      </c>
      <c r="M1108" t="str">
        <f>IF(J1108="Sheep",IF(COUNTIF(lists!$H$2:$H$258, K1108) &gt; 0,"indigenous",IF(COUNTIF(lists!$G$2:$G$258, K1108) &gt; 0,"cross.bred","not found")),"NA")</f>
        <v>not found</v>
      </c>
      <c r="N1108" t="str">
        <f>IF(J1108="Goat",IF(COUNTIF(lists!$J$2:$J$258, K1108) &gt; 0,"indigenous",IF(COUNTIF(lists!$I$2:$I$258, K1108) &gt; 0,"cross.bred","not found")),"NA")</f>
        <v>NA</v>
      </c>
      <c r="O1108" s="9" t="s">
        <v>109</v>
      </c>
      <c r="P1108" s="9" t="s">
        <v>164</v>
      </c>
      <c r="S1108" s="9" t="s">
        <v>106</v>
      </c>
      <c r="T1108" s="9" t="s">
        <v>106</v>
      </c>
      <c r="U1108" s="9" t="s">
        <v>106</v>
      </c>
      <c r="V1108" s="9" t="s">
        <v>106</v>
      </c>
      <c r="W1108" s="9" t="s">
        <v>106</v>
      </c>
      <c r="X1108" s="9" t="s">
        <v>106</v>
      </c>
      <c r="Y1108" s="9" t="s">
        <v>106</v>
      </c>
      <c r="Z1108" s="37"/>
      <c r="AA1108" s="37"/>
      <c r="AB1108" s="37"/>
      <c r="AE1108"/>
    </row>
    <row r="1109" spans="1:31" hidden="1">
      <c r="A1109" s="9" t="s">
        <v>727</v>
      </c>
      <c r="B1109" s="9" t="s">
        <v>642</v>
      </c>
      <c r="C1109" s="9" t="s">
        <v>105</v>
      </c>
      <c r="D1109" s="9">
        <v>0.19694999999999999</v>
      </c>
      <c r="E1109" s="9">
        <v>5.59</v>
      </c>
      <c r="F1109" s="9" t="s">
        <v>106</v>
      </c>
      <c r="G1109" s="9" t="s">
        <v>106</v>
      </c>
      <c r="H1109" s="9" t="s">
        <v>106</v>
      </c>
      <c r="J1109" s="9" t="s">
        <v>107</v>
      </c>
      <c r="K1109" s="9" t="s">
        <v>117</v>
      </c>
      <c r="L1109" t="str">
        <f>IF(OR(J1109="Cattle",J1109="Zebu Cattle"),IF(COUNTIF(lists!$M$2:$M$258, K1109) &gt; 0,"bos.indicus",IF(COUNTIF(lists!$L$2:$L$258, K1109) &gt; 0,"cross.bred","pure.bred.exotic")),"NA")</f>
        <v>NA</v>
      </c>
      <c r="M1109" t="str">
        <f>IF(J1109="Sheep",IF(COUNTIF(lists!$H$2:$H$258, K1109) &gt; 0,"indigenous",IF(COUNTIF(lists!$G$2:$G$258, K1109) &gt; 0,"cross.bred","not found")),"NA")</f>
        <v>not found</v>
      </c>
      <c r="N1109" t="str">
        <f>IF(J1109="Goat",IF(COUNTIF(lists!$J$2:$J$258, K1109) &gt; 0,"indigenous",IF(COUNTIF(lists!$I$2:$I$258, K1109) &gt; 0,"cross.bred","not found")),"NA")</f>
        <v>NA</v>
      </c>
      <c r="O1109" s="9" t="s">
        <v>109</v>
      </c>
      <c r="P1109" s="9" t="s">
        <v>479</v>
      </c>
      <c r="S1109" s="9" t="s">
        <v>106</v>
      </c>
      <c r="T1109" s="9" t="s">
        <v>106</v>
      </c>
      <c r="U1109" s="9" t="s">
        <v>106</v>
      </c>
      <c r="V1109" s="9" t="s">
        <v>106</v>
      </c>
      <c r="W1109" s="9" t="s">
        <v>106</v>
      </c>
      <c r="X1109" s="9" t="s">
        <v>106</v>
      </c>
      <c r="Y1109" s="9" t="s">
        <v>106</v>
      </c>
      <c r="Z1109" s="37"/>
      <c r="AA1109" s="37"/>
      <c r="AB1109" s="37"/>
      <c r="AE1109"/>
    </row>
    <row r="1110" spans="1:31" hidden="1">
      <c r="A1110" s="9" t="s">
        <v>727</v>
      </c>
      <c r="B1110" s="9" t="s">
        <v>643</v>
      </c>
      <c r="C1110" s="9" t="s">
        <v>105</v>
      </c>
      <c r="D1110" s="9">
        <v>0.19066999999999901</v>
      </c>
      <c r="E1110" s="9">
        <v>5.59</v>
      </c>
      <c r="F1110" s="9" t="s">
        <v>106</v>
      </c>
      <c r="G1110" s="9" t="s">
        <v>106</v>
      </c>
      <c r="H1110" s="9" t="s">
        <v>106</v>
      </c>
      <c r="J1110" s="9" t="s">
        <v>107</v>
      </c>
      <c r="K1110" s="9" t="s">
        <v>117</v>
      </c>
      <c r="L1110" t="str">
        <f>IF(OR(J1110="Cattle",J1110="Zebu Cattle"),IF(COUNTIF(lists!$M$2:$M$258, K1110) &gt; 0,"bos.indicus",IF(COUNTIF(lists!$L$2:$L$258, K1110) &gt; 0,"cross.bred","pure.bred.exotic")),"NA")</f>
        <v>NA</v>
      </c>
      <c r="M1110" t="str">
        <f>IF(J1110="Sheep",IF(COUNTIF(lists!$H$2:$H$258, K1110) &gt; 0,"indigenous",IF(COUNTIF(lists!$G$2:$G$258, K1110) &gt; 0,"cross.bred","not found")),"NA")</f>
        <v>not found</v>
      </c>
      <c r="N1110" t="str">
        <f>IF(J1110="Goat",IF(COUNTIF(lists!$J$2:$J$258, K1110) &gt; 0,"indigenous",IF(COUNTIF(lists!$I$2:$I$258, K1110) &gt; 0,"cross.bred","not found")),"NA")</f>
        <v>NA</v>
      </c>
      <c r="O1110" s="9" t="s">
        <v>109</v>
      </c>
      <c r="P1110" s="9" t="s">
        <v>479</v>
      </c>
      <c r="S1110" s="9" t="s">
        <v>106</v>
      </c>
      <c r="T1110" s="9" t="s">
        <v>106</v>
      </c>
      <c r="U1110" s="9" t="s">
        <v>106</v>
      </c>
      <c r="V1110" s="9" t="s">
        <v>106</v>
      </c>
      <c r="W1110" s="9" t="s">
        <v>106</v>
      </c>
      <c r="X1110" s="9" t="s">
        <v>106</v>
      </c>
      <c r="Y1110" s="9" t="s">
        <v>106</v>
      </c>
      <c r="Z1110" s="37"/>
      <c r="AA1110" s="37"/>
      <c r="AB1110" s="37"/>
      <c r="AE1110"/>
    </row>
    <row r="1111" spans="1:31" hidden="1">
      <c r="A1111" s="9" t="s">
        <v>727</v>
      </c>
      <c r="B1111" s="9" t="s">
        <v>644</v>
      </c>
      <c r="C1111" s="9" t="s">
        <v>105</v>
      </c>
      <c r="D1111" s="9">
        <v>0.16863999999999901</v>
      </c>
      <c r="E1111" s="9">
        <v>5.59</v>
      </c>
      <c r="F1111" s="9" t="s">
        <v>106</v>
      </c>
      <c r="G1111" s="9" t="s">
        <v>106</v>
      </c>
      <c r="H1111" s="9" t="s">
        <v>106</v>
      </c>
      <c r="J1111" s="9" t="s">
        <v>107</v>
      </c>
      <c r="K1111" s="9" t="s">
        <v>117</v>
      </c>
      <c r="L1111" t="str">
        <f>IF(OR(J1111="Cattle",J1111="Zebu Cattle"),IF(COUNTIF(lists!$M$2:$M$258, K1111) &gt; 0,"bos.indicus",IF(COUNTIF(lists!$L$2:$L$258, K1111) &gt; 0,"cross.bred","pure.bred.exotic")),"NA")</f>
        <v>NA</v>
      </c>
      <c r="M1111" t="str">
        <f>IF(J1111="Sheep",IF(COUNTIF(lists!$H$2:$H$258, K1111) &gt; 0,"indigenous",IF(COUNTIF(lists!$G$2:$G$258, K1111) &gt; 0,"cross.bred","not found")),"NA")</f>
        <v>not found</v>
      </c>
      <c r="N1111" t="str">
        <f>IF(J1111="Goat",IF(COUNTIF(lists!$J$2:$J$258, K1111) &gt; 0,"indigenous",IF(COUNTIF(lists!$I$2:$I$258, K1111) &gt; 0,"cross.bred","not found")),"NA")</f>
        <v>NA</v>
      </c>
      <c r="O1111" s="9" t="s">
        <v>109</v>
      </c>
      <c r="P1111" s="9" t="s">
        <v>479</v>
      </c>
      <c r="S1111" s="9" t="s">
        <v>106</v>
      </c>
      <c r="T1111" s="9" t="s">
        <v>106</v>
      </c>
      <c r="U1111" s="9" t="s">
        <v>106</v>
      </c>
      <c r="V1111" s="9" t="s">
        <v>106</v>
      </c>
      <c r="W1111" s="9" t="s">
        <v>106</v>
      </c>
      <c r="X1111" s="9" t="s">
        <v>106</v>
      </c>
      <c r="Y1111" s="9" t="s">
        <v>106</v>
      </c>
      <c r="Z1111" s="37"/>
      <c r="AA1111" s="37"/>
      <c r="AB1111" s="37"/>
      <c r="AE1111"/>
    </row>
    <row r="1112" spans="1:31" hidden="1">
      <c r="A1112" s="9" t="s">
        <v>727</v>
      </c>
      <c r="B1112" s="9" t="s">
        <v>645</v>
      </c>
      <c r="C1112" s="9" t="s">
        <v>105</v>
      </c>
      <c r="D1112" s="9">
        <v>0.13471</v>
      </c>
      <c r="E1112" s="9">
        <v>5.59</v>
      </c>
      <c r="F1112" s="9" t="s">
        <v>106</v>
      </c>
      <c r="G1112" s="9" t="s">
        <v>106</v>
      </c>
      <c r="H1112" s="9" t="s">
        <v>106</v>
      </c>
      <c r="J1112" s="9" t="s">
        <v>107</v>
      </c>
      <c r="K1112" s="9" t="s">
        <v>117</v>
      </c>
      <c r="L1112" t="str">
        <f>IF(OR(J1112="Cattle",J1112="Zebu Cattle"),IF(COUNTIF(lists!$M$2:$M$258, K1112) &gt; 0,"bos.indicus",IF(COUNTIF(lists!$L$2:$L$258, K1112) &gt; 0,"cross.bred","pure.bred.exotic")),"NA")</f>
        <v>NA</v>
      </c>
      <c r="M1112" t="str">
        <f>IF(J1112="Sheep",IF(COUNTIF(lists!$H$2:$H$258, K1112) &gt; 0,"indigenous",IF(COUNTIF(lists!$G$2:$G$258, K1112) &gt; 0,"cross.bred","not found")),"NA")</f>
        <v>not found</v>
      </c>
      <c r="N1112" t="str">
        <f>IF(J1112="Goat",IF(COUNTIF(lists!$J$2:$J$258, K1112) &gt; 0,"indigenous",IF(COUNTIF(lists!$I$2:$I$258, K1112) &gt; 0,"cross.bred","not found")),"NA")</f>
        <v>NA</v>
      </c>
      <c r="O1112" s="9" t="s">
        <v>109</v>
      </c>
      <c r="P1112" s="9" t="s">
        <v>479</v>
      </c>
      <c r="S1112" s="9" t="s">
        <v>106</v>
      </c>
      <c r="T1112" s="9" t="s">
        <v>106</v>
      </c>
      <c r="U1112" s="9" t="s">
        <v>106</v>
      </c>
      <c r="V1112" s="9" t="s">
        <v>106</v>
      </c>
      <c r="W1112" s="9" t="s">
        <v>106</v>
      </c>
      <c r="X1112" s="9" t="s">
        <v>106</v>
      </c>
      <c r="Y1112" s="9" t="s">
        <v>106</v>
      </c>
      <c r="Z1112" s="37"/>
      <c r="AA1112" s="37"/>
      <c r="AB1112" s="37"/>
      <c r="AE1112"/>
    </row>
    <row r="1113" spans="1:31" hidden="1">
      <c r="A1113" s="9" t="s">
        <v>740</v>
      </c>
      <c r="B1113" s="9" t="s">
        <v>741</v>
      </c>
      <c r="C1113" s="9" t="s">
        <v>105</v>
      </c>
      <c r="D1113" s="9">
        <v>2.10284</v>
      </c>
      <c r="E1113" s="9">
        <v>40.18</v>
      </c>
      <c r="F1113" s="9" t="s">
        <v>106</v>
      </c>
      <c r="G1113" s="9" t="s">
        <v>106</v>
      </c>
      <c r="H1113" s="9" t="s">
        <v>106</v>
      </c>
      <c r="J1113" s="9" t="s">
        <v>107</v>
      </c>
      <c r="K1113" s="9" t="s">
        <v>537</v>
      </c>
      <c r="L1113" t="str">
        <f>IF(OR(J1113="Cattle",J1113="Zebu Cattle"),IF(COUNTIF(lists!$M$2:$M$258, K1113) &gt; 0,"bos.indicus",IF(COUNTIF(lists!$L$2:$L$258, K1113) &gt; 0,"cross.bred","pure.bred.exotic")),"NA")</f>
        <v>NA</v>
      </c>
      <c r="M1113" t="str">
        <f>IF(J1113="Sheep",IF(COUNTIF(lists!$H$2:$H$258, K1113) &gt; 0,"indigenous",IF(COUNTIF(lists!$G$2:$G$258, K1113) &gt; 0,"cross.bred","not found")),"NA")</f>
        <v>not found</v>
      </c>
      <c r="N1113" t="str">
        <f>IF(J1113="Goat",IF(COUNTIF(lists!$J$2:$J$258, K1113) &gt; 0,"indigenous",IF(COUNTIF(lists!$I$2:$I$258, K1113) &gt; 0,"cross.bred","not found")),"NA")</f>
        <v>NA</v>
      </c>
      <c r="O1113" s="9" t="s">
        <v>109</v>
      </c>
      <c r="P1113" s="9" t="s">
        <v>164</v>
      </c>
      <c r="S1113" s="9">
        <v>129</v>
      </c>
      <c r="T1113" s="9" t="s">
        <v>106</v>
      </c>
      <c r="U1113" s="9">
        <v>140.19999999999999</v>
      </c>
      <c r="V1113" s="9">
        <v>905.8</v>
      </c>
      <c r="W1113" s="9">
        <v>29</v>
      </c>
      <c r="X1113" s="9">
        <v>299</v>
      </c>
      <c r="Y1113" s="9" t="s">
        <v>106</v>
      </c>
      <c r="Z1113" s="37"/>
      <c r="AA1113" s="37"/>
      <c r="AB1113" s="37"/>
      <c r="AE1113"/>
    </row>
    <row r="1114" spans="1:31" hidden="1">
      <c r="A1114" s="9" t="s">
        <v>740</v>
      </c>
      <c r="B1114" s="9" t="s">
        <v>642</v>
      </c>
      <c r="C1114" s="9" t="s">
        <v>105</v>
      </c>
      <c r="D1114" s="9">
        <v>2.0112000000000001</v>
      </c>
      <c r="E1114" s="9">
        <v>55.5</v>
      </c>
      <c r="F1114" s="9" t="s">
        <v>106</v>
      </c>
      <c r="G1114" s="9" t="s">
        <v>106</v>
      </c>
      <c r="H1114" s="9" t="s">
        <v>106</v>
      </c>
      <c r="J1114" s="9" t="s">
        <v>107</v>
      </c>
      <c r="K1114" s="9" t="s">
        <v>537</v>
      </c>
      <c r="L1114" t="str">
        <f>IF(OR(J1114="Cattle",J1114="Zebu Cattle"),IF(COUNTIF(lists!$M$2:$M$258, K1114) &gt; 0,"bos.indicus",IF(COUNTIF(lists!$L$2:$L$258, K1114) &gt; 0,"cross.bred","pure.bred.exotic")),"NA")</f>
        <v>NA</v>
      </c>
      <c r="M1114" t="str">
        <f>IF(J1114="Sheep",IF(COUNTIF(lists!$H$2:$H$258, K1114) &gt; 0,"indigenous",IF(COUNTIF(lists!$G$2:$G$258, K1114) &gt; 0,"cross.bred","not found")),"NA")</f>
        <v>not found</v>
      </c>
      <c r="N1114" t="str">
        <f>IF(J1114="Goat",IF(COUNTIF(lists!$J$2:$J$258, K1114) &gt; 0,"indigenous",IF(COUNTIF(lists!$I$2:$I$258, K1114) &gt; 0,"cross.bred","not found")),"NA")</f>
        <v>NA</v>
      </c>
      <c r="O1114" s="9" t="s">
        <v>109</v>
      </c>
      <c r="P1114" s="9" t="s">
        <v>164</v>
      </c>
      <c r="S1114" s="9">
        <v>122.3</v>
      </c>
      <c r="T1114" s="9" t="s">
        <v>106</v>
      </c>
      <c r="U1114" s="9">
        <v>145</v>
      </c>
      <c r="V1114" s="9">
        <v>905.4</v>
      </c>
      <c r="W1114" s="9">
        <v>34.200000000000003</v>
      </c>
      <c r="X1114" s="9">
        <v>292.2</v>
      </c>
      <c r="Y1114" s="9" t="s">
        <v>106</v>
      </c>
      <c r="Z1114" s="37"/>
      <c r="AA1114" s="37"/>
      <c r="AB1114" s="37"/>
      <c r="AE1114"/>
    </row>
    <row r="1115" spans="1:31" hidden="1">
      <c r="A1115" s="9" t="s">
        <v>740</v>
      </c>
      <c r="B1115" s="9" t="s">
        <v>643</v>
      </c>
      <c r="C1115" s="9" t="s">
        <v>105</v>
      </c>
      <c r="D1115" s="9">
        <v>2.1751999999999998</v>
      </c>
      <c r="E1115" s="9">
        <v>36.39</v>
      </c>
      <c r="F1115" s="9" t="s">
        <v>106</v>
      </c>
      <c r="G1115" s="9" t="s">
        <v>106</v>
      </c>
      <c r="H1115" s="9" t="s">
        <v>106</v>
      </c>
      <c r="J1115" s="9" t="s">
        <v>107</v>
      </c>
      <c r="K1115" s="9" t="s">
        <v>537</v>
      </c>
      <c r="L1115" t="str">
        <f>IF(OR(J1115="Cattle",J1115="Zebu Cattle"),IF(COUNTIF(lists!$M$2:$M$258, K1115) &gt; 0,"bos.indicus",IF(COUNTIF(lists!$L$2:$L$258, K1115) &gt; 0,"cross.bred","pure.bred.exotic")),"NA")</f>
        <v>NA</v>
      </c>
      <c r="M1115" t="str">
        <f>IF(J1115="Sheep",IF(COUNTIF(lists!$H$2:$H$258, K1115) &gt; 0,"indigenous",IF(COUNTIF(lists!$G$2:$G$258, K1115) &gt; 0,"cross.bred","not found")),"NA")</f>
        <v>not found</v>
      </c>
      <c r="N1115" t="str">
        <f>IF(J1115="Goat",IF(COUNTIF(lists!$J$2:$J$258, K1115) &gt; 0,"indigenous",IF(COUNTIF(lists!$I$2:$I$258, K1115) &gt; 0,"cross.bred","not found")),"NA")</f>
        <v>NA</v>
      </c>
      <c r="O1115" s="9" t="s">
        <v>109</v>
      </c>
      <c r="P1115" s="9" t="s">
        <v>164</v>
      </c>
      <c r="S1115" s="9">
        <v>115.5</v>
      </c>
      <c r="T1115" s="9" t="s">
        <v>106</v>
      </c>
      <c r="U1115" s="9">
        <v>149.4</v>
      </c>
      <c r="V1115" s="9">
        <v>905</v>
      </c>
      <c r="W1115" s="9">
        <v>39.299999999999997</v>
      </c>
      <c r="X1115" s="9">
        <v>285</v>
      </c>
      <c r="Y1115" s="9" t="s">
        <v>106</v>
      </c>
      <c r="Z1115" s="37"/>
      <c r="AA1115" s="37"/>
      <c r="AB1115" s="37"/>
      <c r="AE1115"/>
    </row>
    <row r="1116" spans="1:31" hidden="1">
      <c r="A1116" s="9" t="s">
        <v>742</v>
      </c>
      <c r="B1116" s="9" t="s">
        <v>714</v>
      </c>
      <c r="C1116" s="9" t="s">
        <v>105</v>
      </c>
      <c r="D1116" s="9">
        <v>1.09002</v>
      </c>
      <c r="E1116" s="9">
        <v>41.07</v>
      </c>
      <c r="F1116" s="9" t="s">
        <v>106</v>
      </c>
      <c r="G1116" s="9" t="s">
        <v>106</v>
      </c>
      <c r="H1116" s="9" t="s">
        <v>106</v>
      </c>
      <c r="J1116" s="9" t="s">
        <v>107</v>
      </c>
      <c r="K1116" s="9" t="s">
        <v>108</v>
      </c>
      <c r="L1116" t="str">
        <f>IF(OR(J1116="Cattle",J1116="Zebu Cattle"),IF(COUNTIF(lists!$M$2:$M$258, K1116) &gt; 0,"bos.indicus",IF(COUNTIF(lists!$L$2:$L$258, K1116) &gt; 0,"cross.bred","pure.bred.exotic")),"NA")</f>
        <v>NA</v>
      </c>
      <c r="M1116" t="str">
        <f>IF(J1116="Sheep",IF(COUNTIF(lists!$H$2:$H$258, K1116) &gt; 0,"indigenous",IF(COUNTIF(lists!$G$2:$G$258, K1116) &gt; 0,"cross.bred","not found")),"NA")</f>
        <v>indigenous</v>
      </c>
      <c r="N1116" t="str">
        <f>IF(J1116="Goat",IF(COUNTIF(lists!$J$2:$J$258, K1116) &gt; 0,"indigenous",IF(COUNTIF(lists!$I$2:$I$258, K1116) &gt; 0,"cross.bred","not found")),"NA")</f>
        <v>NA</v>
      </c>
      <c r="O1116" s="9" t="s">
        <v>109</v>
      </c>
      <c r="P1116" s="9" t="s">
        <v>177</v>
      </c>
      <c r="S1116" s="9" t="s">
        <v>106</v>
      </c>
      <c r="T1116" s="9" t="s">
        <v>106</v>
      </c>
      <c r="U1116" s="9" t="s">
        <v>106</v>
      </c>
      <c r="V1116" s="9" t="s">
        <v>106</v>
      </c>
      <c r="W1116" s="9" t="s">
        <v>106</v>
      </c>
      <c r="X1116" s="9" t="s">
        <v>106</v>
      </c>
      <c r="Y1116" s="9">
        <v>59.53</v>
      </c>
      <c r="Z1116" s="37"/>
      <c r="AA1116" s="37"/>
      <c r="AB1116" s="37"/>
      <c r="AE1116"/>
    </row>
    <row r="1117" spans="1:31" hidden="1">
      <c r="A1117" s="9" t="s">
        <v>742</v>
      </c>
      <c r="B1117" s="9" t="s">
        <v>715</v>
      </c>
      <c r="C1117" s="9" t="s">
        <v>105</v>
      </c>
      <c r="D1117" s="9">
        <v>0.99663999999999997</v>
      </c>
      <c r="E1117" s="9">
        <v>41.07</v>
      </c>
      <c r="F1117" s="9" t="s">
        <v>106</v>
      </c>
      <c r="G1117" s="9" t="s">
        <v>106</v>
      </c>
      <c r="H1117" s="9" t="s">
        <v>106</v>
      </c>
      <c r="J1117" s="9" t="s">
        <v>107</v>
      </c>
      <c r="K1117" s="9" t="s">
        <v>108</v>
      </c>
      <c r="L1117" t="str">
        <f>IF(OR(J1117="Cattle",J1117="Zebu Cattle"),IF(COUNTIF(lists!$M$2:$M$258, K1117) &gt; 0,"bos.indicus",IF(COUNTIF(lists!$L$2:$L$258, K1117) &gt; 0,"cross.bred","pure.bred.exotic")),"NA")</f>
        <v>NA</v>
      </c>
      <c r="M1117" t="str">
        <f>IF(J1117="Sheep",IF(COUNTIF(lists!$H$2:$H$258, K1117) &gt; 0,"indigenous",IF(COUNTIF(lists!$G$2:$G$258, K1117) &gt; 0,"cross.bred","not found")),"NA")</f>
        <v>indigenous</v>
      </c>
      <c r="N1117" t="str">
        <f>IF(J1117="Goat",IF(COUNTIF(lists!$J$2:$J$258, K1117) &gt; 0,"indigenous",IF(COUNTIF(lists!$I$2:$I$258, K1117) &gt; 0,"cross.bred","not found")),"NA")</f>
        <v>NA</v>
      </c>
      <c r="O1117" s="9" t="s">
        <v>109</v>
      </c>
      <c r="P1117" s="9" t="s">
        <v>177</v>
      </c>
      <c r="S1117" s="9" t="s">
        <v>106</v>
      </c>
      <c r="T1117" s="9" t="s">
        <v>106</v>
      </c>
      <c r="U1117" s="9" t="s">
        <v>106</v>
      </c>
      <c r="V1117" s="9" t="s">
        <v>106</v>
      </c>
      <c r="W1117" s="9" t="s">
        <v>106</v>
      </c>
      <c r="X1117" s="9" t="s">
        <v>106</v>
      </c>
      <c r="Y1117" s="9">
        <v>56.26</v>
      </c>
      <c r="Z1117" s="37"/>
      <c r="AA1117" s="37"/>
      <c r="AB1117" s="37"/>
      <c r="AE1117"/>
    </row>
    <row r="1118" spans="1:31" hidden="1">
      <c r="A1118" s="9" t="s">
        <v>742</v>
      </c>
      <c r="B1118" s="9" t="s">
        <v>716</v>
      </c>
      <c r="C1118" s="9" t="s">
        <v>105</v>
      </c>
      <c r="D1118" s="9">
        <v>0.94241999999999904</v>
      </c>
      <c r="E1118" s="9">
        <v>41.07</v>
      </c>
      <c r="F1118" s="9" t="s">
        <v>106</v>
      </c>
      <c r="G1118" s="9" t="s">
        <v>106</v>
      </c>
      <c r="H1118" s="9" t="s">
        <v>106</v>
      </c>
      <c r="J1118" s="9" t="s">
        <v>107</v>
      </c>
      <c r="K1118" s="9" t="s">
        <v>108</v>
      </c>
      <c r="L1118" t="str">
        <f>IF(OR(J1118="Cattle",J1118="Zebu Cattle"),IF(COUNTIF(lists!$M$2:$M$258, K1118) &gt; 0,"bos.indicus",IF(COUNTIF(lists!$L$2:$L$258, K1118) &gt; 0,"cross.bred","pure.bred.exotic")),"NA")</f>
        <v>NA</v>
      </c>
      <c r="M1118" t="str">
        <f>IF(J1118="Sheep",IF(COUNTIF(lists!$H$2:$H$258, K1118) &gt; 0,"indigenous",IF(COUNTIF(lists!$G$2:$G$258, K1118) &gt; 0,"cross.bred","not found")),"NA")</f>
        <v>indigenous</v>
      </c>
      <c r="N1118" t="str">
        <f>IF(J1118="Goat",IF(COUNTIF(lists!$J$2:$J$258, K1118) &gt; 0,"indigenous",IF(COUNTIF(lists!$I$2:$I$258, K1118) &gt; 0,"cross.bred","not found")),"NA")</f>
        <v>NA</v>
      </c>
      <c r="O1118" s="9" t="s">
        <v>109</v>
      </c>
      <c r="P1118" s="9" t="s">
        <v>177</v>
      </c>
      <c r="S1118" s="9" t="s">
        <v>106</v>
      </c>
      <c r="T1118" s="9" t="s">
        <v>106</v>
      </c>
      <c r="U1118" s="9" t="s">
        <v>106</v>
      </c>
      <c r="V1118" s="9" t="s">
        <v>106</v>
      </c>
      <c r="W1118" s="9" t="s">
        <v>106</v>
      </c>
      <c r="X1118" s="9" t="s">
        <v>106</v>
      </c>
      <c r="Y1118" s="9">
        <v>51.11</v>
      </c>
      <c r="Z1118" s="37"/>
      <c r="AA1118" s="37"/>
      <c r="AB1118" s="37"/>
      <c r="AE1118"/>
    </row>
    <row r="1119" spans="1:31" hidden="1">
      <c r="A1119" s="9" t="s">
        <v>743</v>
      </c>
      <c r="B1119" s="9" t="s">
        <v>744</v>
      </c>
      <c r="C1119" s="9" t="s">
        <v>105</v>
      </c>
      <c r="D1119" s="9">
        <v>1.177</v>
      </c>
      <c r="E1119" s="9" t="s">
        <v>106</v>
      </c>
      <c r="F1119" s="9" t="s">
        <v>106</v>
      </c>
      <c r="G1119" s="9" t="s">
        <v>106</v>
      </c>
      <c r="H1119" s="9" t="s">
        <v>106</v>
      </c>
      <c r="J1119" s="9" t="s">
        <v>107</v>
      </c>
      <c r="K1119" s="9" t="s">
        <v>745</v>
      </c>
      <c r="L1119" t="str">
        <f>IF(OR(J1119="Cattle",J1119="Zebu Cattle"),IF(COUNTIF(lists!$M$2:$M$258, K1119) &gt; 0,"bos.indicus",IF(COUNTIF(lists!$L$2:$L$258, K1119) &gt; 0,"cross.bred","pure.bred.exotic")),"NA")</f>
        <v>NA</v>
      </c>
      <c r="M1119" t="str">
        <f>IF(J1119="Sheep",IF(COUNTIF(lists!$H$2:$H$258, K1119) &gt; 0,"indigenous",IF(COUNTIF(lists!$G$2:$G$258, K1119) &gt; 0,"cross.bred","not found")),"NA")</f>
        <v>not found</v>
      </c>
      <c r="N1119" t="str">
        <f>IF(J1119="Goat",IF(COUNTIF(lists!$J$2:$J$258, K1119) &gt; 0,"indigenous",IF(COUNTIF(lists!$I$2:$I$258, K1119) &gt; 0,"cross.bred","not found")),"NA")</f>
        <v>NA</v>
      </c>
      <c r="O1119" s="9" t="s">
        <v>124</v>
      </c>
      <c r="P1119" s="9" t="s">
        <v>177</v>
      </c>
      <c r="S1119" s="9" t="s">
        <v>106</v>
      </c>
      <c r="T1119" s="9" t="s">
        <v>106</v>
      </c>
      <c r="U1119" s="9" t="s">
        <v>106</v>
      </c>
      <c r="V1119" s="9" t="s">
        <v>106</v>
      </c>
      <c r="W1119" s="9" t="s">
        <v>106</v>
      </c>
      <c r="X1119" s="9" t="s">
        <v>106</v>
      </c>
      <c r="Y1119" s="9" t="s">
        <v>106</v>
      </c>
      <c r="Z1119" s="37"/>
      <c r="AA1119" s="37"/>
      <c r="AB1119" s="37"/>
      <c r="AE1119"/>
    </row>
    <row r="1120" spans="1:31" hidden="1">
      <c r="A1120" s="9" t="s">
        <v>743</v>
      </c>
      <c r="B1120" s="9" t="s">
        <v>455</v>
      </c>
      <c r="C1120" s="9" t="s">
        <v>105</v>
      </c>
      <c r="D1120" s="9">
        <v>1.1399999999999999</v>
      </c>
      <c r="E1120" s="9" t="s">
        <v>106</v>
      </c>
      <c r="F1120" s="9" t="s">
        <v>106</v>
      </c>
      <c r="G1120" s="9" t="s">
        <v>106</v>
      </c>
      <c r="H1120" s="9" t="s">
        <v>106</v>
      </c>
      <c r="J1120" s="9" t="s">
        <v>107</v>
      </c>
      <c r="K1120" s="9" t="s">
        <v>745</v>
      </c>
      <c r="L1120" t="str">
        <f>IF(OR(J1120="Cattle",J1120="Zebu Cattle"),IF(COUNTIF(lists!$M$2:$M$258, K1120) &gt; 0,"bos.indicus",IF(COUNTIF(lists!$L$2:$L$258, K1120) &gt; 0,"cross.bred","pure.bred.exotic")),"NA")</f>
        <v>NA</v>
      </c>
      <c r="M1120" t="str">
        <f>IF(J1120="Sheep",IF(COUNTIF(lists!$H$2:$H$258, K1120) &gt; 0,"indigenous",IF(COUNTIF(lists!$G$2:$G$258, K1120) &gt; 0,"cross.bred","not found")),"NA")</f>
        <v>not found</v>
      </c>
      <c r="N1120" t="str">
        <f>IF(J1120="Goat",IF(COUNTIF(lists!$J$2:$J$258, K1120) &gt; 0,"indigenous",IF(COUNTIF(lists!$I$2:$I$258, K1120) &gt; 0,"cross.bred","not found")),"NA")</f>
        <v>NA</v>
      </c>
      <c r="O1120" s="9" t="s">
        <v>124</v>
      </c>
      <c r="P1120" s="9" t="s">
        <v>177</v>
      </c>
      <c r="S1120" s="9" t="s">
        <v>106</v>
      </c>
      <c r="T1120" s="9" t="s">
        <v>106</v>
      </c>
      <c r="U1120" s="9" t="s">
        <v>106</v>
      </c>
      <c r="V1120" s="9" t="s">
        <v>106</v>
      </c>
      <c r="W1120" s="9" t="s">
        <v>106</v>
      </c>
      <c r="X1120" s="9" t="s">
        <v>106</v>
      </c>
      <c r="Y1120" s="9" t="s">
        <v>106</v>
      </c>
      <c r="Z1120" s="37"/>
      <c r="AA1120" s="37"/>
      <c r="AB1120" s="37"/>
      <c r="AE1120"/>
    </row>
    <row r="1121" spans="1:31" hidden="1">
      <c r="A1121" s="9" t="s">
        <v>743</v>
      </c>
      <c r="B1121" s="9" t="s">
        <v>746</v>
      </c>
      <c r="C1121" s="9" t="s">
        <v>105</v>
      </c>
      <c r="D1121" s="9">
        <v>1.1759999999999999</v>
      </c>
      <c r="E1121" s="9" t="s">
        <v>106</v>
      </c>
      <c r="F1121" s="9" t="s">
        <v>106</v>
      </c>
      <c r="G1121" s="9" t="s">
        <v>106</v>
      </c>
      <c r="H1121" s="9" t="s">
        <v>106</v>
      </c>
      <c r="J1121" s="9" t="s">
        <v>107</v>
      </c>
      <c r="K1121" s="9" t="s">
        <v>745</v>
      </c>
      <c r="L1121" t="str">
        <f>IF(OR(J1121="Cattle",J1121="Zebu Cattle"),IF(COUNTIF(lists!$M$2:$M$258, K1121) &gt; 0,"bos.indicus",IF(COUNTIF(lists!$L$2:$L$258, K1121) &gt; 0,"cross.bred","pure.bred.exotic")),"NA")</f>
        <v>NA</v>
      </c>
      <c r="M1121" t="str">
        <f>IF(J1121="Sheep",IF(COUNTIF(lists!$H$2:$H$258, K1121) &gt; 0,"indigenous",IF(COUNTIF(lists!$G$2:$G$258, K1121) &gt; 0,"cross.bred","not found")),"NA")</f>
        <v>not found</v>
      </c>
      <c r="N1121" t="str">
        <f>IF(J1121="Goat",IF(COUNTIF(lists!$J$2:$J$258, K1121) &gt; 0,"indigenous",IF(COUNTIF(lists!$I$2:$I$258, K1121) &gt; 0,"cross.bred","not found")),"NA")</f>
        <v>NA</v>
      </c>
      <c r="O1121" s="9" t="s">
        <v>124</v>
      </c>
      <c r="P1121" s="9" t="s">
        <v>177</v>
      </c>
      <c r="S1121" s="9" t="s">
        <v>106</v>
      </c>
      <c r="T1121" s="9" t="s">
        <v>106</v>
      </c>
      <c r="U1121" s="9" t="s">
        <v>106</v>
      </c>
      <c r="V1121" s="9" t="s">
        <v>106</v>
      </c>
      <c r="W1121" s="9" t="s">
        <v>106</v>
      </c>
      <c r="X1121" s="9" t="s">
        <v>106</v>
      </c>
      <c r="Y1121" s="9" t="s">
        <v>106</v>
      </c>
      <c r="Z1121" s="37"/>
      <c r="AA1121" s="37"/>
      <c r="AB1121" s="37"/>
      <c r="AE1121"/>
    </row>
    <row r="1122" spans="1:31" hidden="1">
      <c r="A1122" s="9" t="s">
        <v>760</v>
      </c>
      <c r="B1122" s="9" t="s">
        <v>761</v>
      </c>
      <c r="C1122" s="9" t="s">
        <v>105</v>
      </c>
      <c r="D1122" s="9">
        <v>0.30752999999999903</v>
      </c>
      <c r="E1122" s="9">
        <v>45.79</v>
      </c>
      <c r="F1122" s="9">
        <v>13.17</v>
      </c>
      <c r="G1122" s="9">
        <v>27.74</v>
      </c>
      <c r="H1122" s="9" t="s">
        <v>106</v>
      </c>
      <c r="I1122" s="9">
        <v>16</v>
      </c>
      <c r="J1122" s="9" t="s">
        <v>107</v>
      </c>
      <c r="K1122" s="9" t="s">
        <v>117</v>
      </c>
      <c r="L1122" t="str">
        <f>IF(OR(J1122="Cattle",J1122="Zebu Cattle"),IF(COUNTIF(lists!$M$2:$M$258, K1122) &gt; 0,"bos.indicus",IF(COUNTIF(lists!$L$2:$L$258, K1122) &gt; 0,"cross.bred","pure.bred.exotic")),"NA")</f>
        <v>NA</v>
      </c>
      <c r="M1122" t="str">
        <f>IF(J1122="Sheep",IF(COUNTIF(lists!$H$2:$H$258, K1122) &gt; 0,"indigenous",IF(COUNTIF(lists!$G$2:$G$258, K1122) &gt; 0,"cross.bred","not found")),"NA")</f>
        <v>not found</v>
      </c>
      <c r="N1122" t="str">
        <f>IF(J1122="Goat",IF(COUNTIF(lists!$J$2:$J$258, K1122) &gt; 0,"indigenous",IF(COUNTIF(lists!$I$2:$I$258, K1122) &gt; 0,"cross.bred","not found")),"NA")</f>
        <v>NA</v>
      </c>
      <c r="O1122" s="9" t="s">
        <v>109</v>
      </c>
      <c r="P1122" s="9" t="s">
        <v>106</v>
      </c>
      <c r="Q1122" s="9" t="s">
        <v>3806</v>
      </c>
      <c r="S1122" s="9">
        <v>267.7</v>
      </c>
      <c r="T1122" s="9">
        <v>132.5</v>
      </c>
      <c r="U1122" s="9">
        <v>107.3</v>
      </c>
      <c r="V1122" s="9">
        <v>953.8</v>
      </c>
      <c r="W1122" s="9">
        <v>105.1</v>
      </c>
      <c r="X1122" s="9">
        <v>406.6</v>
      </c>
      <c r="Y1122" s="9">
        <v>483.6</v>
      </c>
      <c r="Z1122" s="37"/>
      <c r="AA1122" s="37"/>
      <c r="AB1122" s="37"/>
      <c r="AE1122">
        <v>0</v>
      </c>
    </row>
    <row r="1123" spans="1:31" hidden="1">
      <c r="A1123" s="9" t="s">
        <v>760</v>
      </c>
      <c r="B1123" s="9" t="s">
        <v>762</v>
      </c>
      <c r="C1123" s="9" t="s">
        <v>105</v>
      </c>
      <c r="D1123" s="9">
        <v>0.36792999999999998</v>
      </c>
      <c r="E1123" s="9">
        <v>45.79</v>
      </c>
      <c r="F1123" s="9">
        <v>12.9</v>
      </c>
      <c r="G1123" s="9">
        <v>35.71</v>
      </c>
      <c r="H1123" s="9" t="s">
        <v>106</v>
      </c>
      <c r="I1123" s="9">
        <v>16</v>
      </c>
      <c r="J1123" s="9" t="s">
        <v>107</v>
      </c>
      <c r="K1123" s="9" t="s">
        <v>117</v>
      </c>
      <c r="L1123" t="str">
        <f>IF(OR(J1123="Cattle",J1123="Zebu Cattle"),IF(COUNTIF(lists!$M$2:$M$258, K1123) &gt; 0,"bos.indicus",IF(COUNTIF(lists!$L$2:$L$258, K1123) &gt; 0,"cross.bred","pure.bred.exotic")),"NA")</f>
        <v>NA</v>
      </c>
      <c r="M1123" t="str">
        <f>IF(J1123="Sheep",IF(COUNTIF(lists!$H$2:$H$258, K1123) &gt; 0,"indigenous",IF(COUNTIF(lists!$G$2:$G$258, K1123) &gt; 0,"cross.bred","not found")),"NA")</f>
        <v>not found</v>
      </c>
      <c r="N1123" t="str">
        <f>IF(J1123="Goat",IF(COUNTIF(lists!$J$2:$J$258, K1123) &gt; 0,"indigenous",IF(COUNTIF(lists!$I$2:$I$258, K1123) &gt; 0,"cross.bred","not found")),"NA")</f>
        <v>NA</v>
      </c>
      <c r="O1123" s="9" t="s">
        <v>109</v>
      </c>
      <c r="P1123" s="9" t="s">
        <v>106</v>
      </c>
      <c r="Q1123" s="9" t="s">
        <v>3806</v>
      </c>
      <c r="S1123" s="9">
        <v>352.1</v>
      </c>
      <c r="T1123" s="9">
        <v>106.3</v>
      </c>
      <c r="U1123" s="9">
        <v>111.7</v>
      </c>
      <c r="V1123" s="9">
        <v>955</v>
      </c>
      <c r="W1123" s="9">
        <v>138.30000000000001</v>
      </c>
      <c r="X1123" s="9">
        <v>447.9</v>
      </c>
      <c r="Y1123" s="9">
        <v>538.9</v>
      </c>
      <c r="Z1123" s="37"/>
      <c r="AA1123" s="37"/>
      <c r="AB1123" s="37"/>
      <c r="AE1123">
        <v>0</v>
      </c>
    </row>
    <row r="1124" spans="1:31" hidden="1">
      <c r="A1124" s="9" t="s">
        <v>760</v>
      </c>
      <c r="B1124" s="9" t="s">
        <v>763</v>
      </c>
      <c r="C1124" s="9" t="s">
        <v>105</v>
      </c>
      <c r="D1124" s="9">
        <v>0.45573999999999998</v>
      </c>
      <c r="E1124" s="9">
        <v>45.79</v>
      </c>
      <c r="F1124" s="9">
        <v>13.5</v>
      </c>
      <c r="G1124" s="9">
        <v>45.24</v>
      </c>
      <c r="H1124" s="9" t="s">
        <v>106</v>
      </c>
      <c r="I1124" s="9">
        <v>16</v>
      </c>
      <c r="J1124" s="9" t="s">
        <v>107</v>
      </c>
      <c r="K1124" s="9" t="s">
        <v>117</v>
      </c>
      <c r="L1124" t="str">
        <f>IF(OR(J1124="Cattle",J1124="Zebu Cattle"),IF(COUNTIF(lists!$M$2:$M$258, K1124) &gt; 0,"bos.indicus",IF(COUNTIF(lists!$L$2:$L$258, K1124) &gt; 0,"cross.bred","pure.bred.exotic")),"NA")</f>
        <v>NA</v>
      </c>
      <c r="M1124" t="str">
        <f>IF(J1124="Sheep",IF(COUNTIF(lists!$H$2:$H$258, K1124) &gt; 0,"indigenous",IF(COUNTIF(lists!$G$2:$G$258, K1124) &gt; 0,"cross.bred","not found")),"NA")</f>
        <v>not found</v>
      </c>
      <c r="N1124" t="str">
        <f>IF(J1124="Goat",IF(COUNTIF(lists!$J$2:$J$258, K1124) &gt; 0,"indigenous",IF(COUNTIF(lists!$I$2:$I$258, K1124) &gt; 0,"cross.bred","not found")),"NA")</f>
        <v>NA</v>
      </c>
      <c r="O1124" s="9" t="s">
        <v>109</v>
      </c>
      <c r="P1124" s="9" t="s">
        <v>106</v>
      </c>
      <c r="Q1124" s="9" t="s">
        <v>3806</v>
      </c>
      <c r="S1124" s="9">
        <v>379.9</v>
      </c>
      <c r="T1124" s="9">
        <v>107.3</v>
      </c>
      <c r="U1124" s="9">
        <v>135.80000000000001</v>
      </c>
      <c r="V1124" s="9">
        <v>958.8</v>
      </c>
      <c r="W1124" s="9">
        <v>105</v>
      </c>
      <c r="X1124" s="9">
        <v>508</v>
      </c>
      <c r="Y1124" s="9">
        <v>596.79999999999995</v>
      </c>
      <c r="Z1124" s="37"/>
      <c r="AA1124" s="37"/>
      <c r="AB1124" s="37"/>
      <c r="AE1124">
        <v>0</v>
      </c>
    </row>
    <row r="1125" spans="1:31" hidden="1">
      <c r="A1125" s="9" t="s">
        <v>760</v>
      </c>
      <c r="B1125" s="9" t="s">
        <v>764</v>
      </c>
      <c r="C1125" s="9" t="s">
        <v>105</v>
      </c>
      <c r="D1125" s="9">
        <v>0.38562999999999997</v>
      </c>
      <c r="E1125" s="9">
        <v>45.79</v>
      </c>
      <c r="F1125" s="9">
        <v>13.33</v>
      </c>
      <c r="G1125" s="9">
        <v>38.450000000000003</v>
      </c>
      <c r="H1125" s="9" t="s">
        <v>106</v>
      </c>
      <c r="I1125" s="9">
        <v>16</v>
      </c>
      <c r="J1125" s="9" t="s">
        <v>107</v>
      </c>
      <c r="K1125" s="9" t="s">
        <v>117</v>
      </c>
      <c r="L1125" t="str">
        <f>IF(OR(J1125="Cattle",J1125="Zebu Cattle"),IF(COUNTIF(lists!$M$2:$M$258, K1125) &gt; 0,"bos.indicus",IF(COUNTIF(lists!$L$2:$L$258, K1125) &gt; 0,"cross.bred","pure.bred.exotic")),"NA")</f>
        <v>NA</v>
      </c>
      <c r="M1125" t="str">
        <f>IF(J1125="Sheep",IF(COUNTIF(lists!$H$2:$H$258, K1125) &gt; 0,"indigenous",IF(COUNTIF(lists!$G$2:$G$258, K1125) &gt; 0,"cross.bred","not found")),"NA")</f>
        <v>not found</v>
      </c>
      <c r="N1125" t="str">
        <f>IF(J1125="Goat",IF(COUNTIF(lists!$J$2:$J$258, K1125) &gt; 0,"indigenous",IF(COUNTIF(lists!$I$2:$I$258, K1125) &gt; 0,"cross.bred","not found")),"NA")</f>
        <v>NA</v>
      </c>
      <c r="O1125" s="9" t="s">
        <v>109</v>
      </c>
      <c r="P1125" s="9" t="s">
        <v>106</v>
      </c>
      <c r="Q1125" s="9" t="s">
        <v>3806</v>
      </c>
      <c r="S1125" s="9">
        <v>401.7</v>
      </c>
      <c r="T1125" s="9">
        <v>112.5</v>
      </c>
      <c r="U1125" s="9">
        <v>139.69999999999999</v>
      </c>
      <c r="V1125" s="9">
        <v>960</v>
      </c>
      <c r="W1125" s="9">
        <v>102.5</v>
      </c>
      <c r="X1125" s="9">
        <v>561.4</v>
      </c>
      <c r="Y1125" s="9">
        <v>616.4</v>
      </c>
      <c r="Z1125" s="37"/>
      <c r="AA1125" s="37"/>
      <c r="AB1125" s="37"/>
      <c r="AE1125">
        <v>0</v>
      </c>
    </row>
    <row r="1126" spans="1:31" hidden="1">
      <c r="A1126" s="9" t="s">
        <v>766</v>
      </c>
      <c r="B1126" s="9" t="s">
        <v>767</v>
      </c>
      <c r="C1126" s="9" t="s">
        <v>105</v>
      </c>
      <c r="D1126" s="9">
        <v>0.501</v>
      </c>
      <c r="E1126" s="9">
        <v>31.5</v>
      </c>
      <c r="F1126" s="9">
        <v>14.3</v>
      </c>
      <c r="G1126" s="9">
        <v>-26.7</v>
      </c>
      <c r="H1126" s="9" t="s">
        <v>106</v>
      </c>
      <c r="I1126" s="9">
        <v>24</v>
      </c>
      <c r="J1126" s="9" t="s">
        <v>107</v>
      </c>
      <c r="K1126" s="9" t="s">
        <v>768</v>
      </c>
      <c r="L1126" t="str">
        <f>IF(OR(J1126="Cattle",J1126="Zebu Cattle"),IF(COUNTIF(lists!$M$2:$M$258, K1126) &gt; 0,"bos.indicus",IF(COUNTIF(lists!$L$2:$L$258, K1126) &gt; 0,"cross.bred","pure.bred.exotic")),"NA")</f>
        <v>NA</v>
      </c>
      <c r="M1126" t="str">
        <f>IF(J1126="Sheep",IF(COUNTIF(lists!$H$2:$H$258, K1126) &gt; 0,"indigenous",IF(COUNTIF(lists!$G$2:$G$258, K1126) &gt; 0,"cross.bred","not found")),"NA")</f>
        <v>not found</v>
      </c>
      <c r="N1126" t="str">
        <f>IF(J1126="Goat",IF(COUNTIF(lists!$J$2:$J$258, K1126) &gt; 0,"indigenous",IF(COUNTIF(lists!$I$2:$I$258, K1126) &gt; 0,"cross.bred","not found")),"NA")</f>
        <v>NA</v>
      </c>
      <c r="O1126" s="9" t="s">
        <v>109</v>
      </c>
      <c r="P1126" s="9" t="s">
        <v>106</v>
      </c>
      <c r="Q1126" s="9" t="s">
        <v>3804</v>
      </c>
      <c r="S1126" s="9" t="s">
        <v>106</v>
      </c>
      <c r="T1126" s="9" t="s">
        <v>106</v>
      </c>
      <c r="U1126" s="9" t="s">
        <v>106</v>
      </c>
      <c r="V1126" s="9" t="s">
        <v>106</v>
      </c>
      <c r="W1126" s="9" t="s">
        <v>106</v>
      </c>
      <c r="X1126" s="9" t="s">
        <v>106</v>
      </c>
      <c r="Y1126" s="9">
        <v>0.53</v>
      </c>
      <c r="Z1126" s="37"/>
      <c r="AA1126" s="37"/>
      <c r="AB1126" s="37"/>
      <c r="AE1126">
        <v>0</v>
      </c>
    </row>
    <row r="1127" spans="1:31" hidden="1">
      <c r="A1127" s="9" t="s">
        <v>766</v>
      </c>
      <c r="B1127" s="9" t="s">
        <v>769</v>
      </c>
      <c r="C1127" s="9" t="s">
        <v>105</v>
      </c>
      <c r="D1127" s="9">
        <v>0.91300000000000003</v>
      </c>
      <c r="E1127" s="9">
        <v>31.4</v>
      </c>
      <c r="F1127" s="9">
        <v>14.5</v>
      </c>
      <c r="G1127" s="9">
        <v>83.2</v>
      </c>
      <c r="H1127" s="9" t="s">
        <v>106</v>
      </c>
      <c r="I1127" s="9">
        <v>24</v>
      </c>
      <c r="J1127" s="9" t="s">
        <v>107</v>
      </c>
      <c r="K1127" s="9" t="s">
        <v>768</v>
      </c>
      <c r="L1127" t="str">
        <f>IF(OR(J1127="Cattle",J1127="Zebu Cattle"),IF(COUNTIF(lists!$M$2:$M$258, K1127) &gt; 0,"bos.indicus",IF(COUNTIF(lists!$L$2:$L$258, K1127) &gt; 0,"cross.bred","pure.bred.exotic")),"NA")</f>
        <v>NA</v>
      </c>
      <c r="M1127" t="str">
        <f>IF(J1127="Sheep",IF(COUNTIF(lists!$H$2:$H$258, K1127) &gt; 0,"indigenous",IF(COUNTIF(lists!$G$2:$G$258, K1127) &gt; 0,"cross.bred","not found")),"NA")</f>
        <v>not found</v>
      </c>
      <c r="N1127" t="str">
        <f>IF(J1127="Goat",IF(COUNTIF(lists!$J$2:$J$258, K1127) &gt; 0,"indigenous",IF(COUNTIF(lists!$I$2:$I$258, K1127) &gt; 0,"cross.bred","not found")),"NA")</f>
        <v>NA</v>
      </c>
      <c r="O1127" s="9" t="s">
        <v>109</v>
      </c>
      <c r="P1127" s="9" t="s">
        <v>106</v>
      </c>
      <c r="Q1127" s="9" t="s">
        <v>3804</v>
      </c>
      <c r="S1127" s="9" t="s">
        <v>106</v>
      </c>
      <c r="T1127" s="9" t="s">
        <v>106</v>
      </c>
      <c r="U1127" s="9" t="s">
        <v>106</v>
      </c>
      <c r="V1127" s="9" t="s">
        <v>106</v>
      </c>
      <c r="W1127" s="9" t="s">
        <v>106</v>
      </c>
      <c r="X1127" s="9" t="s">
        <v>106</v>
      </c>
      <c r="Y1127" s="9">
        <v>0.63</v>
      </c>
      <c r="Z1127" s="37"/>
      <c r="AA1127" s="37"/>
      <c r="AB1127" s="37"/>
      <c r="AE1127">
        <v>0</v>
      </c>
    </row>
    <row r="1128" spans="1:31" hidden="1">
      <c r="A1128" s="9" t="s">
        <v>766</v>
      </c>
      <c r="B1128" s="9" t="s">
        <v>770</v>
      </c>
      <c r="C1128" s="9" t="s">
        <v>105</v>
      </c>
      <c r="D1128" s="9">
        <v>0.91100000000000003</v>
      </c>
      <c r="E1128" s="9">
        <v>31.4</v>
      </c>
      <c r="F1128" s="9">
        <v>14.9</v>
      </c>
      <c r="G1128" s="9">
        <v>62</v>
      </c>
      <c r="H1128" s="9" t="s">
        <v>106</v>
      </c>
      <c r="I1128" s="9">
        <v>24</v>
      </c>
      <c r="J1128" s="9" t="s">
        <v>107</v>
      </c>
      <c r="K1128" s="9" t="s">
        <v>768</v>
      </c>
      <c r="L1128" t="str">
        <f>IF(OR(J1128="Cattle",J1128="Zebu Cattle"),IF(COUNTIF(lists!$M$2:$M$258, K1128) &gt; 0,"bos.indicus",IF(COUNTIF(lists!$L$2:$L$258, K1128) &gt; 0,"cross.bred","pure.bred.exotic")),"NA")</f>
        <v>NA</v>
      </c>
      <c r="M1128" t="str">
        <f>IF(J1128="Sheep",IF(COUNTIF(lists!$H$2:$H$258, K1128) &gt; 0,"indigenous",IF(COUNTIF(lists!$G$2:$G$258, K1128) &gt; 0,"cross.bred","not found")),"NA")</f>
        <v>not found</v>
      </c>
      <c r="N1128" t="str">
        <f>IF(J1128="Goat",IF(COUNTIF(lists!$J$2:$J$258, K1128) &gt; 0,"indigenous",IF(COUNTIF(lists!$I$2:$I$258, K1128) &gt; 0,"cross.bred","not found")),"NA")</f>
        <v>NA</v>
      </c>
      <c r="O1128" s="9" t="s">
        <v>109</v>
      </c>
      <c r="P1128" s="9" t="s">
        <v>106</v>
      </c>
      <c r="Q1128" s="9" t="s">
        <v>3804</v>
      </c>
      <c r="S1128" s="9" t="s">
        <v>106</v>
      </c>
      <c r="T1128" s="9" t="s">
        <v>106</v>
      </c>
      <c r="U1128" s="9" t="s">
        <v>106</v>
      </c>
      <c r="V1128" s="9" t="s">
        <v>106</v>
      </c>
      <c r="W1128" s="9" t="s">
        <v>106</v>
      </c>
      <c r="X1128" s="9" t="s">
        <v>106</v>
      </c>
      <c r="Y1128" s="9">
        <v>0.6</v>
      </c>
      <c r="Z1128" s="37"/>
      <c r="AA1128" s="37"/>
      <c r="AB1128" s="37"/>
      <c r="AE1128">
        <v>0</v>
      </c>
    </row>
    <row r="1129" spans="1:31" hidden="1">
      <c r="A1129" s="9" t="s">
        <v>766</v>
      </c>
      <c r="B1129" s="9" t="s">
        <v>771</v>
      </c>
      <c r="C1129" s="9" t="s">
        <v>105</v>
      </c>
      <c r="D1129" s="9">
        <v>0.86399999999999999</v>
      </c>
      <c r="E1129" s="9">
        <v>31.4</v>
      </c>
      <c r="F1129" s="9">
        <v>14.3</v>
      </c>
      <c r="G1129" s="9">
        <v>77.400000000000006</v>
      </c>
      <c r="H1129" s="9" t="s">
        <v>106</v>
      </c>
      <c r="I1129" s="9">
        <v>24</v>
      </c>
      <c r="J1129" s="9" t="s">
        <v>107</v>
      </c>
      <c r="K1129" s="9" t="s">
        <v>768</v>
      </c>
      <c r="L1129" t="str">
        <f>IF(OR(J1129="Cattle",J1129="Zebu Cattle"),IF(COUNTIF(lists!$M$2:$M$258, K1129) &gt; 0,"bos.indicus",IF(COUNTIF(lists!$L$2:$L$258, K1129) &gt; 0,"cross.bred","pure.bred.exotic")),"NA")</f>
        <v>NA</v>
      </c>
      <c r="M1129" t="str">
        <f>IF(J1129="Sheep",IF(COUNTIF(lists!$H$2:$H$258, K1129) &gt; 0,"indigenous",IF(COUNTIF(lists!$G$2:$G$258, K1129) &gt; 0,"cross.bred","not found")),"NA")</f>
        <v>not found</v>
      </c>
      <c r="N1129" t="str">
        <f>IF(J1129="Goat",IF(COUNTIF(lists!$J$2:$J$258, K1129) &gt; 0,"indigenous",IF(COUNTIF(lists!$I$2:$I$258, K1129) &gt; 0,"cross.bred","not found")),"NA")</f>
        <v>NA</v>
      </c>
      <c r="O1129" s="9" t="s">
        <v>109</v>
      </c>
      <c r="P1129" s="9" t="s">
        <v>106</v>
      </c>
      <c r="Q1129" s="9" t="s">
        <v>3804</v>
      </c>
      <c r="S1129" s="9" t="s">
        <v>106</v>
      </c>
      <c r="T1129" s="9" t="s">
        <v>106</v>
      </c>
      <c r="U1129" s="9" t="s">
        <v>106</v>
      </c>
      <c r="V1129" s="9" t="s">
        <v>106</v>
      </c>
      <c r="W1129" s="9" t="s">
        <v>106</v>
      </c>
      <c r="X1129" s="9" t="s">
        <v>106</v>
      </c>
      <c r="Y1129" s="9">
        <v>0.57999999999999996</v>
      </c>
      <c r="Z1129" s="37"/>
      <c r="AA1129" s="37"/>
      <c r="AB1129" s="37"/>
      <c r="AE1129">
        <v>0</v>
      </c>
    </row>
    <row r="1130" spans="1:31" hidden="1">
      <c r="A1130" s="9" t="s">
        <v>786</v>
      </c>
      <c r="B1130" s="9" t="s">
        <v>787</v>
      </c>
      <c r="C1130" s="9" t="s">
        <v>105</v>
      </c>
      <c r="D1130" s="9">
        <v>0.17487563109680801</v>
      </c>
      <c r="E1130" s="9">
        <v>4.5</v>
      </c>
      <c r="F1130" s="9">
        <v>7.25</v>
      </c>
      <c r="G1130" s="9">
        <v>24.36</v>
      </c>
      <c r="H1130" s="9" t="s">
        <v>106</v>
      </c>
      <c r="I1130" s="9">
        <v>20</v>
      </c>
      <c r="J1130" s="9" t="s">
        <v>107</v>
      </c>
      <c r="K1130" s="9" t="s">
        <v>117</v>
      </c>
      <c r="L1130" t="str">
        <f>IF(OR(J1130="Cattle",J1130="Zebu Cattle"),IF(COUNTIF(lists!$M$2:$M$258, K1130) &gt; 0,"bos.indicus",IF(COUNTIF(lists!$L$2:$L$258, K1130) &gt; 0,"cross.bred","pure.bred.exotic")),"NA")</f>
        <v>NA</v>
      </c>
      <c r="M1130" t="str">
        <f>IF(J1130="Sheep",IF(COUNTIF(lists!$H$2:$H$258, K1130) &gt; 0,"indigenous",IF(COUNTIF(lists!$G$2:$G$258, K1130) &gt; 0,"cross.bred","not found")),"NA")</f>
        <v>not found</v>
      </c>
      <c r="N1130" t="str">
        <f>IF(J1130="Goat",IF(COUNTIF(lists!$J$2:$J$258, K1130) &gt; 0,"indigenous",IF(COUNTIF(lists!$I$2:$I$258, K1130) &gt; 0,"cross.bred","not found")),"NA")</f>
        <v>NA</v>
      </c>
      <c r="O1130" s="9" t="s">
        <v>109</v>
      </c>
      <c r="P1130" s="9" t="s">
        <v>106</v>
      </c>
      <c r="Q1130" s="9" t="s">
        <v>3804</v>
      </c>
      <c r="S1130" s="9">
        <v>436</v>
      </c>
      <c r="T1130" s="9" t="s">
        <v>106</v>
      </c>
      <c r="U1130" s="9">
        <v>108</v>
      </c>
      <c r="V1130" s="9" t="s">
        <v>106</v>
      </c>
      <c r="W1130" s="9" t="s">
        <v>106</v>
      </c>
      <c r="X1130" s="9" t="s">
        <v>106</v>
      </c>
      <c r="Y1130" s="9" t="s">
        <v>106</v>
      </c>
      <c r="Z1130" s="37"/>
      <c r="AA1130" s="37"/>
      <c r="AB1130" s="37"/>
      <c r="AE1130">
        <v>0</v>
      </c>
    </row>
    <row r="1131" spans="1:31" hidden="1">
      <c r="A1131" s="9" t="s">
        <v>786</v>
      </c>
      <c r="B1131" s="9" t="s">
        <v>788</v>
      </c>
      <c r="C1131" s="9" t="s">
        <v>105</v>
      </c>
      <c r="D1131" s="9">
        <v>0.55926642557186101</v>
      </c>
      <c r="E1131" s="9">
        <v>4.74</v>
      </c>
      <c r="F1131" s="9">
        <v>16.2</v>
      </c>
      <c r="G1131" s="9">
        <v>48.92</v>
      </c>
      <c r="H1131" s="9" t="s">
        <v>106</v>
      </c>
      <c r="I1131" s="9">
        <v>20</v>
      </c>
      <c r="J1131" s="9" t="s">
        <v>107</v>
      </c>
      <c r="K1131" s="9" t="s">
        <v>117</v>
      </c>
      <c r="L1131" t="str">
        <f>IF(OR(J1131="Cattle",J1131="Zebu Cattle"),IF(COUNTIF(lists!$M$2:$M$258, K1131) &gt; 0,"bos.indicus",IF(COUNTIF(lists!$L$2:$L$258, K1131) &gt; 0,"cross.bred","pure.bred.exotic")),"NA")</f>
        <v>NA</v>
      </c>
      <c r="M1131" t="str">
        <f>IF(J1131="Sheep",IF(COUNTIF(lists!$H$2:$H$258, K1131) &gt; 0,"indigenous",IF(COUNTIF(lists!$G$2:$G$258, K1131) &gt; 0,"cross.bred","not found")),"NA")</f>
        <v>not found</v>
      </c>
      <c r="N1131" t="str">
        <f>IF(J1131="Goat",IF(COUNTIF(lists!$J$2:$J$258, K1131) &gt; 0,"indigenous",IF(COUNTIF(lists!$I$2:$I$258, K1131) &gt; 0,"cross.bred","not found")),"NA")</f>
        <v>NA</v>
      </c>
      <c r="O1131" s="9" t="s">
        <v>109</v>
      </c>
      <c r="P1131" s="9" t="s">
        <v>106</v>
      </c>
      <c r="Q1131" s="9" t="s">
        <v>3804</v>
      </c>
      <c r="S1131" s="9">
        <v>436</v>
      </c>
      <c r="T1131" s="9" t="s">
        <v>106</v>
      </c>
      <c r="U1131" s="9">
        <v>108</v>
      </c>
      <c r="V1131" s="9" t="s">
        <v>106</v>
      </c>
      <c r="W1131" s="9" t="s">
        <v>106</v>
      </c>
      <c r="X1131" s="9" t="s">
        <v>106</v>
      </c>
      <c r="Y1131" s="9" t="s">
        <v>106</v>
      </c>
      <c r="Z1131" s="37"/>
      <c r="AA1131" s="37"/>
      <c r="AB1131" s="37"/>
      <c r="AE1131">
        <v>0</v>
      </c>
    </row>
    <row r="1132" spans="1:31" hidden="1">
      <c r="A1132" s="9" t="s">
        <v>786</v>
      </c>
      <c r="B1132" s="9" t="s">
        <v>789</v>
      </c>
      <c r="C1132" s="9" t="s">
        <v>105</v>
      </c>
      <c r="D1132" s="9">
        <v>0.42162608195905299</v>
      </c>
      <c r="E1132" s="9">
        <v>4.74</v>
      </c>
      <c r="F1132" s="9">
        <v>11.54</v>
      </c>
      <c r="G1132" s="9">
        <v>41.024999999999999</v>
      </c>
      <c r="H1132" s="9" t="s">
        <v>106</v>
      </c>
      <c r="I1132" s="9">
        <v>20</v>
      </c>
      <c r="J1132" s="9" t="s">
        <v>107</v>
      </c>
      <c r="K1132" s="9" t="s">
        <v>117</v>
      </c>
      <c r="L1132" t="str">
        <f>IF(OR(J1132="Cattle",J1132="Zebu Cattle"),IF(COUNTIF(lists!$M$2:$M$258, K1132) &gt; 0,"bos.indicus",IF(COUNTIF(lists!$L$2:$L$258, K1132) &gt; 0,"cross.bred","pure.bred.exotic")),"NA")</f>
        <v>NA</v>
      </c>
      <c r="M1132" t="str">
        <f>IF(J1132="Sheep",IF(COUNTIF(lists!$H$2:$H$258, K1132) &gt; 0,"indigenous",IF(COUNTIF(lists!$G$2:$G$258, K1132) &gt; 0,"cross.bred","not found")),"NA")</f>
        <v>not found</v>
      </c>
      <c r="N1132" t="str">
        <f>IF(J1132="Goat",IF(COUNTIF(lists!$J$2:$J$258, K1132) &gt; 0,"indigenous",IF(COUNTIF(lists!$I$2:$I$258, K1132) &gt; 0,"cross.bred","not found")),"NA")</f>
        <v>NA</v>
      </c>
      <c r="O1132" s="9" t="s">
        <v>109</v>
      </c>
      <c r="P1132" s="9" t="s">
        <v>106</v>
      </c>
      <c r="Q1132" s="9" t="s">
        <v>3804</v>
      </c>
      <c r="S1132" s="9">
        <v>384</v>
      </c>
      <c r="T1132" s="9" t="s">
        <v>106</v>
      </c>
      <c r="U1132" s="9">
        <v>139</v>
      </c>
      <c r="V1132" s="9" t="s">
        <v>106</v>
      </c>
      <c r="W1132" s="9" t="s">
        <v>106</v>
      </c>
      <c r="X1132" s="9" t="s">
        <v>106</v>
      </c>
      <c r="Y1132" s="9" t="s">
        <v>106</v>
      </c>
      <c r="Z1132" s="37"/>
      <c r="AA1132" s="37"/>
      <c r="AB1132" s="37"/>
      <c r="AE1132">
        <v>0</v>
      </c>
    </row>
    <row r="1133" spans="1:31" hidden="1">
      <c r="A1133" s="9" t="s">
        <v>786</v>
      </c>
      <c r="B1133" s="9" t="s">
        <v>790</v>
      </c>
      <c r="C1133" s="9" t="s">
        <v>105</v>
      </c>
      <c r="D1133" s="9">
        <v>0.14736256192189101</v>
      </c>
      <c r="E1133" s="9">
        <v>4.5</v>
      </c>
      <c r="F1133" s="9">
        <v>7.1</v>
      </c>
      <c r="G1133" s="9">
        <v>30.76</v>
      </c>
      <c r="H1133" s="9" t="s">
        <v>106</v>
      </c>
      <c r="I1133" s="9">
        <v>20</v>
      </c>
      <c r="J1133" s="9" t="s">
        <v>107</v>
      </c>
      <c r="K1133" s="9" t="s">
        <v>117</v>
      </c>
      <c r="L1133" t="str">
        <f>IF(OR(J1133="Cattle",J1133="Zebu Cattle"),IF(COUNTIF(lists!$M$2:$M$258, K1133) &gt; 0,"bos.indicus",IF(COUNTIF(lists!$L$2:$L$258, K1133) &gt; 0,"cross.bred","pure.bred.exotic")),"NA")</f>
        <v>NA</v>
      </c>
      <c r="M1133" t="str">
        <f>IF(J1133="Sheep",IF(COUNTIF(lists!$H$2:$H$258, K1133) &gt; 0,"indigenous",IF(COUNTIF(lists!$G$2:$G$258, K1133) &gt; 0,"cross.bred","not found")),"NA")</f>
        <v>not found</v>
      </c>
      <c r="N1133" t="str">
        <f>IF(J1133="Goat",IF(COUNTIF(lists!$J$2:$J$258, K1133) &gt; 0,"indigenous",IF(COUNTIF(lists!$I$2:$I$258, K1133) &gt; 0,"cross.bred","not found")),"NA")</f>
        <v>NA</v>
      </c>
      <c r="O1133" s="9" t="s">
        <v>109</v>
      </c>
      <c r="P1133" s="9" t="s">
        <v>106</v>
      </c>
      <c r="Q1133" s="9" t="s">
        <v>3804</v>
      </c>
      <c r="S1133" s="9">
        <v>320</v>
      </c>
      <c r="T1133" s="9" t="s">
        <v>106</v>
      </c>
      <c r="U1133" s="9">
        <v>181</v>
      </c>
      <c r="V1133" s="9" t="s">
        <v>106</v>
      </c>
      <c r="W1133" s="9" t="s">
        <v>106</v>
      </c>
      <c r="X1133" s="9" t="s">
        <v>106</v>
      </c>
      <c r="Y1133" s="9" t="s">
        <v>106</v>
      </c>
      <c r="Z1133" s="37"/>
      <c r="AA1133" s="37"/>
      <c r="AB1133" s="37"/>
      <c r="AE1133">
        <v>0</v>
      </c>
    </row>
    <row r="1134" spans="1:31" hidden="1">
      <c r="A1134" s="9" t="s">
        <v>786</v>
      </c>
      <c r="B1134" s="9" t="s">
        <v>791</v>
      </c>
      <c r="C1134" s="9" t="s">
        <v>105</v>
      </c>
      <c r="D1134" s="9">
        <v>0.523494692027487</v>
      </c>
      <c r="E1134" s="9">
        <v>4.74</v>
      </c>
      <c r="F1134" s="9">
        <v>16.2</v>
      </c>
      <c r="G1134" s="9">
        <v>59.32</v>
      </c>
      <c r="H1134" s="9" t="s">
        <v>106</v>
      </c>
      <c r="I1134" s="9">
        <v>20</v>
      </c>
      <c r="J1134" s="9" t="s">
        <v>107</v>
      </c>
      <c r="K1134" s="9" t="s">
        <v>117</v>
      </c>
      <c r="L1134" t="str">
        <f>IF(OR(J1134="Cattle",J1134="Zebu Cattle"),IF(COUNTIF(lists!$M$2:$M$258, K1134) &gt; 0,"bos.indicus",IF(COUNTIF(lists!$L$2:$L$258, K1134) &gt; 0,"cross.bred","pure.bred.exotic")),"NA")</f>
        <v>NA</v>
      </c>
      <c r="M1134" t="str">
        <f>IF(J1134="Sheep",IF(COUNTIF(lists!$H$2:$H$258, K1134) &gt; 0,"indigenous",IF(COUNTIF(lists!$G$2:$G$258, K1134) &gt; 0,"cross.bred","not found")),"NA")</f>
        <v>not found</v>
      </c>
      <c r="N1134" t="str">
        <f>IF(J1134="Goat",IF(COUNTIF(lists!$J$2:$J$258, K1134) &gt; 0,"indigenous",IF(COUNTIF(lists!$I$2:$I$258, K1134) &gt; 0,"cross.bred","not found")),"NA")</f>
        <v>NA</v>
      </c>
      <c r="O1134" s="9" t="s">
        <v>109</v>
      </c>
      <c r="P1134" s="9" t="s">
        <v>106</v>
      </c>
      <c r="Q1134" s="9" t="s">
        <v>3804</v>
      </c>
      <c r="S1134" s="9">
        <v>320</v>
      </c>
      <c r="T1134" s="9" t="s">
        <v>106</v>
      </c>
      <c r="U1134" s="9">
        <v>181</v>
      </c>
      <c r="V1134" s="9" t="s">
        <v>106</v>
      </c>
      <c r="W1134" s="9" t="s">
        <v>106</v>
      </c>
      <c r="X1134" s="9" t="s">
        <v>106</v>
      </c>
      <c r="Y1134" s="9" t="s">
        <v>106</v>
      </c>
      <c r="Z1134" s="37"/>
      <c r="AA1134" s="37"/>
      <c r="AB1134" s="37"/>
      <c r="AE1134">
        <v>0</v>
      </c>
    </row>
    <row r="1135" spans="1:31" hidden="1">
      <c r="A1135" s="9" t="s">
        <v>786</v>
      </c>
      <c r="B1135" s="9" t="s">
        <v>792</v>
      </c>
      <c r="C1135" s="9" t="s">
        <v>105</v>
      </c>
      <c r="D1135" s="9">
        <v>0.148125310320041</v>
      </c>
      <c r="E1135" s="9">
        <v>4.5</v>
      </c>
      <c r="F1135" s="9">
        <v>7.2</v>
      </c>
      <c r="G1135" s="9">
        <v>33.130000000000003</v>
      </c>
      <c r="H1135" s="9" t="s">
        <v>106</v>
      </c>
      <c r="I1135" s="9">
        <v>20</v>
      </c>
      <c r="J1135" s="9" t="s">
        <v>107</v>
      </c>
      <c r="K1135" s="9" t="s">
        <v>117</v>
      </c>
      <c r="L1135" t="str">
        <f>IF(OR(J1135="Cattle",J1135="Zebu Cattle"),IF(COUNTIF(lists!$M$2:$M$258, K1135) &gt; 0,"bos.indicus",IF(COUNTIF(lists!$L$2:$L$258, K1135) &gt; 0,"cross.bred","pure.bred.exotic")),"NA")</f>
        <v>NA</v>
      </c>
      <c r="M1135" t="str">
        <f>IF(J1135="Sheep",IF(COUNTIF(lists!$H$2:$H$258, K1135) &gt; 0,"indigenous",IF(COUNTIF(lists!$G$2:$G$258, K1135) &gt; 0,"cross.bred","not found")),"NA")</f>
        <v>not found</v>
      </c>
      <c r="N1135" t="str">
        <f>IF(J1135="Goat",IF(COUNTIF(lists!$J$2:$J$258, K1135) &gt; 0,"indigenous",IF(COUNTIF(lists!$I$2:$I$258, K1135) &gt; 0,"cross.bred","not found")),"NA")</f>
        <v>NA</v>
      </c>
      <c r="O1135" s="9" t="s">
        <v>109</v>
      </c>
      <c r="P1135" s="9" t="s">
        <v>106</v>
      </c>
      <c r="Q1135" s="9" t="s">
        <v>3804</v>
      </c>
      <c r="S1135" s="9">
        <v>249</v>
      </c>
      <c r="T1135" s="9" t="s">
        <v>106</v>
      </c>
      <c r="U1135" s="9">
        <v>227</v>
      </c>
      <c r="V1135" s="9" t="s">
        <v>106</v>
      </c>
      <c r="W1135" s="9" t="s">
        <v>106</v>
      </c>
      <c r="X1135" s="9" t="s">
        <v>106</v>
      </c>
      <c r="Y1135" s="9" t="s">
        <v>106</v>
      </c>
      <c r="Z1135" s="37"/>
      <c r="AA1135" s="37"/>
      <c r="AB1135" s="37"/>
      <c r="AE1135">
        <v>0</v>
      </c>
    </row>
    <row r="1136" spans="1:31" hidden="1">
      <c r="A1136" s="9" t="s">
        <v>786</v>
      </c>
      <c r="B1136" s="9" t="s">
        <v>793</v>
      </c>
      <c r="C1136" s="9" t="s">
        <v>105</v>
      </c>
      <c r="D1136" s="9">
        <v>0.47367359822559502</v>
      </c>
      <c r="E1136" s="9">
        <v>4.74</v>
      </c>
      <c r="F1136" s="9">
        <v>16.3</v>
      </c>
      <c r="G1136" s="9">
        <v>51.86</v>
      </c>
      <c r="H1136" s="9" t="s">
        <v>106</v>
      </c>
      <c r="I1136" s="9">
        <v>20</v>
      </c>
      <c r="J1136" s="9" t="s">
        <v>107</v>
      </c>
      <c r="K1136" s="9" t="s">
        <v>117</v>
      </c>
      <c r="L1136" t="str">
        <f>IF(OR(J1136="Cattle",J1136="Zebu Cattle"),IF(COUNTIF(lists!$M$2:$M$258, K1136) &gt; 0,"bos.indicus",IF(COUNTIF(lists!$L$2:$L$258, K1136) &gt; 0,"cross.bred","pure.bred.exotic")),"NA")</f>
        <v>NA</v>
      </c>
      <c r="M1136" t="str">
        <f>IF(J1136="Sheep",IF(COUNTIF(lists!$H$2:$H$258, K1136) &gt; 0,"indigenous",IF(COUNTIF(lists!$G$2:$G$258, K1136) &gt; 0,"cross.bred","not found")),"NA")</f>
        <v>not found</v>
      </c>
      <c r="N1136" t="str">
        <f>IF(J1136="Goat",IF(COUNTIF(lists!$J$2:$J$258, K1136) &gt; 0,"indigenous",IF(COUNTIF(lists!$I$2:$I$258, K1136) &gt; 0,"cross.bred","not found")),"NA")</f>
        <v>NA</v>
      </c>
      <c r="O1136" s="9" t="s">
        <v>109</v>
      </c>
      <c r="P1136" s="9" t="s">
        <v>106</v>
      </c>
      <c r="Q1136" s="9" t="s">
        <v>3804</v>
      </c>
      <c r="S1136" s="9">
        <v>249</v>
      </c>
      <c r="T1136" s="9" t="s">
        <v>106</v>
      </c>
      <c r="U1136" s="9">
        <v>227</v>
      </c>
      <c r="V1136" s="9" t="s">
        <v>106</v>
      </c>
      <c r="W1136" s="9" t="s">
        <v>106</v>
      </c>
      <c r="X1136" s="9" t="s">
        <v>106</v>
      </c>
      <c r="Y1136" s="9" t="s">
        <v>106</v>
      </c>
      <c r="Z1136" s="37"/>
      <c r="AA1136" s="37"/>
      <c r="AB1136" s="37"/>
      <c r="AE1136">
        <v>0</v>
      </c>
    </row>
    <row r="1137" spans="1:31" hidden="1">
      <c r="A1137" s="9" t="s">
        <v>786</v>
      </c>
      <c r="B1137" s="9" t="s">
        <v>794</v>
      </c>
      <c r="C1137" s="9" t="s">
        <v>105</v>
      </c>
      <c r="D1137" s="9">
        <v>0.10944009799330701</v>
      </c>
      <c r="E1137" s="9">
        <v>4.5</v>
      </c>
      <c r="F1137" s="9">
        <v>6.45</v>
      </c>
      <c r="G1137" s="9">
        <v>25.32</v>
      </c>
      <c r="H1137" s="9" t="s">
        <v>106</v>
      </c>
      <c r="I1137" s="9">
        <v>20</v>
      </c>
      <c r="J1137" s="9" t="s">
        <v>107</v>
      </c>
      <c r="K1137" s="9" t="s">
        <v>117</v>
      </c>
      <c r="L1137" t="str">
        <f>IF(OR(J1137="Cattle",J1137="Zebu Cattle"),IF(COUNTIF(lists!$M$2:$M$258, K1137) &gt; 0,"bos.indicus",IF(COUNTIF(lists!$L$2:$L$258, K1137) &gt; 0,"cross.bred","pure.bred.exotic")),"NA")</f>
        <v>NA</v>
      </c>
      <c r="M1137" t="str">
        <f>IF(J1137="Sheep",IF(COUNTIF(lists!$H$2:$H$258, K1137) &gt; 0,"indigenous",IF(COUNTIF(lists!$G$2:$G$258, K1137) &gt; 0,"cross.bred","not found")),"NA")</f>
        <v>not found</v>
      </c>
      <c r="N1137" t="str">
        <f>IF(J1137="Goat",IF(COUNTIF(lists!$J$2:$J$258, K1137) &gt; 0,"indigenous",IF(COUNTIF(lists!$I$2:$I$258, K1137) &gt; 0,"cross.bred","not found")),"NA")</f>
        <v>NA</v>
      </c>
      <c r="O1137" s="9" t="s">
        <v>109</v>
      </c>
      <c r="P1137" s="9" t="s">
        <v>106</v>
      </c>
      <c r="Q1137" s="9" t="s">
        <v>3804</v>
      </c>
      <c r="S1137" s="9">
        <v>201</v>
      </c>
      <c r="T1137" s="9" t="s">
        <v>106</v>
      </c>
      <c r="U1137" s="9">
        <v>263</v>
      </c>
      <c r="V1137" s="9" t="s">
        <v>106</v>
      </c>
      <c r="W1137" s="9" t="s">
        <v>106</v>
      </c>
      <c r="X1137" s="9" t="s">
        <v>106</v>
      </c>
      <c r="Y1137" s="9" t="s">
        <v>106</v>
      </c>
      <c r="Z1137" s="37"/>
      <c r="AA1137" s="37"/>
      <c r="AB1137" s="37"/>
      <c r="AE1137">
        <v>0</v>
      </c>
    </row>
    <row r="1138" spans="1:31" hidden="1">
      <c r="A1138" s="9" t="s">
        <v>795</v>
      </c>
      <c r="B1138" s="9" t="s">
        <v>796</v>
      </c>
      <c r="C1138" s="9" t="s">
        <v>105</v>
      </c>
      <c r="D1138" s="9">
        <v>0.54171000000000002</v>
      </c>
      <c r="E1138" s="9">
        <v>6.42</v>
      </c>
      <c r="F1138" s="9">
        <v>14</v>
      </c>
      <c r="G1138" s="9">
        <v>11.9</v>
      </c>
      <c r="H1138" s="9" t="s">
        <v>106</v>
      </c>
      <c r="I1138" s="9">
        <v>18</v>
      </c>
      <c r="J1138" s="9" t="s">
        <v>107</v>
      </c>
      <c r="K1138" s="9" t="s">
        <v>117</v>
      </c>
      <c r="L1138" t="str">
        <f>IF(OR(J1138="Cattle",J1138="Zebu Cattle"),IF(COUNTIF(lists!$M$2:$M$258, K1138) &gt; 0,"bos.indicus",IF(COUNTIF(lists!$L$2:$L$258, K1138) &gt; 0,"cross.bred","pure.bred.exotic")),"NA")</f>
        <v>NA</v>
      </c>
      <c r="M1138" t="str">
        <f>IF(J1138="Sheep",IF(COUNTIF(lists!$H$2:$H$258, K1138) &gt; 0,"indigenous",IF(COUNTIF(lists!$G$2:$G$258, K1138) &gt; 0,"cross.bred","not found")),"NA")</f>
        <v>not found</v>
      </c>
      <c r="N1138" t="str">
        <f>IF(J1138="Goat",IF(COUNTIF(lists!$J$2:$J$258, K1138) &gt; 0,"indigenous",IF(COUNTIF(lists!$I$2:$I$258, K1138) &gt; 0,"cross.bred","not found")),"NA")</f>
        <v>NA</v>
      </c>
      <c r="O1138" s="9" t="s">
        <v>109</v>
      </c>
      <c r="P1138" s="9" t="s">
        <v>106</v>
      </c>
      <c r="Q1138" s="9" t="s">
        <v>3804</v>
      </c>
      <c r="S1138" s="9" t="s">
        <v>106</v>
      </c>
      <c r="T1138" s="9">
        <v>66.8</v>
      </c>
      <c r="U1138" s="9">
        <v>54.1</v>
      </c>
      <c r="V1138" s="9">
        <v>916</v>
      </c>
      <c r="W1138" s="9">
        <v>7.8</v>
      </c>
      <c r="X1138" s="9" t="s">
        <v>106</v>
      </c>
      <c r="Y1138" s="9" t="s">
        <v>106</v>
      </c>
      <c r="Z1138" s="37"/>
      <c r="AA1138" s="37"/>
      <c r="AB1138" s="37"/>
      <c r="AE1138">
        <v>0</v>
      </c>
    </row>
    <row r="1139" spans="1:31" hidden="1">
      <c r="A1139" s="9" t="s">
        <v>795</v>
      </c>
      <c r="B1139" s="9" t="s">
        <v>797</v>
      </c>
      <c r="C1139" s="9" t="s">
        <v>105</v>
      </c>
      <c r="D1139" s="9">
        <v>0.57272000000000001</v>
      </c>
      <c r="E1139" s="9">
        <v>6.42</v>
      </c>
      <c r="F1139" s="9">
        <v>14</v>
      </c>
      <c r="G1139" s="9">
        <v>67.86</v>
      </c>
      <c r="H1139" s="9" t="s">
        <v>106</v>
      </c>
      <c r="I1139" s="9">
        <v>18</v>
      </c>
      <c r="J1139" s="9" t="s">
        <v>107</v>
      </c>
      <c r="K1139" s="9" t="s">
        <v>117</v>
      </c>
      <c r="L1139" t="str">
        <f>IF(OR(J1139="Cattle",J1139="Zebu Cattle"),IF(COUNTIF(lists!$M$2:$M$258, K1139) &gt; 0,"bos.indicus",IF(COUNTIF(lists!$L$2:$L$258, K1139) &gt; 0,"cross.bred","pure.bred.exotic")),"NA")</f>
        <v>NA</v>
      </c>
      <c r="M1139" t="str">
        <f>IF(J1139="Sheep",IF(COUNTIF(lists!$H$2:$H$258, K1139) &gt; 0,"indigenous",IF(COUNTIF(lists!$G$2:$G$258, K1139) &gt; 0,"cross.bred","not found")),"NA")</f>
        <v>not found</v>
      </c>
      <c r="N1139" t="str">
        <f>IF(J1139="Goat",IF(COUNTIF(lists!$J$2:$J$258, K1139) &gt; 0,"indigenous",IF(COUNTIF(lists!$I$2:$I$258, K1139) &gt; 0,"cross.bred","not found")),"NA")</f>
        <v>NA</v>
      </c>
      <c r="O1139" s="9" t="s">
        <v>109</v>
      </c>
      <c r="P1139" s="9" t="s">
        <v>106</v>
      </c>
      <c r="Q1139" s="9" t="s">
        <v>3804</v>
      </c>
      <c r="S1139" s="9" t="s">
        <v>106</v>
      </c>
      <c r="T1139" s="9">
        <v>61.8</v>
      </c>
      <c r="U1139" s="9">
        <v>181.2</v>
      </c>
      <c r="V1139" s="9">
        <v>975</v>
      </c>
      <c r="W1139" s="9">
        <v>39.4</v>
      </c>
      <c r="X1139" s="9" t="s">
        <v>106</v>
      </c>
      <c r="Y1139" s="9" t="s">
        <v>106</v>
      </c>
      <c r="Z1139" s="37"/>
      <c r="AA1139" s="37"/>
      <c r="AB1139" s="37"/>
      <c r="AE1139">
        <v>0</v>
      </c>
    </row>
    <row r="1140" spans="1:31" hidden="1">
      <c r="A1140" s="9" t="s">
        <v>795</v>
      </c>
      <c r="B1140" s="9" t="s">
        <v>798</v>
      </c>
      <c r="C1140" s="9" t="s">
        <v>105</v>
      </c>
      <c r="D1140" s="9">
        <v>0.55762999999999996</v>
      </c>
      <c r="E1140" s="9">
        <v>6.42</v>
      </c>
      <c r="F1140" s="9">
        <v>14</v>
      </c>
      <c r="G1140" s="9">
        <v>30.95</v>
      </c>
      <c r="H1140" s="9" t="s">
        <v>106</v>
      </c>
      <c r="I1140" s="9">
        <v>18</v>
      </c>
      <c r="J1140" s="9" t="s">
        <v>107</v>
      </c>
      <c r="K1140" s="9" t="s">
        <v>117</v>
      </c>
      <c r="L1140" t="str">
        <f>IF(OR(J1140="Cattle",J1140="Zebu Cattle"),IF(COUNTIF(lists!$M$2:$M$258, K1140) &gt; 0,"bos.indicus",IF(COUNTIF(lists!$L$2:$L$258, K1140) &gt; 0,"cross.bred","pure.bred.exotic")),"NA")</f>
        <v>NA</v>
      </c>
      <c r="M1140" t="str">
        <f>IF(J1140="Sheep",IF(COUNTIF(lists!$H$2:$H$258, K1140) &gt; 0,"indigenous",IF(COUNTIF(lists!$G$2:$G$258, K1140) &gt; 0,"cross.bred","not found")),"NA")</f>
        <v>not found</v>
      </c>
      <c r="N1140" t="str">
        <f>IF(J1140="Goat",IF(COUNTIF(lists!$J$2:$J$258, K1140) &gt; 0,"indigenous",IF(COUNTIF(lists!$I$2:$I$258, K1140) &gt; 0,"cross.bred","not found")),"NA")</f>
        <v>NA</v>
      </c>
      <c r="O1140" s="9" t="s">
        <v>109</v>
      </c>
      <c r="P1140" s="9" t="s">
        <v>106</v>
      </c>
      <c r="Q1140" s="9" t="s">
        <v>3804</v>
      </c>
      <c r="S1140" s="9" t="s">
        <v>106</v>
      </c>
      <c r="T1140" s="9">
        <v>53.9</v>
      </c>
      <c r="U1140" s="9">
        <v>332</v>
      </c>
      <c r="V1140" s="9">
        <v>908.2</v>
      </c>
      <c r="W1140" s="9">
        <v>62.2</v>
      </c>
      <c r="X1140" s="9" t="s">
        <v>106</v>
      </c>
      <c r="Y1140" s="9" t="s">
        <v>106</v>
      </c>
      <c r="Z1140" s="37"/>
      <c r="AA1140" s="37"/>
      <c r="AB1140" s="37"/>
      <c r="AE1140">
        <v>0</v>
      </c>
    </row>
    <row r="1141" spans="1:31" hidden="1">
      <c r="A1141" s="9" t="s">
        <v>814</v>
      </c>
      <c r="B1141" s="9" t="s">
        <v>815</v>
      </c>
      <c r="C1141" s="9" t="s">
        <v>105</v>
      </c>
      <c r="D1141" s="9">
        <v>0.81889999999999996</v>
      </c>
      <c r="E1141" s="9" t="s">
        <v>106</v>
      </c>
      <c r="F1141" s="9">
        <v>14.31</v>
      </c>
      <c r="G1141" s="9">
        <v>90.6</v>
      </c>
      <c r="H1141" s="9" t="s">
        <v>106</v>
      </c>
      <c r="I1141" s="9">
        <v>20</v>
      </c>
      <c r="J1141" s="9" t="s">
        <v>107</v>
      </c>
      <c r="K1141" s="9" t="s">
        <v>117</v>
      </c>
      <c r="L1141" t="str">
        <f>IF(OR(J1141="Cattle",J1141="Zebu Cattle"),IF(COUNTIF(lists!$M$2:$M$258, K1141) &gt; 0,"bos.indicus",IF(COUNTIF(lists!$L$2:$L$258, K1141) &gt; 0,"cross.bred","pure.bred.exotic")),"NA")</f>
        <v>NA</v>
      </c>
      <c r="M1141" t="str">
        <f>IF(J1141="Sheep",IF(COUNTIF(lists!$H$2:$H$258, K1141) &gt; 0,"indigenous",IF(COUNTIF(lists!$G$2:$G$258, K1141) &gt; 0,"cross.bred","not found")),"NA")</f>
        <v>not found</v>
      </c>
      <c r="N1141" t="str">
        <f>IF(J1141="Goat",IF(COUNTIF(lists!$J$2:$J$258, K1141) &gt; 0,"indigenous",IF(COUNTIF(lists!$I$2:$I$258, K1141) &gt; 0,"cross.bred","not found")),"NA")</f>
        <v>NA</v>
      </c>
      <c r="O1141" s="9" t="s">
        <v>109</v>
      </c>
      <c r="P1141" s="9" t="s">
        <v>106</v>
      </c>
      <c r="Q1141" s="9" t="s">
        <v>3805</v>
      </c>
      <c r="S1141" s="9" t="s">
        <v>106</v>
      </c>
      <c r="T1141" s="9" t="s">
        <v>106</v>
      </c>
      <c r="U1141" s="9" t="s">
        <v>106</v>
      </c>
      <c r="V1141" s="9" t="s">
        <v>106</v>
      </c>
      <c r="W1141" s="9" t="s">
        <v>106</v>
      </c>
      <c r="X1141" s="9" t="s">
        <v>106</v>
      </c>
      <c r="Y1141" s="9" t="s">
        <v>106</v>
      </c>
      <c r="Z1141" s="37"/>
      <c r="AA1141" s="37"/>
      <c r="AB1141" s="37"/>
      <c r="AE1141">
        <v>0</v>
      </c>
    </row>
    <row r="1142" spans="1:31" hidden="1">
      <c r="A1142" s="9" t="s">
        <v>814</v>
      </c>
      <c r="B1142" s="9" t="s">
        <v>816</v>
      </c>
      <c r="C1142" s="9" t="s">
        <v>105</v>
      </c>
      <c r="D1142" s="9">
        <v>0.79500000000000004</v>
      </c>
      <c r="E1142" s="9" t="s">
        <v>106</v>
      </c>
      <c r="F1142" s="9">
        <v>14.31</v>
      </c>
      <c r="G1142" s="9">
        <v>84.5</v>
      </c>
      <c r="H1142" s="9" t="s">
        <v>106</v>
      </c>
      <c r="I1142" s="9">
        <v>20</v>
      </c>
      <c r="J1142" s="9" t="s">
        <v>107</v>
      </c>
      <c r="K1142" s="9" t="s">
        <v>117</v>
      </c>
      <c r="L1142" t="str">
        <f>IF(OR(J1142="Cattle",J1142="Zebu Cattle"),IF(COUNTIF(lists!$M$2:$M$258, K1142) &gt; 0,"bos.indicus",IF(COUNTIF(lists!$L$2:$L$258, K1142) &gt; 0,"cross.bred","pure.bred.exotic")),"NA")</f>
        <v>NA</v>
      </c>
      <c r="M1142" t="str">
        <f>IF(J1142="Sheep",IF(COUNTIF(lists!$H$2:$H$258, K1142) &gt; 0,"indigenous",IF(COUNTIF(lists!$G$2:$G$258, K1142) &gt; 0,"cross.bred","not found")),"NA")</f>
        <v>not found</v>
      </c>
      <c r="N1142" t="str">
        <f>IF(J1142="Goat",IF(COUNTIF(lists!$J$2:$J$258, K1142) &gt; 0,"indigenous",IF(COUNTIF(lists!$I$2:$I$258, K1142) &gt; 0,"cross.bred","not found")),"NA")</f>
        <v>NA</v>
      </c>
      <c r="O1142" s="9" t="s">
        <v>109</v>
      </c>
      <c r="P1142" s="9" t="s">
        <v>106</v>
      </c>
      <c r="Q1142" s="9" t="s">
        <v>3805</v>
      </c>
      <c r="S1142" s="9" t="s">
        <v>106</v>
      </c>
      <c r="T1142" s="9" t="s">
        <v>106</v>
      </c>
      <c r="U1142" s="9" t="s">
        <v>106</v>
      </c>
      <c r="V1142" s="9" t="s">
        <v>106</v>
      </c>
      <c r="W1142" s="9" t="s">
        <v>106</v>
      </c>
      <c r="X1142" s="9" t="s">
        <v>106</v>
      </c>
      <c r="Y1142" s="9" t="s">
        <v>106</v>
      </c>
      <c r="Z1142" s="37"/>
      <c r="AA1142" s="37"/>
      <c r="AB1142" s="37"/>
      <c r="AE1142">
        <v>0</v>
      </c>
    </row>
    <row r="1143" spans="1:31" hidden="1">
      <c r="A1143" s="9" t="s">
        <v>814</v>
      </c>
      <c r="B1143" s="9" t="s">
        <v>817</v>
      </c>
      <c r="C1143" s="9" t="s">
        <v>105</v>
      </c>
      <c r="D1143" s="9">
        <v>0.95860000000000001</v>
      </c>
      <c r="E1143" s="9" t="s">
        <v>106</v>
      </c>
      <c r="F1143" s="9">
        <v>14.31</v>
      </c>
      <c r="G1143" s="9">
        <v>100.6</v>
      </c>
      <c r="H1143" s="9" t="s">
        <v>106</v>
      </c>
      <c r="I1143" s="9">
        <v>20</v>
      </c>
      <c r="J1143" s="9" t="s">
        <v>107</v>
      </c>
      <c r="K1143" s="9" t="s">
        <v>117</v>
      </c>
      <c r="L1143" t="str">
        <f>IF(OR(J1143="Cattle",J1143="Zebu Cattle"),IF(COUNTIF(lists!$M$2:$M$258, K1143) &gt; 0,"bos.indicus",IF(COUNTIF(lists!$L$2:$L$258, K1143) &gt; 0,"cross.bred","pure.bred.exotic")),"NA")</f>
        <v>NA</v>
      </c>
      <c r="M1143" t="str">
        <f>IF(J1143="Sheep",IF(COUNTIF(lists!$H$2:$H$258, K1143) &gt; 0,"indigenous",IF(COUNTIF(lists!$G$2:$G$258, K1143) &gt; 0,"cross.bred","not found")),"NA")</f>
        <v>not found</v>
      </c>
      <c r="N1143" t="str">
        <f>IF(J1143="Goat",IF(COUNTIF(lists!$J$2:$J$258, K1143) &gt; 0,"indigenous",IF(COUNTIF(lists!$I$2:$I$258, K1143) &gt; 0,"cross.bred","not found")),"NA")</f>
        <v>NA</v>
      </c>
      <c r="O1143" s="9" t="s">
        <v>109</v>
      </c>
      <c r="P1143" s="9" t="s">
        <v>106</v>
      </c>
      <c r="Q1143" s="9" t="s">
        <v>3805</v>
      </c>
      <c r="S1143" s="9" t="s">
        <v>106</v>
      </c>
      <c r="T1143" s="9" t="s">
        <v>106</v>
      </c>
      <c r="U1143" s="9" t="s">
        <v>106</v>
      </c>
      <c r="V1143" s="9" t="s">
        <v>106</v>
      </c>
      <c r="W1143" s="9" t="s">
        <v>106</v>
      </c>
      <c r="X1143" s="9" t="s">
        <v>106</v>
      </c>
      <c r="Y1143" s="9" t="s">
        <v>106</v>
      </c>
      <c r="Z1143" s="37"/>
      <c r="AA1143" s="37"/>
      <c r="AB1143" s="37"/>
      <c r="AE1143">
        <v>0</v>
      </c>
    </row>
    <row r="1144" spans="1:31" hidden="1">
      <c r="A1144" s="9" t="s">
        <v>814</v>
      </c>
      <c r="B1144" s="9" t="s">
        <v>818</v>
      </c>
      <c r="C1144" s="9" t="s">
        <v>105</v>
      </c>
      <c r="D1144" s="9">
        <v>0.95229999999999904</v>
      </c>
      <c r="E1144" s="9" t="s">
        <v>106</v>
      </c>
      <c r="F1144" s="9">
        <v>14.31</v>
      </c>
      <c r="G1144" s="9">
        <v>91.1</v>
      </c>
      <c r="H1144" s="9" t="s">
        <v>106</v>
      </c>
      <c r="I1144" s="9">
        <v>20</v>
      </c>
      <c r="J1144" s="9" t="s">
        <v>107</v>
      </c>
      <c r="K1144" s="9" t="s">
        <v>117</v>
      </c>
      <c r="L1144" t="str">
        <f>IF(OR(J1144="Cattle",J1144="Zebu Cattle"),IF(COUNTIF(lists!$M$2:$M$258, K1144) &gt; 0,"bos.indicus",IF(COUNTIF(lists!$L$2:$L$258, K1144) &gt; 0,"cross.bred","pure.bred.exotic")),"NA")</f>
        <v>NA</v>
      </c>
      <c r="M1144" t="str">
        <f>IF(J1144="Sheep",IF(COUNTIF(lists!$H$2:$H$258, K1144) &gt; 0,"indigenous",IF(COUNTIF(lists!$G$2:$G$258, K1144) &gt; 0,"cross.bred","not found")),"NA")</f>
        <v>not found</v>
      </c>
      <c r="N1144" t="str">
        <f>IF(J1144="Goat",IF(COUNTIF(lists!$J$2:$J$258, K1144) &gt; 0,"indigenous",IF(COUNTIF(lists!$I$2:$I$258, K1144) &gt; 0,"cross.bred","not found")),"NA")</f>
        <v>NA</v>
      </c>
      <c r="O1144" s="9" t="s">
        <v>109</v>
      </c>
      <c r="P1144" s="9" t="s">
        <v>106</v>
      </c>
      <c r="Q1144" s="9" t="s">
        <v>3805</v>
      </c>
      <c r="S1144" s="9" t="s">
        <v>106</v>
      </c>
      <c r="T1144" s="9" t="s">
        <v>106</v>
      </c>
      <c r="U1144" s="9" t="s">
        <v>106</v>
      </c>
      <c r="V1144" s="9" t="s">
        <v>106</v>
      </c>
      <c r="W1144" s="9" t="s">
        <v>106</v>
      </c>
      <c r="X1144" s="9" t="s">
        <v>106</v>
      </c>
      <c r="Y1144" s="9" t="s">
        <v>106</v>
      </c>
      <c r="Z1144" s="37"/>
      <c r="AA1144" s="37"/>
      <c r="AB1144" s="37"/>
      <c r="AE1144">
        <v>0</v>
      </c>
    </row>
    <row r="1145" spans="1:31" hidden="1">
      <c r="A1145" s="9" t="s">
        <v>814</v>
      </c>
      <c r="B1145" s="9" t="s">
        <v>819</v>
      </c>
      <c r="C1145" s="9" t="s">
        <v>105</v>
      </c>
      <c r="D1145" s="9">
        <v>0.79020000000000001</v>
      </c>
      <c r="E1145" s="9" t="s">
        <v>106</v>
      </c>
      <c r="F1145" s="9">
        <v>14.31</v>
      </c>
      <c r="G1145" s="9">
        <v>91.4</v>
      </c>
      <c r="H1145" s="9" t="s">
        <v>106</v>
      </c>
      <c r="I1145" s="9">
        <v>20</v>
      </c>
      <c r="J1145" s="9" t="s">
        <v>107</v>
      </c>
      <c r="K1145" s="9" t="s">
        <v>117</v>
      </c>
      <c r="L1145" t="str">
        <f>IF(OR(J1145="Cattle",J1145="Zebu Cattle"),IF(COUNTIF(lists!$M$2:$M$258, K1145) &gt; 0,"bos.indicus",IF(COUNTIF(lists!$L$2:$L$258, K1145) &gt; 0,"cross.bred","pure.bred.exotic")),"NA")</f>
        <v>NA</v>
      </c>
      <c r="M1145" t="str">
        <f>IF(J1145="Sheep",IF(COUNTIF(lists!$H$2:$H$258, K1145) &gt; 0,"indigenous",IF(COUNTIF(lists!$G$2:$G$258, K1145) &gt; 0,"cross.bred","not found")),"NA")</f>
        <v>not found</v>
      </c>
      <c r="N1145" t="str">
        <f>IF(J1145="Goat",IF(COUNTIF(lists!$J$2:$J$258, K1145) &gt; 0,"indigenous",IF(COUNTIF(lists!$I$2:$I$258, K1145) &gt; 0,"cross.bred","not found")),"NA")</f>
        <v>NA</v>
      </c>
      <c r="O1145" s="9" t="s">
        <v>109</v>
      </c>
      <c r="P1145" s="9" t="s">
        <v>106</v>
      </c>
      <c r="Q1145" s="9" t="s">
        <v>3805</v>
      </c>
      <c r="S1145" s="9" t="s">
        <v>106</v>
      </c>
      <c r="T1145" s="9" t="s">
        <v>106</v>
      </c>
      <c r="U1145" s="9" t="s">
        <v>106</v>
      </c>
      <c r="V1145" s="9" t="s">
        <v>106</v>
      </c>
      <c r="W1145" s="9" t="s">
        <v>106</v>
      </c>
      <c r="X1145" s="9" t="s">
        <v>106</v>
      </c>
      <c r="Y1145" s="9" t="s">
        <v>106</v>
      </c>
      <c r="Z1145" s="37"/>
      <c r="AA1145" s="37"/>
      <c r="AB1145" s="37"/>
      <c r="AE1145">
        <v>0</v>
      </c>
    </row>
    <row r="1146" spans="1:31" hidden="1">
      <c r="A1146" s="9" t="s">
        <v>837</v>
      </c>
      <c r="B1146" s="9" t="s">
        <v>838</v>
      </c>
      <c r="C1146" s="9" t="s">
        <v>105</v>
      </c>
      <c r="D1146" s="9">
        <v>0.41706386046785099</v>
      </c>
      <c r="E1146" s="9">
        <v>1.74</v>
      </c>
      <c r="F1146" s="9">
        <v>12.3</v>
      </c>
      <c r="G1146" s="9">
        <v>-2.4</v>
      </c>
      <c r="H1146" s="9" t="s">
        <v>106</v>
      </c>
      <c r="I1146" s="9">
        <v>30</v>
      </c>
      <c r="J1146" s="9" t="s">
        <v>107</v>
      </c>
      <c r="K1146" s="9" t="s">
        <v>138</v>
      </c>
      <c r="L1146" t="str">
        <f>IF(OR(J1146="Cattle",J1146="Zebu Cattle"),IF(COUNTIF(lists!$M$2:$M$258, K1146) &gt; 0,"bos.indicus",IF(COUNTIF(lists!$L$2:$L$258, K1146) &gt; 0,"cross.bred","pure.bred.exotic")),"NA")</f>
        <v>NA</v>
      </c>
      <c r="M1146" t="str">
        <f>IF(J1146="Sheep",IF(COUNTIF(lists!$H$2:$H$258, K1146) &gt; 0,"indigenous",IF(COUNTIF(lists!$G$2:$G$258, K1146) &gt; 0,"cross.bred","not found")),"NA")</f>
        <v>not found</v>
      </c>
      <c r="N1146" t="str">
        <f>IF(J1146="Goat",IF(COUNTIF(lists!$J$2:$J$258, K1146) &gt; 0,"indigenous",IF(COUNTIF(lists!$I$2:$I$258, K1146) &gt; 0,"cross.bred","not found")),"NA")</f>
        <v>NA</v>
      </c>
      <c r="O1146" s="9" t="s">
        <v>109</v>
      </c>
      <c r="P1146" s="9" t="s">
        <v>106</v>
      </c>
      <c r="Q1146" s="9" t="s">
        <v>3804</v>
      </c>
      <c r="S1146" s="9" t="s">
        <v>106</v>
      </c>
      <c r="T1146" s="9" t="s">
        <v>106</v>
      </c>
      <c r="U1146" s="9" t="s">
        <v>106</v>
      </c>
      <c r="V1146" s="9" t="s">
        <v>106</v>
      </c>
      <c r="W1146" s="9" t="s">
        <v>106</v>
      </c>
      <c r="X1146" s="9" t="s">
        <v>106</v>
      </c>
      <c r="Y1146" s="9" t="s">
        <v>106</v>
      </c>
      <c r="Z1146" s="37"/>
      <c r="AA1146" s="37"/>
      <c r="AB1146" s="37"/>
      <c r="AE1146">
        <v>0</v>
      </c>
    </row>
    <row r="1147" spans="1:31" hidden="1">
      <c r="A1147" s="9" t="s">
        <v>837</v>
      </c>
      <c r="B1147" s="9" t="s">
        <v>839</v>
      </c>
      <c r="C1147" s="9" t="s">
        <v>105</v>
      </c>
      <c r="D1147" s="9">
        <v>0.45056032800148899</v>
      </c>
      <c r="E1147" s="9">
        <v>1.74</v>
      </c>
      <c r="F1147" s="9">
        <v>12.3</v>
      </c>
      <c r="G1147" s="9">
        <v>15.2</v>
      </c>
      <c r="H1147" s="9" t="s">
        <v>106</v>
      </c>
      <c r="I1147" s="9">
        <v>30</v>
      </c>
      <c r="J1147" s="9" t="s">
        <v>107</v>
      </c>
      <c r="K1147" s="9" t="s">
        <v>138</v>
      </c>
      <c r="L1147" t="str">
        <f>IF(OR(J1147="Cattle",J1147="Zebu Cattle"),IF(COUNTIF(lists!$M$2:$M$258, K1147) &gt; 0,"bos.indicus",IF(COUNTIF(lists!$L$2:$L$258, K1147) &gt; 0,"cross.bred","pure.bred.exotic")),"NA")</f>
        <v>NA</v>
      </c>
      <c r="M1147" t="str">
        <f>IF(J1147="Sheep",IF(COUNTIF(lists!$H$2:$H$258, K1147) &gt; 0,"indigenous",IF(COUNTIF(lists!$G$2:$G$258, K1147) &gt; 0,"cross.bred","not found")),"NA")</f>
        <v>not found</v>
      </c>
      <c r="N1147" t="str">
        <f>IF(J1147="Goat",IF(COUNTIF(lists!$J$2:$J$258, K1147) &gt; 0,"indigenous",IF(COUNTIF(lists!$I$2:$I$258, K1147) &gt; 0,"cross.bred","not found")),"NA")</f>
        <v>NA</v>
      </c>
      <c r="O1147" s="9" t="s">
        <v>109</v>
      </c>
      <c r="P1147" s="9" t="s">
        <v>106</v>
      </c>
      <c r="Q1147" s="9" t="s">
        <v>3804</v>
      </c>
      <c r="S1147" s="9" t="s">
        <v>106</v>
      </c>
      <c r="T1147" s="9" t="s">
        <v>106</v>
      </c>
      <c r="U1147" s="9" t="s">
        <v>106</v>
      </c>
      <c r="V1147" s="9" t="s">
        <v>106</v>
      </c>
      <c r="W1147" s="9" t="s">
        <v>106</v>
      </c>
      <c r="X1147" s="9" t="s">
        <v>106</v>
      </c>
      <c r="Y1147" s="9" t="s">
        <v>106</v>
      </c>
      <c r="Z1147" s="37"/>
      <c r="AA1147" s="37"/>
      <c r="AB1147" s="37"/>
      <c r="AE1147">
        <v>0</v>
      </c>
    </row>
    <row r="1148" spans="1:31" hidden="1">
      <c r="A1148" s="9" t="s">
        <v>837</v>
      </c>
      <c r="B1148" s="9" t="s">
        <v>840</v>
      </c>
      <c r="C1148" s="9" t="s">
        <v>105</v>
      </c>
      <c r="D1148" s="9">
        <v>0.45909864325516198</v>
      </c>
      <c r="E1148" s="9">
        <v>1.74</v>
      </c>
      <c r="F1148" s="9">
        <v>12.3</v>
      </c>
      <c r="G1148" s="9">
        <v>32.9</v>
      </c>
      <c r="H1148" s="9" t="s">
        <v>106</v>
      </c>
      <c r="I1148" s="9">
        <v>30</v>
      </c>
      <c r="J1148" s="9" t="s">
        <v>107</v>
      </c>
      <c r="K1148" s="9" t="s">
        <v>138</v>
      </c>
      <c r="L1148" t="str">
        <f>IF(OR(J1148="Cattle",J1148="Zebu Cattle"),IF(COUNTIF(lists!$M$2:$M$258, K1148) &gt; 0,"bos.indicus",IF(COUNTIF(lists!$L$2:$L$258, K1148) &gt; 0,"cross.bred","pure.bred.exotic")),"NA")</f>
        <v>NA</v>
      </c>
      <c r="M1148" t="str">
        <f>IF(J1148="Sheep",IF(COUNTIF(lists!$H$2:$H$258, K1148) &gt; 0,"indigenous",IF(COUNTIF(lists!$G$2:$G$258, K1148) &gt; 0,"cross.bred","not found")),"NA")</f>
        <v>not found</v>
      </c>
      <c r="N1148" t="str">
        <f>IF(J1148="Goat",IF(COUNTIF(lists!$J$2:$J$258, K1148) &gt; 0,"indigenous",IF(COUNTIF(lists!$I$2:$I$258, K1148) &gt; 0,"cross.bred","not found")),"NA")</f>
        <v>NA</v>
      </c>
      <c r="O1148" s="9" t="s">
        <v>109</v>
      </c>
      <c r="P1148" s="9" t="s">
        <v>106</v>
      </c>
      <c r="Q1148" s="9" t="s">
        <v>3804</v>
      </c>
      <c r="S1148" s="9" t="s">
        <v>106</v>
      </c>
      <c r="T1148" s="9" t="s">
        <v>106</v>
      </c>
      <c r="U1148" s="9" t="s">
        <v>106</v>
      </c>
      <c r="V1148" s="9" t="s">
        <v>106</v>
      </c>
      <c r="W1148" s="9" t="s">
        <v>106</v>
      </c>
      <c r="X1148" s="9" t="s">
        <v>106</v>
      </c>
      <c r="Y1148" s="9" t="s">
        <v>106</v>
      </c>
      <c r="Z1148" s="37"/>
      <c r="AA1148" s="37"/>
      <c r="AB1148" s="37"/>
      <c r="AE1148">
        <v>0</v>
      </c>
    </row>
    <row r="1149" spans="1:31" hidden="1">
      <c r="A1149" s="9" t="s">
        <v>837</v>
      </c>
      <c r="B1149" s="9" t="s">
        <v>841</v>
      </c>
      <c r="C1149" s="9" t="s">
        <v>105</v>
      </c>
      <c r="D1149" s="9">
        <v>0.47157771939514498</v>
      </c>
      <c r="E1149" s="9">
        <v>1.74</v>
      </c>
      <c r="F1149" s="9">
        <v>12.3</v>
      </c>
      <c r="G1149" s="9">
        <v>41.2</v>
      </c>
      <c r="H1149" s="9" t="s">
        <v>106</v>
      </c>
      <c r="I1149" s="9">
        <v>30</v>
      </c>
      <c r="J1149" s="9" t="s">
        <v>107</v>
      </c>
      <c r="K1149" s="9" t="s">
        <v>138</v>
      </c>
      <c r="L1149" t="str">
        <f>IF(OR(J1149="Cattle",J1149="Zebu Cattle"),IF(COUNTIF(lists!$M$2:$M$258, K1149) &gt; 0,"bos.indicus",IF(COUNTIF(lists!$L$2:$L$258, K1149) &gt; 0,"cross.bred","pure.bred.exotic")),"NA")</f>
        <v>NA</v>
      </c>
      <c r="M1149" t="str">
        <f>IF(J1149="Sheep",IF(COUNTIF(lists!$H$2:$H$258, K1149) &gt; 0,"indigenous",IF(COUNTIF(lists!$G$2:$G$258, K1149) &gt; 0,"cross.bred","not found")),"NA")</f>
        <v>not found</v>
      </c>
      <c r="N1149" t="str">
        <f>IF(J1149="Goat",IF(COUNTIF(lists!$J$2:$J$258, K1149) &gt; 0,"indigenous",IF(COUNTIF(lists!$I$2:$I$258, K1149) &gt; 0,"cross.bred","not found")),"NA")</f>
        <v>NA</v>
      </c>
      <c r="O1149" s="9" t="s">
        <v>109</v>
      </c>
      <c r="P1149" s="9" t="s">
        <v>106</v>
      </c>
      <c r="Q1149" s="9" t="s">
        <v>3804</v>
      </c>
      <c r="S1149" s="9" t="s">
        <v>106</v>
      </c>
      <c r="T1149" s="9" t="s">
        <v>106</v>
      </c>
      <c r="U1149" s="9" t="s">
        <v>106</v>
      </c>
      <c r="V1149" s="9" t="s">
        <v>106</v>
      </c>
      <c r="W1149" s="9" t="s">
        <v>106</v>
      </c>
      <c r="X1149" s="9" t="s">
        <v>106</v>
      </c>
      <c r="Y1149" s="9" t="s">
        <v>106</v>
      </c>
      <c r="Z1149" s="37"/>
      <c r="AA1149" s="37"/>
      <c r="AB1149" s="37"/>
      <c r="AE1149">
        <v>0</v>
      </c>
    </row>
    <row r="1150" spans="1:31" hidden="1">
      <c r="A1150" s="9" t="s">
        <v>837</v>
      </c>
      <c r="B1150" s="9" t="s">
        <v>842</v>
      </c>
      <c r="C1150" s="9" t="s">
        <v>105</v>
      </c>
      <c r="D1150" s="9">
        <v>0.49587907819405902</v>
      </c>
      <c r="E1150" s="9">
        <v>1.74</v>
      </c>
      <c r="F1150" s="9">
        <v>12.3</v>
      </c>
      <c r="G1150" s="9">
        <v>49.5</v>
      </c>
      <c r="H1150" s="9" t="s">
        <v>106</v>
      </c>
      <c r="I1150" s="9">
        <v>30</v>
      </c>
      <c r="J1150" s="9" t="s">
        <v>107</v>
      </c>
      <c r="K1150" s="9" t="s">
        <v>138</v>
      </c>
      <c r="L1150" t="str">
        <f>IF(OR(J1150="Cattle",J1150="Zebu Cattle"),IF(COUNTIF(lists!$M$2:$M$258, K1150) &gt; 0,"bos.indicus",IF(COUNTIF(lists!$L$2:$L$258, K1150) &gt; 0,"cross.bred","pure.bred.exotic")),"NA")</f>
        <v>NA</v>
      </c>
      <c r="M1150" t="str">
        <f>IF(J1150="Sheep",IF(COUNTIF(lists!$H$2:$H$258, K1150) &gt; 0,"indigenous",IF(COUNTIF(lists!$G$2:$G$258, K1150) &gt; 0,"cross.bred","not found")),"NA")</f>
        <v>not found</v>
      </c>
      <c r="N1150" t="str">
        <f>IF(J1150="Goat",IF(COUNTIF(lists!$J$2:$J$258, K1150) &gt; 0,"indigenous",IF(COUNTIF(lists!$I$2:$I$258, K1150) &gt; 0,"cross.bred","not found")),"NA")</f>
        <v>NA</v>
      </c>
      <c r="O1150" s="9" t="s">
        <v>109</v>
      </c>
      <c r="P1150" s="9" t="s">
        <v>106</v>
      </c>
      <c r="Q1150" s="9" t="s">
        <v>3804</v>
      </c>
      <c r="S1150" s="9" t="s">
        <v>106</v>
      </c>
      <c r="T1150" s="9" t="s">
        <v>106</v>
      </c>
      <c r="U1150" s="9" t="s">
        <v>106</v>
      </c>
      <c r="V1150" s="9" t="s">
        <v>106</v>
      </c>
      <c r="W1150" s="9" t="s">
        <v>106</v>
      </c>
      <c r="X1150" s="9" t="s">
        <v>106</v>
      </c>
      <c r="Y1150" s="9" t="s">
        <v>106</v>
      </c>
      <c r="Z1150" s="37"/>
      <c r="AA1150" s="37"/>
      <c r="AB1150" s="37"/>
      <c r="AE1150">
        <v>0</v>
      </c>
    </row>
    <row r="1151" spans="1:31" hidden="1">
      <c r="A1151" s="9" t="s">
        <v>857</v>
      </c>
      <c r="B1151" s="9" t="s">
        <v>858</v>
      </c>
      <c r="C1151" s="9" t="s">
        <v>105</v>
      </c>
      <c r="D1151" s="9">
        <v>9.2899999999999996E-2</v>
      </c>
      <c r="E1151" s="9">
        <v>3.17</v>
      </c>
      <c r="F1151" s="9" t="s">
        <v>106</v>
      </c>
      <c r="G1151" s="9">
        <v>60</v>
      </c>
      <c r="H1151" s="9" t="s">
        <v>106</v>
      </c>
      <c r="I1151" s="9">
        <v>8</v>
      </c>
      <c r="J1151" s="9" t="s">
        <v>107</v>
      </c>
      <c r="K1151" s="9" t="s">
        <v>859</v>
      </c>
      <c r="L1151" t="str">
        <f>IF(OR(J1151="Cattle",J1151="Zebu Cattle"),IF(COUNTIF(lists!$M$2:$M$258, K1151) &gt; 0,"bos.indicus",IF(COUNTIF(lists!$L$2:$L$258, K1151) &gt; 0,"cross.bred","pure.bred.exotic")),"NA")</f>
        <v>NA</v>
      </c>
      <c r="M1151" t="str">
        <f>IF(J1151="Sheep",IF(COUNTIF(lists!$H$2:$H$258, K1151) &gt; 0,"indigenous",IF(COUNTIF(lists!$G$2:$G$258, K1151) &gt; 0,"cross.bred","not found")),"NA")</f>
        <v>not found</v>
      </c>
      <c r="N1151" t="str">
        <f>IF(J1151="Goat",IF(COUNTIF(lists!$J$2:$J$258, K1151) &gt; 0,"indigenous",IF(COUNTIF(lists!$I$2:$I$258, K1151) &gt; 0,"cross.bred","not found")),"NA")</f>
        <v>NA</v>
      </c>
      <c r="O1151" s="9" t="s">
        <v>135</v>
      </c>
      <c r="P1151" s="9" t="s">
        <v>106</v>
      </c>
      <c r="Q1151" s="9" t="s">
        <v>3800</v>
      </c>
      <c r="S1151" s="9">
        <v>448</v>
      </c>
      <c r="T1151" s="9" t="s">
        <v>106</v>
      </c>
      <c r="U1151" s="9">
        <v>97</v>
      </c>
      <c r="V1151" s="9">
        <v>929</v>
      </c>
      <c r="W1151" s="9" t="s">
        <v>106</v>
      </c>
      <c r="X1151" s="9">
        <v>714</v>
      </c>
      <c r="Y1151" s="9" t="s">
        <v>106</v>
      </c>
      <c r="Z1151" s="37"/>
      <c r="AA1151" s="37"/>
      <c r="AB1151" s="37"/>
      <c r="AE1151">
        <v>0</v>
      </c>
    </row>
    <row r="1152" spans="1:31" hidden="1">
      <c r="A1152" s="9" t="s">
        <v>857</v>
      </c>
      <c r="B1152" s="9" t="s">
        <v>860</v>
      </c>
      <c r="C1152" s="9" t="s">
        <v>105</v>
      </c>
      <c r="D1152" s="9">
        <v>7.5899999999999995E-2</v>
      </c>
      <c r="E1152" s="9">
        <v>3.17</v>
      </c>
      <c r="F1152" s="9" t="s">
        <v>106</v>
      </c>
      <c r="G1152" s="9">
        <v>-5</v>
      </c>
      <c r="H1152" s="9" t="s">
        <v>106</v>
      </c>
      <c r="I1152" s="9">
        <v>8</v>
      </c>
      <c r="J1152" s="9" t="s">
        <v>107</v>
      </c>
      <c r="K1152" s="9" t="s">
        <v>859</v>
      </c>
      <c r="L1152" t="str">
        <f>IF(OR(J1152="Cattle",J1152="Zebu Cattle"),IF(COUNTIF(lists!$M$2:$M$258, K1152) &gt; 0,"bos.indicus",IF(COUNTIF(lists!$L$2:$L$258, K1152) &gt; 0,"cross.bred","pure.bred.exotic")),"NA")</f>
        <v>NA</v>
      </c>
      <c r="M1152" t="str">
        <f>IF(J1152="Sheep",IF(COUNTIF(lists!$H$2:$H$258, K1152) &gt; 0,"indigenous",IF(COUNTIF(lists!$G$2:$G$258, K1152) &gt; 0,"cross.bred","not found")),"NA")</f>
        <v>not found</v>
      </c>
      <c r="N1152" t="str">
        <f>IF(J1152="Goat",IF(COUNTIF(lists!$J$2:$J$258, K1152) &gt; 0,"indigenous",IF(COUNTIF(lists!$I$2:$I$258, K1152) &gt; 0,"cross.bred","not found")),"NA")</f>
        <v>NA</v>
      </c>
      <c r="O1152" s="9" t="s">
        <v>135</v>
      </c>
      <c r="P1152" s="9" t="s">
        <v>106</v>
      </c>
      <c r="Q1152" s="9" t="s">
        <v>3800</v>
      </c>
      <c r="S1152" s="9">
        <v>317</v>
      </c>
      <c r="T1152" s="9" t="s">
        <v>106</v>
      </c>
      <c r="U1152" s="9">
        <v>82.1</v>
      </c>
      <c r="V1152" s="9">
        <v>943</v>
      </c>
      <c r="W1152" s="9" t="s">
        <v>106</v>
      </c>
      <c r="X1152" s="9">
        <v>746</v>
      </c>
      <c r="Y1152" s="9" t="s">
        <v>106</v>
      </c>
      <c r="Z1152" s="37"/>
      <c r="AA1152" s="37"/>
      <c r="AB1152" s="37"/>
      <c r="AE1152">
        <v>0</v>
      </c>
    </row>
    <row r="1153" spans="1:31" hidden="1">
      <c r="A1153" s="9" t="s">
        <v>857</v>
      </c>
      <c r="B1153" s="9" t="s">
        <v>861</v>
      </c>
      <c r="C1153" s="9" t="s">
        <v>105</v>
      </c>
      <c r="D1153" s="9">
        <v>4.8500000000000001E-2</v>
      </c>
      <c r="E1153" s="9">
        <v>3.17</v>
      </c>
      <c r="F1153" s="9" t="s">
        <v>106</v>
      </c>
      <c r="G1153" s="9">
        <v>-50</v>
      </c>
      <c r="H1153" s="9" t="s">
        <v>106</v>
      </c>
      <c r="I1153" s="9">
        <v>8</v>
      </c>
      <c r="J1153" s="9" t="s">
        <v>107</v>
      </c>
      <c r="K1153" s="9" t="s">
        <v>859</v>
      </c>
      <c r="L1153" t="str">
        <f>IF(OR(J1153="Cattle",J1153="Zebu Cattle"),IF(COUNTIF(lists!$M$2:$M$258, K1153) &gt; 0,"bos.indicus",IF(COUNTIF(lists!$L$2:$L$258, K1153) &gt; 0,"cross.bred","pure.bred.exotic")),"NA")</f>
        <v>NA</v>
      </c>
      <c r="M1153" t="str">
        <f>IF(J1153="Sheep",IF(COUNTIF(lists!$H$2:$H$258, K1153) &gt; 0,"indigenous",IF(COUNTIF(lists!$G$2:$G$258, K1153) &gt; 0,"cross.bred","not found")),"NA")</f>
        <v>not found</v>
      </c>
      <c r="N1153" t="str">
        <f>IF(J1153="Goat",IF(COUNTIF(lists!$J$2:$J$258, K1153) &gt; 0,"indigenous",IF(COUNTIF(lists!$I$2:$I$258, K1153) &gt; 0,"cross.bred","not found")),"NA")</f>
        <v>NA</v>
      </c>
      <c r="O1153" s="9" t="s">
        <v>135</v>
      </c>
      <c r="P1153" s="9" t="s">
        <v>106</v>
      </c>
      <c r="Q1153" s="9" t="s">
        <v>3800</v>
      </c>
      <c r="S1153" s="9">
        <v>461</v>
      </c>
      <c r="T1153" s="9" t="s">
        <v>106</v>
      </c>
      <c r="U1153" s="9">
        <v>41</v>
      </c>
      <c r="V1153" s="9">
        <v>910</v>
      </c>
      <c r="W1153" s="9" t="s">
        <v>106</v>
      </c>
      <c r="X1153" s="9">
        <v>891</v>
      </c>
      <c r="Y1153" s="9" t="s">
        <v>106</v>
      </c>
      <c r="Z1153" s="37"/>
      <c r="AA1153" s="37"/>
      <c r="AB1153" s="37"/>
      <c r="AE1153">
        <v>0</v>
      </c>
    </row>
    <row r="1154" spans="1:31" hidden="1">
      <c r="A1154" s="9" t="s">
        <v>857</v>
      </c>
      <c r="B1154" s="9" t="s">
        <v>862</v>
      </c>
      <c r="C1154" s="9" t="s">
        <v>105</v>
      </c>
      <c r="D1154" s="9">
        <v>7.8399999999999997E-2</v>
      </c>
      <c r="E1154" s="9">
        <v>3.17</v>
      </c>
      <c r="F1154" s="9" t="s">
        <v>106</v>
      </c>
      <c r="G1154" s="9">
        <v>-2</v>
      </c>
      <c r="H1154" s="9" t="s">
        <v>106</v>
      </c>
      <c r="I1154" s="9">
        <v>8</v>
      </c>
      <c r="J1154" s="9" t="s">
        <v>107</v>
      </c>
      <c r="K1154" s="9" t="s">
        <v>859</v>
      </c>
      <c r="L1154" t="str">
        <f>IF(OR(J1154="Cattle",J1154="Zebu Cattle"),IF(COUNTIF(lists!$M$2:$M$258, K1154) &gt; 0,"bos.indicus",IF(COUNTIF(lists!$L$2:$L$258, K1154) &gt; 0,"cross.bred","pure.bred.exotic")),"NA")</f>
        <v>NA</v>
      </c>
      <c r="M1154" t="str">
        <f>IF(J1154="Sheep",IF(COUNTIF(lists!$H$2:$H$258, K1154) &gt; 0,"indigenous",IF(COUNTIF(lists!$G$2:$G$258, K1154) &gt; 0,"cross.bred","not found")),"NA")</f>
        <v>not found</v>
      </c>
      <c r="N1154" t="str">
        <f>IF(J1154="Goat",IF(COUNTIF(lists!$J$2:$J$258, K1154) &gt; 0,"indigenous",IF(COUNTIF(lists!$I$2:$I$258, K1154) &gt; 0,"cross.bred","not found")),"NA")</f>
        <v>NA</v>
      </c>
      <c r="O1154" s="9" t="s">
        <v>135</v>
      </c>
      <c r="P1154" s="9" t="s">
        <v>106</v>
      </c>
      <c r="Q1154" s="9" t="s">
        <v>3800</v>
      </c>
      <c r="S1154" s="9">
        <v>430</v>
      </c>
      <c r="T1154" s="9" t="s">
        <v>106</v>
      </c>
      <c r="U1154" s="9">
        <v>81</v>
      </c>
      <c r="V1154" s="9">
        <v>920</v>
      </c>
      <c r="W1154" s="9" t="s">
        <v>106</v>
      </c>
      <c r="X1154" s="9">
        <v>590</v>
      </c>
      <c r="Y1154" s="9" t="s">
        <v>106</v>
      </c>
      <c r="Z1154" s="37"/>
      <c r="AA1154" s="37"/>
      <c r="AB1154" s="37"/>
      <c r="AE1154">
        <v>0</v>
      </c>
    </row>
    <row r="1155" spans="1:31" hidden="1">
      <c r="A1155" s="9" t="s">
        <v>864</v>
      </c>
      <c r="B1155" s="9" t="s">
        <v>865</v>
      </c>
      <c r="C1155" s="9" t="s">
        <v>105</v>
      </c>
      <c r="D1155" s="9">
        <v>0.53600000000000003</v>
      </c>
      <c r="E1155" s="9">
        <v>5</v>
      </c>
      <c r="F1155" s="9">
        <v>19.100000000000001</v>
      </c>
      <c r="G1155" s="9">
        <v>3.5714285714285698</v>
      </c>
      <c r="H1155" s="9" t="s">
        <v>106</v>
      </c>
      <c r="I1155" s="9">
        <v>24</v>
      </c>
      <c r="J1155" s="9" t="s">
        <v>107</v>
      </c>
      <c r="K1155" s="9" t="s">
        <v>180</v>
      </c>
      <c r="L1155" t="str">
        <f>IF(OR(J1155="Cattle",J1155="Zebu Cattle"),IF(COUNTIF(lists!$M$2:$M$258, K1155) &gt; 0,"bos.indicus",IF(COUNTIF(lists!$L$2:$L$258, K1155) &gt; 0,"cross.bred","pure.bred.exotic")),"NA")</f>
        <v>NA</v>
      </c>
      <c r="M1155" t="str">
        <f>IF(J1155="Sheep",IF(COUNTIF(lists!$H$2:$H$258, K1155) &gt; 0,"indigenous",IF(COUNTIF(lists!$G$2:$G$258, K1155) &gt; 0,"cross.bred","not found")),"NA")</f>
        <v>not found</v>
      </c>
      <c r="N1155" t="str">
        <f>IF(J1155="Goat",IF(COUNTIF(lists!$J$2:$J$258, K1155) &gt; 0,"indigenous",IF(COUNTIF(lists!$I$2:$I$258, K1155) &gt; 0,"cross.bred","not found")),"NA")</f>
        <v>NA</v>
      </c>
      <c r="O1155" s="9" t="s">
        <v>180</v>
      </c>
      <c r="P1155" s="9" t="s">
        <v>106</v>
      </c>
      <c r="Q1155" s="9" t="s">
        <v>3806</v>
      </c>
      <c r="S1155" s="9">
        <v>375</v>
      </c>
      <c r="T1155" s="9" t="s">
        <v>106</v>
      </c>
      <c r="U1155" s="9">
        <v>125</v>
      </c>
      <c r="V1155" s="9">
        <v>171</v>
      </c>
      <c r="W1155" s="9" t="s">
        <v>106</v>
      </c>
      <c r="X1155" s="9">
        <v>612</v>
      </c>
      <c r="Y1155" s="9" t="s">
        <v>106</v>
      </c>
      <c r="Z1155" s="37"/>
      <c r="AA1155" s="37"/>
      <c r="AB1155" s="37"/>
      <c r="AE1155">
        <v>0</v>
      </c>
    </row>
    <row r="1156" spans="1:31" hidden="1">
      <c r="A1156" s="9" t="s">
        <v>864</v>
      </c>
      <c r="B1156" s="9" t="s">
        <v>866</v>
      </c>
      <c r="C1156" s="9" t="s">
        <v>105</v>
      </c>
      <c r="D1156" s="9">
        <v>0.69099999999999995</v>
      </c>
      <c r="E1156" s="9">
        <v>5</v>
      </c>
      <c r="F1156" s="9">
        <v>19.100000000000001</v>
      </c>
      <c r="G1156" s="9">
        <v>60.714285714285701</v>
      </c>
      <c r="H1156" s="9" t="s">
        <v>106</v>
      </c>
      <c r="I1156" s="9">
        <v>24</v>
      </c>
      <c r="J1156" s="9" t="s">
        <v>107</v>
      </c>
      <c r="K1156" s="9" t="s">
        <v>180</v>
      </c>
      <c r="L1156" t="str">
        <f>IF(OR(J1156="Cattle",J1156="Zebu Cattle"),IF(COUNTIF(lists!$M$2:$M$258, K1156) &gt; 0,"bos.indicus",IF(COUNTIF(lists!$L$2:$L$258, K1156) &gt; 0,"cross.bred","pure.bred.exotic")),"NA")</f>
        <v>NA</v>
      </c>
      <c r="M1156" t="str">
        <f>IF(J1156="Sheep",IF(COUNTIF(lists!$H$2:$H$258, K1156) &gt; 0,"indigenous",IF(COUNTIF(lists!$G$2:$G$258, K1156) &gt; 0,"cross.bred","not found")),"NA")</f>
        <v>not found</v>
      </c>
      <c r="N1156" t="str">
        <f>IF(J1156="Goat",IF(COUNTIF(lists!$J$2:$J$258, K1156) &gt; 0,"indigenous",IF(COUNTIF(lists!$I$2:$I$258, K1156) &gt; 0,"cross.bred","not found")),"NA")</f>
        <v>NA</v>
      </c>
      <c r="O1156" s="9" t="s">
        <v>180</v>
      </c>
      <c r="P1156" s="9" t="s">
        <v>106</v>
      </c>
      <c r="Q1156" s="9" t="s">
        <v>3806</v>
      </c>
      <c r="S1156" s="9">
        <v>371</v>
      </c>
      <c r="T1156" s="9" t="s">
        <v>106</v>
      </c>
      <c r="U1156" s="9">
        <v>144</v>
      </c>
      <c r="V1156" s="9">
        <v>189</v>
      </c>
      <c r="W1156" s="9" t="s">
        <v>106</v>
      </c>
      <c r="X1156" s="9">
        <v>595</v>
      </c>
      <c r="Y1156" s="9" t="s">
        <v>106</v>
      </c>
      <c r="Z1156" s="37"/>
      <c r="AA1156" s="37"/>
      <c r="AB1156" s="37"/>
      <c r="AE1156">
        <v>0</v>
      </c>
    </row>
    <row r="1157" spans="1:31" hidden="1">
      <c r="A1157" s="9" t="s">
        <v>864</v>
      </c>
      <c r="B1157" s="9" t="s">
        <v>867</v>
      </c>
      <c r="C1157" s="9" t="s">
        <v>105</v>
      </c>
      <c r="D1157" s="9">
        <v>0.4</v>
      </c>
      <c r="E1157" s="9">
        <v>5</v>
      </c>
      <c r="F1157" s="9">
        <v>19.100000000000001</v>
      </c>
      <c r="G1157" s="9">
        <v>-44.047619047619001</v>
      </c>
      <c r="H1157" s="9" t="s">
        <v>106</v>
      </c>
      <c r="I1157" s="9">
        <v>24</v>
      </c>
      <c r="J1157" s="9" t="s">
        <v>107</v>
      </c>
      <c r="K1157" s="9" t="s">
        <v>180</v>
      </c>
      <c r="L1157" t="str">
        <f>IF(OR(J1157="Cattle",J1157="Zebu Cattle"),IF(COUNTIF(lists!$M$2:$M$258, K1157) &gt; 0,"bos.indicus",IF(COUNTIF(lists!$L$2:$L$258, K1157) &gt; 0,"cross.bred","pure.bred.exotic")),"NA")</f>
        <v>NA</v>
      </c>
      <c r="M1157" t="str">
        <f>IF(J1157="Sheep",IF(COUNTIF(lists!$H$2:$H$258, K1157) &gt; 0,"indigenous",IF(COUNTIF(lists!$G$2:$G$258, K1157) &gt; 0,"cross.bred","not found")),"NA")</f>
        <v>not found</v>
      </c>
      <c r="N1157" t="str">
        <f>IF(J1157="Goat",IF(COUNTIF(lists!$J$2:$J$258, K1157) &gt; 0,"indigenous",IF(COUNTIF(lists!$I$2:$I$258, K1157) &gt; 0,"cross.bred","not found")),"NA")</f>
        <v>NA</v>
      </c>
      <c r="O1157" s="9" t="s">
        <v>180</v>
      </c>
      <c r="P1157" s="9" t="s">
        <v>106</v>
      </c>
      <c r="Q1157" s="9" t="s">
        <v>3806</v>
      </c>
      <c r="S1157" s="9">
        <v>377</v>
      </c>
      <c r="T1157" s="9" t="s">
        <v>106</v>
      </c>
      <c r="U1157" s="9">
        <v>113</v>
      </c>
      <c r="V1157" s="9">
        <v>183</v>
      </c>
      <c r="W1157" s="9" t="s">
        <v>106</v>
      </c>
      <c r="X1157" s="9">
        <v>671</v>
      </c>
      <c r="Y1157" s="9" t="s">
        <v>106</v>
      </c>
      <c r="Z1157" s="37"/>
      <c r="AA1157" s="37"/>
      <c r="AB1157" s="37"/>
      <c r="AE1157">
        <v>0</v>
      </c>
    </row>
    <row r="1158" spans="1:31" hidden="1">
      <c r="A1158" s="9" t="s">
        <v>864</v>
      </c>
      <c r="B1158" s="9" t="s">
        <v>868</v>
      </c>
      <c r="C1158" s="9" t="s">
        <v>105</v>
      </c>
      <c r="D1158" s="9">
        <v>0.46200000000000002</v>
      </c>
      <c r="E1158" s="9">
        <v>5</v>
      </c>
      <c r="F1158" s="9">
        <v>19.100000000000001</v>
      </c>
      <c r="G1158" s="9">
        <v>-25</v>
      </c>
      <c r="H1158" s="9" t="s">
        <v>106</v>
      </c>
      <c r="I1158" s="9">
        <v>24</v>
      </c>
      <c r="J1158" s="9" t="s">
        <v>107</v>
      </c>
      <c r="K1158" s="9" t="s">
        <v>180</v>
      </c>
      <c r="L1158" t="str">
        <f>IF(OR(J1158="Cattle",J1158="Zebu Cattle"),IF(COUNTIF(lists!$M$2:$M$258, K1158) &gt; 0,"bos.indicus",IF(COUNTIF(lists!$L$2:$L$258, K1158) &gt; 0,"cross.bred","pure.bred.exotic")),"NA")</f>
        <v>NA</v>
      </c>
      <c r="M1158" t="str">
        <f>IF(J1158="Sheep",IF(COUNTIF(lists!$H$2:$H$258, K1158) &gt; 0,"indigenous",IF(COUNTIF(lists!$G$2:$G$258, K1158) &gt; 0,"cross.bred","not found")),"NA")</f>
        <v>not found</v>
      </c>
      <c r="N1158" t="str">
        <f>IF(J1158="Goat",IF(COUNTIF(lists!$J$2:$J$258, K1158) &gt; 0,"indigenous",IF(COUNTIF(lists!$I$2:$I$258, K1158) &gt; 0,"cross.bred","not found")),"NA")</f>
        <v>NA</v>
      </c>
      <c r="O1158" s="9" t="s">
        <v>180</v>
      </c>
      <c r="P1158" s="9" t="s">
        <v>106</v>
      </c>
      <c r="Q1158" s="9" t="s">
        <v>3806</v>
      </c>
      <c r="S1158" s="9">
        <v>384</v>
      </c>
      <c r="T1158" s="9" t="s">
        <v>106</v>
      </c>
      <c r="U1158" s="9">
        <v>108</v>
      </c>
      <c r="V1158" s="9">
        <v>192</v>
      </c>
      <c r="W1158" s="9" t="s">
        <v>106</v>
      </c>
      <c r="X1158" s="9">
        <v>681</v>
      </c>
      <c r="Y1158" s="9" t="s">
        <v>106</v>
      </c>
      <c r="Z1158" s="37"/>
      <c r="AA1158" s="37"/>
      <c r="AB1158" s="37"/>
      <c r="AE1158">
        <v>0</v>
      </c>
    </row>
    <row r="1159" spans="1:31" hidden="1">
      <c r="A1159" s="9" t="s">
        <v>864</v>
      </c>
      <c r="B1159" s="9" t="s">
        <v>869</v>
      </c>
      <c r="C1159" s="9" t="s">
        <v>105</v>
      </c>
      <c r="D1159" s="9">
        <v>0.60699999999999998</v>
      </c>
      <c r="E1159" s="9">
        <v>5</v>
      </c>
      <c r="F1159" s="9">
        <v>19.100000000000001</v>
      </c>
      <c r="G1159" s="9">
        <v>4.7619047619047601</v>
      </c>
      <c r="H1159" s="9" t="s">
        <v>106</v>
      </c>
      <c r="I1159" s="9">
        <v>24</v>
      </c>
      <c r="J1159" s="9" t="s">
        <v>107</v>
      </c>
      <c r="K1159" s="9" t="s">
        <v>180</v>
      </c>
      <c r="L1159" t="str">
        <f>IF(OR(J1159="Cattle",J1159="Zebu Cattle"),IF(COUNTIF(lists!$M$2:$M$258, K1159) &gt; 0,"bos.indicus",IF(COUNTIF(lists!$L$2:$L$258, K1159) &gt; 0,"cross.bred","pure.bred.exotic")),"NA")</f>
        <v>NA</v>
      </c>
      <c r="M1159" t="str">
        <f>IF(J1159="Sheep",IF(COUNTIF(lists!$H$2:$H$258, K1159) &gt; 0,"indigenous",IF(COUNTIF(lists!$G$2:$G$258, K1159) &gt; 0,"cross.bred","not found")),"NA")</f>
        <v>not found</v>
      </c>
      <c r="N1159" t="str">
        <f>IF(J1159="Goat",IF(COUNTIF(lists!$J$2:$J$258, K1159) &gt; 0,"indigenous",IF(COUNTIF(lists!$I$2:$I$258, K1159) &gt; 0,"cross.bred","not found")),"NA")</f>
        <v>NA</v>
      </c>
      <c r="O1159" s="9" t="s">
        <v>180</v>
      </c>
      <c r="P1159" s="9" t="s">
        <v>106</v>
      </c>
      <c r="Q1159" s="9" t="s">
        <v>3806</v>
      </c>
      <c r="S1159" s="9">
        <v>444</v>
      </c>
      <c r="T1159" s="9" t="s">
        <v>106</v>
      </c>
      <c r="U1159" s="9">
        <v>119</v>
      </c>
      <c r="V1159" s="9">
        <v>192</v>
      </c>
      <c r="W1159" s="9" t="s">
        <v>106</v>
      </c>
      <c r="X1159" s="9">
        <v>654</v>
      </c>
      <c r="Y1159" s="9" t="s">
        <v>106</v>
      </c>
      <c r="Z1159" s="37"/>
      <c r="AA1159" s="37"/>
      <c r="AB1159" s="37"/>
      <c r="AE1159">
        <v>0</v>
      </c>
    </row>
    <row r="1160" spans="1:31" hidden="1">
      <c r="A1160" s="9" t="s">
        <v>864</v>
      </c>
      <c r="B1160" s="9" t="s">
        <v>870</v>
      </c>
      <c r="C1160" s="9" t="s">
        <v>105</v>
      </c>
      <c r="D1160" s="9">
        <v>0.36099999999999999</v>
      </c>
      <c r="E1160" s="9">
        <v>5</v>
      </c>
      <c r="F1160" s="9">
        <v>19.100000000000001</v>
      </c>
      <c r="G1160" s="9">
        <v>-101.571428571429</v>
      </c>
      <c r="H1160" s="9" t="s">
        <v>106</v>
      </c>
      <c r="I1160" s="9">
        <v>24</v>
      </c>
      <c r="J1160" s="9" t="s">
        <v>107</v>
      </c>
      <c r="K1160" s="9" t="s">
        <v>180</v>
      </c>
      <c r="L1160" t="str">
        <f>IF(OR(J1160="Cattle",J1160="Zebu Cattle"),IF(COUNTIF(lists!$M$2:$M$258, K1160) &gt; 0,"bos.indicus",IF(COUNTIF(lists!$L$2:$L$258, K1160) &gt; 0,"cross.bred","pure.bred.exotic")),"NA")</f>
        <v>NA</v>
      </c>
      <c r="M1160" t="str">
        <f>IF(J1160="Sheep",IF(COUNTIF(lists!$H$2:$H$258, K1160) &gt; 0,"indigenous",IF(COUNTIF(lists!$G$2:$G$258, K1160) &gt; 0,"cross.bred","not found")),"NA")</f>
        <v>not found</v>
      </c>
      <c r="N1160" t="str">
        <f>IF(J1160="Goat",IF(COUNTIF(lists!$J$2:$J$258, K1160) &gt; 0,"indigenous",IF(COUNTIF(lists!$I$2:$I$258, K1160) &gt; 0,"cross.bred","not found")),"NA")</f>
        <v>NA</v>
      </c>
      <c r="O1160" s="9" t="s">
        <v>180</v>
      </c>
      <c r="P1160" s="9" t="s">
        <v>106</v>
      </c>
      <c r="Q1160" s="9" t="s">
        <v>3806</v>
      </c>
      <c r="S1160" s="9">
        <v>466</v>
      </c>
      <c r="T1160" s="9" t="s">
        <v>106</v>
      </c>
      <c r="U1160" s="9">
        <v>88</v>
      </c>
      <c r="V1160" s="9">
        <v>208</v>
      </c>
      <c r="W1160" s="9" t="s">
        <v>106</v>
      </c>
      <c r="X1160" s="9">
        <v>701</v>
      </c>
      <c r="Y1160" s="9" t="s">
        <v>106</v>
      </c>
      <c r="Z1160" s="37"/>
      <c r="AA1160" s="37"/>
      <c r="AB1160" s="37"/>
      <c r="AE1160">
        <v>0</v>
      </c>
    </row>
    <row r="1161" spans="1:31" hidden="1">
      <c r="A1161" s="9" t="s">
        <v>893</v>
      </c>
      <c r="B1161" s="9" t="s">
        <v>894</v>
      </c>
      <c r="C1161" s="9" t="s">
        <v>105</v>
      </c>
      <c r="D1161" s="9">
        <v>1.6</v>
      </c>
      <c r="E1161" s="9">
        <v>3.1</v>
      </c>
      <c r="F1161" s="9">
        <v>22.8</v>
      </c>
      <c r="G1161" s="9">
        <v>271</v>
      </c>
      <c r="H1161" s="9" t="s">
        <v>106</v>
      </c>
      <c r="I1161" s="9">
        <v>36</v>
      </c>
      <c r="J1161" s="9" t="s">
        <v>107</v>
      </c>
      <c r="K1161" s="9" t="s">
        <v>895</v>
      </c>
      <c r="L1161" t="str">
        <f>IF(OR(J1161="Cattle",J1161="Zebu Cattle"),IF(COUNTIF(lists!$M$2:$M$258, K1161) &gt; 0,"bos.indicus",IF(COUNTIF(lists!$L$2:$L$258, K1161) &gt; 0,"cross.bred","pure.bred.exotic")),"NA")</f>
        <v>NA</v>
      </c>
      <c r="M1161" t="str">
        <f>IF(J1161="Sheep",IF(COUNTIF(lists!$H$2:$H$258, K1161) &gt; 0,"indigenous",IF(COUNTIF(lists!$G$2:$G$258, K1161) &gt; 0,"cross.bred","not found")),"NA")</f>
        <v>not found</v>
      </c>
      <c r="N1161" t="str">
        <f>IF(J1161="Goat",IF(COUNTIF(lists!$J$2:$J$258, K1161) &gt; 0,"indigenous",IF(COUNTIF(lists!$I$2:$I$258, K1161) &gt; 0,"cross.bred","not found")),"NA")</f>
        <v>NA</v>
      </c>
      <c r="O1161" s="9" t="s">
        <v>109</v>
      </c>
      <c r="P1161" s="9" t="s">
        <v>106</v>
      </c>
      <c r="Q1161" s="9" t="s">
        <v>3800</v>
      </c>
      <c r="S1161" s="9">
        <v>127</v>
      </c>
      <c r="T1161" s="9" t="s">
        <v>106</v>
      </c>
      <c r="U1161" s="9">
        <v>148</v>
      </c>
      <c r="V1161" s="9">
        <v>869</v>
      </c>
      <c r="W1161" s="9">
        <v>52.2</v>
      </c>
      <c r="X1161" s="9" t="s">
        <v>106</v>
      </c>
      <c r="Y1161" s="9" t="s">
        <v>106</v>
      </c>
      <c r="Z1161" s="37"/>
      <c r="AA1161" s="37"/>
      <c r="AB1161" s="37"/>
      <c r="AE1161">
        <v>0</v>
      </c>
    </row>
    <row r="1162" spans="1:31" hidden="1">
      <c r="A1162" s="9" t="s">
        <v>893</v>
      </c>
      <c r="B1162" s="9" t="s">
        <v>896</v>
      </c>
      <c r="C1162" s="9" t="s">
        <v>105</v>
      </c>
      <c r="D1162" s="9">
        <v>1.552</v>
      </c>
      <c r="E1162" s="9">
        <v>3.1</v>
      </c>
      <c r="F1162" s="9">
        <v>22.2</v>
      </c>
      <c r="G1162" s="9">
        <v>256</v>
      </c>
      <c r="H1162" s="9" t="s">
        <v>106</v>
      </c>
      <c r="I1162" s="9">
        <v>36</v>
      </c>
      <c r="J1162" s="9" t="s">
        <v>107</v>
      </c>
      <c r="K1162" s="9" t="s">
        <v>895</v>
      </c>
      <c r="L1162" t="str">
        <f>IF(OR(J1162="Cattle",J1162="Zebu Cattle"),IF(COUNTIF(lists!$M$2:$M$258, K1162) &gt; 0,"bos.indicus",IF(COUNTIF(lists!$L$2:$L$258, K1162) &gt; 0,"cross.bred","pure.bred.exotic")),"NA")</f>
        <v>NA</v>
      </c>
      <c r="M1162" t="str">
        <f>IF(J1162="Sheep",IF(COUNTIF(lists!$H$2:$H$258, K1162) &gt; 0,"indigenous",IF(COUNTIF(lists!$G$2:$G$258, K1162) &gt; 0,"cross.bred","not found")),"NA")</f>
        <v>not found</v>
      </c>
      <c r="N1162" t="str">
        <f>IF(J1162="Goat",IF(COUNTIF(lists!$J$2:$J$258, K1162) &gt; 0,"indigenous",IF(COUNTIF(lists!$I$2:$I$258, K1162) &gt; 0,"cross.bred","not found")),"NA")</f>
        <v>NA</v>
      </c>
      <c r="O1162" s="9" t="s">
        <v>109</v>
      </c>
      <c r="P1162" s="9" t="s">
        <v>106</v>
      </c>
      <c r="Q1162" s="9" t="s">
        <v>3800</v>
      </c>
      <c r="S1162" s="9">
        <v>136</v>
      </c>
      <c r="T1162" s="9" t="s">
        <v>106</v>
      </c>
      <c r="U1162" s="9">
        <v>146</v>
      </c>
      <c r="V1162" s="9">
        <v>871</v>
      </c>
      <c r="W1162" s="9">
        <v>54.1</v>
      </c>
      <c r="X1162" s="9" t="s">
        <v>106</v>
      </c>
      <c r="Y1162" s="9" t="s">
        <v>106</v>
      </c>
      <c r="Z1162" s="37"/>
      <c r="AA1162" s="37"/>
      <c r="AB1162" s="37"/>
      <c r="AE1162">
        <v>0</v>
      </c>
    </row>
    <row r="1163" spans="1:31" hidden="1">
      <c r="A1163" s="9" t="s">
        <v>893</v>
      </c>
      <c r="B1163" s="9" t="s">
        <v>897</v>
      </c>
      <c r="C1163" s="9" t="s">
        <v>105</v>
      </c>
      <c r="D1163" s="9">
        <v>1.47</v>
      </c>
      <c r="E1163" s="9">
        <v>3.1</v>
      </c>
      <c r="F1163" s="9">
        <v>22.2</v>
      </c>
      <c r="G1163" s="9">
        <v>223</v>
      </c>
      <c r="H1163" s="9" t="s">
        <v>106</v>
      </c>
      <c r="I1163" s="9">
        <v>36</v>
      </c>
      <c r="J1163" s="9" t="s">
        <v>107</v>
      </c>
      <c r="K1163" s="9" t="s">
        <v>895</v>
      </c>
      <c r="L1163" t="str">
        <f>IF(OR(J1163="Cattle",J1163="Zebu Cattle"),IF(COUNTIF(lists!$M$2:$M$258, K1163) &gt; 0,"bos.indicus",IF(COUNTIF(lists!$L$2:$L$258, K1163) &gt; 0,"cross.bred","pure.bred.exotic")),"NA")</f>
        <v>NA</v>
      </c>
      <c r="M1163" t="str">
        <f>IF(J1163="Sheep",IF(COUNTIF(lists!$H$2:$H$258, K1163) &gt; 0,"indigenous",IF(COUNTIF(lists!$G$2:$G$258, K1163) &gt; 0,"cross.bred","not found")),"NA")</f>
        <v>not found</v>
      </c>
      <c r="N1163" t="str">
        <f>IF(J1163="Goat",IF(COUNTIF(lists!$J$2:$J$258, K1163) &gt; 0,"indigenous",IF(COUNTIF(lists!$I$2:$I$258, K1163) &gt; 0,"cross.bred","not found")),"NA")</f>
        <v>NA</v>
      </c>
      <c r="O1163" s="9" t="s">
        <v>109</v>
      </c>
      <c r="P1163" s="9" t="s">
        <v>106</v>
      </c>
      <c r="Q1163" s="9" t="s">
        <v>3800</v>
      </c>
      <c r="S1163" s="9">
        <v>141</v>
      </c>
      <c r="T1163" s="9" t="s">
        <v>106</v>
      </c>
      <c r="U1163" s="9">
        <v>147</v>
      </c>
      <c r="V1163" s="9">
        <v>875</v>
      </c>
      <c r="W1163" s="9">
        <v>53.7</v>
      </c>
      <c r="X1163" s="9" t="s">
        <v>106</v>
      </c>
      <c r="Y1163" s="9" t="s">
        <v>106</v>
      </c>
      <c r="Z1163" s="37"/>
      <c r="AA1163" s="37"/>
      <c r="AB1163" s="37"/>
      <c r="AE1163">
        <v>0</v>
      </c>
    </row>
    <row r="1164" spans="1:31" hidden="1">
      <c r="A1164" s="9" t="s">
        <v>893</v>
      </c>
      <c r="B1164" s="9" t="s">
        <v>898</v>
      </c>
      <c r="C1164" s="9" t="s">
        <v>105</v>
      </c>
      <c r="D1164" s="9">
        <v>1.42</v>
      </c>
      <c r="E1164" s="9">
        <v>3.1</v>
      </c>
      <c r="F1164" s="9">
        <v>22</v>
      </c>
      <c r="G1164" s="9">
        <v>232</v>
      </c>
      <c r="H1164" s="9" t="s">
        <v>106</v>
      </c>
      <c r="I1164" s="9">
        <v>36</v>
      </c>
      <c r="J1164" s="9" t="s">
        <v>107</v>
      </c>
      <c r="K1164" s="9" t="s">
        <v>895</v>
      </c>
      <c r="L1164" t="str">
        <f>IF(OR(J1164="Cattle",J1164="Zebu Cattle"),IF(COUNTIF(lists!$M$2:$M$258, K1164) &gt; 0,"bos.indicus",IF(COUNTIF(lists!$L$2:$L$258, K1164) &gt; 0,"cross.bred","pure.bred.exotic")),"NA")</f>
        <v>NA</v>
      </c>
      <c r="M1164" t="str">
        <f>IF(J1164="Sheep",IF(COUNTIF(lists!$H$2:$H$258, K1164) &gt; 0,"indigenous",IF(COUNTIF(lists!$G$2:$G$258, K1164) &gt; 0,"cross.bred","not found")),"NA")</f>
        <v>not found</v>
      </c>
      <c r="N1164" t="str">
        <f>IF(J1164="Goat",IF(COUNTIF(lists!$J$2:$J$258, K1164) &gt; 0,"indigenous",IF(COUNTIF(lists!$I$2:$I$258, K1164) &gt; 0,"cross.bred","not found")),"NA")</f>
        <v>NA</v>
      </c>
      <c r="O1164" s="9" t="s">
        <v>109</v>
      </c>
      <c r="P1164" s="9" t="s">
        <v>106</v>
      </c>
      <c r="Q1164" s="9" t="s">
        <v>3800</v>
      </c>
      <c r="S1164" s="9">
        <v>144</v>
      </c>
      <c r="T1164" s="9" t="s">
        <v>106</v>
      </c>
      <c r="U1164" s="9">
        <v>149</v>
      </c>
      <c r="V1164" s="9">
        <v>873</v>
      </c>
      <c r="W1164" s="9">
        <v>56.9</v>
      </c>
      <c r="X1164" s="9" t="s">
        <v>106</v>
      </c>
      <c r="Y1164" s="9" t="s">
        <v>106</v>
      </c>
      <c r="Z1164" s="37"/>
      <c r="AA1164" s="37"/>
      <c r="AB1164" s="37"/>
      <c r="AE1164">
        <v>0</v>
      </c>
    </row>
    <row r="1165" spans="1:31" hidden="1">
      <c r="A1165" s="9" t="s">
        <v>918</v>
      </c>
      <c r="B1165" s="9" t="s">
        <v>919</v>
      </c>
      <c r="C1165" s="9" t="s">
        <v>105</v>
      </c>
      <c r="D1165" s="9">
        <v>0.56338999999999995</v>
      </c>
      <c r="E1165" s="9">
        <v>0.75</v>
      </c>
      <c r="F1165" s="9" t="s">
        <v>106</v>
      </c>
      <c r="G1165" s="9" t="s">
        <v>106</v>
      </c>
      <c r="H1165" s="9" t="s">
        <v>106</v>
      </c>
      <c r="J1165" s="9" t="s">
        <v>107</v>
      </c>
      <c r="K1165" s="9" t="s">
        <v>180</v>
      </c>
      <c r="L1165" t="str">
        <f>IF(OR(J1165="Cattle",J1165="Zebu Cattle"),IF(COUNTIF(lists!$M$2:$M$258, K1165) &gt; 0,"bos.indicus",IF(COUNTIF(lists!$L$2:$L$258, K1165) &gt; 0,"cross.bred","pure.bred.exotic")),"NA")</f>
        <v>NA</v>
      </c>
      <c r="M1165" t="str">
        <f>IF(J1165="Sheep",IF(COUNTIF(lists!$H$2:$H$258, K1165) &gt; 0,"indigenous",IF(COUNTIF(lists!$G$2:$G$258, K1165) &gt; 0,"cross.bred","not found")),"NA")</f>
        <v>not found</v>
      </c>
      <c r="N1165" t="str">
        <f>IF(J1165="Goat",IF(COUNTIF(lists!$J$2:$J$258, K1165) &gt; 0,"indigenous",IF(COUNTIF(lists!$I$2:$I$258, K1165) &gt; 0,"cross.bred","not found")),"NA")</f>
        <v>NA</v>
      </c>
      <c r="O1165" s="9" t="s">
        <v>180</v>
      </c>
      <c r="P1165" s="9" t="s">
        <v>549</v>
      </c>
      <c r="S1165" s="9" t="s">
        <v>106</v>
      </c>
      <c r="T1165" s="9" t="s">
        <v>106</v>
      </c>
      <c r="U1165" s="9" t="s">
        <v>106</v>
      </c>
      <c r="V1165" s="9" t="s">
        <v>106</v>
      </c>
      <c r="W1165" s="9" t="s">
        <v>106</v>
      </c>
      <c r="X1165" s="9" t="s">
        <v>106</v>
      </c>
      <c r="Y1165" s="9" t="s">
        <v>106</v>
      </c>
      <c r="Z1165" s="37"/>
      <c r="AA1165" s="37"/>
      <c r="AB1165" s="37"/>
      <c r="AE1165"/>
    </row>
    <row r="1166" spans="1:31" hidden="1">
      <c r="A1166" s="9" t="s">
        <v>918</v>
      </c>
      <c r="B1166" s="9" t="s">
        <v>920</v>
      </c>
      <c r="C1166" s="9" t="s">
        <v>105</v>
      </c>
      <c r="D1166" s="9">
        <v>0.60755999999999999</v>
      </c>
      <c r="E1166" s="9">
        <v>0.75</v>
      </c>
      <c r="F1166" s="9" t="s">
        <v>106</v>
      </c>
      <c r="G1166" s="9" t="s">
        <v>106</v>
      </c>
      <c r="H1166" s="9" t="s">
        <v>106</v>
      </c>
      <c r="J1166" s="9" t="s">
        <v>107</v>
      </c>
      <c r="K1166" s="9" t="s">
        <v>180</v>
      </c>
      <c r="L1166" t="str">
        <f>IF(OR(J1166="Cattle",J1166="Zebu Cattle"),IF(COUNTIF(lists!$M$2:$M$258, K1166) &gt; 0,"bos.indicus",IF(COUNTIF(lists!$L$2:$L$258, K1166) &gt; 0,"cross.bred","pure.bred.exotic")),"NA")</f>
        <v>NA</v>
      </c>
      <c r="M1166" t="str">
        <f>IF(J1166="Sheep",IF(COUNTIF(lists!$H$2:$H$258, K1166) &gt; 0,"indigenous",IF(COUNTIF(lists!$G$2:$G$258, K1166) &gt; 0,"cross.bred","not found")),"NA")</f>
        <v>not found</v>
      </c>
      <c r="N1166" t="str">
        <f>IF(J1166="Goat",IF(COUNTIF(lists!$J$2:$J$258, K1166) &gt; 0,"indigenous",IF(COUNTIF(lists!$I$2:$I$258, K1166) &gt; 0,"cross.bred","not found")),"NA")</f>
        <v>NA</v>
      </c>
      <c r="O1166" s="9" t="s">
        <v>180</v>
      </c>
      <c r="P1166" s="9" t="s">
        <v>549</v>
      </c>
      <c r="S1166" s="9" t="s">
        <v>106</v>
      </c>
      <c r="T1166" s="9" t="s">
        <v>106</v>
      </c>
      <c r="U1166" s="9" t="s">
        <v>106</v>
      </c>
      <c r="V1166" s="9" t="s">
        <v>106</v>
      </c>
      <c r="W1166" s="9" t="s">
        <v>106</v>
      </c>
      <c r="X1166" s="9" t="s">
        <v>106</v>
      </c>
      <c r="Y1166" s="9" t="s">
        <v>106</v>
      </c>
      <c r="Z1166" s="37"/>
      <c r="AA1166" s="37"/>
      <c r="AB1166" s="37"/>
      <c r="AE1166"/>
    </row>
    <row r="1167" spans="1:31" hidden="1">
      <c r="A1167" s="9" t="s">
        <v>918</v>
      </c>
      <c r="B1167" s="9" t="s">
        <v>921</v>
      </c>
      <c r="C1167" s="9" t="s">
        <v>105</v>
      </c>
      <c r="D1167" s="9">
        <v>0.56911999999999996</v>
      </c>
      <c r="E1167" s="9">
        <v>0.75</v>
      </c>
      <c r="F1167" s="9" t="s">
        <v>106</v>
      </c>
      <c r="G1167" s="9" t="s">
        <v>106</v>
      </c>
      <c r="H1167" s="9" t="s">
        <v>106</v>
      </c>
      <c r="J1167" s="9" t="s">
        <v>107</v>
      </c>
      <c r="K1167" s="9" t="s">
        <v>180</v>
      </c>
      <c r="L1167" t="str">
        <f>IF(OR(J1167="Cattle",J1167="Zebu Cattle"),IF(COUNTIF(lists!$M$2:$M$258, K1167) &gt; 0,"bos.indicus",IF(COUNTIF(lists!$L$2:$L$258, K1167) &gt; 0,"cross.bred","pure.bred.exotic")),"NA")</f>
        <v>NA</v>
      </c>
      <c r="M1167" t="str">
        <f>IF(J1167="Sheep",IF(COUNTIF(lists!$H$2:$H$258, K1167) &gt; 0,"indigenous",IF(COUNTIF(lists!$G$2:$G$258, K1167) &gt; 0,"cross.bred","not found")),"NA")</f>
        <v>not found</v>
      </c>
      <c r="N1167" t="str">
        <f>IF(J1167="Goat",IF(COUNTIF(lists!$J$2:$J$258, K1167) &gt; 0,"indigenous",IF(COUNTIF(lists!$I$2:$I$258, K1167) &gt; 0,"cross.bred","not found")),"NA")</f>
        <v>NA</v>
      </c>
      <c r="O1167" s="9" t="s">
        <v>180</v>
      </c>
      <c r="P1167" s="9" t="s">
        <v>549</v>
      </c>
      <c r="S1167" s="9" t="s">
        <v>106</v>
      </c>
      <c r="T1167" s="9" t="s">
        <v>106</v>
      </c>
      <c r="U1167" s="9" t="s">
        <v>106</v>
      </c>
      <c r="V1167" s="9" t="s">
        <v>106</v>
      </c>
      <c r="W1167" s="9" t="s">
        <v>106</v>
      </c>
      <c r="X1167" s="9" t="s">
        <v>106</v>
      </c>
      <c r="Y1167" s="9" t="s">
        <v>106</v>
      </c>
      <c r="Z1167" s="37"/>
      <c r="AA1167" s="37"/>
      <c r="AB1167" s="37"/>
      <c r="AE1167"/>
    </row>
    <row r="1168" spans="1:31" hidden="1">
      <c r="A1168" s="9" t="s">
        <v>918</v>
      </c>
      <c r="B1168" s="9" t="s">
        <v>922</v>
      </c>
      <c r="C1168" s="9" t="s">
        <v>105</v>
      </c>
      <c r="D1168" s="9">
        <v>0.60966999999999905</v>
      </c>
      <c r="E1168" s="9">
        <v>0.75</v>
      </c>
      <c r="F1168" s="9" t="s">
        <v>106</v>
      </c>
      <c r="G1168" s="9" t="s">
        <v>106</v>
      </c>
      <c r="H1168" s="9" t="s">
        <v>106</v>
      </c>
      <c r="J1168" s="9" t="s">
        <v>107</v>
      </c>
      <c r="K1168" s="9" t="s">
        <v>180</v>
      </c>
      <c r="L1168" t="str">
        <f>IF(OR(J1168="Cattle",J1168="Zebu Cattle"),IF(COUNTIF(lists!$M$2:$M$258, K1168) &gt; 0,"bos.indicus",IF(COUNTIF(lists!$L$2:$L$258, K1168) &gt; 0,"cross.bred","pure.bred.exotic")),"NA")</f>
        <v>NA</v>
      </c>
      <c r="M1168" t="str">
        <f>IF(J1168="Sheep",IF(COUNTIF(lists!$H$2:$H$258, K1168) &gt; 0,"indigenous",IF(COUNTIF(lists!$G$2:$G$258, K1168) &gt; 0,"cross.bred","not found")),"NA")</f>
        <v>not found</v>
      </c>
      <c r="N1168" t="str">
        <f>IF(J1168="Goat",IF(COUNTIF(lists!$J$2:$J$258, K1168) &gt; 0,"indigenous",IF(COUNTIF(lists!$I$2:$I$258, K1168) &gt; 0,"cross.bred","not found")),"NA")</f>
        <v>NA</v>
      </c>
      <c r="O1168" s="9" t="s">
        <v>180</v>
      </c>
      <c r="P1168" s="9" t="s">
        <v>549</v>
      </c>
      <c r="S1168" s="9" t="s">
        <v>106</v>
      </c>
      <c r="T1168" s="9" t="s">
        <v>106</v>
      </c>
      <c r="U1168" s="9" t="s">
        <v>106</v>
      </c>
      <c r="V1168" s="9" t="s">
        <v>106</v>
      </c>
      <c r="W1168" s="9" t="s">
        <v>106</v>
      </c>
      <c r="X1168" s="9" t="s">
        <v>106</v>
      </c>
      <c r="Y1168" s="9" t="s">
        <v>106</v>
      </c>
      <c r="Z1168" s="37"/>
      <c r="AA1168" s="37"/>
      <c r="AB1168" s="37"/>
      <c r="AE1168"/>
    </row>
    <row r="1169" spans="1:31" hidden="1">
      <c r="A1169" s="9" t="s">
        <v>941</v>
      </c>
      <c r="B1169" s="9" t="s">
        <v>942</v>
      </c>
      <c r="C1169" s="9" t="s">
        <v>105</v>
      </c>
      <c r="D1169" s="9">
        <v>0.38889999999999902</v>
      </c>
      <c r="E1169" s="9">
        <v>13.05</v>
      </c>
      <c r="F1169" s="9" t="s">
        <v>106</v>
      </c>
      <c r="G1169" s="9" t="s">
        <v>106</v>
      </c>
      <c r="H1169" s="9" t="s">
        <v>106</v>
      </c>
      <c r="J1169" s="9" t="s">
        <v>107</v>
      </c>
      <c r="K1169" s="9" t="s">
        <v>117</v>
      </c>
      <c r="L1169" t="str">
        <f>IF(OR(J1169="Cattle",J1169="Zebu Cattle"),IF(COUNTIF(lists!$M$2:$M$258, K1169) &gt; 0,"bos.indicus",IF(COUNTIF(lists!$L$2:$L$258, K1169) &gt; 0,"cross.bred","pure.bred.exotic")),"NA")</f>
        <v>NA</v>
      </c>
      <c r="M1169" t="str">
        <f>IF(J1169="Sheep",IF(COUNTIF(lists!$H$2:$H$258, K1169) &gt; 0,"indigenous",IF(COUNTIF(lists!$G$2:$G$258, K1169) &gt; 0,"cross.bred","not found")),"NA")</f>
        <v>not found</v>
      </c>
      <c r="N1169" t="str">
        <f>IF(J1169="Goat",IF(COUNTIF(lists!$J$2:$J$258, K1169) &gt; 0,"indigenous",IF(COUNTIF(lists!$I$2:$I$258, K1169) &gt; 0,"cross.bred","not found")),"NA")</f>
        <v>NA</v>
      </c>
      <c r="O1169" s="9" t="s">
        <v>109</v>
      </c>
      <c r="P1169" s="9" t="s">
        <v>373</v>
      </c>
      <c r="S1169" s="9" t="s">
        <v>106</v>
      </c>
      <c r="T1169" s="9" t="s">
        <v>106</v>
      </c>
      <c r="U1169" s="9" t="s">
        <v>106</v>
      </c>
      <c r="V1169" s="9" t="s">
        <v>106</v>
      </c>
      <c r="W1169" s="9" t="s">
        <v>106</v>
      </c>
      <c r="X1169" s="9" t="s">
        <v>106</v>
      </c>
      <c r="Y1169" s="9" t="s">
        <v>106</v>
      </c>
      <c r="Z1169" s="37"/>
      <c r="AA1169" s="37"/>
      <c r="AB1169" s="37"/>
      <c r="AE1169"/>
    </row>
    <row r="1170" spans="1:31" hidden="1">
      <c r="A1170" s="9" t="s">
        <v>941</v>
      </c>
      <c r="B1170" s="9" t="s">
        <v>943</v>
      </c>
      <c r="C1170" s="9" t="s">
        <v>105</v>
      </c>
      <c r="D1170" s="9">
        <v>0.47910000000000003</v>
      </c>
      <c r="E1170" s="9">
        <v>13.05</v>
      </c>
      <c r="F1170" s="9" t="s">
        <v>106</v>
      </c>
      <c r="G1170" s="9" t="s">
        <v>106</v>
      </c>
      <c r="H1170" s="9" t="s">
        <v>106</v>
      </c>
      <c r="J1170" s="9" t="s">
        <v>107</v>
      </c>
      <c r="K1170" s="9" t="s">
        <v>117</v>
      </c>
      <c r="L1170" t="str">
        <f>IF(OR(J1170="Cattle",J1170="Zebu Cattle"),IF(COUNTIF(lists!$M$2:$M$258, K1170) &gt; 0,"bos.indicus",IF(COUNTIF(lists!$L$2:$L$258, K1170) &gt; 0,"cross.bred","pure.bred.exotic")),"NA")</f>
        <v>NA</v>
      </c>
      <c r="M1170" t="str">
        <f>IF(J1170="Sheep",IF(COUNTIF(lists!$H$2:$H$258, K1170) &gt; 0,"indigenous",IF(COUNTIF(lists!$G$2:$G$258, K1170) &gt; 0,"cross.bred","not found")),"NA")</f>
        <v>not found</v>
      </c>
      <c r="N1170" t="str">
        <f>IF(J1170="Goat",IF(COUNTIF(lists!$J$2:$J$258, K1170) &gt; 0,"indigenous",IF(COUNTIF(lists!$I$2:$I$258, K1170) &gt; 0,"cross.bred","not found")),"NA")</f>
        <v>NA</v>
      </c>
      <c r="O1170" s="9" t="s">
        <v>109</v>
      </c>
      <c r="P1170" s="9" t="s">
        <v>373</v>
      </c>
      <c r="S1170" s="9" t="s">
        <v>106</v>
      </c>
      <c r="T1170" s="9" t="s">
        <v>106</v>
      </c>
      <c r="U1170" s="9" t="s">
        <v>106</v>
      </c>
      <c r="V1170" s="9" t="s">
        <v>106</v>
      </c>
      <c r="W1170" s="9" t="s">
        <v>106</v>
      </c>
      <c r="X1170" s="9" t="s">
        <v>106</v>
      </c>
      <c r="Y1170" s="9" t="s">
        <v>106</v>
      </c>
      <c r="Z1170" s="37"/>
      <c r="AA1170" s="37"/>
      <c r="AB1170" s="37"/>
      <c r="AE1170"/>
    </row>
    <row r="1171" spans="1:31" hidden="1">
      <c r="A1171" s="9" t="s">
        <v>941</v>
      </c>
      <c r="B1171" s="9" t="s">
        <v>944</v>
      </c>
      <c r="C1171" s="9" t="s">
        <v>105</v>
      </c>
      <c r="D1171" s="9">
        <v>0.50149999999999995</v>
      </c>
      <c r="E1171" s="9">
        <v>13.05</v>
      </c>
      <c r="F1171" s="9" t="s">
        <v>106</v>
      </c>
      <c r="G1171" s="9" t="s">
        <v>106</v>
      </c>
      <c r="H1171" s="9" t="s">
        <v>106</v>
      </c>
      <c r="J1171" s="9" t="s">
        <v>107</v>
      </c>
      <c r="K1171" s="9" t="s">
        <v>117</v>
      </c>
      <c r="L1171" t="str">
        <f>IF(OR(J1171="Cattle",J1171="Zebu Cattle"),IF(COUNTIF(lists!$M$2:$M$258, K1171) &gt; 0,"bos.indicus",IF(COUNTIF(lists!$L$2:$L$258, K1171) &gt; 0,"cross.bred","pure.bred.exotic")),"NA")</f>
        <v>NA</v>
      </c>
      <c r="M1171" t="str">
        <f>IF(J1171="Sheep",IF(COUNTIF(lists!$H$2:$H$258, K1171) &gt; 0,"indigenous",IF(COUNTIF(lists!$G$2:$G$258, K1171) &gt; 0,"cross.bred","not found")),"NA")</f>
        <v>not found</v>
      </c>
      <c r="N1171" t="str">
        <f>IF(J1171="Goat",IF(COUNTIF(lists!$J$2:$J$258, K1171) &gt; 0,"indigenous",IF(COUNTIF(lists!$I$2:$I$258, K1171) &gt; 0,"cross.bred","not found")),"NA")</f>
        <v>NA</v>
      </c>
      <c r="O1171" s="9" t="s">
        <v>109</v>
      </c>
      <c r="P1171" s="9" t="s">
        <v>373</v>
      </c>
      <c r="S1171" s="9" t="s">
        <v>106</v>
      </c>
      <c r="T1171" s="9" t="s">
        <v>106</v>
      </c>
      <c r="U1171" s="9" t="s">
        <v>106</v>
      </c>
      <c r="V1171" s="9" t="s">
        <v>106</v>
      </c>
      <c r="W1171" s="9" t="s">
        <v>106</v>
      </c>
      <c r="X1171" s="9" t="s">
        <v>106</v>
      </c>
      <c r="Y1171" s="9" t="s">
        <v>106</v>
      </c>
      <c r="Z1171" s="37"/>
      <c r="AA1171" s="37"/>
      <c r="AB1171" s="37"/>
      <c r="AE1171"/>
    </row>
    <row r="1172" spans="1:31" hidden="1">
      <c r="A1172" s="9" t="s">
        <v>941</v>
      </c>
      <c r="B1172" s="9" t="s">
        <v>945</v>
      </c>
      <c r="C1172" s="9" t="s">
        <v>105</v>
      </c>
      <c r="D1172" s="9">
        <v>0.4451</v>
      </c>
      <c r="E1172" s="9">
        <v>13.05</v>
      </c>
      <c r="F1172" s="9" t="s">
        <v>106</v>
      </c>
      <c r="G1172" s="9" t="s">
        <v>106</v>
      </c>
      <c r="H1172" s="9" t="s">
        <v>106</v>
      </c>
      <c r="J1172" s="9" t="s">
        <v>107</v>
      </c>
      <c r="K1172" s="9" t="s">
        <v>117</v>
      </c>
      <c r="L1172" t="str">
        <f>IF(OR(J1172="Cattle",J1172="Zebu Cattle"),IF(COUNTIF(lists!$M$2:$M$258, K1172) &gt; 0,"bos.indicus",IF(COUNTIF(lists!$L$2:$L$258, K1172) &gt; 0,"cross.bred","pure.bred.exotic")),"NA")</f>
        <v>NA</v>
      </c>
      <c r="M1172" t="str">
        <f>IF(J1172="Sheep",IF(COUNTIF(lists!$H$2:$H$258, K1172) &gt; 0,"indigenous",IF(COUNTIF(lists!$G$2:$G$258, K1172) &gt; 0,"cross.bred","not found")),"NA")</f>
        <v>not found</v>
      </c>
      <c r="N1172" t="str">
        <f>IF(J1172="Goat",IF(COUNTIF(lists!$J$2:$J$258, K1172) &gt; 0,"indigenous",IF(COUNTIF(lists!$I$2:$I$258, K1172) &gt; 0,"cross.bred","not found")),"NA")</f>
        <v>NA</v>
      </c>
      <c r="O1172" s="9" t="s">
        <v>109</v>
      </c>
      <c r="P1172" s="9" t="s">
        <v>373</v>
      </c>
      <c r="S1172" s="9" t="s">
        <v>106</v>
      </c>
      <c r="T1172" s="9" t="s">
        <v>106</v>
      </c>
      <c r="U1172" s="9" t="s">
        <v>106</v>
      </c>
      <c r="V1172" s="9" t="s">
        <v>106</v>
      </c>
      <c r="W1172" s="9" t="s">
        <v>106</v>
      </c>
      <c r="X1172" s="9" t="s">
        <v>106</v>
      </c>
      <c r="Y1172" s="9" t="s">
        <v>106</v>
      </c>
      <c r="Z1172" s="37"/>
      <c r="AA1172" s="37"/>
      <c r="AB1172" s="37"/>
      <c r="AE1172"/>
    </row>
    <row r="1173" spans="1:31" hidden="1">
      <c r="A1173" s="9" t="s">
        <v>951</v>
      </c>
      <c r="B1173" s="9" t="s">
        <v>952</v>
      </c>
      <c r="C1173" s="9" t="s">
        <v>105</v>
      </c>
      <c r="D1173" s="9">
        <v>0.87829999999999997</v>
      </c>
      <c r="E1173" s="9">
        <v>1.84</v>
      </c>
      <c r="F1173" s="9" t="s">
        <v>106</v>
      </c>
      <c r="G1173" s="9" t="s">
        <v>106</v>
      </c>
      <c r="H1173" s="9" t="s">
        <v>106</v>
      </c>
      <c r="J1173" s="9" t="s">
        <v>107</v>
      </c>
      <c r="K1173" s="9" t="s">
        <v>435</v>
      </c>
      <c r="L1173" t="str">
        <f>IF(OR(J1173="Cattle",J1173="Zebu Cattle"),IF(COUNTIF(lists!$M$2:$M$258, K1173) &gt; 0,"bos.indicus",IF(COUNTIF(lists!$L$2:$L$258, K1173) &gt; 0,"cross.bred","pure.bred.exotic")),"NA")</f>
        <v>NA</v>
      </c>
      <c r="M1173" t="str">
        <f>IF(J1173="Sheep",IF(COUNTIF(lists!$H$2:$H$258, K1173) &gt; 0,"indigenous",IF(COUNTIF(lists!$G$2:$G$258, K1173) &gt; 0,"cross.bred","not found")),"NA")</f>
        <v>not found</v>
      </c>
      <c r="N1173" t="str">
        <f>IF(J1173="Goat",IF(COUNTIF(lists!$J$2:$J$258, K1173) &gt; 0,"indigenous",IF(COUNTIF(lists!$I$2:$I$258, K1173) &gt; 0,"cross.bred","not found")),"NA")</f>
        <v>NA</v>
      </c>
      <c r="O1173" s="9" t="s">
        <v>124</v>
      </c>
      <c r="P1173" s="9" t="s">
        <v>479</v>
      </c>
      <c r="S1173" s="9" t="s">
        <v>106</v>
      </c>
      <c r="T1173" s="9" t="s">
        <v>106</v>
      </c>
      <c r="U1173" s="9" t="s">
        <v>106</v>
      </c>
      <c r="V1173" s="9" t="s">
        <v>106</v>
      </c>
      <c r="W1173" s="9" t="s">
        <v>106</v>
      </c>
      <c r="X1173" s="9" t="s">
        <v>106</v>
      </c>
      <c r="Y1173" s="9" t="s">
        <v>106</v>
      </c>
      <c r="Z1173" s="37"/>
      <c r="AA1173" s="37"/>
      <c r="AB1173" s="37"/>
      <c r="AE1173"/>
    </row>
    <row r="1174" spans="1:31" hidden="1">
      <c r="A1174" s="9" t="s">
        <v>951</v>
      </c>
      <c r="B1174" s="9" t="s">
        <v>953</v>
      </c>
      <c r="C1174" s="9" t="s">
        <v>105</v>
      </c>
      <c r="D1174" s="9">
        <v>0.93740000000000001</v>
      </c>
      <c r="E1174" s="9">
        <v>1.84</v>
      </c>
      <c r="F1174" s="9" t="s">
        <v>106</v>
      </c>
      <c r="G1174" s="9" t="s">
        <v>106</v>
      </c>
      <c r="H1174" s="9" t="s">
        <v>106</v>
      </c>
      <c r="J1174" s="9" t="s">
        <v>107</v>
      </c>
      <c r="K1174" s="9" t="s">
        <v>435</v>
      </c>
      <c r="L1174" t="str">
        <f>IF(OR(J1174="Cattle",J1174="Zebu Cattle"),IF(COUNTIF(lists!$M$2:$M$258, K1174) &gt; 0,"bos.indicus",IF(COUNTIF(lists!$L$2:$L$258, K1174) &gt; 0,"cross.bred","pure.bred.exotic")),"NA")</f>
        <v>NA</v>
      </c>
      <c r="M1174" t="str">
        <f>IF(J1174="Sheep",IF(COUNTIF(lists!$H$2:$H$258, K1174) &gt; 0,"indigenous",IF(COUNTIF(lists!$G$2:$G$258, K1174) &gt; 0,"cross.bred","not found")),"NA")</f>
        <v>not found</v>
      </c>
      <c r="N1174" t="str">
        <f>IF(J1174="Goat",IF(COUNTIF(lists!$J$2:$J$258, K1174) &gt; 0,"indigenous",IF(COUNTIF(lists!$I$2:$I$258, K1174) &gt; 0,"cross.bred","not found")),"NA")</f>
        <v>NA</v>
      </c>
      <c r="O1174" s="9" t="s">
        <v>124</v>
      </c>
      <c r="P1174" s="9" t="s">
        <v>479</v>
      </c>
      <c r="S1174" s="9" t="s">
        <v>106</v>
      </c>
      <c r="T1174" s="9" t="s">
        <v>106</v>
      </c>
      <c r="U1174" s="9" t="s">
        <v>106</v>
      </c>
      <c r="V1174" s="9" t="s">
        <v>106</v>
      </c>
      <c r="W1174" s="9" t="s">
        <v>106</v>
      </c>
      <c r="X1174" s="9" t="s">
        <v>106</v>
      </c>
      <c r="Y1174" s="9" t="s">
        <v>106</v>
      </c>
      <c r="Z1174" s="37"/>
      <c r="AA1174" s="37"/>
      <c r="AB1174" s="37"/>
      <c r="AE1174"/>
    </row>
    <row r="1175" spans="1:31" hidden="1">
      <c r="A1175" s="9" t="s">
        <v>951</v>
      </c>
      <c r="B1175" s="9" t="s">
        <v>954</v>
      </c>
      <c r="C1175" s="9" t="s">
        <v>105</v>
      </c>
      <c r="D1175" s="9">
        <v>0.94910000000000005</v>
      </c>
      <c r="E1175" s="9">
        <v>1.84</v>
      </c>
      <c r="F1175" s="9" t="s">
        <v>106</v>
      </c>
      <c r="G1175" s="9" t="s">
        <v>106</v>
      </c>
      <c r="H1175" s="9" t="s">
        <v>106</v>
      </c>
      <c r="J1175" s="9" t="s">
        <v>107</v>
      </c>
      <c r="K1175" s="9" t="s">
        <v>435</v>
      </c>
      <c r="L1175" t="str">
        <f>IF(OR(J1175="Cattle",J1175="Zebu Cattle"),IF(COUNTIF(lists!$M$2:$M$258, K1175) &gt; 0,"bos.indicus",IF(COUNTIF(lists!$L$2:$L$258, K1175) &gt; 0,"cross.bred","pure.bred.exotic")),"NA")</f>
        <v>NA</v>
      </c>
      <c r="M1175" t="str">
        <f>IF(J1175="Sheep",IF(COUNTIF(lists!$H$2:$H$258, K1175) &gt; 0,"indigenous",IF(COUNTIF(lists!$G$2:$G$258, K1175) &gt; 0,"cross.bred","not found")),"NA")</f>
        <v>not found</v>
      </c>
      <c r="N1175" t="str">
        <f>IF(J1175="Goat",IF(COUNTIF(lists!$J$2:$J$258, K1175) &gt; 0,"indigenous",IF(COUNTIF(lists!$I$2:$I$258, K1175) &gt; 0,"cross.bred","not found")),"NA")</f>
        <v>NA</v>
      </c>
      <c r="O1175" s="9" t="s">
        <v>124</v>
      </c>
      <c r="P1175" s="9" t="s">
        <v>479</v>
      </c>
      <c r="S1175" s="9" t="s">
        <v>106</v>
      </c>
      <c r="T1175" s="9" t="s">
        <v>106</v>
      </c>
      <c r="U1175" s="9" t="s">
        <v>106</v>
      </c>
      <c r="V1175" s="9" t="s">
        <v>106</v>
      </c>
      <c r="W1175" s="9" t="s">
        <v>106</v>
      </c>
      <c r="X1175" s="9" t="s">
        <v>106</v>
      </c>
      <c r="Y1175" s="9" t="s">
        <v>106</v>
      </c>
      <c r="Z1175" s="37"/>
      <c r="AA1175" s="37"/>
      <c r="AB1175" s="37"/>
      <c r="AE1175"/>
    </row>
    <row r="1176" spans="1:31" hidden="1">
      <c r="A1176" s="9" t="s">
        <v>951</v>
      </c>
      <c r="B1176" s="9" t="s">
        <v>955</v>
      </c>
      <c r="C1176" s="9" t="s">
        <v>105</v>
      </c>
      <c r="D1176" s="9">
        <v>0.9788</v>
      </c>
      <c r="E1176" s="9">
        <v>1.84</v>
      </c>
      <c r="F1176" s="9" t="s">
        <v>106</v>
      </c>
      <c r="G1176" s="9" t="s">
        <v>106</v>
      </c>
      <c r="H1176" s="9" t="s">
        <v>106</v>
      </c>
      <c r="J1176" s="9" t="s">
        <v>107</v>
      </c>
      <c r="K1176" s="9" t="s">
        <v>435</v>
      </c>
      <c r="L1176" t="str">
        <f>IF(OR(J1176="Cattle",J1176="Zebu Cattle"),IF(COUNTIF(lists!$M$2:$M$258, K1176) &gt; 0,"bos.indicus",IF(COUNTIF(lists!$L$2:$L$258, K1176) &gt; 0,"cross.bred","pure.bred.exotic")),"NA")</f>
        <v>NA</v>
      </c>
      <c r="M1176" t="str">
        <f>IF(J1176="Sheep",IF(COUNTIF(lists!$H$2:$H$258, K1176) &gt; 0,"indigenous",IF(COUNTIF(lists!$G$2:$G$258, K1176) &gt; 0,"cross.bred","not found")),"NA")</f>
        <v>not found</v>
      </c>
      <c r="N1176" t="str">
        <f>IF(J1176="Goat",IF(COUNTIF(lists!$J$2:$J$258, K1176) &gt; 0,"indigenous",IF(COUNTIF(lists!$I$2:$I$258, K1176) &gt; 0,"cross.bred","not found")),"NA")</f>
        <v>NA</v>
      </c>
      <c r="O1176" s="9" t="s">
        <v>124</v>
      </c>
      <c r="P1176" s="9" t="s">
        <v>479</v>
      </c>
      <c r="S1176" s="9" t="s">
        <v>106</v>
      </c>
      <c r="T1176" s="9" t="s">
        <v>106</v>
      </c>
      <c r="U1176" s="9" t="s">
        <v>106</v>
      </c>
      <c r="V1176" s="9" t="s">
        <v>106</v>
      </c>
      <c r="W1176" s="9" t="s">
        <v>106</v>
      </c>
      <c r="X1176" s="9" t="s">
        <v>106</v>
      </c>
      <c r="Y1176" s="9" t="s">
        <v>106</v>
      </c>
      <c r="Z1176" s="37"/>
      <c r="AA1176" s="37"/>
      <c r="AB1176" s="37"/>
      <c r="AE1176"/>
    </row>
    <row r="1177" spans="1:31" hidden="1">
      <c r="A1177" s="9" t="s">
        <v>956</v>
      </c>
      <c r="B1177" s="9" t="s">
        <v>952</v>
      </c>
      <c r="C1177" s="9" t="s">
        <v>105</v>
      </c>
      <c r="D1177" s="9">
        <v>0.81340000000000001</v>
      </c>
      <c r="E1177" s="9">
        <v>11.5</v>
      </c>
      <c r="F1177" s="9" t="s">
        <v>106</v>
      </c>
      <c r="G1177" s="9" t="s">
        <v>106</v>
      </c>
      <c r="H1177" s="9" t="s">
        <v>106</v>
      </c>
      <c r="J1177" s="9" t="s">
        <v>107</v>
      </c>
      <c r="K1177" s="9" t="s">
        <v>620</v>
      </c>
      <c r="L1177" t="str">
        <f>IF(OR(J1177="Cattle",J1177="Zebu Cattle"),IF(COUNTIF(lists!$M$2:$M$258, K1177) &gt; 0,"bos.indicus",IF(COUNTIF(lists!$L$2:$L$258, K1177) &gt; 0,"cross.bred","pure.bred.exotic")),"NA")</f>
        <v>NA</v>
      </c>
      <c r="M1177" t="str">
        <f>IF(J1177="Sheep",IF(COUNTIF(lists!$H$2:$H$258, K1177) &gt; 0,"indigenous",IF(COUNTIF(lists!$G$2:$G$258, K1177) &gt; 0,"cross.bred","not found")),"NA")</f>
        <v>not found</v>
      </c>
      <c r="N1177" t="str">
        <f>IF(J1177="Goat",IF(COUNTIF(lists!$J$2:$J$258, K1177) &gt; 0,"indigenous",IF(COUNTIF(lists!$I$2:$I$258, K1177) &gt; 0,"cross.bred","not found")),"NA")</f>
        <v>NA</v>
      </c>
      <c r="O1177" s="9" t="s">
        <v>109</v>
      </c>
      <c r="P1177" s="9" t="s">
        <v>170</v>
      </c>
      <c r="S1177" s="9">
        <v>559</v>
      </c>
      <c r="T1177" s="9" t="s">
        <v>106</v>
      </c>
      <c r="U1177" s="9">
        <v>67</v>
      </c>
      <c r="V1177" s="9">
        <v>900</v>
      </c>
      <c r="W1177" s="9" t="s">
        <v>106</v>
      </c>
      <c r="X1177" s="9">
        <v>600</v>
      </c>
      <c r="Y1177" s="9">
        <v>50.1</v>
      </c>
      <c r="Z1177" s="37"/>
      <c r="AA1177" s="37"/>
      <c r="AB1177" s="37"/>
      <c r="AE1177"/>
    </row>
    <row r="1178" spans="1:31" hidden="1">
      <c r="A1178" s="9" t="s">
        <v>956</v>
      </c>
      <c r="B1178" s="9" t="s">
        <v>953</v>
      </c>
      <c r="C1178" s="9" t="s">
        <v>105</v>
      </c>
      <c r="D1178" s="9">
        <v>0.77779999999999905</v>
      </c>
      <c r="E1178" s="9">
        <v>11.5</v>
      </c>
      <c r="F1178" s="9" t="s">
        <v>106</v>
      </c>
      <c r="G1178" s="9" t="s">
        <v>106</v>
      </c>
      <c r="H1178" s="9" t="s">
        <v>106</v>
      </c>
      <c r="J1178" s="9" t="s">
        <v>107</v>
      </c>
      <c r="K1178" s="9" t="s">
        <v>620</v>
      </c>
      <c r="L1178" t="str">
        <f>IF(OR(J1178="Cattle",J1178="Zebu Cattle"),IF(COUNTIF(lists!$M$2:$M$258, K1178) &gt; 0,"bos.indicus",IF(COUNTIF(lists!$L$2:$L$258, K1178) &gt; 0,"cross.bred","pure.bred.exotic")),"NA")</f>
        <v>NA</v>
      </c>
      <c r="M1178" t="str">
        <f>IF(J1178="Sheep",IF(COUNTIF(lists!$H$2:$H$258, K1178) &gt; 0,"indigenous",IF(COUNTIF(lists!$G$2:$G$258, K1178) &gt; 0,"cross.bred","not found")),"NA")</f>
        <v>not found</v>
      </c>
      <c r="N1178" t="str">
        <f>IF(J1178="Goat",IF(COUNTIF(lists!$J$2:$J$258, K1178) &gt; 0,"indigenous",IF(COUNTIF(lists!$I$2:$I$258, K1178) &gt; 0,"cross.bred","not found")),"NA")</f>
        <v>NA</v>
      </c>
      <c r="O1178" s="9" t="s">
        <v>109</v>
      </c>
      <c r="P1178" s="9" t="s">
        <v>170</v>
      </c>
      <c r="S1178" s="9">
        <v>589</v>
      </c>
      <c r="T1178" s="9" t="s">
        <v>106</v>
      </c>
      <c r="U1178" s="9">
        <v>57</v>
      </c>
      <c r="V1178" s="9">
        <v>960</v>
      </c>
      <c r="W1178" s="9" t="s">
        <v>106</v>
      </c>
      <c r="X1178" s="9">
        <v>637</v>
      </c>
      <c r="Y1178" s="9">
        <v>44.4</v>
      </c>
      <c r="Z1178" s="37"/>
      <c r="AA1178" s="37"/>
      <c r="AB1178" s="37"/>
      <c r="AE1178"/>
    </row>
    <row r="1179" spans="1:31" hidden="1">
      <c r="A1179" s="9" t="s">
        <v>956</v>
      </c>
      <c r="B1179" s="9" t="s">
        <v>954</v>
      </c>
      <c r="C1179" s="9" t="s">
        <v>105</v>
      </c>
      <c r="D1179" s="9">
        <v>0.7601</v>
      </c>
      <c r="E1179" s="9">
        <v>11.5</v>
      </c>
      <c r="F1179" s="9" t="s">
        <v>106</v>
      </c>
      <c r="G1179" s="9" t="s">
        <v>106</v>
      </c>
      <c r="H1179" s="9" t="s">
        <v>106</v>
      </c>
      <c r="J1179" s="9" t="s">
        <v>107</v>
      </c>
      <c r="K1179" s="9" t="s">
        <v>620</v>
      </c>
      <c r="L1179" t="str">
        <f>IF(OR(J1179="Cattle",J1179="Zebu Cattle"),IF(COUNTIF(lists!$M$2:$M$258, K1179) &gt; 0,"bos.indicus",IF(COUNTIF(lists!$L$2:$L$258, K1179) &gt; 0,"cross.bred","pure.bred.exotic")),"NA")</f>
        <v>NA</v>
      </c>
      <c r="M1179" t="str">
        <f>IF(J1179="Sheep",IF(COUNTIF(lists!$H$2:$H$258, K1179) &gt; 0,"indigenous",IF(COUNTIF(lists!$G$2:$G$258, K1179) &gt; 0,"cross.bred","not found")),"NA")</f>
        <v>not found</v>
      </c>
      <c r="N1179" t="str">
        <f>IF(J1179="Goat",IF(COUNTIF(lists!$J$2:$J$258, K1179) &gt; 0,"indigenous",IF(COUNTIF(lists!$I$2:$I$258, K1179) &gt; 0,"cross.bred","not found")),"NA")</f>
        <v>NA</v>
      </c>
      <c r="O1179" s="9" t="s">
        <v>109</v>
      </c>
      <c r="P1179" s="9" t="s">
        <v>170</v>
      </c>
      <c r="S1179" s="9">
        <v>590</v>
      </c>
      <c r="T1179" s="9" t="s">
        <v>106</v>
      </c>
      <c r="U1179" s="9">
        <v>65</v>
      </c>
      <c r="V1179" s="9">
        <v>960</v>
      </c>
      <c r="W1179" s="9" t="s">
        <v>106</v>
      </c>
      <c r="X1179" s="9">
        <v>658</v>
      </c>
      <c r="Y1179" s="9">
        <v>43.2</v>
      </c>
      <c r="Z1179" s="37"/>
      <c r="AA1179" s="37"/>
      <c r="AB1179" s="37"/>
      <c r="AE1179"/>
    </row>
    <row r="1180" spans="1:31" hidden="1">
      <c r="A1180" s="9" t="s">
        <v>956</v>
      </c>
      <c r="B1180" s="9" t="s">
        <v>955</v>
      </c>
      <c r="C1180" s="9" t="s">
        <v>105</v>
      </c>
      <c r="D1180" s="9">
        <v>0.75129999999999997</v>
      </c>
      <c r="E1180" s="9">
        <v>11.5</v>
      </c>
      <c r="F1180" s="9" t="s">
        <v>106</v>
      </c>
      <c r="G1180" s="9" t="s">
        <v>106</v>
      </c>
      <c r="H1180" s="9" t="s">
        <v>106</v>
      </c>
      <c r="J1180" s="9" t="s">
        <v>107</v>
      </c>
      <c r="K1180" s="9" t="s">
        <v>620</v>
      </c>
      <c r="L1180" t="str">
        <f>IF(OR(J1180="Cattle",J1180="Zebu Cattle"),IF(COUNTIF(lists!$M$2:$M$258, K1180) &gt; 0,"bos.indicus",IF(COUNTIF(lists!$L$2:$L$258, K1180) &gt; 0,"cross.bred","pure.bred.exotic")),"NA")</f>
        <v>NA</v>
      </c>
      <c r="M1180" t="str">
        <f>IF(J1180="Sheep",IF(COUNTIF(lists!$H$2:$H$258, K1180) &gt; 0,"indigenous",IF(COUNTIF(lists!$G$2:$G$258, K1180) &gt; 0,"cross.bred","not found")),"NA")</f>
        <v>not found</v>
      </c>
      <c r="N1180" t="str">
        <f>IF(J1180="Goat",IF(COUNTIF(lists!$J$2:$J$258, K1180) &gt; 0,"indigenous",IF(COUNTIF(lists!$I$2:$I$258, K1180) &gt; 0,"cross.bred","not found")),"NA")</f>
        <v>NA</v>
      </c>
      <c r="O1180" s="9" t="s">
        <v>109</v>
      </c>
      <c r="P1180" s="9" t="s">
        <v>170</v>
      </c>
      <c r="S1180" s="9">
        <v>599</v>
      </c>
      <c r="T1180" s="9" t="s">
        <v>106</v>
      </c>
      <c r="U1180" s="9">
        <v>59</v>
      </c>
      <c r="V1180" s="9">
        <v>960</v>
      </c>
      <c r="W1180" s="9" t="s">
        <v>106</v>
      </c>
      <c r="X1180" s="9">
        <v>687</v>
      </c>
      <c r="Y1180" s="9">
        <v>42.1</v>
      </c>
      <c r="Z1180" s="37"/>
      <c r="AA1180" s="37"/>
      <c r="AB1180" s="37"/>
      <c r="AE1180"/>
    </row>
    <row r="1181" spans="1:31" hidden="1">
      <c r="A1181" s="9" t="s">
        <v>956</v>
      </c>
      <c r="B1181" s="9" t="s">
        <v>957</v>
      </c>
      <c r="C1181" s="9" t="s">
        <v>105</v>
      </c>
      <c r="D1181" s="9">
        <v>0.74</v>
      </c>
      <c r="E1181" s="9">
        <v>11.5</v>
      </c>
      <c r="F1181" s="9" t="s">
        <v>106</v>
      </c>
      <c r="G1181" s="9" t="s">
        <v>106</v>
      </c>
      <c r="H1181" s="9" t="s">
        <v>106</v>
      </c>
      <c r="J1181" s="9" t="s">
        <v>107</v>
      </c>
      <c r="K1181" s="9" t="s">
        <v>620</v>
      </c>
      <c r="L1181" t="str">
        <f>IF(OR(J1181="Cattle",J1181="Zebu Cattle"),IF(COUNTIF(lists!$M$2:$M$258, K1181) &gt; 0,"bos.indicus",IF(COUNTIF(lists!$L$2:$L$258, K1181) &gt; 0,"cross.bred","pure.bred.exotic")),"NA")</f>
        <v>NA</v>
      </c>
      <c r="M1181" t="str">
        <f>IF(J1181="Sheep",IF(COUNTIF(lists!$H$2:$H$258, K1181) &gt; 0,"indigenous",IF(COUNTIF(lists!$G$2:$G$258, K1181) &gt; 0,"cross.bred","not found")),"NA")</f>
        <v>not found</v>
      </c>
      <c r="N1181" t="str">
        <f>IF(J1181="Goat",IF(COUNTIF(lists!$J$2:$J$258, K1181) &gt; 0,"indigenous",IF(COUNTIF(lists!$I$2:$I$258, K1181) &gt; 0,"cross.bred","not found")),"NA")</f>
        <v>NA</v>
      </c>
      <c r="O1181" s="9" t="s">
        <v>109</v>
      </c>
      <c r="P1181" s="9" t="s">
        <v>170</v>
      </c>
      <c r="S1181" s="9">
        <v>668</v>
      </c>
      <c r="T1181" s="9" t="s">
        <v>106</v>
      </c>
      <c r="U1181" s="9">
        <v>54</v>
      </c>
      <c r="V1181" s="9">
        <v>950</v>
      </c>
      <c r="W1181" s="9" t="s">
        <v>106</v>
      </c>
      <c r="X1181" s="9">
        <v>702</v>
      </c>
      <c r="Y1181" s="9">
        <v>41.3</v>
      </c>
      <c r="Z1181" s="37"/>
      <c r="AA1181" s="37"/>
      <c r="AB1181" s="37"/>
      <c r="AE1181"/>
    </row>
    <row r="1182" spans="1:31" hidden="1">
      <c r="A1182" s="9" t="s">
        <v>964</v>
      </c>
      <c r="B1182" s="9" t="s">
        <v>965</v>
      </c>
      <c r="C1182" s="9" t="s">
        <v>105</v>
      </c>
      <c r="D1182" s="9">
        <v>0.68711</v>
      </c>
      <c r="E1182" s="9" t="s">
        <v>106</v>
      </c>
      <c r="F1182" s="9" t="s">
        <v>106</v>
      </c>
      <c r="G1182" s="9" t="s">
        <v>106</v>
      </c>
      <c r="H1182" s="9" t="s">
        <v>106</v>
      </c>
      <c r="J1182" s="9" t="s">
        <v>107</v>
      </c>
      <c r="K1182" s="9" t="s">
        <v>966</v>
      </c>
      <c r="L1182" t="str">
        <f>IF(OR(J1182="Cattle",J1182="Zebu Cattle"),IF(COUNTIF(lists!$M$2:$M$258, K1182) &gt; 0,"bos.indicus",IF(COUNTIF(lists!$L$2:$L$258, K1182) &gt; 0,"cross.bred","pure.bred.exotic")),"NA")</f>
        <v>NA</v>
      </c>
      <c r="M1182" t="str">
        <f>IF(J1182="Sheep",IF(COUNTIF(lists!$H$2:$H$258, K1182) &gt; 0,"indigenous",IF(COUNTIF(lists!$G$2:$G$258, K1182) &gt; 0,"cross.bred","not found")),"NA")</f>
        <v>not found</v>
      </c>
      <c r="N1182" t="str">
        <f>IF(J1182="Goat",IF(COUNTIF(lists!$J$2:$J$258, K1182) &gt; 0,"indigenous",IF(COUNTIF(lists!$I$2:$I$258, K1182) &gt; 0,"cross.bred","not found")),"NA")</f>
        <v>NA</v>
      </c>
      <c r="O1182" s="9" t="s">
        <v>109</v>
      </c>
      <c r="P1182" s="9" t="s">
        <v>164</v>
      </c>
      <c r="S1182" s="9" t="s">
        <v>106</v>
      </c>
      <c r="T1182" s="9" t="s">
        <v>106</v>
      </c>
      <c r="U1182" s="9" t="s">
        <v>106</v>
      </c>
      <c r="V1182" s="9" t="s">
        <v>106</v>
      </c>
      <c r="W1182" s="9" t="s">
        <v>106</v>
      </c>
      <c r="X1182" s="9" t="s">
        <v>106</v>
      </c>
      <c r="Y1182" s="9" t="s">
        <v>106</v>
      </c>
      <c r="Z1182" s="37"/>
      <c r="AA1182" s="37"/>
      <c r="AB1182" s="37"/>
      <c r="AE1182"/>
    </row>
    <row r="1183" spans="1:31" hidden="1">
      <c r="A1183" s="9" t="s">
        <v>964</v>
      </c>
      <c r="B1183" s="9" t="s">
        <v>967</v>
      </c>
      <c r="C1183" s="9" t="s">
        <v>105</v>
      </c>
      <c r="D1183" s="9">
        <v>0.66940999999999995</v>
      </c>
      <c r="E1183" s="9" t="s">
        <v>106</v>
      </c>
      <c r="F1183" s="9" t="s">
        <v>106</v>
      </c>
      <c r="G1183" s="9" t="s">
        <v>106</v>
      </c>
      <c r="H1183" s="9" t="s">
        <v>106</v>
      </c>
      <c r="J1183" s="9" t="s">
        <v>107</v>
      </c>
      <c r="K1183" s="9" t="s">
        <v>966</v>
      </c>
      <c r="L1183" t="str">
        <f>IF(OR(J1183="Cattle",J1183="Zebu Cattle"),IF(COUNTIF(lists!$M$2:$M$258, K1183) &gt; 0,"bos.indicus",IF(COUNTIF(lists!$L$2:$L$258, K1183) &gt; 0,"cross.bred","pure.bred.exotic")),"NA")</f>
        <v>NA</v>
      </c>
      <c r="M1183" t="str">
        <f>IF(J1183="Sheep",IF(COUNTIF(lists!$H$2:$H$258, K1183) &gt; 0,"indigenous",IF(COUNTIF(lists!$G$2:$G$258, K1183) &gt; 0,"cross.bred","not found")),"NA")</f>
        <v>not found</v>
      </c>
      <c r="N1183" t="str">
        <f>IF(J1183="Goat",IF(COUNTIF(lists!$J$2:$J$258, K1183) &gt; 0,"indigenous",IF(COUNTIF(lists!$I$2:$I$258, K1183) &gt; 0,"cross.bred","not found")),"NA")</f>
        <v>NA</v>
      </c>
      <c r="O1183" s="9" t="s">
        <v>109</v>
      </c>
      <c r="P1183" s="9" t="s">
        <v>164</v>
      </c>
      <c r="S1183" s="9" t="s">
        <v>106</v>
      </c>
      <c r="T1183" s="9" t="s">
        <v>106</v>
      </c>
      <c r="U1183" s="9" t="s">
        <v>106</v>
      </c>
      <c r="V1183" s="9" t="s">
        <v>106</v>
      </c>
      <c r="W1183" s="9" t="s">
        <v>106</v>
      </c>
      <c r="X1183" s="9" t="s">
        <v>106</v>
      </c>
      <c r="Y1183" s="9" t="s">
        <v>106</v>
      </c>
      <c r="Z1183" s="37"/>
      <c r="AA1183" s="37"/>
      <c r="AB1183" s="37"/>
      <c r="AE1183"/>
    </row>
    <row r="1184" spans="1:31" hidden="1">
      <c r="A1184" s="9" t="s">
        <v>964</v>
      </c>
      <c r="B1184" s="9" t="s">
        <v>968</v>
      </c>
      <c r="C1184" s="9" t="s">
        <v>105</v>
      </c>
      <c r="D1184" s="9">
        <v>0.71940999999999999</v>
      </c>
      <c r="E1184" s="9" t="s">
        <v>106</v>
      </c>
      <c r="F1184" s="9" t="s">
        <v>106</v>
      </c>
      <c r="G1184" s="9" t="s">
        <v>106</v>
      </c>
      <c r="H1184" s="9" t="s">
        <v>106</v>
      </c>
      <c r="J1184" s="9" t="s">
        <v>107</v>
      </c>
      <c r="K1184" s="9" t="s">
        <v>966</v>
      </c>
      <c r="L1184" t="str">
        <f>IF(OR(J1184="Cattle",J1184="Zebu Cattle"),IF(COUNTIF(lists!$M$2:$M$258, K1184) &gt; 0,"bos.indicus",IF(COUNTIF(lists!$L$2:$L$258, K1184) &gt; 0,"cross.bred","pure.bred.exotic")),"NA")</f>
        <v>NA</v>
      </c>
      <c r="M1184" t="str">
        <f>IF(J1184="Sheep",IF(COUNTIF(lists!$H$2:$H$258, K1184) &gt; 0,"indigenous",IF(COUNTIF(lists!$G$2:$G$258, K1184) &gt; 0,"cross.bred","not found")),"NA")</f>
        <v>not found</v>
      </c>
      <c r="N1184" t="str">
        <f>IF(J1184="Goat",IF(COUNTIF(lists!$J$2:$J$258, K1184) &gt; 0,"indigenous",IF(COUNTIF(lists!$I$2:$I$258, K1184) &gt; 0,"cross.bred","not found")),"NA")</f>
        <v>NA</v>
      </c>
      <c r="O1184" s="9" t="s">
        <v>109</v>
      </c>
      <c r="P1184" s="9" t="s">
        <v>164</v>
      </c>
      <c r="S1184" s="9" t="s">
        <v>106</v>
      </c>
      <c r="T1184" s="9" t="s">
        <v>106</v>
      </c>
      <c r="U1184" s="9" t="s">
        <v>106</v>
      </c>
      <c r="V1184" s="9" t="s">
        <v>106</v>
      </c>
      <c r="W1184" s="9" t="s">
        <v>106</v>
      </c>
      <c r="X1184" s="9" t="s">
        <v>106</v>
      </c>
      <c r="Y1184" s="9" t="s">
        <v>106</v>
      </c>
      <c r="Z1184" s="37"/>
      <c r="AA1184" s="37"/>
      <c r="AB1184" s="37"/>
      <c r="AE1184"/>
    </row>
    <row r="1185" spans="1:31" hidden="1">
      <c r="A1185" s="9" t="s">
        <v>964</v>
      </c>
      <c r="B1185" s="9" t="s">
        <v>969</v>
      </c>
      <c r="C1185" s="9" t="s">
        <v>105</v>
      </c>
      <c r="D1185" s="9">
        <v>0.63099000000000005</v>
      </c>
      <c r="E1185" s="9" t="s">
        <v>106</v>
      </c>
      <c r="F1185" s="9" t="s">
        <v>106</v>
      </c>
      <c r="G1185" s="9" t="s">
        <v>106</v>
      </c>
      <c r="H1185" s="9" t="s">
        <v>106</v>
      </c>
      <c r="J1185" s="9" t="s">
        <v>107</v>
      </c>
      <c r="K1185" s="9" t="s">
        <v>966</v>
      </c>
      <c r="L1185" t="str">
        <f>IF(OR(J1185="Cattle",J1185="Zebu Cattle"),IF(COUNTIF(lists!$M$2:$M$258, K1185) &gt; 0,"bos.indicus",IF(COUNTIF(lists!$L$2:$L$258, K1185) &gt; 0,"cross.bred","pure.bred.exotic")),"NA")</f>
        <v>NA</v>
      </c>
      <c r="M1185" t="str">
        <f>IF(J1185="Sheep",IF(COUNTIF(lists!$H$2:$H$258, K1185) &gt; 0,"indigenous",IF(COUNTIF(lists!$G$2:$G$258, K1185) &gt; 0,"cross.bred","not found")),"NA")</f>
        <v>not found</v>
      </c>
      <c r="N1185" t="str">
        <f>IF(J1185="Goat",IF(COUNTIF(lists!$J$2:$J$258, K1185) &gt; 0,"indigenous",IF(COUNTIF(lists!$I$2:$I$258, K1185) &gt; 0,"cross.bred","not found")),"NA")</f>
        <v>NA</v>
      </c>
      <c r="O1185" s="9" t="s">
        <v>109</v>
      </c>
      <c r="P1185" s="9" t="s">
        <v>164</v>
      </c>
      <c r="S1185" s="9" t="s">
        <v>106</v>
      </c>
      <c r="T1185" s="9" t="s">
        <v>106</v>
      </c>
      <c r="U1185" s="9" t="s">
        <v>106</v>
      </c>
      <c r="V1185" s="9" t="s">
        <v>106</v>
      </c>
      <c r="W1185" s="9" t="s">
        <v>106</v>
      </c>
      <c r="X1185" s="9" t="s">
        <v>106</v>
      </c>
      <c r="Y1185" s="9" t="s">
        <v>106</v>
      </c>
      <c r="Z1185" s="37"/>
      <c r="AA1185" s="37"/>
      <c r="AB1185" s="37"/>
      <c r="AE1185"/>
    </row>
    <row r="1186" spans="1:31" hidden="1">
      <c r="A1186" s="9" t="s">
        <v>964</v>
      </c>
      <c r="B1186" s="9" t="s">
        <v>970</v>
      </c>
      <c r="C1186" s="9" t="s">
        <v>105</v>
      </c>
      <c r="D1186" s="9">
        <v>0.67347000000000001</v>
      </c>
      <c r="E1186" s="9" t="s">
        <v>106</v>
      </c>
      <c r="F1186" s="9" t="s">
        <v>106</v>
      </c>
      <c r="G1186" s="9" t="s">
        <v>106</v>
      </c>
      <c r="H1186" s="9" t="s">
        <v>106</v>
      </c>
      <c r="J1186" s="9" t="s">
        <v>107</v>
      </c>
      <c r="K1186" s="9" t="s">
        <v>966</v>
      </c>
      <c r="L1186" t="str">
        <f>IF(OR(J1186="Cattle",J1186="Zebu Cattle"),IF(COUNTIF(lists!$M$2:$M$258, K1186) &gt; 0,"bos.indicus",IF(COUNTIF(lists!$L$2:$L$258, K1186) &gt; 0,"cross.bred","pure.bred.exotic")),"NA")</f>
        <v>NA</v>
      </c>
      <c r="M1186" t="str">
        <f>IF(J1186="Sheep",IF(COUNTIF(lists!$H$2:$H$258, K1186) &gt; 0,"indigenous",IF(COUNTIF(lists!$G$2:$G$258, K1186) &gt; 0,"cross.bred","not found")),"NA")</f>
        <v>not found</v>
      </c>
      <c r="N1186" t="str">
        <f>IF(J1186="Goat",IF(COUNTIF(lists!$J$2:$J$258, K1186) &gt; 0,"indigenous",IF(COUNTIF(lists!$I$2:$I$258, K1186) &gt; 0,"cross.bred","not found")),"NA")</f>
        <v>NA</v>
      </c>
      <c r="O1186" s="9" t="s">
        <v>109</v>
      </c>
      <c r="P1186" s="9" t="s">
        <v>164</v>
      </c>
      <c r="S1186" s="9" t="s">
        <v>106</v>
      </c>
      <c r="T1186" s="9" t="s">
        <v>106</v>
      </c>
      <c r="U1186" s="9" t="s">
        <v>106</v>
      </c>
      <c r="V1186" s="9" t="s">
        <v>106</v>
      </c>
      <c r="W1186" s="9" t="s">
        <v>106</v>
      </c>
      <c r="X1186" s="9" t="s">
        <v>106</v>
      </c>
      <c r="Y1186" s="9" t="s">
        <v>106</v>
      </c>
      <c r="Z1186" s="37"/>
      <c r="AA1186" s="37"/>
      <c r="AB1186" s="37"/>
      <c r="AE1186"/>
    </row>
    <row r="1187" spans="1:31" hidden="1">
      <c r="A1187" s="9" t="s">
        <v>977</v>
      </c>
      <c r="B1187" s="9" t="s">
        <v>978</v>
      </c>
      <c r="C1187" s="9" t="s">
        <v>105</v>
      </c>
      <c r="D1187" s="9">
        <v>0.45300000000000001</v>
      </c>
      <c r="E1187" s="9">
        <v>10.6</v>
      </c>
      <c r="F1187" s="9" t="s">
        <v>106</v>
      </c>
      <c r="G1187" s="9" t="s">
        <v>106</v>
      </c>
      <c r="H1187" s="9" t="s">
        <v>106</v>
      </c>
      <c r="J1187" s="9" t="s">
        <v>107</v>
      </c>
      <c r="K1187" s="9" t="s">
        <v>620</v>
      </c>
      <c r="L1187" t="str">
        <f>IF(OR(J1187="Cattle",J1187="Zebu Cattle"),IF(COUNTIF(lists!$M$2:$M$258, K1187) &gt; 0,"bos.indicus",IF(COUNTIF(lists!$L$2:$L$258, K1187) &gt; 0,"cross.bred","pure.bred.exotic")),"NA")</f>
        <v>NA</v>
      </c>
      <c r="M1187" t="str">
        <f>IF(J1187="Sheep",IF(COUNTIF(lists!$H$2:$H$258, K1187) &gt; 0,"indigenous",IF(COUNTIF(lists!$G$2:$G$258, K1187) &gt; 0,"cross.bred","not found")),"NA")</f>
        <v>not found</v>
      </c>
      <c r="N1187" t="str">
        <f>IF(J1187="Goat",IF(COUNTIF(lists!$J$2:$J$258, K1187) &gt; 0,"indigenous",IF(COUNTIF(lists!$I$2:$I$258, K1187) &gt; 0,"cross.bred","not found")),"NA")</f>
        <v>NA</v>
      </c>
      <c r="O1187" s="9" t="s">
        <v>109</v>
      </c>
      <c r="P1187" s="9" t="s">
        <v>170</v>
      </c>
      <c r="S1187" s="9">
        <v>733</v>
      </c>
      <c r="T1187" s="9">
        <v>86</v>
      </c>
      <c r="U1187" s="9">
        <v>52</v>
      </c>
      <c r="V1187" s="9" t="s">
        <v>106</v>
      </c>
      <c r="W1187" s="9" t="s">
        <v>106</v>
      </c>
      <c r="X1187" s="9">
        <v>767</v>
      </c>
      <c r="Y1187" s="9">
        <v>43</v>
      </c>
      <c r="Z1187" s="37"/>
      <c r="AA1187" s="37"/>
      <c r="AB1187" s="37"/>
      <c r="AE1187"/>
    </row>
    <row r="1188" spans="1:31" hidden="1">
      <c r="A1188" s="9" t="s">
        <v>977</v>
      </c>
      <c r="B1188" s="9" t="s">
        <v>979</v>
      </c>
      <c r="C1188" s="9" t="s">
        <v>105</v>
      </c>
      <c r="D1188" s="9">
        <v>0.57499999999999996</v>
      </c>
      <c r="E1188" s="9">
        <v>10.6</v>
      </c>
      <c r="F1188" s="9" t="s">
        <v>106</v>
      </c>
      <c r="G1188" s="9" t="s">
        <v>106</v>
      </c>
      <c r="H1188" s="9" t="s">
        <v>106</v>
      </c>
      <c r="J1188" s="9" t="s">
        <v>107</v>
      </c>
      <c r="K1188" s="9" t="s">
        <v>620</v>
      </c>
      <c r="L1188" t="str">
        <f>IF(OR(J1188="Cattle",J1188="Zebu Cattle"),IF(COUNTIF(lists!$M$2:$M$258, K1188) &gt; 0,"bos.indicus",IF(COUNTIF(lists!$L$2:$L$258, K1188) &gt; 0,"cross.bred","pure.bred.exotic")),"NA")</f>
        <v>NA</v>
      </c>
      <c r="M1188" t="str">
        <f>IF(J1188="Sheep",IF(COUNTIF(lists!$H$2:$H$258, K1188) &gt; 0,"indigenous",IF(COUNTIF(lists!$G$2:$G$258, K1188) &gt; 0,"cross.bred","not found")),"NA")</f>
        <v>not found</v>
      </c>
      <c r="N1188" t="str">
        <f>IF(J1188="Goat",IF(COUNTIF(lists!$J$2:$J$258, K1188) &gt; 0,"indigenous",IF(COUNTIF(lists!$I$2:$I$258, K1188) &gt; 0,"cross.bred","not found")),"NA")</f>
        <v>NA</v>
      </c>
      <c r="O1188" s="9" t="s">
        <v>109</v>
      </c>
      <c r="P1188" s="9" t="s">
        <v>170</v>
      </c>
      <c r="S1188" s="9">
        <v>587</v>
      </c>
      <c r="T1188" s="9">
        <v>76</v>
      </c>
      <c r="U1188" s="9">
        <v>48</v>
      </c>
      <c r="V1188" s="9" t="s">
        <v>106</v>
      </c>
      <c r="W1188" s="9" t="s">
        <v>106</v>
      </c>
      <c r="X1188" s="9">
        <v>714</v>
      </c>
      <c r="Y1188" s="9">
        <v>50.6</v>
      </c>
      <c r="Z1188" s="37"/>
      <c r="AA1188" s="37"/>
      <c r="AB1188" s="37"/>
      <c r="AE1188"/>
    </row>
    <row r="1189" spans="1:31" hidden="1">
      <c r="A1189" s="9" t="s">
        <v>977</v>
      </c>
      <c r="B1189" s="9" t="s">
        <v>980</v>
      </c>
      <c r="C1189" s="9" t="s">
        <v>105</v>
      </c>
      <c r="D1189" s="9">
        <v>0.53100000000000003</v>
      </c>
      <c r="E1189" s="9">
        <v>10.6</v>
      </c>
      <c r="F1189" s="9" t="s">
        <v>106</v>
      </c>
      <c r="G1189" s="9" t="s">
        <v>106</v>
      </c>
      <c r="H1189" s="9" t="s">
        <v>106</v>
      </c>
      <c r="J1189" s="9" t="s">
        <v>107</v>
      </c>
      <c r="K1189" s="9" t="s">
        <v>620</v>
      </c>
      <c r="L1189" t="str">
        <f>IF(OR(J1189="Cattle",J1189="Zebu Cattle"),IF(COUNTIF(lists!$M$2:$M$258, K1189) &gt; 0,"bos.indicus",IF(COUNTIF(lists!$L$2:$L$258, K1189) &gt; 0,"cross.bred","pure.bred.exotic")),"NA")</f>
        <v>NA</v>
      </c>
      <c r="M1189" t="str">
        <f>IF(J1189="Sheep",IF(COUNTIF(lists!$H$2:$H$258, K1189) &gt; 0,"indigenous",IF(COUNTIF(lists!$G$2:$G$258, K1189) &gt; 0,"cross.bred","not found")),"NA")</f>
        <v>not found</v>
      </c>
      <c r="N1189" t="str">
        <f>IF(J1189="Goat",IF(COUNTIF(lists!$J$2:$J$258, K1189) &gt; 0,"indigenous",IF(COUNTIF(lists!$I$2:$I$258, K1189) &gt; 0,"cross.bred","not found")),"NA")</f>
        <v>NA</v>
      </c>
      <c r="O1189" s="9" t="s">
        <v>109</v>
      </c>
      <c r="P1189" s="9" t="s">
        <v>170</v>
      </c>
      <c r="S1189" s="9">
        <v>553</v>
      </c>
      <c r="T1189" s="9">
        <v>74.400000000000006</v>
      </c>
      <c r="U1189" s="9">
        <v>54</v>
      </c>
      <c r="V1189" s="9" t="s">
        <v>106</v>
      </c>
      <c r="W1189" s="9" t="s">
        <v>106</v>
      </c>
      <c r="X1189" s="9">
        <v>667</v>
      </c>
      <c r="Y1189" s="9">
        <v>51.7</v>
      </c>
      <c r="Z1189" s="37"/>
      <c r="AA1189" s="37"/>
      <c r="AB1189" s="37"/>
      <c r="AE1189"/>
    </row>
    <row r="1190" spans="1:31" hidden="1">
      <c r="A1190" s="9" t="s">
        <v>977</v>
      </c>
      <c r="B1190" s="9" t="s">
        <v>981</v>
      </c>
      <c r="C1190" s="9" t="s">
        <v>105</v>
      </c>
      <c r="D1190" s="9">
        <v>0.55300000000000005</v>
      </c>
      <c r="E1190" s="9">
        <v>10.6</v>
      </c>
      <c r="F1190" s="9" t="s">
        <v>106</v>
      </c>
      <c r="G1190" s="9" t="s">
        <v>106</v>
      </c>
      <c r="H1190" s="9" t="s">
        <v>106</v>
      </c>
      <c r="J1190" s="9" t="s">
        <v>107</v>
      </c>
      <c r="K1190" s="9" t="s">
        <v>620</v>
      </c>
      <c r="L1190" t="str">
        <f>IF(OR(J1190="Cattle",J1190="Zebu Cattle"),IF(COUNTIF(lists!$M$2:$M$258, K1190) &gt; 0,"bos.indicus",IF(COUNTIF(lists!$L$2:$L$258, K1190) &gt; 0,"cross.bred","pure.bred.exotic")),"NA")</f>
        <v>NA</v>
      </c>
      <c r="M1190" t="str">
        <f>IF(J1190="Sheep",IF(COUNTIF(lists!$H$2:$H$258, K1190) &gt; 0,"indigenous",IF(COUNTIF(lists!$G$2:$G$258, K1190) &gt; 0,"cross.bred","not found")),"NA")</f>
        <v>not found</v>
      </c>
      <c r="N1190" t="str">
        <f>IF(J1190="Goat",IF(COUNTIF(lists!$J$2:$J$258, K1190) &gt; 0,"indigenous",IF(COUNTIF(lists!$I$2:$I$258, K1190) &gt; 0,"cross.bred","not found")),"NA")</f>
        <v>NA</v>
      </c>
      <c r="O1190" s="9" t="s">
        <v>109</v>
      </c>
      <c r="P1190" s="9" t="s">
        <v>170</v>
      </c>
      <c r="S1190" s="9">
        <v>766</v>
      </c>
      <c r="T1190" s="9">
        <v>96.7</v>
      </c>
      <c r="U1190" s="9">
        <v>50</v>
      </c>
      <c r="V1190" s="9" t="s">
        <v>106</v>
      </c>
      <c r="W1190" s="9" t="s">
        <v>106</v>
      </c>
      <c r="X1190" s="9">
        <v>888</v>
      </c>
      <c r="Y1190" s="9">
        <v>49.3</v>
      </c>
      <c r="Z1190" s="37"/>
      <c r="AA1190" s="37"/>
      <c r="AB1190" s="37"/>
      <c r="AE1190"/>
    </row>
    <row r="1191" spans="1:31" hidden="1">
      <c r="A1191" s="9" t="s">
        <v>977</v>
      </c>
      <c r="B1191" s="9" t="s">
        <v>982</v>
      </c>
      <c r="C1191" s="9" t="s">
        <v>105</v>
      </c>
      <c r="D1191" s="9">
        <v>0.56599999999999995</v>
      </c>
      <c r="E1191" s="9">
        <v>10.6</v>
      </c>
      <c r="F1191" s="9" t="s">
        <v>106</v>
      </c>
      <c r="G1191" s="9" t="s">
        <v>106</v>
      </c>
      <c r="H1191" s="9" t="s">
        <v>106</v>
      </c>
      <c r="J1191" s="9" t="s">
        <v>107</v>
      </c>
      <c r="K1191" s="9" t="s">
        <v>620</v>
      </c>
      <c r="L1191" t="str">
        <f>IF(OR(J1191="Cattle",J1191="Zebu Cattle"),IF(COUNTIF(lists!$M$2:$M$258, K1191) &gt; 0,"bos.indicus",IF(COUNTIF(lists!$L$2:$L$258, K1191) &gt; 0,"cross.bred","pure.bred.exotic")),"NA")</f>
        <v>NA</v>
      </c>
      <c r="M1191" t="str">
        <f>IF(J1191="Sheep",IF(COUNTIF(lists!$H$2:$H$258, K1191) &gt; 0,"indigenous",IF(COUNTIF(lists!$G$2:$G$258, K1191) &gt; 0,"cross.bred","not found")),"NA")</f>
        <v>not found</v>
      </c>
      <c r="N1191" t="str">
        <f>IF(J1191="Goat",IF(COUNTIF(lists!$J$2:$J$258, K1191) &gt; 0,"indigenous",IF(COUNTIF(lists!$I$2:$I$258, K1191) &gt; 0,"cross.bred","not found")),"NA")</f>
        <v>NA</v>
      </c>
      <c r="O1191" s="9" t="s">
        <v>109</v>
      </c>
      <c r="P1191" s="9" t="s">
        <v>170</v>
      </c>
      <c r="S1191" s="9">
        <v>602</v>
      </c>
      <c r="T1191" s="9">
        <v>96.7</v>
      </c>
      <c r="U1191" s="9">
        <v>60</v>
      </c>
      <c r="V1191" s="9" t="s">
        <v>106</v>
      </c>
      <c r="W1191" s="9" t="s">
        <v>106</v>
      </c>
      <c r="X1191" s="9">
        <v>714</v>
      </c>
      <c r="Y1191" s="9">
        <v>57.1</v>
      </c>
      <c r="Z1191" s="37"/>
      <c r="AA1191" s="37"/>
      <c r="AB1191" s="37"/>
      <c r="AE1191"/>
    </row>
    <row r="1192" spans="1:31" hidden="1">
      <c r="A1192" s="9" t="s">
        <v>983</v>
      </c>
      <c r="B1192" s="9" t="s">
        <v>984</v>
      </c>
      <c r="C1192" s="9" t="s">
        <v>105</v>
      </c>
      <c r="D1192" s="9">
        <v>0.74199999999999999</v>
      </c>
      <c r="E1192" s="9">
        <v>3.96</v>
      </c>
      <c r="F1192" s="9" t="s">
        <v>106</v>
      </c>
      <c r="G1192" s="9" t="s">
        <v>106</v>
      </c>
      <c r="H1192" s="9" t="s">
        <v>106</v>
      </c>
      <c r="I1192" s="9">
        <v>32</v>
      </c>
      <c r="J1192" s="9" t="s">
        <v>107</v>
      </c>
      <c r="K1192" s="9" t="s">
        <v>985</v>
      </c>
      <c r="L1192" t="str">
        <f>IF(OR(J1192="Cattle",J1192="Zebu Cattle"),IF(COUNTIF(lists!$M$2:$M$258, K1192) &gt; 0,"bos.indicus",IF(COUNTIF(lists!$L$2:$L$258, K1192) &gt; 0,"cross.bred","pure.bred.exotic")),"NA")</f>
        <v>NA</v>
      </c>
      <c r="M1192" t="str">
        <f>IF(J1192="Sheep",IF(COUNTIF(lists!$H$2:$H$258, K1192) &gt; 0,"indigenous",IF(COUNTIF(lists!$G$2:$G$258, K1192) &gt; 0,"cross.bred","not found")),"NA")</f>
        <v>not found</v>
      </c>
      <c r="N1192" t="str">
        <f>IF(J1192="Goat",IF(COUNTIF(lists!$J$2:$J$258, K1192) &gt; 0,"indigenous",IF(COUNTIF(lists!$I$2:$I$258, K1192) &gt; 0,"cross.bred","not found")),"NA")</f>
        <v>NA</v>
      </c>
      <c r="O1192" s="9" t="s">
        <v>109</v>
      </c>
      <c r="P1192" s="9" t="s">
        <v>106</v>
      </c>
      <c r="Q1192" s="9" t="s">
        <v>3804</v>
      </c>
      <c r="S1192" s="9" t="s">
        <v>106</v>
      </c>
      <c r="T1192" s="9" t="s">
        <v>106</v>
      </c>
      <c r="U1192" s="9" t="s">
        <v>106</v>
      </c>
      <c r="V1192" s="9" t="s">
        <v>106</v>
      </c>
      <c r="W1192" s="9" t="s">
        <v>106</v>
      </c>
      <c r="X1192" s="9" t="s">
        <v>106</v>
      </c>
      <c r="Y1192" s="9" t="s">
        <v>106</v>
      </c>
      <c r="Z1192" s="37"/>
      <c r="AA1192" s="37"/>
      <c r="AB1192" s="37"/>
      <c r="AE1192">
        <v>0</v>
      </c>
    </row>
    <row r="1193" spans="1:31" hidden="1">
      <c r="A1193" s="9" t="s">
        <v>983</v>
      </c>
      <c r="B1193" s="9" t="s">
        <v>986</v>
      </c>
      <c r="C1193" s="9" t="s">
        <v>105</v>
      </c>
      <c r="D1193" s="9">
        <v>0.69099999999999995</v>
      </c>
      <c r="E1193" s="9">
        <v>3.96</v>
      </c>
      <c r="F1193" s="9" t="s">
        <v>106</v>
      </c>
      <c r="G1193" s="9" t="s">
        <v>106</v>
      </c>
      <c r="H1193" s="9" t="s">
        <v>106</v>
      </c>
      <c r="I1193" s="9">
        <v>32</v>
      </c>
      <c r="J1193" s="9" t="s">
        <v>107</v>
      </c>
      <c r="K1193" s="9" t="s">
        <v>985</v>
      </c>
      <c r="L1193" t="str">
        <f>IF(OR(J1193="Cattle",J1193="Zebu Cattle"),IF(COUNTIF(lists!$M$2:$M$258, K1193) &gt; 0,"bos.indicus",IF(COUNTIF(lists!$L$2:$L$258, K1193) &gt; 0,"cross.bred","pure.bred.exotic")),"NA")</f>
        <v>NA</v>
      </c>
      <c r="M1193" t="str">
        <f>IF(J1193="Sheep",IF(COUNTIF(lists!$H$2:$H$258, K1193) &gt; 0,"indigenous",IF(COUNTIF(lists!$G$2:$G$258, K1193) &gt; 0,"cross.bred","not found")),"NA")</f>
        <v>not found</v>
      </c>
      <c r="N1193" t="str">
        <f>IF(J1193="Goat",IF(COUNTIF(lists!$J$2:$J$258, K1193) &gt; 0,"indigenous",IF(COUNTIF(lists!$I$2:$I$258, K1193) &gt; 0,"cross.bred","not found")),"NA")</f>
        <v>NA</v>
      </c>
      <c r="O1193" s="9" t="s">
        <v>109</v>
      </c>
      <c r="P1193" s="9" t="s">
        <v>106</v>
      </c>
      <c r="Q1193" s="9" t="s">
        <v>3804</v>
      </c>
      <c r="S1193" s="9" t="s">
        <v>106</v>
      </c>
      <c r="T1193" s="9" t="s">
        <v>106</v>
      </c>
      <c r="U1193" s="9" t="s">
        <v>106</v>
      </c>
      <c r="V1193" s="9" t="s">
        <v>106</v>
      </c>
      <c r="W1193" s="9" t="s">
        <v>106</v>
      </c>
      <c r="X1193" s="9" t="s">
        <v>106</v>
      </c>
      <c r="Y1193" s="9" t="s">
        <v>106</v>
      </c>
      <c r="Z1193" s="37"/>
      <c r="AA1193" s="37"/>
      <c r="AB1193" s="37"/>
      <c r="AE1193">
        <v>0</v>
      </c>
    </row>
    <row r="1194" spans="1:31" hidden="1">
      <c r="A1194" s="9" t="s">
        <v>983</v>
      </c>
      <c r="B1194" s="9" t="s">
        <v>987</v>
      </c>
      <c r="C1194" s="9" t="s">
        <v>105</v>
      </c>
      <c r="D1194" s="9">
        <v>0.73099999999999998</v>
      </c>
      <c r="E1194" s="9">
        <v>3.96</v>
      </c>
      <c r="F1194" s="9" t="s">
        <v>106</v>
      </c>
      <c r="G1194" s="9" t="s">
        <v>106</v>
      </c>
      <c r="H1194" s="9" t="s">
        <v>106</v>
      </c>
      <c r="I1194" s="9">
        <v>32</v>
      </c>
      <c r="J1194" s="9" t="s">
        <v>107</v>
      </c>
      <c r="K1194" s="9" t="s">
        <v>985</v>
      </c>
      <c r="L1194" t="str">
        <f>IF(OR(J1194="Cattle",J1194="Zebu Cattle"),IF(COUNTIF(lists!$M$2:$M$258, K1194) &gt; 0,"bos.indicus",IF(COUNTIF(lists!$L$2:$L$258, K1194) &gt; 0,"cross.bred","pure.bred.exotic")),"NA")</f>
        <v>NA</v>
      </c>
      <c r="M1194" t="str">
        <f>IF(J1194="Sheep",IF(COUNTIF(lists!$H$2:$H$258, K1194) &gt; 0,"indigenous",IF(COUNTIF(lists!$G$2:$G$258, K1194) &gt; 0,"cross.bred","not found")),"NA")</f>
        <v>not found</v>
      </c>
      <c r="N1194" t="str">
        <f>IF(J1194="Goat",IF(COUNTIF(lists!$J$2:$J$258, K1194) &gt; 0,"indigenous",IF(COUNTIF(lists!$I$2:$I$258, K1194) &gt; 0,"cross.bred","not found")),"NA")</f>
        <v>NA</v>
      </c>
      <c r="O1194" s="9" t="s">
        <v>109</v>
      </c>
      <c r="P1194" s="9" t="s">
        <v>106</v>
      </c>
      <c r="Q1194" s="9" t="s">
        <v>3804</v>
      </c>
      <c r="S1194" s="9" t="s">
        <v>106</v>
      </c>
      <c r="T1194" s="9" t="s">
        <v>106</v>
      </c>
      <c r="U1194" s="9" t="s">
        <v>106</v>
      </c>
      <c r="V1194" s="9" t="s">
        <v>106</v>
      </c>
      <c r="W1194" s="9" t="s">
        <v>106</v>
      </c>
      <c r="X1194" s="9" t="s">
        <v>106</v>
      </c>
      <c r="Y1194" s="9" t="s">
        <v>106</v>
      </c>
      <c r="Z1194" s="37"/>
      <c r="AA1194" s="37"/>
      <c r="AB1194" s="37"/>
      <c r="AE1194">
        <v>0</v>
      </c>
    </row>
    <row r="1195" spans="1:31" hidden="1">
      <c r="A1195" s="9" t="s">
        <v>983</v>
      </c>
      <c r="B1195" s="9" t="s">
        <v>988</v>
      </c>
      <c r="C1195" s="9" t="s">
        <v>105</v>
      </c>
      <c r="D1195" s="9">
        <v>0.73699999999999999</v>
      </c>
      <c r="E1195" s="9">
        <v>3.96</v>
      </c>
      <c r="F1195" s="9" t="s">
        <v>106</v>
      </c>
      <c r="G1195" s="9" t="s">
        <v>106</v>
      </c>
      <c r="H1195" s="9" t="s">
        <v>106</v>
      </c>
      <c r="I1195" s="9">
        <v>32</v>
      </c>
      <c r="J1195" s="9" t="s">
        <v>107</v>
      </c>
      <c r="K1195" s="9" t="s">
        <v>985</v>
      </c>
      <c r="L1195" t="str">
        <f>IF(OR(J1195="Cattle",J1195="Zebu Cattle"),IF(COUNTIF(lists!$M$2:$M$258, K1195) &gt; 0,"bos.indicus",IF(COUNTIF(lists!$L$2:$L$258, K1195) &gt; 0,"cross.bred","pure.bred.exotic")),"NA")</f>
        <v>NA</v>
      </c>
      <c r="M1195" t="str">
        <f>IF(J1195="Sheep",IF(COUNTIF(lists!$H$2:$H$258, K1195) &gt; 0,"indigenous",IF(COUNTIF(lists!$G$2:$G$258, K1195) &gt; 0,"cross.bred","not found")),"NA")</f>
        <v>not found</v>
      </c>
      <c r="N1195" t="str">
        <f>IF(J1195="Goat",IF(COUNTIF(lists!$J$2:$J$258, K1195) &gt; 0,"indigenous",IF(COUNTIF(lists!$I$2:$I$258, K1195) &gt; 0,"cross.bred","not found")),"NA")</f>
        <v>NA</v>
      </c>
      <c r="O1195" s="9" t="s">
        <v>109</v>
      </c>
      <c r="P1195" s="9" t="s">
        <v>106</v>
      </c>
      <c r="Q1195" s="9" t="s">
        <v>3804</v>
      </c>
      <c r="S1195" s="9" t="s">
        <v>106</v>
      </c>
      <c r="T1195" s="9" t="s">
        <v>106</v>
      </c>
      <c r="U1195" s="9" t="s">
        <v>106</v>
      </c>
      <c r="V1195" s="9" t="s">
        <v>106</v>
      </c>
      <c r="W1195" s="9" t="s">
        <v>106</v>
      </c>
      <c r="X1195" s="9" t="s">
        <v>106</v>
      </c>
      <c r="Y1195" s="9" t="s">
        <v>106</v>
      </c>
      <c r="Z1195" s="37"/>
      <c r="AA1195" s="37"/>
      <c r="AB1195" s="37"/>
      <c r="AE1195">
        <v>0</v>
      </c>
    </row>
    <row r="1196" spans="1:31" hidden="1">
      <c r="A1196" s="9" t="s">
        <v>989</v>
      </c>
      <c r="B1196" s="9" t="s">
        <v>990</v>
      </c>
      <c r="C1196" s="9" t="s">
        <v>105</v>
      </c>
      <c r="D1196" s="9">
        <v>1.05768</v>
      </c>
      <c r="E1196" s="9">
        <v>6.0359999999999996</v>
      </c>
      <c r="F1196" s="9" t="s">
        <v>106</v>
      </c>
      <c r="G1196" s="9" t="s">
        <v>106</v>
      </c>
      <c r="H1196" s="9" t="s">
        <v>106</v>
      </c>
      <c r="J1196" s="9" t="s">
        <v>107</v>
      </c>
      <c r="K1196" s="9" t="s">
        <v>966</v>
      </c>
      <c r="L1196" t="str">
        <f>IF(OR(J1196="Cattle",J1196="Zebu Cattle"),IF(COUNTIF(lists!$M$2:$M$258, K1196) &gt; 0,"bos.indicus",IF(COUNTIF(lists!$L$2:$L$258, K1196) &gt; 0,"cross.bred","pure.bred.exotic")),"NA")</f>
        <v>NA</v>
      </c>
      <c r="M1196" t="str">
        <f>IF(J1196="Sheep",IF(COUNTIF(lists!$H$2:$H$258, K1196) &gt; 0,"indigenous",IF(COUNTIF(lists!$G$2:$G$258, K1196) &gt; 0,"cross.bred","not found")),"NA")</f>
        <v>not found</v>
      </c>
      <c r="N1196" t="str">
        <f>IF(J1196="Goat",IF(COUNTIF(lists!$J$2:$J$258, K1196) &gt; 0,"indigenous",IF(COUNTIF(lists!$I$2:$I$258, K1196) &gt; 0,"cross.bred","not found")),"NA")</f>
        <v>NA</v>
      </c>
      <c r="O1196" s="9" t="s">
        <v>109</v>
      </c>
      <c r="P1196" s="9" t="s">
        <v>177</v>
      </c>
      <c r="S1196" s="9">
        <v>178.5</v>
      </c>
      <c r="T1196" s="9" t="s">
        <v>106</v>
      </c>
      <c r="U1196" s="9">
        <v>202.5</v>
      </c>
      <c r="V1196" s="9">
        <v>914.4</v>
      </c>
      <c r="W1196" s="9" t="s">
        <v>106</v>
      </c>
      <c r="X1196" s="9">
        <v>339.3</v>
      </c>
      <c r="Y1196" s="9">
        <v>51.17</v>
      </c>
      <c r="Z1196" s="37"/>
      <c r="AA1196" s="37"/>
      <c r="AB1196" s="37"/>
      <c r="AE1196"/>
    </row>
    <row r="1197" spans="1:31" hidden="1">
      <c r="A1197" s="9" t="s">
        <v>989</v>
      </c>
      <c r="B1197" s="9" t="s">
        <v>991</v>
      </c>
      <c r="C1197" s="9" t="s">
        <v>105</v>
      </c>
      <c r="D1197" s="9">
        <v>1.07768</v>
      </c>
      <c r="E1197" s="9">
        <v>6.0359999999999996</v>
      </c>
      <c r="F1197" s="9" t="s">
        <v>106</v>
      </c>
      <c r="G1197" s="9" t="s">
        <v>106</v>
      </c>
      <c r="H1197" s="9" t="s">
        <v>106</v>
      </c>
      <c r="J1197" s="9" t="s">
        <v>107</v>
      </c>
      <c r="K1197" s="9" t="s">
        <v>966</v>
      </c>
      <c r="L1197" t="str">
        <f>IF(OR(J1197="Cattle",J1197="Zebu Cattle"),IF(COUNTIF(lists!$M$2:$M$258, K1197) &gt; 0,"bos.indicus",IF(COUNTIF(lists!$L$2:$L$258, K1197) &gt; 0,"cross.bred","pure.bred.exotic")),"NA")</f>
        <v>NA</v>
      </c>
      <c r="M1197" t="str">
        <f>IF(J1197="Sheep",IF(COUNTIF(lists!$H$2:$H$258, K1197) &gt; 0,"indigenous",IF(COUNTIF(lists!$G$2:$G$258, K1197) &gt; 0,"cross.bred","not found")),"NA")</f>
        <v>not found</v>
      </c>
      <c r="N1197" t="str">
        <f>IF(J1197="Goat",IF(COUNTIF(lists!$J$2:$J$258, K1197) &gt; 0,"indigenous",IF(COUNTIF(lists!$I$2:$I$258, K1197) &gt; 0,"cross.bred","not found")),"NA")</f>
        <v>NA</v>
      </c>
      <c r="O1197" s="9" t="s">
        <v>109</v>
      </c>
      <c r="P1197" s="9" t="s">
        <v>177</v>
      </c>
      <c r="S1197" s="9">
        <v>155.9</v>
      </c>
      <c r="T1197" s="9" t="s">
        <v>106</v>
      </c>
      <c r="U1197" s="9">
        <v>206.6</v>
      </c>
      <c r="V1197" s="9">
        <v>908.9</v>
      </c>
      <c r="W1197" s="9" t="s">
        <v>106</v>
      </c>
      <c r="X1197" s="9">
        <v>324.3</v>
      </c>
      <c r="Y1197" s="9">
        <v>53.26</v>
      </c>
      <c r="Z1197" s="37"/>
      <c r="AA1197" s="37"/>
      <c r="AB1197" s="37"/>
      <c r="AE1197"/>
    </row>
    <row r="1198" spans="1:31" hidden="1">
      <c r="A1198" s="9" t="s">
        <v>989</v>
      </c>
      <c r="B1198" s="9" t="s">
        <v>992</v>
      </c>
      <c r="C1198" s="9" t="s">
        <v>105</v>
      </c>
      <c r="D1198" s="9">
        <v>1.2238800000000001</v>
      </c>
      <c r="E1198" s="9">
        <v>6.0359999999999996</v>
      </c>
      <c r="F1198" s="9" t="s">
        <v>106</v>
      </c>
      <c r="G1198" s="9" t="s">
        <v>106</v>
      </c>
      <c r="H1198" s="9" t="s">
        <v>106</v>
      </c>
      <c r="J1198" s="9" t="s">
        <v>107</v>
      </c>
      <c r="K1198" s="9" t="s">
        <v>966</v>
      </c>
      <c r="L1198" t="str">
        <f>IF(OR(J1198="Cattle",J1198="Zebu Cattle"),IF(COUNTIF(lists!$M$2:$M$258, K1198) &gt; 0,"bos.indicus",IF(COUNTIF(lists!$L$2:$L$258, K1198) &gt; 0,"cross.bred","pure.bred.exotic")),"NA")</f>
        <v>NA</v>
      </c>
      <c r="M1198" t="str">
        <f>IF(J1198="Sheep",IF(COUNTIF(lists!$H$2:$H$258, K1198) &gt; 0,"indigenous",IF(COUNTIF(lists!$G$2:$G$258, K1198) &gt; 0,"cross.bred","not found")),"NA")</f>
        <v>not found</v>
      </c>
      <c r="N1198" t="str">
        <f>IF(J1198="Goat",IF(COUNTIF(lists!$J$2:$J$258, K1198) &gt; 0,"indigenous",IF(COUNTIF(lists!$I$2:$I$258, K1198) &gt; 0,"cross.bred","not found")),"NA")</f>
        <v>NA</v>
      </c>
      <c r="O1198" s="9" t="s">
        <v>109</v>
      </c>
      <c r="P1198" s="9" t="s">
        <v>177</v>
      </c>
      <c r="S1198" s="9">
        <v>134.5</v>
      </c>
      <c r="T1198" s="9" t="s">
        <v>106</v>
      </c>
      <c r="U1198" s="9">
        <v>208.4</v>
      </c>
      <c r="V1198" s="9">
        <v>905.2</v>
      </c>
      <c r="W1198" s="9" t="s">
        <v>106</v>
      </c>
      <c r="X1198" s="9">
        <v>283.5</v>
      </c>
      <c r="Y1198" s="9">
        <v>71.41</v>
      </c>
      <c r="Z1198" s="37"/>
      <c r="AA1198" s="37"/>
      <c r="AB1198" s="37"/>
      <c r="AE1198"/>
    </row>
    <row r="1199" spans="1:31" hidden="1">
      <c r="A1199" s="9" t="s">
        <v>993</v>
      </c>
      <c r="B1199" s="9" t="s">
        <v>633</v>
      </c>
      <c r="C1199" s="9" t="s">
        <v>105</v>
      </c>
      <c r="D1199" s="9">
        <v>0.75666999999999995</v>
      </c>
      <c r="E1199" s="9">
        <v>0.02</v>
      </c>
      <c r="F1199" s="9" t="s">
        <v>106</v>
      </c>
      <c r="G1199" s="9" t="s">
        <v>106</v>
      </c>
      <c r="H1199" s="9" t="s">
        <v>106</v>
      </c>
      <c r="J1199" s="9" t="s">
        <v>107</v>
      </c>
      <c r="K1199" s="9" t="s">
        <v>138</v>
      </c>
      <c r="L1199" t="str">
        <f>IF(OR(J1199="Cattle",J1199="Zebu Cattle"),IF(COUNTIF(lists!$M$2:$M$258, K1199) &gt; 0,"bos.indicus",IF(COUNTIF(lists!$L$2:$L$258, K1199) &gt; 0,"cross.bred","pure.bred.exotic")),"NA")</f>
        <v>NA</v>
      </c>
      <c r="M1199" t="str">
        <f>IF(J1199="Sheep",IF(COUNTIF(lists!$H$2:$H$258, K1199) &gt; 0,"indigenous",IF(COUNTIF(lists!$G$2:$G$258, K1199) &gt; 0,"cross.bred","not found")),"NA")</f>
        <v>not found</v>
      </c>
      <c r="N1199" t="str">
        <f>IF(J1199="Goat",IF(COUNTIF(lists!$J$2:$J$258, K1199) &gt; 0,"indigenous",IF(COUNTIF(lists!$I$2:$I$258, K1199) &gt; 0,"cross.bred","not found")),"NA")</f>
        <v>NA</v>
      </c>
      <c r="O1199" s="9" t="s">
        <v>109</v>
      </c>
      <c r="P1199" s="9" t="s">
        <v>110</v>
      </c>
      <c r="S1199" s="9">
        <v>630.5</v>
      </c>
      <c r="T1199" s="9" t="s">
        <v>106</v>
      </c>
      <c r="U1199" s="9">
        <v>137.69999999999999</v>
      </c>
      <c r="V1199" s="9">
        <v>935.3</v>
      </c>
      <c r="W1199" s="9">
        <v>66.5</v>
      </c>
      <c r="X1199" s="9">
        <v>332.1</v>
      </c>
      <c r="Y1199" s="9">
        <v>82.07</v>
      </c>
      <c r="Z1199" s="37"/>
      <c r="AA1199" s="37"/>
      <c r="AB1199" s="37"/>
      <c r="AE1199"/>
    </row>
    <row r="1200" spans="1:31" hidden="1">
      <c r="A1200" s="9" t="s">
        <v>993</v>
      </c>
      <c r="B1200" s="9" t="s">
        <v>635</v>
      </c>
      <c r="C1200" s="9" t="s">
        <v>105</v>
      </c>
      <c r="D1200" s="9">
        <v>0.84577999999999998</v>
      </c>
      <c r="E1200" s="9">
        <v>0.02</v>
      </c>
      <c r="F1200" s="9" t="s">
        <v>106</v>
      </c>
      <c r="G1200" s="9" t="s">
        <v>106</v>
      </c>
      <c r="H1200" s="9" t="s">
        <v>106</v>
      </c>
      <c r="J1200" s="9" t="s">
        <v>107</v>
      </c>
      <c r="K1200" s="9" t="s">
        <v>138</v>
      </c>
      <c r="L1200" t="str">
        <f>IF(OR(J1200="Cattle",J1200="Zebu Cattle"),IF(COUNTIF(lists!$M$2:$M$258, K1200) &gt; 0,"bos.indicus",IF(COUNTIF(lists!$L$2:$L$258, K1200) &gt; 0,"cross.bred","pure.bred.exotic")),"NA")</f>
        <v>NA</v>
      </c>
      <c r="M1200" t="str">
        <f>IF(J1200="Sheep",IF(COUNTIF(lists!$H$2:$H$258, K1200) &gt; 0,"indigenous",IF(COUNTIF(lists!$G$2:$G$258, K1200) &gt; 0,"cross.bred","not found")),"NA")</f>
        <v>not found</v>
      </c>
      <c r="N1200" t="str">
        <f>IF(J1200="Goat",IF(COUNTIF(lists!$J$2:$J$258, K1200) &gt; 0,"indigenous",IF(COUNTIF(lists!$I$2:$I$258, K1200) &gt; 0,"cross.bred","not found")),"NA")</f>
        <v>NA</v>
      </c>
      <c r="O1200" s="9" t="s">
        <v>109</v>
      </c>
      <c r="P1200" s="9" t="s">
        <v>110</v>
      </c>
      <c r="S1200" s="9">
        <v>607.79999999999995</v>
      </c>
      <c r="T1200" s="9" t="s">
        <v>106</v>
      </c>
      <c r="U1200" s="9">
        <v>130.69999999999999</v>
      </c>
      <c r="V1200" s="9">
        <v>927.8</v>
      </c>
      <c r="W1200" s="9">
        <v>76</v>
      </c>
      <c r="X1200" s="9">
        <v>286</v>
      </c>
      <c r="Y1200" s="9">
        <v>74.95</v>
      </c>
      <c r="Z1200" s="37"/>
      <c r="AA1200" s="37"/>
      <c r="AB1200" s="37"/>
      <c r="AE1200"/>
    </row>
    <row r="1201" spans="1:31" hidden="1">
      <c r="A1201" s="9" t="s">
        <v>993</v>
      </c>
      <c r="B1201" s="9" t="s">
        <v>636</v>
      </c>
      <c r="C1201" s="9" t="s">
        <v>105</v>
      </c>
      <c r="D1201" s="9">
        <v>0.94547999999999999</v>
      </c>
      <c r="E1201" s="9">
        <v>0.02</v>
      </c>
      <c r="F1201" s="9" t="s">
        <v>106</v>
      </c>
      <c r="G1201" s="9" t="s">
        <v>106</v>
      </c>
      <c r="H1201" s="9" t="s">
        <v>106</v>
      </c>
      <c r="J1201" s="9" t="s">
        <v>107</v>
      </c>
      <c r="K1201" s="9" t="s">
        <v>138</v>
      </c>
      <c r="L1201" t="str">
        <f>IF(OR(J1201="Cattle",J1201="Zebu Cattle"),IF(COUNTIF(lists!$M$2:$M$258, K1201) &gt; 0,"bos.indicus",IF(COUNTIF(lists!$L$2:$L$258, K1201) &gt; 0,"cross.bred","pure.bred.exotic")),"NA")</f>
        <v>NA</v>
      </c>
      <c r="M1201" t="str">
        <f>IF(J1201="Sheep",IF(COUNTIF(lists!$H$2:$H$258, K1201) &gt; 0,"indigenous",IF(COUNTIF(lists!$G$2:$G$258, K1201) &gt; 0,"cross.bred","not found")),"NA")</f>
        <v>not found</v>
      </c>
      <c r="N1201" t="str">
        <f>IF(J1201="Goat",IF(COUNTIF(lists!$J$2:$J$258, K1201) &gt; 0,"indigenous",IF(COUNTIF(lists!$I$2:$I$258, K1201) &gt; 0,"cross.bred","not found")),"NA")</f>
        <v>NA</v>
      </c>
      <c r="O1201" s="9" t="s">
        <v>109</v>
      </c>
      <c r="P1201" s="9" t="s">
        <v>110</v>
      </c>
      <c r="S1201" s="9">
        <v>502.1</v>
      </c>
      <c r="T1201" s="9" t="s">
        <v>106</v>
      </c>
      <c r="U1201" s="9">
        <v>128.4</v>
      </c>
      <c r="V1201" s="9">
        <v>954</v>
      </c>
      <c r="W1201" s="9">
        <v>74.3</v>
      </c>
      <c r="X1201" s="9">
        <v>321.10000000000002</v>
      </c>
      <c r="Y1201" s="9">
        <v>76.510000000000005</v>
      </c>
      <c r="Z1201" s="37"/>
      <c r="AA1201" s="37"/>
      <c r="AB1201" s="37"/>
      <c r="AE1201"/>
    </row>
    <row r="1202" spans="1:31" hidden="1">
      <c r="A1202" s="9" t="s">
        <v>1011</v>
      </c>
      <c r="B1202" s="9" t="s">
        <v>952</v>
      </c>
      <c r="C1202" s="9" t="s">
        <v>105</v>
      </c>
      <c r="D1202" s="9">
        <v>0.55200000000000005</v>
      </c>
      <c r="E1202" s="9">
        <v>21.5</v>
      </c>
      <c r="F1202" s="9" t="s">
        <v>106</v>
      </c>
      <c r="G1202" s="9" t="s">
        <v>106</v>
      </c>
      <c r="H1202" s="9" t="s">
        <v>106</v>
      </c>
      <c r="J1202" s="9" t="s">
        <v>107</v>
      </c>
      <c r="K1202" s="9" t="s">
        <v>620</v>
      </c>
      <c r="L1202" t="str">
        <f>IF(OR(J1202="Cattle",J1202="Zebu Cattle"),IF(COUNTIF(lists!$M$2:$M$258, K1202) &gt; 0,"bos.indicus",IF(COUNTIF(lists!$L$2:$L$258, K1202) &gt; 0,"cross.bred","pure.bred.exotic")),"NA")</f>
        <v>NA</v>
      </c>
      <c r="M1202" t="str">
        <f>IF(J1202="Sheep",IF(COUNTIF(lists!$H$2:$H$258, K1202) &gt; 0,"indigenous",IF(COUNTIF(lists!$G$2:$G$258, K1202) &gt; 0,"cross.bred","not found")),"NA")</f>
        <v>not found</v>
      </c>
      <c r="N1202" t="str">
        <f>IF(J1202="Goat",IF(COUNTIF(lists!$J$2:$J$258, K1202) &gt; 0,"indigenous",IF(COUNTIF(lists!$I$2:$I$258, K1202) &gt; 0,"cross.bred","not found")),"NA")</f>
        <v>NA</v>
      </c>
      <c r="O1202" s="9" t="s">
        <v>109</v>
      </c>
      <c r="P1202" s="9" t="s">
        <v>170</v>
      </c>
      <c r="S1202" s="9" t="s">
        <v>106</v>
      </c>
      <c r="T1202" s="9" t="s">
        <v>106</v>
      </c>
      <c r="U1202" s="9" t="s">
        <v>106</v>
      </c>
      <c r="V1202" s="9" t="s">
        <v>106</v>
      </c>
      <c r="W1202" s="9" t="s">
        <v>106</v>
      </c>
      <c r="X1202" s="9" t="s">
        <v>106</v>
      </c>
      <c r="Y1202" s="9">
        <v>53</v>
      </c>
      <c r="Z1202" s="37"/>
      <c r="AA1202" s="37"/>
      <c r="AB1202" s="37"/>
      <c r="AE1202"/>
    </row>
    <row r="1203" spans="1:31" hidden="1">
      <c r="A1203" s="9" t="s">
        <v>1011</v>
      </c>
      <c r="B1203" s="9" t="s">
        <v>953</v>
      </c>
      <c r="C1203" s="9" t="s">
        <v>105</v>
      </c>
      <c r="D1203" s="9">
        <v>0.88900000000000001</v>
      </c>
      <c r="E1203" s="9">
        <v>21.5</v>
      </c>
      <c r="F1203" s="9" t="s">
        <v>106</v>
      </c>
      <c r="G1203" s="9" t="s">
        <v>106</v>
      </c>
      <c r="H1203" s="9" t="s">
        <v>106</v>
      </c>
      <c r="J1203" s="9" t="s">
        <v>107</v>
      </c>
      <c r="K1203" s="9" t="s">
        <v>620</v>
      </c>
      <c r="L1203" t="str">
        <f>IF(OR(J1203="Cattle",J1203="Zebu Cattle"),IF(COUNTIF(lists!$M$2:$M$258, K1203) &gt; 0,"bos.indicus",IF(COUNTIF(lists!$L$2:$L$258, K1203) &gt; 0,"cross.bred","pure.bred.exotic")),"NA")</f>
        <v>NA</v>
      </c>
      <c r="M1203" t="str">
        <f>IF(J1203="Sheep",IF(COUNTIF(lists!$H$2:$H$258, K1203) &gt; 0,"indigenous",IF(COUNTIF(lists!$G$2:$G$258, K1203) &gt; 0,"cross.bred","not found")),"NA")</f>
        <v>not found</v>
      </c>
      <c r="N1203" t="str">
        <f>IF(J1203="Goat",IF(COUNTIF(lists!$J$2:$J$258, K1203) &gt; 0,"indigenous",IF(COUNTIF(lists!$I$2:$I$258, K1203) &gt; 0,"cross.bred","not found")),"NA")</f>
        <v>NA</v>
      </c>
      <c r="O1203" s="9" t="s">
        <v>109</v>
      </c>
      <c r="P1203" s="9" t="s">
        <v>170</v>
      </c>
      <c r="S1203" s="9">
        <v>144</v>
      </c>
      <c r="T1203" s="9" t="s">
        <v>106</v>
      </c>
      <c r="U1203" s="9">
        <v>210</v>
      </c>
      <c r="V1203" s="9">
        <v>912</v>
      </c>
      <c r="W1203" s="9" t="s">
        <v>106</v>
      </c>
      <c r="X1203" s="9">
        <v>362</v>
      </c>
      <c r="Y1203" s="9">
        <v>68</v>
      </c>
      <c r="Z1203" s="37"/>
      <c r="AA1203" s="37"/>
      <c r="AB1203" s="37"/>
      <c r="AE1203"/>
    </row>
    <row r="1204" spans="1:31" hidden="1">
      <c r="A1204" s="9" t="s">
        <v>1011</v>
      </c>
      <c r="B1204" s="9" t="s">
        <v>954</v>
      </c>
      <c r="C1204" s="9" t="s">
        <v>105</v>
      </c>
      <c r="D1204" s="9">
        <v>0.90700000000000003</v>
      </c>
      <c r="E1204" s="9">
        <v>21.5</v>
      </c>
      <c r="F1204" s="9" t="s">
        <v>106</v>
      </c>
      <c r="G1204" s="9" t="s">
        <v>106</v>
      </c>
      <c r="H1204" s="9" t="s">
        <v>106</v>
      </c>
      <c r="J1204" s="9" t="s">
        <v>107</v>
      </c>
      <c r="K1204" s="9" t="s">
        <v>620</v>
      </c>
      <c r="L1204" t="str">
        <f>IF(OR(J1204="Cattle",J1204="Zebu Cattle"),IF(COUNTIF(lists!$M$2:$M$258, K1204) &gt; 0,"bos.indicus",IF(COUNTIF(lists!$L$2:$L$258, K1204) &gt; 0,"cross.bred","pure.bred.exotic")),"NA")</f>
        <v>NA</v>
      </c>
      <c r="M1204" t="str">
        <f>IF(J1204="Sheep",IF(COUNTIF(lists!$H$2:$H$258, K1204) &gt; 0,"indigenous",IF(COUNTIF(lists!$G$2:$G$258, K1204) &gt; 0,"cross.bred","not found")),"NA")</f>
        <v>not found</v>
      </c>
      <c r="N1204" t="str">
        <f>IF(J1204="Goat",IF(COUNTIF(lists!$J$2:$J$258, K1204) &gt; 0,"indigenous",IF(COUNTIF(lists!$I$2:$I$258, K1204) &gt; 0,"cross.bred","not found")),"NA")</f>
        <v>NA</v>
      </c>
      <c r="O1204" s="9" t="s">
        <v>109</v>
      </c>
      <c r="P1204" s="9" t="s">
        <v>170</v>
      </c>
      <c r="S1204" s="9">
        <v>232</v>
      </c>
      <c r="T1204" s="9" t="s">
        <v>106</v>
      </c>
      <c r="U1204" s="9">
        <v>200</v>
      </c>
      <c r="V1204" s="9">
        <v>910</v>
      </c>
      <c r="W1204" s="9" t="s">
        <v>106</v>
      </c>
      <c r="X1204" s="9">
        <v>430</v>
      </c>
      <c r="Y1204" s="9">
        <v>65</v>
      </c>
      <c r="Z1204" s="37"/>
      <c r="AA1204" s="37"/>
      <c r="AB1204" s="37"/>
      <c r="AE1204"/>
    </row>
    <row r="1205" spans="1:31" hidden="1">
      <c r="A1205" s="9" t="s">
        <v>1011</v>
      </c>
      <c r="B1205" s="9" t="s">
        <v>955</v>
      </c>
      <c r="C1205" s="9" t="s">
        <v>105</v>
      </c>
      <c r="D1205" s="9">
        <v>0.872</v>
      </c>
      <c r="E1205" s="9">
        <v>21.5</v>
      </c>
      <c r="F1205" s="9" t="s">
        <v>106</v>
      </c>
      <c r="G1205" s="9" t="s">
        <v>106</v>
      </c>
      <c r="H1205" s="9" t="s">
        <v>106</v>
      </c>
      <c r="J1205" s="9" t="s">
        <v>107</v>
      </c>
      <c r="K1205" s="9" t="s">
        <v>620</v>
      </c>
      <c r="L1205" t="str">
        <f>IF(OR(J1205="Cattle",J1205="Zebu Cattle"),IF(COUNTIF(lists!$M$2:$M$258, K1205) &gt; 0,"bos.indicus",IF(COUNTIF(lists!$L$2:$L$258, K1205) &gt; 0,"cross.bred","pure.bred.exotic")),"NA")</f>
        <v>NA</v>
      </c>
      <c r="M1205" t="str">
        <f>IF(J1205="Sheep",IF(COUNTIF(lists!$H$2:$H$258, K1205) &gt; 0,"indigenous",IF(COUNTIF(lists!$G$2:$G$258, K1205) &gt; 0,"cross.bred","not found")),"NA")</f>
        <v>not found</v>
      </c>
      <c r="N1205" t="str">
        <f>IF(J1205="Goat",IF(COUNTIF(lists!$J$2:$J$258, K1205) &gt; 0,"indigenous",IF(COUNTIF(lists!$I$2:$I$258, K1205) &gt; 0,"cross.bred","not found")),"NA")</f>
        <v>NA</v>
      </c>
      <c r="O1205" s="9" t="s">
        <v>109</v>
      </c>
      <c r="P1205" s="9" t="s">
        <v>170</v>
      </c>
      <c r="S1205" s="9">
        <v>340</v>
      </c>
      <c r="T1205" s="9" t="s">
        <v>106</v>
      </c>
      <c r="U1205" s="9">
        <v>161</v>
      </c>
      <c r="V1205" s="9">
        <v>900</v>
      </c>
      <c r="W1205" s="9" t="s">
        <v>106</v>
      </c>
      <c r="X1205" s="9">
        <v>520</v>
      </c>
      <c r="Y1205" s="9">
        <v>71</v>
      </c>
      <c r="Z1205" s="37"/>
      <c r="AA1205" s="37"/>
      <c r="AB1205" s="37"/>
      <c r="AE1205"/>
    </row>
    <row r="1206" spans="1:31" hidden="1">
      <c r="A1206" s="9" t="s">
        <v>1011</v>
      </c>
      <c r="B1206" s="9" t="s">
        <v>957</v>
      </c>
      <c r="C1206" s="9" t="s">
        <v>105</v>
      </c>
      <c r="D1206" s="9">
        <v>0.85099999999999998</v>
      </c>
      <c r="E1206" s="9">
        <v>21.5</v>
      </c>
      <c r="F1206" s="9" t="s">
        <v>106</v>
      </c>
      <c r="G1206" s="9" t="s">
        <v>106</v>
      </c>
      <c r="H1206" s="9" t="s">
        <v>106</v>
      </c>
      <c r="J1206" s="9" t="s">
        <v>107</v>
      </c>
      <c r="K1206" s="9" t="s">
        <v>620</v>
      </c>
      <c r="L1206" t="str">
        <f>IF(OR(J1206="Cattle",J1206="Zebu Cattle"),IF(COUNTIF(lists!$M$2:$M$258, K1206) &gt; 0,"bos.indicus",IF(COUNTIF(lists!$L$2:$L$258, K1206) &gt; 0,"cross.bred","pure.bred.exotic")),"NA")</f>
        <v>NA</v>
      </c>
      <c r="M1206" t="str">
        <f>IF(J1206="Sheep",IF(COUNTIF(lists!$H$2:$H$258, K1206) &gt; 0,"indigenous",IF(COUNTIF(lists!$G$2:$G$258, K1206) &gt; 0,"cross.bred","not found")),"NA")</f>
        <v>not found</v>
      </c>
      <c r="N1206" t="str">
        <f>IF(J1206="Goat",IF(COUNTIF(lists!$J$2:$J$258, K1206) &gt; 0,"indigenous",IF(COUNTIF(lists!$I$2:$I$258, K1206) &gt; 0,"cross.bred","not found")),"NA")</f>
        <v>NA</v>
      </c>
      <c r="O1206" s="9" t="s">
        <v>109</v>
      </c>
      <c r="P1206" s="9" t="s">
        <v>170</v>
      </c>
      <c r="S1206" s="9">
        <v>430</v>
      </c>
      <c r="T1206" s="9" t="s">
        <v>106</v>
      </c>
      <c r="U1206" s="9">
        <v>144</v>
      </c>
      <c r="V1206" s="9">
        <v>900</v>
      </c>
      <c r="W1206" s="9" t="s">
        <v>106</v>
      </c>
      <c r="X1206" s="9">
        <v>590</v>
      </c>
      <c r="Y1206" s="9">
        <v>73</v>
      </c>
      <c r="Z1206" s="37"/>
      <c r="AA1206" s="37"/>
      <c r="AB1206" s="37"/>
      <c r="AE1206"/>
    </row>
    <row r="1207" spans="1:31" hidden="1">
      <c r="A1207" s="9" t="s">
        <v>1013</v>
      </c>
      <c r="B1207" s="9" t="s">
        <v>952</v>
      </c>
      <c r="C1207" s="9" t="s">
        <v>105</v>
      </c>
      <c r="D1207" s="9">
        <v>0.70499999999999996</v>
      </c>
      <c r="E1207" s="9">
        <v>29.78</v>
      </c>
      <c r="F1207" s="9" t="s">
        <v>106</v>
      </c>
      <c r="G1207" s="9" t="s">
        <v>106</v>
      </c>
      <c r="H1207" s="9" t="s">
        <v>106</v>
      </c>
      <c r="J1207" s="9" t="s">
        <v>107</v>
      </c>
      <c r="K1207" s="9" t="s">
        <v>620</v>
      </c>
      <c r="L1207" t="str">
        <f>IF(OR(J1207="Cattle",J1207="Zebu Cattle"),IF(COUNTIF(lists!$M$2:$M$258, K1207) &gt; 0,"bos.indicus",IF(COUNTIF(lists!$L$2:$L$258, K1207) &gt; 0,"cross.bred","pure.bred.exotic")),"NA")</f>
        <v>NA</v>
      </c>
      <c r="M1207" t="str">
        <f>IF(J1207="Sheep",IF(COUNTIF(lists!$H$2:$H$258, K1207) &gt; 0,"indigenous",IF(COUNTIF(lists!$G$2:$G$258, K1207) &gt; 0,"cross.bred","not found")),"NA")</f>
        <v>not found</v>
      </c>
      <c r="N1207" t="str">
        <f>IF(J1207="Goat",IF(COUNTIF(lists!$J$2:$J$258, K1207) &gt; 0,"indigenous",IF(COUNTIF(lists!$I$2:$I$258, K1207) &gt; 0,"cross.bred","not found")),"NA")</f>
        <v>NA</v>
      </c>
      <c r="O1207" s="9" t="s">
        <v>109</v>
      </c>
      <c r="P1207" s="9" t="s">
        <v>170</v>
      </c>
      <c r="S1207" s="9" t="s">
        <v>106</v>
      </c>
      <c r="T1207" s="9" t="s">
        <v>106</v>
      </c>
      <c r="U1207" s="9" t="s">
        <v>106</v>
      </c>
      <c r="V1207" s="9" t="s">
        <v>106</v>
      </c>
      <c r="W1207" s="9" t="s">
        <v>106</v>
      </c>
      <c r="X1207" s="9" t="s">
        <v>106</v>
      </c>
      <c r="Y1207" s="9">
        <v>55.6</v>
      </c>
      <c r="Z1207" s="37"/>
      <c r="AA1207" s="37"/>
      <c r="AB1207" s="37"/>
      <c r="AE1207"/>
    </row>
    <row r="1208" spans="1:31" hidden="1">
      <c r="A1208" s="9" t="s">
        <v>1013</v>
      </c>
      <c r="B1208" s="9" t="s">
        <v>953</v>
      </c>
      <c r="C1208" s="9" t="s">
        <v>105</v>
      </c>
      <c r="D1208" s="9">
        <v>0.94799999999999995</v>
      </c>
      <c r="E1208" s="9">
        <v>29.78</v>
      </c>
      <c r="F1208" s="9" t="s">
        <v>106</v>
      </c>
      <c r="G1208" s="9" t="s">
        <v>106</v>
      </c>
      <c r="H1208" s="9" t="s">
        <v>106</v>
      </c>
      <c r="J1208" s="9" t="s">
        <v>107</v>
      </c>
      <c r="K1208" s="9" t="s">
        <v>620</v>
      </c>
      <c r="L1208" t="str">
        <f>IF(OR(J1208="Cattle",J1208="Zebu Cattle"),IF(COUNTIF(lists!$M$2:$M$258, K1208) &gt; 0,"bos.indicus",IF(COUNTIF(lists!$L$2:$L$258, K1208) &gt; 0,"cross.bred","pure.bred.exotic")),"NA")</f>
        <v>NA</v>
      </c>
      <c r="M1208" t="str">
        <f>IF(J1208="Sheep",IF(COUNTIF(lists!$H$2:$H$258, K1208) &gt; 0,"indigenous",IF(COUNTIF(lists!$G$2:$G$258, K1208) &gt; 0,"cross.bred","not found")),"NA")</f>
        <v>not found</v>
      </c>
      <c r="N1208" t="str">
        <f>IF(J1208="Goat",IF(COUNTIF(lists!$J$2:$J$258, K1208) &gt; 0,"indigenous",IF(COUNTIF(lists!$I$2:$I$258, K1208) &gt; 0,"cross.bred","not found")),"NA")</f>
        <v>NA</v>
      </c>
      <c r="O1208" s="9" t="s">
        <v>109</v>
      </c>
      <c r="P1208" s="9" t="s">
        <v>170</v>
      </c>
      <c r="S1208" s="9">
        <v>458</v>
      </c>
      <c r="T1208" s="9" t="s">
        <v>106</v>
      </c>
      <c r="U1208" s="9">
        <v>156</v>
      </c>
      <c r="V1208" s="9">
        <v>908</v>
      </c>
      <c r="W1208" s="9" t="s">
        <v>106</v>
      </c>
      <c r="X1208" s="9">
        <v>619</v>
      </c>
      <c r="Y1208" s="9">
        <v>66.3</v>
      </c>
      <c r="Z1208" s="37"/>
      <c r="AA1208" s="37"/>
      <c r="AB1208" s="37"/>
      <c r="AE1208"/>
    </row>
    <row r="1209" spans="1:31" hidden="1">
      <c r="A1209" s="9" t="s">
        <v>1013</v>
      </c>
      <c r="B1209" s="9" t="s">
        <v>954</v>
      </c>
      <c r="C1209" s="9" t="s">
        <v>105</v>
      </c>
      <c r="D1209" s="9">
        <v>0.93500000000000005</v>
      </c>
      <c r="E1209" s="9">
        <v>29.78</v>
      </c>
      <c r="F1209" s="9" t="s">
        <v>106</v>
      </c>
      <c r="G1209" s="9" t="s">
        <v>106</v>
      </c>
      <c r="H1209" s="9" t="s">
        <v>106</v>
      </c>
      <c r="J1209" s="9" t="s">
        <v>107</v>
      </c>
      <c r="K1209" s="9" t="s">
        <v>620</v>
      </c>
      <c r="L1209" t="str">
        <f>IF(OR(J1209="Cattle",J1209="Zebu Cattle"),IF(COUNTIF(lists!$M$2:$M$258, K1209) &gt; 0,"bos.indicus",IF(COUNTIF(lists!$L$2:$L$258, K1209) &gt; 0,"cross.bred","pure.bred.exotic")),"NA")</f>
        <v>NA</v>
      </c>
      <c r="M1209" t="str">
        <f>IF(J1209="Sheep",IF(COUNTIF(lists!$H$2:$H$258, K1209) &gt; 0,"indigenous",IF(COUNTIF(lists!$G$2:$G$258, K1209) &gt; 0,"cross.bred","not found")),"NA")</f>
        <v>not found</v>
      </c>
      <c r="N1209" t="str">
        <f>IF(J1209="Goat",IF(COUNTIF(lists!$J$2:$J$258, K1209) &gt; 0,"indigenous",IF(COUNTIF(lists!$I$2:$I$258, K1209) &gt; 0,"cross.bred","not found")),"NA")</f>
        <v>NA</v>
      </c>
      <c r="O1209" s="9" t="s">
        <v>109</v>
      </c>
      <c r="P1209" s="9" t="s">
        <v>170</v>
      </c>
      <c r="S1209" s="9">
        <v>394</v>
      </c>
      <c r="T1209" s="9" t="s">
        <v>106</v>
      </c>
      <c r="U1209" s="9">
        <v>178</v>
      </c>
      <c r="V1209" s="9">
        <v>905</v>
      </c>
      <c r="W1209" s="9" t="s">
        <v>106</v>
      </c>
      <c r="X1209" s="9">
        <v>527</v>
      </c>
      <c r="Y1209" s="9">
        <v>69.430000000000007</v>
      </c>
      <c r="Z1209" s="37"/>
      <c r="AA1209" s="37"/>
      <c r="AB1209" s="37"/>
      <c r="AE1209"/>
    </row>
    <row r="1210" spans="1:31" hidden="1">
      <c r="A1210" s="9" t="s">
        <v>1013</v>
      </c>
      <c r="B1210" s="9" t="s">
        <v>955</v>
      </c>
      <c r="C1210" s="9" t="s">
        <v>105</v>
      </c>
      <c r="D1210" s="9">
        <v>0.98499999999999999</v>
      </c>
      <c r="E1210" s="9">
        <v>29.78</v>
      </c>
      <c r="F1210" s="9" t="s">
        <v>106</v>
      </c>
      <c r="G1210" s="9" t="s">
        <v>106</v>
      </c>
      <c r="H1210" s="9" t="s">
        <v>106</v>
      </c>
      <c r="J1210" s="9" t="s">
        <v>107</v>
      </c>
      <c r="K1210" s="9" t="s">
        <v>620</v>
      </c>
      <c r="L1210" t="str">
        <f>IF(OR(J1210="Cattle",J1210="Zebu Cattle"),IF(COUNTIF(lists!$M$2:$M$258, K1210) &gt; 0,"bos.indicus",IF(COUNTIF(lists!$L$2:$L$258, K1210) &gt; 0,"cross.bred","pure.bred.exotic")),"NA")</f>
        <v>NA</v>
      </c>
      <c r="M1210" t="str">
        <f>IF(J1210="Sheep",IF(COUNTIF(lists!$H$2:$H$258, K1210) &gt; 0,"indigenous",IF(COUNTIF(lists!$G$2:$G$258, K1210) &gt; 0,"cross.bred","not found")),"NA")</f>
        <v>not found</v>
      </c>
      <c r="N1210" t="str">
        <f>IF(J1210="Goat",IF(COUNTIF(lists!$J$2:$J$258, K1210) &gt; 0,"indigenous",IF(COUNTIF(lists!$I$2:$I$258, K1210) &gt; 0,"cross.bred","not found")),"NA")</f>
        <v>NA</v>
      </c>
      <c r="O1210" s="9" t="s">
        <v>109</v>
      </c>
      <c r="P1210" s="9" t="s">
        <v>170</v>
      </c>
      <c r="S1210" s="9">
        <v>330</v>
      </c>
      <c r="T1210" s="9" t="s">
        <v>106</v>
      </c>
      <c r="U1210" s="9">
        <v>200</v>
      </c>
      <c r="V1210" s="9">
        <v>903</v>
      </c>
      <c r="W1210" s="9" t="s">
        <v>106</v>
      </c>
      <c r="X1210" s="9">
        <v>436</v>
      </c>
      <c r="Y1210" s="9">
        <v>74.5</v>
      </c>
      <c r="Z1210" s="37"/>
      <c r="AA1210" s="37"/>
      <c r="AB1210" s="37"/>
      <c r="AE1210"/>
    </row>
    <row r="1211" spans="1:31" hidden="1">
      <c r="A1211" s="9" t="s">
        <v>1014</v>
      </c>
      <c r="B1211" s="9" t="s">
        <v>1015</v>
      </c>
      <c r="C1211" s="9" t="s">
        <v>105</v>
      </c>
      <c r="D1211" s="9">
        <v>1.1000000000000001</v>
      </c>
      <c r="E1211" s="9">
        <v>5.1999999999999998E-2</v>
      </c>
      <c r="F1211" s="9" t="s">
        <v>106</v>
      </c>
      <c r="G1211" s="9" t="s">
        <v>106</v>
      </c>
      <c r="H1211" s="9" t="s">
        <v>106</v>
      </c>
      <c r="I1211" s="9">
        <v>7</v>
      </c>
      <c r="J1211" s="9" t="s">
        <v>107</v>
      </c>
      <c r="K1211" s="9" t="s">
        <v>1016</v>
      </c>
      <c r="L1211" t="str">
        <f>IF(OR(J1211="Cattle",J1211="Zebu Cattle"),IF(COUNTIF(lists!$M$2:$M$258, K1211) &gt; 0,"bos.indicus",IF(COUNTIF(lists!$L$2:$L$258, K1211) &gt; 0,"cross.bred","pure.bred.exotic")),"NA")</f>
        <v>NA</v>
      </c>
      <c r="M1211" t="str">
        <f>IF(J1211="Sheep",IF(COUNTIF(lists!$H$2:$H$258, K1211) &gt; 0,"indigenous",IF(COUNTIF(lists!$G$2:$G$258, K1211) &gt; 0,"cross.bred","not found")),"NA")</f>
        <v>not found</v>
      </c>
      <c r="N1211" t="str">
        <f>IF(J1211="Goat",IF(COUNTIF(lists!$J$2:$J$258, K1211) &gt; 0,"indigenous",IF(COUNTIF(lists!$I$2:$I$258, K1211) &gt; 0,"cross.bred","not found")),"NA")</f>
        <v>NA</v>
      </c>
      <c r="O1211" s="9" t="s">
        <v>109</v>
      </c>
      <c r="P1211" s="9" t="s">
        <v>106</v>
      </c>
      <c r="Q1211" s="9" t="s">
        <v>3808</v>
      </c>
      <c r="S1211" s="9" t="s">
        <v>106</v>
      </c>
      <c r="T1211" s="9" t="s">
        <v>106</v>
      </c>
      <c r="U1211" s="9" t="s">
        <v>106</v>
      </c>
      <c r="V1211" s="9" t="s">
        <v>106</v>
      </c>
      <c r="W1211" s="9" t="s">
        <v>106</v>
      </c>
      <c r="X1211" s="9" t="s">
        <v>106</v>
      </c>
      <c r="Y1211" s="9" t="s">
        <v>106</v>
      </c>
      <c r="Z1211" s="37"/>
      <c r="AA1211" s="37"/>
      <c r="AB1211" s="37"/>
      <c r="AE1211">
        <v>0</v>
      </c>
    </row>
    <row r="1212" spans="1:31" hidden="1">
      <c r="A1212" s="9" t="s">
        <v>1017</v>
      </c>
      <c r="B1212" s="9" t="s">
        <v>1018</v>
      </c>
      <c r="C1212" s="9" t="s">
        <v>105</v>
      </c>
      <c r="D1212" s="9">
        <v>1.59</v>
      </c>
      <c r="E1212" s="9">
        <v>0.22900000000000001</v>
      </c>
      <c r="F1212" s="9" t="s">
        <v>106</v>
      </c>
      <c r="G1212" s="9" t="s">
        <v>106</v>
      </c>
      <c r="H1212" s="9" t="s">
        <v>106</v>
      </c>
      <c r="I1212" s="9">
        <v>25</v>
      </c>
      <c r="J1212" s="9" t="s">
        <v>107</v>
      </c>
      <c r="K1212" s="9" t="s">
        <v>1016</v>
      </c>
      <c r="L1212" t="str">
        <f>IF(OR(J1212="Cattle",J1212="Zebu Cattle"),IF(COUNTIF(lists!$M$2:$M$258, K1212) &gt; 0,"bos.indicus",IF(COUNTIF(lists!$L$2:$L$258, K1212) &gt; 0,"cross.bred","pure.bred.exotic")),"NA")</f>
        <v>NA</v>
      </c>
      <c r="M1212" t="str">
        <f>IF(J1212="Sheep",IF(COUNTIF(lists!$H$2:$H$258, K1212) &gt; 0,"indigenous",IF(COUNTIF(lists!$G$2:$G$258, K1212) &gt; 0,"cross.bred","not found")),"NA")</f>
        <v>not found</v>
      </c>
      <c r="N1212" t="str">
        <f>IF(J1212="Goat",IF(COUNTIF(lists!$J$2:$J$258, K1212) &gt; 0,"indigenous",IF(COUNTIF(lists!$I$2:$I$258, K1212) &gt; 0,"cross.bred","not found")),"NA")</f>
        <v>NA</v>
      </c>
      <c r="O1212" s="9" t="s">
        <v>109</v>
      </c>
      <c r="P1212" s="9" t="s">
        <v>106</v>
      </c>
      <c r="Q1212" s="9" t="s">
        <v>3808</v>
      </c>
      <c r="S1212" s="9">
        <v>556</v>
      </c>
      <c r="T1212" s="9">
        <v>84</v>
      </c>
      <c r="U1212" s="9">
        <v>185</v>
      </c>
      <c r="V1212" s="9">
        <v>900</v>
      </c>
      <c r="W1212" s="9" t="s">
        <v>106</v>
      </c>
      <c r="X1212" s="9" t="s">
        <v>106</v>
      </c>
      <c r="Y1212" s="9" t="s">
        <v>106</v>
      </c>
      <c r="Z1212" s="37"/>
      <c r="AA1212" s="37"/>
      <c r="AB1212" s="37"/>
      <c r="AE1212">
        <v>0</v>
      </c>
    </row>
    <row r="1213" spans="1:31" hidden="1">
      <c r="A1213" s="9" t="s">
        <v>1017</v>
      </c>
      <c r="B1213" s="9" t="s">
        <v>1019</v>
      </c>
      <c r="C1213" s="9" t="s">
        <v>105</v>
      </c>
      <c r="D1213" s="9">
        <v>1.0900000000000001</v>
      </c>
      <c r="E1213" s="9">
        <v>0.22900000000000001</v>
      </c>
      <c r="F1213" s="9" t="s">
        <v>106</v>
      </c>
      <c r="G1213" s="9" t="s">
        <v>106</v>
      </c>
      <c r="H1213" s="9" t="s">
        <v>106</v>
      </c>
      <c r="I1213" s="9">
        <v>25</v>
      </c>
      <c r="J1213" s="9" t="s">
        <v>107</v>
      </c>
      <c r="K1213" s="9" t="s">
        <v>1016</v>
      </c>
      <c r="L1213" t="str">
        <f>IF(OR(J1213="Cattle",J1213="Zebu Cattle"),IF(COUNTIF(lists!$M$2:$M$258, K1213) &gt; 0,"bos.indicus",IF(COUNTIF(lists!$L$2:$L$258, K1213) &gt; 0,"cross.bred","pure.bred.exotic")),"NA")</f>
        <v>NA</v>
      </c>
      <c r="M1213" t="str">
        <f>IF(J1213="Sheep",IF(COUNTIF(lists!$H$2:$H$258, K1213) &gt; 0,"indigenous",IF(COUNTIF(lists!$G$2:$G$258, K1213) &gt; 0,"cross.bred","not found")),"NA")</f>
        <v>not found</v>
      </c>
      <c r="N1213" t="str">
        <f>IF(J1213="Goat",IF(COUNTIF(lists!$J$2:$J$258, K1213) &gt; 0,"indigenous",IF(COUNTIF(lists!$I$2:$I$258, K1213) &gt; 0,"cross.bred","not found")),"NA")</f>
        <v>NA</v>
      </c>
      <c r="O1213" s="9" t="s">
        <v>109</v>
      </c>
      <c r="P1213" s="9" t="s">
        <v>106</v>
      </c>
      <c r="Q1213" s="9" t="s">
        <v>3808</v>
      </c>
      <c r="S1213" s="9">
        <v>527</v>
      </c>
      <c r="T1213" s="9">
        <v>60</v>
      </c>
      <c r="U1213" s="9">
        <v>46</v>
      </c>
      <c r="V1213" s="9">
        <v>916</v>
      </c>
      <c r="W1213" s="9" t="s">
        <v>106</v>
      </c>
      <c r="X1213" s="9" t="s">
        <v>106</v>
      </c>
      <c r="Y1213" s="9" t="s">
        <v>106</v>
      </c>
      <c r="Z1213" s="37"/>
      <c r="AA1213" s="37"/>
      <c r="AB1213" s="37"/>
      <c r="AE1213">
        <v>0</v>
      </c>
    </row>
    <row r="1214" spans="1:31" hidden="1">
      <c r="A1214" s="9" t="s">
        <v>1017</v>
      </c>
      <c r="B1214" s="9" t="s">
        <v>1020</v>
      </c>
      <c r="C1214" s="9" t="s">
        <v>105</v>
      </c>
      <c r="D1214" s="9">
        <v>1.37</v>
      </c>
      <c r="E1214" s="9">
        <v>0.22900000000000001</v>
      </c>
      <c r="F1214" s="9" t="s">
        <v>106</v>
      </c>
      <c r="G1214" s="9" t="s">
        <v>106</v>
      </c>
      <c r="H1214" s="9" t="s">
        <v>106</v>
      </c>
      <c r="I1214" s="9">
        <v>25</v>
      </c>
      <c r="J1214" s="9" t="s">
        <v>107</v>
      </c>
      <c r="K1214" s="9" t="s">
        <v>1016</v>
      </c>
      <c r="L1214" t="str">
        <f>IF(OR(J1214="Cattle",J1214="Zebu Cattle"),IF(COUNTIF(lists!$M$2:$M$258, K1214) &gt; 0,"bos.indicus",IF(COUNTIF(lists!$L$2:$L$258, K1214) &gt; 0,"cross.bred","pure.bred.exotic")),"NA")</f>
        <v>NA</v>
      </c>
      <c r="M1214" t="str">
        <f>IF(J1214="Sheep",IF(COUNTIF(lists!$H$2:$H$258, K1214) &gt; 0,"indigenous",IF(COUNTIF(lists!$G$2:$G$258, K1214) &gt; 0,"cross.bred","not found")),"NA")</f>
        <v>not found</v>
      </c>
      <c r="N1214" t="str">
        <f>IF(J1214="Goat",IF(COUNTIF(lists!$J$2:$J$258, K1214) &gt; 0,"indigenous",IF(COUNTIF(lists!$I$2:$I$258, K1214) &gt; 0,"cross.bred","not found")),"NA")</f>
        <v>NA</v>
      </c>
      <c r="O1214" s="9" t="s">
        <v>109</v>
      </c>
      <c r="P1214" s="9" t="s">
        <v>106</v>
      </c>
      <c r="Q1214" s="9" t="s">
        <v>3808</v>
      </c>
      <c r="S1214" s="9">
        <v>549</v>
      </c>
      <c r="T1214" s="9">
        <v>78</v>
      </c>
      <c r="U1214" s="9">
        <v>150</v>
      </c>
      <c r="V1214" s="9">
        <v>904</v>
      </c>
      <c r="W1214" s="9" t="s">
        <v>106</v>
      </c>
      <c r="X1214" s="9" t="s">
        <v>106</v>
      </c>
      <c r="Y1214" s="9" t="s">
        <v>106</v>
      </c>
      <c r="Z1214" s="37"/>
      <c r="AA1214" s="37"/>
      <c r="AB1214" s="37"/>
      <c r="AE1214">
        <v>0</v>
      </c>
    </row>
    <row r="1215" spans="1:31" hidden="1">
      <c r="A1215" s="9" t="s">
        <v>1017</v>
      </c>
      <c r="B1215" s="9" t="s">
        <v>1021</v>
      </c>
      <c r="C1215" s="9" t="s">
        <v>105</v>
      </c>
      <c r="D1215" s="9">
        <v>1.41</v>
      </c>
      <c r="E1215" s="9">
        <v>0.22900000000000001</v>
      </c>
      <c r="F1215" s="9" t="s">
        <v>106</v>
      </c>
      <c r="G1215" s="9" t="s">
        <v>106</v>
      </c>
      <c r="H1215" s="9" t="s">
        <v>106</v>
      </c>
      <c r="I1215" s="9">
        <v>25</v>
      </c>
      <c r="J1215" s="9" t="s">
        <v>107</v>
      </c>
      <c r="K1215" s="9" t="s">
        <v>1016</v>
      </c>
      <c r="L1215" t="str">
        <f>IF(OR(J1215="Cattle",J1215="Zebu Cattle"),IF(COUNTIF(lists!$M$2:$M$258, K1215) &gt; 0,"bos.indicus",IF(COUNTIF(lists!$L$2:$L$258, K1215) &gt; 0,"cross.bred","pure.bred.exotic")),"NA")</f>
        <v>NA</v>
      </c>
      <c r="M1215" t="str">
        <f>IF(J1215="Sheep",IF(COUNTIF(lists!$H$2:$H$258, K1215) &gt; 0,"indigenous",IF(COUNTIF(lists!$G$2:$G$258, K1215) &gt; 0,"cross.bred","not found")),"NA")</f>
        <v>not found</v>
      </c>
      <c r="N1215" t="str">
        <f>IF(J1215="Goat",IF(COUNTIF(lists!$J$2:$J$258, K1215) &gt; 0,"indigenous",IF(COUNTIF(lists!$I$2:$I$258, K1215) &gt; 0,"cross.bred","not found")),"NA")</f>
        <v>NA</v>
      </c>
      <c r="O1215" s="9" t="s">
        <v>109</v>
      </c>
      <c r="P1215" s="9" t="s">
        <v>106</v>
      </c>
      <c r="Q1215" s="9" t="s">
        <v>3808</v>
      </c>
      <c r="S1215" s="9">
        <v>541</v>
      </c>
      <c r="T1215" s="9">
        <v>72</v>
      </c>
      <c r="U1215" s="9">
        <v>116</v>
      </c>
      <c r="V1215" s="9">
        <v>908</v>
      </c>
      <c r="W1215" s="9" t="s">
        <v>106</v>
      </c>
      <c r="X1215" s="9" t="s">
        <v>106</v>
      </c>
      <c r="Y1215" s="9" t="s">
        <v>106</v>
      </c>
      <c r="Z1215" s="37"/>
      <c r="AA1215" s="37"/>
      <c r="AB1215" s="37"/>
      <c r="AE1215">
        <v>0</v>
      </c>
    </row>
    <row r="1216" spans="1:31" hidden="1">
      <c r="A1216" s="9" t="s">
        <v>1017</v>
      </c>
      <c r="B1216" s="9" t="s">
        <v>1022</v>
      </c>
      <c r="C1216" s="9" t="s">
        <v>105</v>
      </c>
      <c r="D1216" s="9">
        <v>1.25</v>
      </c>
      <c r="E1216" s="9">
        <v>0.22900000000000001</v>
      </c>
      <c r="F1216" s="9" t="s">
        <v>106</v>
      </c>
      <c r="G1216" s="9" t="s">
        <v>106</v>
      </c>
      <c r="H1216" s="9" t="s">
        <v>106</v>
      </c>
      <c r="I1216" s="9">
        <v>25</v>
      </c>
      <c r="J1216" s="9" t="s">
        <v>107</v>
      </c>
      <c r="K1216" s="9" t="s">
        <v>1016</v>
      </c>
      <c r="L1216" t="str">
        <f>IF(OR(J1216="Cattle",J1216="Zebu Cattle"),IF(COUNTIF(lists!$M$2:$M$258, K1216) &gt; 0,"bos.indicus",IF(COUNTIF(lists!$L$2:$L$258, K1216) &gt; 0,"cross.bred","pure.bred.exotic")),"NA")</f>
        <v>NA</v>
      </c>
      <c r="M1216" t="str">
        <f>IF(J1216="Sheep",IF(COUNTIF(lists!$H$2:$H$258, K1216) &gt; 0,"indigenous",IF(COUNTIF(lists!$G$2:$G$258, K1216) &gt; 0,"cross.bred","not found")),"NA")</f>
        <v>not found</v>
      </c>
      <c r="N1216" t="str">
        <f>IF(J1216="Goat",IF(COUNTIF(lists!$J$2:$J$258, K1216) &gt; 0,"indigenous",IF(COUNTIF(lists!$I$2:$I$258, K1216) &gt; 0,"cross.bred","not found")),"NA")</f>
        <v>NA</v>
      </c>
      <c r="O1216" s="9" t="s">
        <v>109</v>
      </c>
      <c r="P1216" s="9" t="s">
        <v>106</v>
      </c>
      <c r="Q1216" s="9" t="s">
        <v>3808</v>
      </c>
      <c r="S1216" s="9">
        <v>534</v>
      </c>
      <c r="T1216" s="9">
        <v>66</v>
      </c>
      <c r="U1216" s="9">
        <v>81</v>
      </c>
      <c r="V1216" s="9">
        <v>911</v>
      </c>
      <c r="W1216" s="9" t="s">
        <v>106</v>
      </c>
      <c r="X1216" s="9" t="s">
        <v>106</v>
      </c>
      <c r="Y1216" s="9" t="s">
        <v>106</v>
      </c>
      <c r="Z1216" s="37"/>
      <c r="AA1216" s="37"/>
      <c r="AB1216" s="37"/>
      <c r="AE1216">
        <v>0</v>
      </c>
    </row>
    <row r="1217" spans="1:31" hidden="1">
      <c r="A1217" s="9" t="s">
        <v>1023</v>
      </c>
      <c r="B1217" s="9" t="s">
        <v>1024</v>
      </c>
      <c r="C1217" s="9" t="s">
        <v>105</v>
      </c>
      <c r="D1217" s="9">
        <v>0.91</v>
      </c>
      <c r="E1217" s="9">
        <v>0.02</v>
      </c>
      <c r="F1217" s="9" t="s">
        <v>106</v>
      </c>
      <c r="G1217" s="9" t="s">
        <v>106</v>
      </c>
      <c r="H1217" s="9" t="s">
        <v>106</v>
      </c>
      <c r="I1217" s="9">
        <v>25</v>
      </c>
      <c r="J1217" s="9" t="s">
        <v>107</v>
      </c>
      <c r="K1217" s="9" t="s">
        <v>1016</v>
      </c>
      <c r="L1217" t="str">
        <f>IF(OR(J1217="Cattle",J1217="Zebu Cattle"),IF(COUNTIF(lists!$M$2:$M$258, K1217) &gt; 0,"bos.indicus",IF(COUNTIF(lists!$L$2:$L$258, K1217) &gt; 0,"cross.bred","pure.bred.exotic")),"NA")</f>
        <v>NA</v>
      </c>
      <c r="M1217" t="str">
        <f>IF(J1217="Sheep",IF(COUNTIF(lists!$H$2:$H$258, K1217) &gt; 0,"indigenous",IF(COUNTIF(lists!$G$2:$G$258, K1217) &gt; 0,"cross.bred","not found")),"NA")</f>
        <v>not found</v>
      </c>
      <c r="N1217" t="str">
        <f>IF(J1217="Goat",IF(COUNTIF(lists!$J$2:$J$258, K1217) &gt; 0,"indigenous",IF(COUNTIF(lists!$I$2:$I$258, K1217) &gt; 0,"cross.bred","not found")),"NA")</f>
        <v>NA</v>
      </c>
      <c r="O1217" s="9" t="s">
        <v>109</v>
      </c>
      <c r="P1217" s="9" t="s">
        <v>106</v>
      </c>
      <c r="Q1217" s="9" t="s">
        <v>3808</v>
      </c>
      <c r="S1217" s="9">
        <v>238</v>
      </c>
      <c r="T1217" s="9">
        <v>59</v>
      </c>
      <c r="U1217" s="9">
        <v>111</v>
      </c>
      <c r="V1217" s="9">
        <v>902</v>
      </c>
      <c r="W1217" s="9" t="s">
        <v>106</v>
      </c>
      <c r="X1217" s="9">
        <v>366</v>
      </c>
      <c r="Y1217" s="9" t="s">
        <v>106</v>
      </c>
      <c r="Z1217" s="37"/>
      <c r="AA1217" s="37"/>
      <c r="AB1217" s="37"/>
      <c r="AE1217">
        <v>0</v>
      </c>
    </row>
    <row r="1218" spans="1:31" hidden="1">
      <c r="A1218" s="9" t="s">
        <v>1023</v>
      </c>
      <c r="B1218" s="9" t="s">
        <v>1025</v>
      </c>
      <c r="C1218" s="9" t="s">
        <v>105</v>
      </c>
      <c r="D1218" s="9">
        <v>0.92</v>
      </c>
      <c r="E1218" s="9">
        <v>0.02</v>
      </c>
      <c r="F1218" s="9" t="s">
        <v>106</v>
      </c>
      <c r="G1218" s="9" t="s">
        <v>106</v>
      </c>
      <c r="H1218" s="9" t="s">
        <v>106</v>
      </c>
      <c r="I1218" s="9">
        <v>25</v>
      </c>
      <c r="J1218" s="9" t="s">
        <v>107</v>
      </c>
      <c r="K1218" s="9" t="s">
        <v>1016</v>
      </c>
      <c r="L1218" t="str">
        <f>IF(OR(J1218="Cattle",J1218="Zebu Cattle"),IF(COUNTIF(lists!$M$2:$M$258, K1218) &gt; 0,"bos.indicus",IF(COUNTIF(lists!$L$2:$L$258, K1218) &gt; 0,"cross.bred","pure.bred.exotic")),"NA")</f>
        <v>NA</v>
      </c>
      <c r="M1218" t="str">
        <f>IF(J1218="Sheep",IF(COUNTIF(lists!$H$2:$H$258, K1218) &gt; 0,"indigenous",IF(COUNTIF(lists!$G$2:$G$258, K1218) &gt; 0,"cross.bred","not found")),"NA")</f>
        <v>not found</v>
      </c>
      <c r="N1218" t="str">
        <f>IF(J1218="Goat",IF(COUNTIF(lists!$J$2:$J$258, K1218) &gt; 0,"indigenous",IF(COUNTIF(lists!$I$2:$I$258, K1218) &gt; 0,"cross.bred","not found")),"NA")</f>
        <v>NA</v>
      </c>
      <c r="O1218" s="9" t="s">
        <v>109</v>
      </c>
      <c r="P1218" s="9" t="s">
        <v>106</v>
      </c>
      <c r="Q1218" s="9" t="s">
        <v>3808</v>
      </c>
      <c r="S1218" s="9">
        <v>237</v>
      </c>
      <c r="T1218" s="9">
        <v>68</v>
      </c>
      <c r="U1218" s="9">
        <v>134</v>
      </c>
      <c r="V1218" s="9">
        <v>903</v>
      </c>
      <c r="W1218" s="9" t="s">
        <v>106</v>
      </c>
      <c r="X1218" s="9">
        <v>365</v>
      </c>
      <c r="Y1218" s="9" t="s">
        <v>106</v>
      </c>
      <c r="Z1218" s="37"/>
      <c r="AA1218" s="37"/>
      <c r="AB1218" s="37"/>
      <c r="AE1218">
        <v>0</v>
      </c>
    </row>
    <row r="1219" spans="1:31" hidden="1">
      <c r="A1219" s="9" t="s">
        <v>1023</v>
      </c>
      <c r="B1219" s="9" t="s">
        <v>1026</v>
      </c>
      <c r="C1219" s="9" t="s">
        <v>105</v>
      </c>
      <c r="D1219" s="9">
        <v>0.92</v>
      </c>
      <c r="E1219" s="9">
        <v>0.02</v>
      </c>
      <c r="F1219" s="9" t="s">
        <v>106</v>
      </c>
      <c r="G1219" s="9" t="s">
        <v>106</v>
      </c>
      <c r="H1219" s="9" t="s">
        <v>106</v>
      </c>
      <c r="I1219" s="9">
        <v>25</v>
      </c>
      <c r="J1219" s="9" t="s">
        <v>107</v>
      </c>
      <c r="K1219" s="9" t="s">
        <v>1016</v>
      </c>
      <c r="L1219" t="str">
        <f>IF(OR(J1219="Cattle",J1219="Zebu Cattle"),IF(COUNTIF(lists!$M$2:$M$258, K1219) &gt; 0,"bos.indicus",IF(COUNTIF(lists!$L$2:$L$258, K1219) &gt; 0,"cross.bred","pure.bred.exotic")),"NA")</f>
        <v>NA</v>
      </c>
      <c r="M1219" t="str">
        <f>IF(J1219="Sheep",IF(COUNTIF(lists!$H$2:$H$258, K1219) &gt; 0,"indigenous",IF(COUNTIF(lists!$G$2:$G$258, K1219) &gt; 0,"cross.bred","not found")),"NA")</f>
        <v>not found</v>
      </c>
      <c r="N1219" t="str">
        <f>IF(J1219="Goat",IF(COUNTIF(lists!$J$2:$J$258, K1219) &gt; 0,"indigenous",IF(COUNTIF(lists!$I$2:$I$258, K1219) &gt; 0,"cross.bred","not found")),"NA")</f>
        <v>NA</v>
      </c>
      <c r="O1219" s="9" t="s">
        <v>109</v>
      </c>
      <c r="P1219" s="9" t="s">
        <v>106</v>
      </c>
      <c r="Q1219" s="9" t="s">
        <v>3808</v>
      </c>
      <c r="S1219" s="9">
        <v>247</v>
      </c>
      <c r="T1219" s="9">
        <v>72</v>
      </c>
      <c r="U1219" s="9">
        <v>162</v>
      </c>
      <c r="V1219" s="9">
        <v>906</v>
      </c>
      <c r="W1219" s="9" t="s">
        <v>106</v>
      </c>
      <c r="X1219" s="9">
        <v>382</v>
      </c>
      <c r="Y1219" s="9" t="s">
        <v>106</v>
      </c>
      <c r="Z1219" s="37"/>
      <c r="AA1219" s="37"/>
      <c r="AB1219" s="37"/>
      <c r="AE1219">
        <v>0</v>
      </c>
    </row>
    <row r="1220" spans="1:31" hidden="1">
      <c r="A1220" s="9" t="s">
        <v>1023</v>
      </c>
      <c r="B1220" s="9" t="s">
        <v>1027</v>
      </c>
      <c r="C1220" s="9" t="s">
        <v>105</v>
      </c>
      <c r="D1220" s="9">
        <v>0.89</v>
      </c>
      <c r="E1220" s="9">
        <v>0.02</v>
      </c>
      <c r="F1220" s="9" t="s">
        <v>106</v>
      </c>
      <c r="G1220" s="9" t="s">
        <v>106</v>
      </c>
      <c r="H1220" s="9" t="s">
        <v>106</v>
      </c>
      <c r="I1220" s="9">
        <v>25</v>
      </c>
      <c r="J1220" s="9" t="s">
        <v>107</v>
      </c>
      <c r="K1220" s="9" t="s">
        <v>1016</v>
      </c>
      <c r="L1220" t="str">
        <f>IF(OR(J1220="Cattle",J1220="Zebu Cattle"),IF(COUNTIF(lists!$M$2:$M$258, K1220) &gt; 0,"bos.indicus",IF(COUNTIF(lists!$L$2:$L$258, K1220) &gt; 0,"cross.bred","pure.bred.exotic")),"NA")</f>
        <v>NA</v>
      </c>
      <c r="M1220" t="str">
        <f>IF(J1220="Sheep",IF(COUNTIF(lists!$H$2:$H$258, K1220) &gt; 0,"indigenous",IF(COUNTIF(lists!$G$2:$G$258, K1220) &gt; 0,"cross.bred","not found")),"NA")</f>
        <v>not found</v>
      </c>
      <c r="N1220" t="str">
        <f>IF(J1220="Goat",IF(COUNTIF(lists!$J$2:$J$258, K1220) &gt; 0,"indigenous",IF(COUNTIF(lists!$I$2:$I$258, K1220) &gt; 0,"cross.bred","not found")),"NA")</f>
        <v>NA</v>
      </c>
      <c r="O1220" s="9" t="s">
        <v>109</v>
      </c>
      <c r="P1220" s="9" t="s">
        <v>106</v>
      </c>
      <c r="Q1220" s="9" t="s">
        <v>3808</v>
      </c>
      <c r="S1220" s="9">
        <v>247</v>
      </c>
      <c r="T1220" s="9">
        <v>76</v>
      </c>
      <c r="U1220" s="9">
        <v>183</v>
      </c>
      <c r="V1220" s="9">
        <v>907</v>
      </c>
      <c r="W1220" s="9" t="s">
        <v>106</v>
      </c>
      <c r="X1220" s="9">
        <v>383</v>
      </c>
      <c r="Y1220" s="9" t="s">
        <v>106</v>
      </c>
      <c r="Z1220" s="37"/>
      <c r="AA1220" s="37"/>
      <c r="AB1220" s="37"/>
      <c r="AE1220">
        <v>0</v>
      </c>
    </row>
    <row r="1221" spans="1:31" hidden="1">
      <c r="A1221" s="9" t="s">
        <v>1029</v>
      </c>
      <c r="B1221" s="9" t="s">
        <v>952</v>
      </c>
      <c r="C1221" s="9" t="s">
        <v>105</v>
      </c>
      <c r="D1221" s="9">
        <v>0.71599999999999997</v>
      </c>
      <c r="E1221" s="9">
        <v>13.9</v>
      </c>
      <c r="F1221" s="9" t="s">
        <v>106</v>
      </c>
      <c r="G1221" s="9" t="s">
        <v>106</v>
      </c>
      <c r="H1221" s="9" t="s">
        <v>106</v>
      </c>
      <c r="J1221" s="9" t="s">
        <v>107</v>
      </c>
      <c r="K1221" s="9" t="s">
        <v>390</v>
      </c>
      <c r="L1221" t="str">
        <f>IF(OR(J1221="Cattle",J1221="Zebu Cattle"),IF(COUNTIF(lists!$M$2:$M$258, K1221) &gt; 0,"bos.indicus",IF(COUNTIF(lists!$L$2:$L$258, K1221) &gt; 0,"cross.bred","pure.bred.exotic")),"NA")</f>
        <v>NA</v>
      </c>
      <c r="M1221" t="str">
        <f>IF(J1221="Sheep",IF(COUNTIF(lists!$H$2:$H$258, K1221) &gt; 0,"indigenous",IF(COUNTIF(lists!$G$2:$G$258, K1221) &gt; 0,"cross.bred","not found")),"NA")</f>
        <v>not found</v>
      </c>
      <c r="N1221" t="str">
        <f>IF(J1221="Goat",IF(COUNTIF(lists!$J$2:$J$258, K1221) &gt; 0,"indigenous",IF(COUNTIF(lists!$I$2:$I$258, K1221) &gt; 0,"cross.bred","not found")),"NA")</f>
        <v>NA</v>
      </c>
      <c r="O1221" s="9" t="s">
        <v>109</v>
      </c>
      <c r="P1221" s="9" t="s">
        <v>170</v>
      </c>
      <c r="S1221" s="9" t="s">
        <v>106</v>
      </c>
      <c r="T1221" s="9" t="s">
        <v>106</v>
      </c>
      <c r="U1221" s="9" t="s">
        <v>106</v>
      </c>
      <c r="V1221" s="9" t="s">
        <v>106</v>
      </c>
      <c r="W1221" s="9" t="s">
        <v>106</v>
      </c>
      <c r="X1221" s="9" t="s">
        <v>106</v>
      </c>
      <c r="Y1221" s="9">
        <v>0.6</v>
      </c>
      <c r="Z1221" s="37"/>
      <c r="AA1221" s="37"/>
      <c r="AB1221" s="37"/>
      <c r="AE1221"/>
    </row>
    <row r="1222" spans="1:31" hidden="1">
      <c r="A1222" s="9" t="s">
        <v>1029</v>
      </c>
      <c r="B1222" s="9" t="s">
        <v>953</v>
      </c>
      <c r="C1222" s="9" t="s">
        <v>105</v>
      </c>
      <c r="D1222" s="9">
        <v>0.83</v>
      </c>
      <c r="E1222" s="9">
        <v>13.9</v>
      </c>
      <c r="F1222" s="9" t="s">
        <v>106</v>
      </c>
      <c r="G1222" s="9" t="s">
        <v>106</v>
      </c>
      <c r="H1222" s="9" t="s">
        <v>106</v>
      </c>
      <c r="J1222" s="9" t="s">
        <v>107</v>
      </c>
      <c r="K1222" s="9" t="s">
        <v>390</v>
      </c>
      <c r="L1222" t="str">
        <f>IF(OR(J1222="Cattle",J1222="Zebu Cattle"),IF(COUNTIF(lists!$M$2:$M$258, K1222) &gt; 0,"bos.indicus",IF(COUNTIF(lists!$L$2:$L$258, K1222) &gt; 0,"cross.bred","pure.bred.exotic")),"NA")</f>
        <v>NA</v>
      </c>
      <c r="M1222" t="str">
        <f>IF(J1222="Sheep",IF(COUNTIF(lists!$H$2:$H$258, K1222) &gt; 0,"indigenous",IF(COUNTIF(lists!$G$2:$G$258, K1222) &gt; 0,"cross.bred","not found")),"NA")</f>
        <v>not found</v>
      </c>
      <c r="N1222" t="str">
        <f>IF(J1222="Goat",IF(COUNTIF(lists!$J$2:$J$258, K1222) &gt; 0,"indigenous",IF(COUNTIF(lists!$I$2:$I$258, K1222) &gt; 0,"cross.bred","not found")),"NA")</f>
        <v>NA</v>
      </c>
      <c r="O1222" s="9" t="s">
        <v>109</v>
      </c>
      <c r="P1222" s="9" t="s">
        <v>170</v>
      </c>
      <c r="S1222" s="9" t="s">
        <v>106</v>
      </c>
      <c r="T1222" s="9" t="s">
        <v>106</v>
      </c>
      <c r="U1222" s="9" t="s">
        <v>106</v>
      </c>
      <c r="V1222" s="9" t="s">
        <v>106</v>
      </c>
      <c r="W1222" s="9" t="s">
        <v>106</v>
      </c>
      <c r="X1222" s="9" t="s">
        <v>106</v>
      </c>
      <c r="Y1222" s="9">
        <v>0.77300000000000002</v>
      </c>
      <c r="Z1222" s="37"/>
      <c r="AA1222" s="37"/>
      <c r="AB1222" s="37"/>
      <c r="AE1222"/>
    </row>
    <row r="1223" spans="1:31" hidden="1">
      <c r="A1223" s="9" t="s">
        <v>1029</v>
      </c>
      <c r="B1223" s="9" t="s">
        <v>954</v>
      </c>
      <c r="C1223" s="9" t="s">
        <v>105</v>
      </c>
      <c r="D1223" s="9">
        <v>0.86699999999999999</v>
      </c>
      <c r="E1223" s="9">
        <v>13.9</v>
      </c>
      <c r="F1223" s="9" t="s">
        <v>106</v>
      </c>
      <c r="G1223" s="9" t="s">
        <v>106</v>
      </c>
      <c r="H1223" s="9" t="s">
        <v>106</v>
      </c>
      <c r="J1223" s="9" t="s">
        <v>107</v>
      </c>
      <c r="K1223" s="9" t="s">
        <v>390</v>
      </c>
      <c r="L1223" t="str">
        <f>IF(OR(J1223="Cattle",J1223="Zebu Cattle"),IF(COUNTIF(lists!$M$2:$M$258, K1223) &gt; 0,"bos.indicus",IF(COUNTIF(lists!$L$2:$L$258, K1223) &gt; 0,"cross.bred","pure.bred.exotic")),"NA")</f>
        <v>NA</v>
      </c>
      <c r="M1223" t="str">
        <f>IF(J1223="Sheep",IF(COUNTIF(lists!$H$2:$H$258, K1223) &gt; 0,"indigenous",IF(COUNTIF(lists!$G$2:$G$258, K1223) &gt; 0,"cross.bred","not found")),"NA")</f>
        <v>not found</v>
      </c>
      <c r="N1223" t="str">
        <f>IF(J1223="Goat",IF(COUNTIF(lists!$J$2:$J$258, K1223) &gt; 0,"indigenous",IF(COUNTIF(lists!$I$2:$I$258, K1223) &gt; 0,"cross.bred","not found")),"NA")</f>
        <v>NA</v>
      </c>
      <c r="O1223" s="9" t="s">
        <v>109</v>
      </c>
      <c r="P1223" s="9" t="s">
        <v>170</v>
      </c>
      <c r="S1223" s="9">
        <v>382</v>
      </c>
      <c r="T1223" s="9">
        <v>141</v>
      </c>
      <c r="U1223" s="9">
        <v>120</v>
      </c>
      <c r="V1223" s="9">
        <v>956</v>
      </c>
      <c r="W1223" s="9" t="s">
        <v>106</v>
      </c>
      <c r="X1223" s="9">
        <v>635</v>
      </c>
      <c r="Y1223" s="9">
        <v>0.78</v>
      </c>
      <c r="Z1223" s="37"/>
      <c r="AA1223" s="37"/>
      <c r="AB1223" s="37"/>
      <c r="AE1223"/>
    </row>
    <row r="1224" spans="1:31" hidden="1">
      <c r="A1224" s="9" t="s">
        <v>1029</v>
      </c>
      <c r="B1224" s="9" t="s">
        <v>955</v>
      </c>
      <c r="C1224" s="9" t="s">
        <v>105</v>
      </c>
      <c r="D1224" s="9">
        <v>0.87</v>
      </c>
      <c r="E1224" s="9">
        <v>13.9</v>
      </c>
      <c r="F1224" s="9" t="s">
        <v>106</v>
      </c>
      <c r="G1224" s="9" t="s">
        <v>106</v>
      </c>
      <c r="H1224" s="9" t="s">
        <v>106</v>
      </c>
      <c r="J1224" s="9" t="s">
        <v>107</v>
      </c>
      <c r="K1224" s="9" t="s">
        <v>390</v>
      </c>
      <c r="L1224" t="str">
        <f>IF(OR(J1224="Cattle",J1224="Zebu Cattle"),IF(COUNTIF(lists!$M$2:$M$258, K1224) &gt; 0,"bos.indicus",IF(COUNTIF(lists!$L$2:$L$258, K1224) &gt; 0,"cross.bred","pure.bred.exotic")),"NA")</f>
        <v>NA</v>
      </c>
      <c r="M1224" t="str">
        <f>IF(J1224="Sheep",IF(COUNTIF(lists!$H$2:$H$258, K1224) &gt; 0,"indigenous",IF(COUNTIF(lists!$G$2:$G$258, K1224) &gt; 0,"cross.bred","not found")),"NA")</f>
        <v>not found</v>
      </c>
      <c r="N1224" t="str">
        <f>IF(J1224="Goat",IF(COUNTIF(lists!$J$2:$J$258, K1224) &gt; 0,"indigenous",IF(COUNTIF(lists!$I$2:$I$258, K1224) &gt; 0,"cross.bred","not found")),"NA")</f>
        <v>NA</v>
      </c>
      <c r="O1224" s="9" t="s">
        <v>109</v>
      </c>
      <c r="P1224" s="9" t="s">
        <v>170</v>
      </c>
      <c r="S1224" s="9">
        <v>383</v>
      </c>
      <c r="T1224" s="9">
        <v>127</v>
      </c>
      <c r="U1224" s="9">
        <v>127</v>
      </c>
      <c r="V1224" s="9">
        <v>938</v>
      </c>
      <c r="W1224" s="9" t="s">
        <v>106</v>
      </c>
      <c r="X1224" s="9">
        <v>611</v>
      </c>
      <c r="Y1224" s="9">
        <v>0.79300000000000004</v>
      </c>
      <c r="Z1224" s="37"/>
      <c r="AA1224" s="37"/>
      <c r="AB1224" s="37"/>
      <c r="AE1224"/>
    </row>
    <row r="1225" spans="1:31" hidden="1">
      <c r="A1225" s="9" t="s">
        <v>1029</v>
      </c>
      <c r="B1225" s="9" t="s">
        <v>957</v>
      </c>
      <c r="C1225" s="9" t="s">
        <v>105</v>
      </c>
      <c r="D1225" s="9">
        <v>0.871</v>
      </c>
      <c r="E1225" s="9">
        <v>13.9</v>
      </c>
      <c r="F1225" s="9" t="s">
        <v>106</v>
      </c>
      <c r="G1225" s="9" t="s">
        <v>106</v>
      </c>
      <c r="H1225" s="9" t="s">
        <v>106</v>
      </c>
      <c r="J1225" s="9" t="s">
        <v>107</v>
      </c>
      <c r="K1225" s="9" t="s">
        <v>390</v>
      </c>
      <c r="L1225" t="str">
        <f>IF(OR(J1225="Cattle",J1225="Zebu Cattle"),IF(COUNTIF(lists!$M$2:$M$258, K1225) &gt; 0,"bos.indicus",IF(COUNTIF(lists!$L$2:$L$258, K1225) &gt; 0,"cross.bred","pure.bred.exotic")),"NA")</f>
        <v>NA</v>
      </c>
      <c r="M1225" t="str">
        <f>IF(J1225="Sheep",IF(COUNTIF(lists!$H$2:$H$258, K1225) &gt; 0,"indigenous",IF(COUNTIF(lists!$G$2:$G$258, K1225) &gt; 0,"cross.bred","not found")),"NA")</f>
        <v>not found</v>
      </c>
      <c r="N1225" t="str">
        <f>IF(J1225="Goat",IF(COUNTIF(lists!$J$2:$J$258, K1225) &gt; 0,"indigenous",IF(COUNTIF(lists!$I$2:$I$258, K1225) &gt; 0,"cross.bred","not found")),"NA")</f>
        <v>NA</v>
      </c>
      <c r="O1225" s="9" t="s">
        <v>109</v>
      </c>
      <c r="P1225" s="9" t="s">
        <v>170</v>
      </c>
      <c r="S1225" s="9" t="s">
        <v>106</v>
      </c>
      <c r="T1225" s="9" t="s">
        <v>106</v>
      </c>
      <c r="U1225" s="9" t="s">
        <v>106</v>
      </c>
      <c r="V1225" s="9" t="s">
        <v>106</v>
      </c>
      <c r="W1225" s="9" t="s">
        <v>106</v>
      </c>
      <c r="X1225" s="9" t="s">
        <v>106</v>
      </c>
      <c r="Y1225" s="9">
        <v>0.77300000000000002</v>
      </c>
      <c r="Z1225" s="37"/>
      <c r="AA1225" s="37"/>
      <c r="AB1225" s="37"/>
      <c r="AE1225"/>
    </row>
    <row r="1226" spans="1:31" hidden="1">
      <c r="A1226" s="9" t="s">
        <v>1030</v>
      </c>
      <c r="B1226" s="9" t="s">
        <v>1031</v>
      </c>
      <c r="C1226" s="9" t="s">
        <v>105</v>
      </c>
      <c r="D1226" s="9">
        <v>0.8569</v>
      </c>
      <c r="E1226" s="9">
        <v>7.39</v>
      </c>
      <c r="F1226" s="9" t="s">
        <v>106</v>
      </c>
      <c r="G1226" s="9" t="s">
        <v>106</v>
      </c>
      <c r="H1226" s="9" t="s">
        <v>106</v>
      </c>
      <c r="J1226" s="9" t="s">
        <v>107</v>
      </c>
      <c r="K1226" s="9" t="s">
        <v>1032</v>
      </c>
      <c r="L1226" t="str">
        <f>IF(OR(J1226="Cattle",J1226="Zebu Cattle"),IF(COUNTIF(lists!$M$2:$M$258, K1226) &gt; 0,"bos.indicus",IF(COUNTIF(lists!$L$2:$L$258, K1226) &gt; 0,"cross.bred","pure.bred.exotic")),"NA")</f>
        <v>NA</v>
      </c>
      <c r="M1226" t="str">
        <f>IF(J1226="Sheep",IF(COUNTIF(lists!$H$2:$H$258, K1226) &gt; 0,"indigenous",IF(COUNTIF(lists!$G$2:$G$258, K1226) &gt; 0,"cross.bred","not found")),"NA")</f>
        <v>not found</v>
      </c>
      <c r="N1226" t="str">
        <f>IF(J1226="Goat",IF(COUNTIF(lists!$J$2:$J$258, K1226) &gt; 0,"indigenous",IF(COUNTIF(lists!$I$2:$I$258, K1226) &gt; 0,"cross.bred","not found")),"NA")</f>
        <v>NA</v>
      </c>
      <c r="O1226" s="9" t="s">
        <v>109</v>
      </c>
      <c r="P1226" s="9" t="s">
        <v>170</v>
      </c>
      <c r="S1226" s="9">
        <v>174.89999999999901</v>
      </c>
      <c r="T1226" s="9">
        <v>95.6</v>
      </c>
      <c r="U1226" s="9">
        <v>247.2</v>
      </c>
      <c r="V1226" s="9">
        <v>915</v>
      </c>
      <c r="W1226" s="9" t="s">
        <v>106</v>
      </c>
      <c r="X1226" s="9">
        <v>284.2</v>
      </c>
      <c r="Y1226" s="9">
        <v>0.59</v>
      </c>
      <c r="Z1226" s="37"/>
      <c r="AA1226" s="37"/>
      <c r="AB1226" s="37"/>
      <c r="AE1226"/>
    </row>
    <row r="1227" spans="1:31" hidden="1">
      <c r="A1227" s="9" t="s">
        <v>1030</v>
      </c>
      <c r="B1227" s="9" t="s">
        <v>1033</v>
      </c>
      <c r="C1227" s="9" t="s">
        <v>105</v>
      </c>
      <c r="D1227" s="9">
        <v>0.77688999999999997</v>
      </c>
      <c r="E1227" s="9">
        <v>7.39</v>
      </c>
      <c r="F1227" s="9" t="s">
        <v>106</v>
      </c>
      <c r="G1227" s="9" t="s">
        <v>106</v>
      </c>
      <c r="H1227" s="9" t="s">
        <v>106</v>
      </c>
      <c r="J1227" s="9" t="s">
        <v>107</v>
      </c>
      <c r="K1227" s="9" t="s">
        <v>1032</v>
      </c>
      <c r="L1227" t="str">
        <f>IF(OR(J1227="Cattle",J1227="Zebu Cattle"),IF(COUNTIF(lists!$M$2:$M$258, K1227) &gt; 0,"bos.indicus",IF(COUNTIF(lists!$L$2:$L$258, K1227) &gt; 0,"cross.bred","pure.bred.exotic")),"NA")</f>
        <v>NA</v>
      </c>
      <c r="M1227" t="str">
        <f>IF(J1227="Sheep",IF(COUNTIF(lists!$H$2:$H$258, K1227) &gt; 0,"indigenous",IF(COUNTIF(lists!$G$2:$G$258, K1227) &gt; 0,"cross.bred","not found")),"NA")</f>
        <v>not found</v>
      </c>
      <c r="N1227" t="str">
        <f>IF(J1227="Goat",IF(COUNTIF(lists!$J$2:$J$258, K1227) &gt; 0,"indigenous",IF(COUNTIF(lists!$I$2:$I$258, K1227) &gt; 0,"cross.bred","not found")),"NA")</f>
        <v>NA</v>
      </c>
      <c r="O1227" s="9" t="s">
        <v>109</v>
      </c>
      <c r="P1227" s="9" t="s">
        <v>170</v>
      </c>
      <c r="S1227" s="9">
        <v>174.89999999999901</v>
      </c>
      <c r="T1227" s="9">
        <v>101.5</v>
      </c>
      <c r="U1227" s="9">
        <v>273.099999999999</v>
      </c>
      <c r="V1227" s="9">
        <v>915</v>
      </c>
      <c r="W1227" s="9" t="s">
        <v>106</v>
      </c>
      <c r="X1227" s="9">
        <v>284.2</v>
      </c>
      <c r="Y1227" s="9">
        <v>0.56000000000000005</v>
      </c>
      <c r="Z1227" s="37"/>
      <c r="AA1227" s="37"/>
      <c r="AB1227" s="37"/>
      <c r="AE1227"/>
    </row>
    <row r="1228" spans="1:31" hidden="1">
      <c r="A1228" s="9" t="s">
        <v>1030</v>
      </c>
      <c r="B1228" s="9" t="s">
        <v>1034</v>
      </c>
      <c r="C1228" s="9" t="s">
        <v>105</v>
      </c>
      <c r="D1228" s="9">
        <v>0.89627999999999997</v>
      </c>
      <c r="E1228" s="9">
        <v>7.39</v>
      </c>
      <c r="F1228" s="9" t="s">
        <v>106</v>
      </c>
      <c r="G1228" s="9" t="s">
        <v>106</v>
      </c>
      <c r="H1228" s="9" t="s">
        <v>106</v>
      </c>
      <c r="J1228" s="9" t="s">
        <v>107</v>
      </c>
      <c r="K1228" s="9" t="s">
        <v>1032</v>
      </c>
      <c r="L1228" t="str">
        <f>IF(OR(J1228="Cattle",J1228="Zebu Cattle"),IF(COUNTIF(lists!$M$2:$M$258, K1228) &gt; 0,"bos.indicus",IF(COUNTIF(lists!$L$2:$L$258, K1228) &gt; 0,"cross.bred","pure.bred.exotic")),"NA")</f>
        <v>NA</v>
      </c>
      <c r="M1228" t="str">
        <f>IF(J1228="Sheep",IF(COUNTIF(lists!$H$2:$H$258, K1228) &gt; 0,"indigenous",IF(COUNTIF(lists!$G$2:$G$258, K1228) &gt; 0,"cross.bred","not found")),"NA")</f>
        <v>not found</v>
      </c>
      <c r="N1228" t="str">
        <f>IF(J1228="Goat",IF(COUNTIF(lists!$J$2:$J$258, K1228) &gt; 0,"indigenous",IF(COUNTIF(lists!$I$2:$I$258, K1228) &gt; 0,"cross.bred","not found")),"NA")</f>
        <v>NA</v>
      </c>
      <c r="O1228" s="9" t="s">
        <v>109</v>
      </c>
      <c r="P1228" s="9" t="s">
        <v>170</v>
      </c>
      <c r="S1228" s="9">
        <v>185.7</v>
      </c>
      <c r="T1228" s="9">
        <v>95.6</v>
      </c>
      <c r="U1228" s="9">
        <v>245.2</v>
      </c>
      <c r="V1228" s="9">
        <v>915</v>
      </c>
      <c r="W1228" s="9" t="s">
        <v>106</v>
      </c>
      <c r="X1228" s="9">
        <v>295</v>
      </c>
      <c r="Y1228" s="9">
        <v>0.59</v>
      </c>
      <c r="Z1228" s="37"/>
      <c r="AA1228" s="37"/>
      <c r="AB1228" s="37"/>
      <c r="AE1228"/>
    </row>
    <row r="1229" spans="1:31" hidden="1">
      <c r="A1229" s="9" t="s">
        <v>1030</v>
      </c>
      <c r="B1229" s="9" t="s">
        <v>1035</v>
      </c>
      <c r="C1229" s="9" t="s">
        <v>105</v>
      </c>
      <c r="D1229" s="9">
        <v>0.91655999999999904</v>
      </c>
      <c r="E1229" s="9">
        <v>7.39</v>
      </c>
      <c r="F1229" s="9" t="s">
        <v>106</v>
      </c>
      <c r="G1229" s="9" t="s">
        <v>106</v>
      </c>
      <c r="H1229" s="9" t="s">
        <v>106</v>
      </c>
      <c r="J1229" s="9" t="s">
        <v>107</v>
      </c>
      <c r="K1229" s="9" t="s">
        <v>1032</v>
      </c>
      <c r="L1229" t="str">
        <f>IF(OR(J1229="Cattle",J1229="Zebu Cattle"),IF(COUNTIF(lists!$M$2:$M$258, K1229) &gt; 0,"bos.indicus",IF(COUNTIF(lists!$L$2:$L$258, K1229) &gt; 0,"cross.bred","pure.bred.exotic")),"NA")</f>
        <v>NA</v>
      </c>
      <c r="M1229" t="str">
        <f>IF(J1229="Sheep",IF(COUNTIF(lists!$H$2:$H$258, K1229) &gt; 0,"indigenous",IF(COUNTIF(lists!$G$2:$G$258, K1229) &gt; 0,"cross.bred","not found")),"NA")</f>
        <v>not found</v>
      </c>
      <c r="N1229" t="str">
        <f>IF(J1229="Goat",IF(COUNTIF(lists!$J$2:$J$258, K1229) &gt; 0,"indigenous",IF(COUNTIF(lists!$I$2:$I$258, K1229) &gt; 0,"cross.bred","not found")),"NA")</f>
        <v>NA</v>
      </c>
      <c r="O1229" s="9" t="s">
        <v>109</v>
      </c>
      <c r="P1229" s="9" t="s">
        <v>170</v>
      </c>
      <c r="S1229" s="9">
        <v>175.79999999999899</v>
      </c>
      <c r="T1229" s="9">
        <v>78.5</v>
      </c>
      <c r="U1229" s="9">
        <v>244.9</v>
      </c>
      <c r="V1229" s="9">
        <v>910</v>
      </c>
      <c r="W1229" s="9" t="s">
        <v>106</v>
      </c>
      <c r="X1229" s="9">
        <v>263.7</v>
      </c>
      <c r="Y1229" s="9">
        <v>0.56000000000000005</v>
      </c>
      <c r="Z1229" s="37"/>
      <c r="AA1229" s="37"/>
      <c r="AB1229" s="37"/>
      <c r="AE1229"/>
    </row>
    <row r="1230" spans="1:31" hidden="1">
      <c r="A1230" s="9" t="s">
        <v>1030</v>
      </c>
      <c r="B1230" s="9" t="s">
        <v>1036</v>
      </c>
      <c r="C1230" s="9" t="s">
        <v>105</v>
      </c>
      <c r="D1230" s="9">
        <v>0.82547000000000004</v>
      </c>
      <c r="E1230" s="9">
        <v>7.39</v>
      </c>
      <c r="F1230" s="9" t="s">
        <v>106</v>
      </c>
      <c r="G1230" s="9" t="s">
        <v>106</v>
      </c>
      <c r="H1230" s="9" t="s">
        <v>106</v>
      </c>
      <c r="J1230" s="9" t="s">
        <v>107</v>
      </c>
      <c r="K1230" s="9" t="s">
        <v>1032</v>
      </c>
      <c r="L1230" t="str">
        <f>IF(OR(J1230="Cattle",J1230="Zebu Cattle"),IF(COUNTIF(lists!$M$2:$M$258, K1230) &gt; 0,"bos.indicus",IF(COUNTIF(lists!$L$2:$L$258, K1230) &gt; 0,"cross.bred","pure.bred.exotic")),"NA")</f>
        <v>NA</v>
      </c>
      <c r="M1230" t="str">
        <f>IF(J1230="Sheep",IF(COUNTIF(lists!$H$2:$H$258, K1230) &gt; 0,"indigenous",IF(COUNTIF(lists!$G$2:$G$258, K1230) &gt; 0,"cross.bred","not found")),"NA")</f>
        <v>not found</v>
      </c>
      <c r="N1230" t="str">
        <f>IF(J1230="Goat",IF(COUNTIF(lists!$J$2:$J$258, K1230) &gt; 0,"indigenous",IF(COUNTIF(lists!$I$2:$I$258, K1230) &gt; 0,"cross.bred","not found")),"NA")</f>
        <v>NA</v>
      </c>
      <c r="O1230" s="9" t="s">
        <v>109</v>
      </c>
      <c r="P1230" s="9" t="s">
        <v>170</v>
      </c>
      <c r="S1230" s="9">
        <v>183.7</v>
      </c>
      <c r="T1230" s="9">
        <v>105.8</v>
      </c>
      <c r="U1230" s="9">
        <v>276.2</v>
      </c>
      <c r="V1230" s="9">
        <v>925</v>
      </c>
      <c r="W1230" s="9" t="s">
        <v>106</v>
      </c>
      <c r="X1230" s="9">
        <v>302.7</v>
      </c>
      <c r="Y1230" s="9">
        <v>0.56000000000000005</v>
      </c>
      <c r="Z1230" s="37"/>
      <c r="AA1230" s="37"/>
      <c r="AB1230" s="37"/>
      <c r="AE1230"/>
    </row>
    <row r="1231" spans="1:31" hidden="1">
      <c r="A1231" s="9" t="s">
        <v>1071</v>
      </c>
      <c r="B1231" s="9" t="s">
        <v>1072</v>
      </c>
      <c r="C1231" s="9" t="s">
        <v>105</v>
      </c>
      <c r="D1231" s="9">
        <v>1.40126</v>
      </c>
      <c r="E1231" s="9" t="s">
        <v>106</v>
      </c>
      <c r="F1231" s="9" t="s">
        <v>106</v>
      </c>
      <c r="G1231" s="9" t="s">
        <v>106</v>
      </c>
      <c r="H1231" s="9" t="s">
        <v>106</v>
      </c>
      <c r="J1231" s="9" t="s">
        <v>107</v>
      </c>
      <c r="K1231" s="9" t="s">
        <v>1073</v>
      </c>
      <c r="L1231" t="str">
        <f>IF(OR(J1231="Cattle",J1231="Zebu Cattle"),IF(COUNTIF(lists!$M$2:$M$258, K1231) &gt; 0,"bos.indicus",IF(COUNTIF(lists!$L$2:$L$258, K1231) &gt; 0,"cross.bred","pure.bred.exotic")),"NA")</f>
        <v>NA</v>
      </c>
      <c r="M1231" t="str">
        <f>IF(J1231="Sheep",IF(COUNTIF(lists!$H$2:$H$258, K1231) &gt; 0,"indigenous",IF(COUNTIF(lists!$G$2:$G$258, K1231) &gt; 0,"cross.bred","not found")),"NA")</f>
        <v>not found</v>
      </c>
      <c r="N1231" t="str">
        <f>IF(J1231="Goat",IF(COUNTIF(lists!$J$2:$J$258, K1231) &gt; 0,"indigenous",IF(COUNTIF(lists!$I$2:$I$258, K1231) &gt; 0,"cross.bred","not found")),"NA")</f>
        <v>NA</v>
      </c>
      <c r="O1231" s="9" t="s">
        <v>124</v>
      </c>
      <c r="P1231" s="9" t="s">
        <v>177</v>
      </c>
      <c r="S1231" s="9" t="s">
        <v>106</v>
      </c>
      <c r="T1231" s="9" t="s">
        <v>106</v>
      </c>
      <c r="U1231" s="9">
        <v>145</v>
      </c>
      <c r="V1231" s="9">
        <v>911</v>
      </c>
      <c r="W1231" s="9" t="s">
        <v>106</v>
      </c>
      <c r="X1231" s="9" t="s">
        <v>106</v>
      </c>
      <c r="Y1231" s="9" t="s">
        <v>106</v>
      </c>
      <c r="Z1231" s="37"/>
      <c r="AA1231" s="37"/>
      <c r="AB1231" s="37"/>
      <c r="AE1231"/>
    </row>
    <row r="1232" spans="1:31" hidden="1">
      <c r="A1232" s="9" t="s">
        <v>1071</v>
      </c>
      <c r="B1232" s="9" t="s">
        <v>1074</v>
      </c>
      <c r="C1232" s="9" t="s">
        <v>105</v>
      </c>
      <c r="D1232" s="9">
        <v>1.45706</v>
      </c>
      <c r="E1232" s="9" t="s">
        <v>106</v>
      </c>
      <c r="F1232" s="9" t="s">
        <v>106</v>
      </c>
      <c r="G1232" s="9" t="s">
        <v>106</v>
      </c>
      <c r="H1232" s="9" t="s">
        <v>106</v>
      </c>
      <c r="J1232" s="9" t="s">
        <v>107</v>
      </c>
      <c r="K1232" s="9" t="s">
        <v>1073</v>
      </c>
      <c r="L1232" t="str">
        <f>IF(OR(J1232="Cattle",J1232="Zebu Cattle"),IF(COUNTIF(lists!$M$2:$M$258, K1232) &gt; 0,"bos.indicus",IF(COUNTIF(lists!$L$2:$L$258, K1232) &gt; 0,"cross.bred","pure.bred.exotic")),"NA")</f>
        <v>NA</v>
      </c>
      <c r="M1232" t="str">
        <f>IF(J1232="Sheep",IF(COUNTIF(lists!$H$2:$H$258, K1232) &gt; 0,"indigenous",IF(COUNTIF(lists!$G$2:$G$258, K1232) &gt; 0,"cross.bred","not found")),"NA")</f>
        <v>not found</v>
      </c>
      <c r="N1232" t="str">
        <f>IF(J1232="Goat",IF(COUNTIF(lists!$J$2:$J$258, K1232) &gt; 0,"indigenous",IF(COUNTIF(lists!$I$2:$I$258, K1232) &gt; 0,"cross.bred","not found")),"NA")</f>
        <v>NA</v>
      </c>
      <c r="O1232" s="9" t="s">
        <v>124</v>
      </c>
      <c r="P1232" s="9" t="s">
        <v>177</v>
      </c>
      <c r="S1232" s="9" t="s">
        <v>106</v>
      </c>
      <c r="T1232" s="9" t="s">
        <v>106</v>
      </c>
      <c r="U1232" s="9">
        <v>139</v>
      </c>
      <c r="V1232" s="9">
        <v>915</v>
      </c>
      <c r="W1232" s="9" t="s">
        <v>106</v>
      </c>
      <c r="X1232" s="9" t="s">
        <v>106</v>
      </c>
      <c r="Y1232" s="9" t="s">
        <v>106</v>
      </c>
      <c r="Z1232" s="37"/>
      <c r="AA1232" s="37"/>
      <c r="AB1232" s="37"/>
      <c r="AE1232"/>
    </row>
    <row r="1233" spans="1:31" hidden="1">
      <c r="A1233" s="9" t="s">
        <v>1071</v>
      </c>
      <c r="B1233" s="9" t="s">
        <v>1075</v>
      </c>
      <c r="C1233" s="9" t="s">
        <v>105</v>
      </c>
      <c r="D1233" s="9">
        <v>1.45906</v>
      </c>
      <c r="E1233" s="9" t="s">
        <v>106</v>
      </c>
      <c r="F1233" s="9" t="s">
        <v>106</v>
      </c>
      <c r="G1233" s="9" t="s">
        <v>106</v>
      </c>
      <c r="H1233" s="9" t="s">
        <v>106</v>
      </c>
      <c r="J1233" s="9" t="s">
        <v>107</v>
      </c>
      <c r="K1233" s="9" t="s">
        <v>1073</v>
      </c>
      <c r="L1233" t="str">
        <f>IF(OR(J1233="Cattle",J1233="Zebu Cattle"),IF(COUNTIF(lists!$M$2:$M$258, K1233) &gt; 0,"bos.indicus",IF(COUNTIF(lists!$L$2:$L$258, K1233) &gt; 0,"cross.bred","pure.bred.exotic")),"NA")</f>
        <v>NA</v>
      </c>
      <c r="M1233" t="str">
        <f>IF(J1233="Sheep",IF(COUNTIF(lists!$H$2:$H$258, K1233) &gt; 0,"indigenous",IF(COUNTIF(lists!$G$2:$G$258, K1233) &gt; 0,"cross.bred","not found")),"NA")</f>
        <v>not found</v>
      </c>
      <c r="N1233" t="str">
        <f>IF(J1233="Goat",IF(COUNTIF(lists!$J$2:$J$258, K1233) &gt; 0,"indigenous",IF(COUNTIF(lists!$I$2:$I$258, K1233) &gt; 0,"cross.bred","not found")),"NA")</f>
        <v>NA</v>
      </c>
      <c r="O1233" s="9" t="s">
        <v>124</v>
      </c>
      <c r="P1233" s="9" t="s">
        <v>177</v>
      </c>
      <c r="S1233" s="9" t="s">
        <v>106</v>
      </c>
      <c r="T1233" s="9" t="s">
        <v>106</v>
      </c>
      <c r="U1233" s="9">
        <v>143</v>
      </c>
      <c r="V1233" s="9">
        <v>892</v>
      </c>
      <c r="W1233" s="9" t="s">
        <v>106</v>
      </c>
      <c r="X1233" s="9" t="s">
        <v>106</v>
      </c>
      <c r="Y1233" s="9" t="s">
        <v>106</v>
      </c>
      <c r="Z1233" s="37"/>
      <c r="AA1233" s="37"/>
      <c r="AB1233" s="37"/>
      <c r="AE1233"/>
    </row>
    <row r="1234" spans="1:31" hidden="1">
      <c r="A1234" s="9" t="s">
        <v>1089</v>
      </c>
      <c r="B1234" s="9" t="s">
        <v>1090</v>
      </c>
      <c r="C1234" s="9" t="s">
        <v>105</v>
      </c>
      <c r="D1234" s="9">
        <v>0.73399999999999999</v>
      </c>
      <c r="E1234" s="9" t="s">
        <v>106</v>
      </c>
      <c r="F1234" s="9" t="s">
        <v>106</v>
      </c>
      <c r="G1234" s="9" t="s">
        <v>106</v>
      </c>
      <c r="H1234" s="9" t="s">
        <v>106</v>
      </c>
      <c r="I1234" s="9">
        <v>15</v>
      </c>
      <c r="J1234" s="9" t="s">
        <v>107</v>
      </c>
      <c r="K1234" s="9" t="s">
        <v>117</v>
      </c>
      <c r="L1234" t="str">
        <f>IF(OR(J1234="Cattle",J1234="Zebu Cattle"),IF(COUNTIF(lists!$M$2:$M$258, K1234) &gt; 0,"bos.indicus",IF(COUNTIF(lists!$L$2:$L$258, K1234) &gt; 0,"cross.bred","pure.bred.exotic")),"NA")</f>
        <v>NA</v>
      </c>
      <c r="M1234" t="str">
        <f>IF(J1234="Sheep",IF(COUNTIF(lists!$H$2:$H$258, K1234) &gt; 0,"indigenous",IF(COUNTIF(lists!$G$2:$G$258, K1234) &gt; 0,"cross.bred","not found")),"NA")</f>
        <v>not found</v>
      </c>
      <c r="N1234" t="str">
        <f>IF(J1234="Goat",IF(COUNTIF(lists!$J$2:$J$258, K1234) &gt; 0,"indigenous",IF(COUNTIF(lists!$I$2:$I$258, K1234) &gt; 0,"cross.bred","not found")),"NA")</f>
        <v>NA</v>
      </c>
      <c r="O1234" s="9" t="s">
        <v>109</v>
      </c>
      <c r="P1234" s="9" t="s">
        <v>106</v>
      </c>
      <c r="Q1234" s="9" t="s">
        <v>3806</v>
      </c>
      <c r="S1234" s="9" t="s">
        <v>106</v>
      </c>
      <c r="T1234" s="9" t="s">
        <v>106</v>
      </c>
      <c r="U1234" s="9" t="s">
        <v>106</v>
      </c>
      <c r="V1234" s="9" t="s">
        <v>106</v>
      </c>
      <c r="W1234" s="9" t="s">
        <v>106</v>
      </c>
      <c r="X1234" s="9" t="s">
        <v>106</v>
      </c>
      <c r="Y1234" s="9" t="s">
        <v>106</v>
      </c>
      <c r="Z1234" s="37"/>
      <c r="AA1234" s="37"/>
      <c r="AB1234" s="37"/>
      <c r="AE1234">
        <v>0</v>
      </c>
    </row>
    <row r="1235" spans="1:31" hidden="1">
      <c r="A1235" s="9" t="s">
        <v>1089</v>
      </c>
      <c r="B1235" s="9" t="s">
        <v>455</v>
      </c>
      <c r="C1235" s="9" t="s">
        <v>105</v>
      </c>
      <c r="D1235" s="9">
        <v>0.83</v>
      </c>
      <c r="E1235" s="9" t="s">
        <v>106</v>
      </c>
      <c r="F1235" s="9" t="s">
        <v>106</v>
      </c>
      <c r="G1235" s="9" t="s">
        <v>106</v>
      </c>
      <c r="H1235" s="9" t="s">
        <v>106</v>
      </c>
      <c r="I1235" s="9">
        <v>15</v>
      </c>
      <c r="J1235" s="9" t="s">
        <v>107</v>
      </c>
      <c r="K1235" s="9" t="s">
        <v>117</v>
      </c>
      <c r="L1235" t="str">
        <f>IF(OR(J1235="Cattle",J1235="Zebu Cattle"),IF(COUNTIF(lists!$M$2:$M$258, K1235) &gt; 0,"bos.indicus",IF(COUNTIF(lists!$L$2:$L$258, K1235) &gt; 0,"cross.bred","pure.bred.exotic")),"NA")</f>
        <v>NA</v>
      </c>
      <c r="M1235" t="str">
        <f>IF(J1235="Sheep",IF(COUNTIF(lists!$H$2:$H$258, K1235) &gt; 0,"indigenous",IF(COUNTIF(lists!$G$2:$G$258, K1235) &gt; 0,"cross.bred","not found")),"NA")</f>
        <v>not found</v>
      </c>
      <c r="N1235" t="str">
        <f>IF(J1235="Goat",IF(COUNTIF(lists!$J$2:$J$258, K1235) &gt; 0,"indigenous",IF(COUNTIF(lists!$I$2:$I$258, K1235) &gt; 0,"cross.bred","not found")),"NA")</f>
        <v>NA</v>
      </c>
      <c r="O1235" s="9" t="s">
        <v>109</v>
      </c>
      <c r="P1235" s="9" t="s">
        <v>106</v>
      </c>
      <c r="Q1235" s="9" t="s">
        <v>3806</v>
      </c>
      <c r="S1235" s="9" t="s">
        <v>106</v>
      </c>
      <c r="T1235" s="9" t="s">
        <v>106</v>
      </c>
      <c r="U1235" s="9" t="s">
        <v>106</v>
      </c>
      <c r="V1235" s="9" t="s">
        <v>106</v>
      </c>
      <c r="W1235" s="9" t="s">
        <v>106</v>
      </c>
      <c r="X1235" s="9" t="s">
        <v>106</v>
      </c>
      <c r="Y1235" s="9" t="s">
        <v>106</v>
      </c>
      <c r="Z1235" s="37"/>
      <c r="AA1235" s="37"/>
      <c r="AB1235" s="37"/>
      <c r="AE1235">
        <v>0</v>
      </c>
    </row>
    <row r="1236" spans="1:31" hidden="1">
      <c r="A1236" s="9" t="s">
        <v>1089</v>
      </c>
      <c r="B1236" s="9" t="s">
        <v>1091</v>
      </c>
      <c r="C1236" s="9" t="s">
        <v>105</v>
      </c>
      <c r="D1236" s="9">
        <v>0.75</v>
      </c>
      <c r="E1236" s="9" t="s">
        <v>106</v>
      </c>
      <c r="F1236" s="9" t="s">
        <v>106</v>
      </c>
      <c r="G1236" s="9" t="s">
        <v>106</v>
      </c>
      <c r="H1236" s="9" t="s">
        <v>106</v>
      </c>
      <c r="I1236" s="9">
        <v>15</v>
      </c>
      <c r="J1236" s="9" t="s">
        <v>107</v>
      </c>
      <c r="K1236" s="9" t="s">
        <v>117</v>
      </c>
      <c r="L1236" t="str">
        <f>IF(OR(J1236="Cattle",J1236="Zebu Cattle"),IF(COUNTIF(lists!$M$2:$M$258, K1236) &gt; 0,"bos.indicus",IF(COUNTIF(lists!$L$2:$L$258, K1236) &gt; 0,"cross.bred","pure.bred.exotic")),"NA")</f>
        <v>NA</v>
      </c>
      <c r="M1236" t="str">
        <f>IF(J1236="Sheep",IF(COUNTIF(lists!$H$2:$H$258, K1236) &gt; 0,"indigenous",IF(COUNTIF(lists!$G$2:$G$258, K1236) &gt; 0,"cross.bred","not found")),"NA")</f>
        <v>not found</v>
      </c>
      <c r="N1236" t="str">
        <f>IF(J1236="Goat",IF(COUNTIF(lists!$J$2:$J$258, K1236) &gt; 0,"indigenous",IF(COUNTIF(lists!$I$2:$I$258, K1236) &gt; 0,"cross.bred","not found")),"NA")</f>
        <v>NA</v>
      </c>
      <c r="O1236" s="9" t="s">
        <v>109</v>
      </c>
      <c r="P1236" s="9" t="s">
        <v>106</v>
      </c>
      <c r="Q1236" s="9" t="s">
        <v>3806</v>
      </c>
      <c r="S1236" s="9" t="s">
        <v>106</v>
      </c>
      <c r="T1236" s="9" t="s">
        <v>106</v>
      </c>
      <c r="U1236" s="9" t="s">
        <v>106</v>
      </c>
      <c r="V1236" s="9" t="s">
        <v>106</v>
      </c>
      <c r="W1236" s="9" t="s">
        <v>106</v>
      </c>
      <c r="X1236" s="9" t="s">
        <v>106</v>
      </c>
      <c r="Y1236" s="9" t="s">
        <v>106</v>
      </c>
      <c r="Z1236" s="37"/>
      <c r="AA1236" s="37"/>
      <c r="AB1236" s="37"/>
      <c r="AE1236">
        <v>0</v>
      </c>
    </row>
    <row r="1237" spans="1:31" hidden="1">
      <c r="A1237" s="9" t="s">
        <v>1089</v>
      </c>
      <c r="B1237" s="9" t="s">
        <v>1092</v>
      </c>
      <c r="C1237" s="9" t="s">
        <v>105</v>
      </c>
      <c r="D1237" s="9">
        <v>0.85639999999999905</v>
      </c>
      <c r="E1237" s="9" t="s">
        <v>106</v>
      </c>
      <c r="F1237" s="9" t="s">
        <v>106</v>
      </c>
      <c r="G1237" s="9" t="s">
        <v>106</v>
      </c>
      <c r="H1237" s="9" t="s">
        <v>106</v>
      </c>
      <c r="I1237" s="9">
        <v>15</v>
      </c>
      <c r="J1237" s="9" t="s">
        <v>107</v>
      </c>
      <c r="K1237" s="9" t="s">
        <v>117</v>
      </c>
      <c r="L1237" t="str">
        <f>IF(OR(J1237="Cattle",J1237="Zebu Cattle"),IF(COUNTIF(lists!$M$2:$M$258, K1237) &gt; 0,"bos.indicus",IF(COUNTIF(lists!$L$2:$L$258, K1237) &gt; 0,"cross.bred","pure.bred.exotic")),"NA")</f>
        <v>NA</v>
      </c>
      <c r="M1237" t="str">
        <f>IF(J1237="Sheep",IF(COUNTIF(lists!$H$2:$H$258, K1237) &gt; 0,"indigenous",IF(COUNTIF(lists!$G$2:$G$258, K1237) &gt; 0,"cross.bred","not found")),"NA")</f>
        <v>not found</v>
      </c>
      <c r="N1237" t="str">
        <f>IF(J1237="Goat",IF(COUNTIF(lists!$J$2:$J$258, K1237) &gt; 0,"indigenous",IF(COUNTIF(lists!$I$2:$I$258, K1237) &gt; 0,"cross.bred","not found")),"NA")</f>
        <v>NA</v>
      </c>
      <c r="O1237" s="9" t="s">
        <v>109</v>
      </c>
      <c r="P1237" s="9" t="s">
        <v>106</v>
      </c>
      <c r="Q1237" s="9" t="s">
        <v>3806</v>
      </c>
      <c r="S1237" s="9" t="s">
        <v>106</v>
      </c>
      <c r="T1237" s="9" t="s">
        <v>106</v>
      </c>
      <c r="U1237" s="9" t="s">
        <v>106</v>
      </c>
      <c r="V1237" s="9" t="s">
        <v>106</v>
      </c>
      <c r="W1237" s="9" t="s">
        <v>106</v>
      </c>
      <c r="X1237" s="9" t="s">
        <v>106</v>
      </c>
      <c r="Y1237" s="9" t="s">
        <v>106</v>
      </c>
      <c r="Z1237" s="37"/>
      <c r="AA1237" s="37"/>
      <c r="AB1237" s="37"/>
      <c r="AE1237">
        <v>0</v>
      </c>
    </row>
    <row r="1238" spans="1:31" hidden="1">
      <c r="A1238" s="9" t="s">
        <v>1089</v>
      </c>
      <c r="B1238" s="9" t="s">
        <v>1093</v>
      </c>
      <c r="C1238" s="9" t="s">
        <v>105</v>
      </c>
      <c r="D1238" s="9">
        <v>0.68700000000000006</v>
      </c>
      <c r="E1238" s="9" t="s">
        <v>106</v>
      </c>
      <c r="F1238" s="9" t="s">
        <v>106</v>
      </c>
      <c r="G1238" s="9" t="s">
        <v>106</v>
      </c>
      <c r="H1238" s="9" t="s">
        <v>106</v>
      </c>
      <c r="I1238" s="9">
        <v>15</v>
      </c>
      <c r="J1238" s="9" t="s">
        <v>107</v>
      </c>
      <c r="K1238" s="9" t="s">
        <v>117</v>
      </c>
      <c r="L1238" t="str">
        <f>IF(OR(J1238="Cattle",J1238="Zebu Cattle"),IF(COUNTIF(lists!$M$2:$M$258, K1238) &gt; 0,"bos.indicus",IF(COUNTIF(lists!$L$2:$L$258, K1238) &gt; 0,"cross.bred","pure.bred.exotic")),"NA")</f>
        <v>NA</v>
      </c>
      <c r="M1238" t="str">
        <f>IF(J1238="Sheep",IF(COUNTIF(lists!$H$2:$H$258, K1238) &gt; 0,"indigenous",IF(COUNTIF(lists!$G$2:$G$258, K1238) &gt; 0,"cross.bred","not found")),"NA")</f>
        <v>not found</v>
      </c>
      <c r="N1238" t="str">
        <f>IF(J1238="Goat",IF(COUNTIF(lists!$J$2:$J$258, K1238) &gt; 0,"indigenous",IF(COUNTIF(lists!$I$2:$I$258, K1238) &gt; 0,"cross.bred","not found")),"NA")</f>
        <v>NA</v>
      </c>
      <c r="O1238" s="9" t="s">
        <v>109</v>
      </c>
      <c r="P1238" s="9" t="s">
        <v>106</v>
      </c>
      <c r="Q1238" s="9" t="s">
        <v>3806</v>
      </c>
      <c r="S1238" s="9" t="s">
        <v>106</v>
      </c>
      <c r="T1238" s="9" t="s">
        <v>106</v>
      </c>
      <c r="U1238" s="9" t="s">
        <v>106</v>
      </c>
      <c r="V1238" s="9" t="s">
        <v>106</v>
      </c>
      <c r="W1238" s="9" t="s">
        <v>106</v>
      </c>
      <c r="X1238" s="9" t="s">
        <v>106</v>
      </c>
      <c r="Y1238" s="9" t="s">
        <v>106</v>
      </c>
      <c r="Z1238" s="37"/>
      <c r="AA1238" s="37"/>
      <c r="AB1238" s="37"/>
      <c r="AE1238">
        <v>0</v>
      </c>
    </row>
    <row r="1239" spans="1:31" hidden="1">
      <c r="A1239" s="9" t="s">
        <v>1097</v>
      </c>
      <c r="B1239" s="9" t="s">
        <v>1098</v>
      </c>
      <c r="C1239" s="9" t="s">
        <v>105</v>
      </c>
      <c r="D1239" s="9">
        <v>1.3140999999999901</v>
      </c>
      <c r="E1239" s="9">
        <v>1.919</v>
      </c>
      <c r="F1239" s="9" t="s">
        <v>106</v>
      </c>
      <c r="G1239" s="9" t="s">
        <v>106</v>
      </c>
      <c r="H1239" s="9" t="s">
        <v>106</v>
      </c>
      <c r="J1239" s="9" t="s">
        <v>107</v>
      </c>
      <c r="K1239" s="9" t="s">
        <v>108</v>
      </c>
      <c r="L1239" t="str">
        <f>IF(OR(J1239="Cattle",J1239="Zebu Cattle"),IF(COUNTIF(lists!$M$2:$M$258, K1239) &gt; 0,"bos.indicus",IF(COUNTIF(lists!$L$2:$L$258, K1239) &gt; 0,"cross.bred","pure.bred.exotic")),"NA")</f>
        <v>NA</v>
      </c>
      <c r="M1239" t="str">
        <f>IF(J1239="Sheep",IF(COUNTIF(lists!$H$2:$H$258, K1239) &gt; 0,"indigenous",IF(COUNTIF(lists!$G$2:$G$258, K1239) &gt; 0,"cross.bred","not found")),"NA")</f>
        <v>indigenous</v>
      </c>
      <c r="N1239" t="str">
        <f>IF(J1239="Goat",IF(COUNTIF(lists!$J$2:$J$258, K1239) &gt; 0,"indigenous",IF(COUNTIF(lists!$I$2:$I$258, K1239) &gt; 0,"cross.bred","not found")),"NA")</f>
        <v>NA</v>
      </c>
      <c r="O1239" s="9" t="s">
        <v>109</v>
      </c>
      <c r="P1239" s="9" t="s">
        <v>177</v>
      </c>
      <c r="S1239" s="9">
        <v>328.4</v>
      </c>
      <c r="T1239" s="9">
        <v>110.7</v>
      </c>
      <c r="U1239" s="9">
        <v>118.6</v>
      </c>
      <c r="V1239" s="9">
        <v>906.9</v>
      </c>
      <c r="W1239" s="9">
        <v>26.1</v>
      </c>
      <c r="X1239" s="9" t="s">
        <v>106</v>
      </c>
      <c r="Y1239" s="9" t="s">
        <v>106</v>
      </c>
      <c r="Z1239" s="37"/>
      <c r="AA1239" s="37"/>
      <c r="AB1239" s="37"/>
      <c r="AE1239"/>
    </row>
    <row r="1240" spans="1:31" hidden="1">
      <c r="A1240" s="9" t="s">
        <v>1097</v>
      </c>
      <c r="B1240" s="9" t="s">
        <v>1099</v>
      </c>
      <c r="C1240" s="9" t="s">
        <v>105</v>
      </c>
      <c r="D1240" s="9">
        <v>1.3066800000000001</v>
      </c>
      <c r="E1240" s="9">
        <v>1.919</v>
      </c>
      <c r="F1240" s="9" t="s">
        <v>106</v>
      </c>
      <c r="G1240" s="9" t="s">
        <v>106</v>
      </c>
      <c r="H1240" s="9" t="s">
        <v>106</v>
      </c>
      <c r="J1240" s="9" t="s">
        <v>107</v>
      </c>
      <c r="K1240" s="9" t="s">
        <v>108</v>
      </c>
      <c r="L1240" t="str">
        <f>IF(OR(J1240="Cattle",J1240="Zebu Cattle"),IF(COUNTIF(lists!$M$2:$M$258, K1240) &gt; 0,"bos.indicus",IF(COUNTIF(lists!$L$2:$L$258, K1240) &gt; 0,"cross.bred","pure.bred.exotic")),"NA")</f>
        <v>NA</v>
      </c>
      <c r="M1240" t="str">
        <f>IF(J1240="Sheep",IF(COUNTIF(lists!$H$2:$H$258, K1240) &gt; 0,"indigenous",IF(COUNTIF(lists!$G$2:$G$258, K1240) &gt; 0,"cross.bred","not found")),"NA")</f>
        <v>indigenous</v>
      </c>
      <c r="N1240" t="str">
        <f>IF(J1240="Goat",IF(COUNTIF(lists!$J$2:$J$258, K1240) &gt; 0,"indigenous",IF(COUNTIF(lists!$I$2:$I$258, K1240) &gt; 0,"cross.bred","not found")),"NA")</f>
        <v>NA</v>
      </c>
      <c r="O1240" s="9" t="s">
        <v>109</v>
      </c>
      <c r="P1240" s="9" t="s">
        <v>177</v>
      </c>
      <c r="S1240" s="9">
        <v>313.29999999999899</v>
      </c>
      <c r="T1240" s="9">
        <v>95.6</v>
      </c>
      <c r="U1240" s="9">
        <v>145.39999999999901</v>
      </c>
      <c r="V1240" s="9">
        <v>912.2</v>
      </c>
      <c r="W1240" s="9">
        <v>24.3</v>
      </c>
      <c r="X1240" s="9" t="s">
        <v>106</v>
      </c>
      <c r="Y1240" s="9" t="s">
        <v>106</v>
      </c>
      <c r="Z1240" s="37"/>
      <c r="AA1240" s="37"/>
      <c r="AB1240" s="37"/>
      <c r="AE1240"/>
    </row>
    <row r="1241" spans="1:31" hidden="1">
      <c r="A1241" s="9" t="s">
        <v>1097</v>
      </c>
      <c r="B1241" s="9" t="s">
        <v>1100</v>
      </c>
      <c r="C1241" s="9" t="s">
        <v>105</v>
      </c>
      <c r="D1241" s="9">
        <v>1.1938899999999999</v>
      </c>
      <c r="E1241" s="9">
        <v>1.919</v>
      </c>
      <c r="F1241" s="9" t="s">
        <v>106</v>
      </c>
      <c r="G1241" s="9" t="s">
        <v>106</v>
      </c>
      <c r="H1241" s="9" t="s">
        <v>106</v>
      </c>
      <c r="J1241" s="9" t="s">
        <v>107</v>
      </c>
      <c r="K1241" s="9" t="s">
        <v>108</v>
      </c>
      <c r="L1241" t="str">
        <f>IF(OR(J1241="Cattle",J1241="Zebu Cattle"),IF(COUNTIF(lists!$M$2:$M$258, K1241) &gt; 0,"bos.indicus",IF(COUNTIF(lists!$L$2:$L$258, K1241) &gt; 0,"cross.bred","pure.bred.exotic")),"NA")</f>
        <v>NA</v>
      </c>
      <c r="M1241" t="str">
        <f>IF(J1241="Sheep",IF(COUNTIF(lists!$H$2:$H$258, K1241) &gt; 0,"indigenous",IF(COUNTIF(lists!$G$2:$G$258, K1241) &gt; 0,"cross.bred","not found")),"NA")</f>
        <v>indigenous</v>
      </c>
      <c r="N1241" t="str">
        <f>IF(J1241="Goat",IF(COUNTIF(lists!$J$2:$J$258, K1241) &gt; 0,"indigenous",IF(COUNTIF(lists!$I$2:$I$258, K1241) &gt; 0,"cross.bred","not found")),"NA")</f>
        <v>NA</v>
      </c>
      <c r="O1241" s="9" t="s">
        <v>109</v>
      </c>
      <c r="P1241" s="9" t="s">
        <v>177</v>
      </c>
      <c r="S1241" s="9">
        <v>329.7</v>
      </c>
      <c r="T1241" s="9">
        <v>84.399999999999906</v>
      </c>
      <c r="U1241" s="9">
        <v>101.2</v>
      </c>
      <c r="V1241" s="9">
        <v>905</v>
      </c>
      <c r="W1241" s="9">
        <v>20.7</v>
      </c>
      <c r="X1241" s="9" t="s">
        <v>106</v>
      </c>
      <c r="Y1241" s="9" t="s">
        <v>106</v>
      </c>
      <c r="Z1241" s="37"/>
      <c r="AA1241" s="37"/>
      <c r="AB1241" s="37"/>
      <c r="AE1241"/>
    </row>
    <row r="1242" spans="1:31" hidden="1">
      <c r="A1242" s="9" t="s">
        <v>1097</v>
      </c>
      <c r="B1242" s="9" t="s">
        <v>1101</v>
      </c>
      <c r="C1242" s="9" t="s">
        <v>105</v>
      </c>
      <c r="D1242" s="9">
        <v>1.2903</v>
      </c>
      <c r="E1242" s="9">
        <v>1.919</v>
      </c>
      <c r="F1242" s="9" t="s">
        <v>106</v>
      </c>
      <c r="G1242" s="9" t="s">
        <v>106</v>
      </c>
      <c r="H1242" s="9" t="s">
        <v>106</v>
      </c>
      <c r="J1242" s="9" t="s">
        <v>107</v>
      </c>
      <c r="K1242" s="9" t="s">
        <v>108</v>
      </c>
      <c r="L1242" t="str">
        <f>IF(OR(J1242="Cattle",J1242="Zebu Cattle"),IF(COUNTIF(lists!$M$2:$M$258, K1242) &gt; 0,"bos.indicus",IF(COUNTIF(lists!$L$2:$L$258, K1242) &gt; 0,"cross.bred","pure.bred.exotic")),"NA")</f>
        <v>NA</v>
      </c>
      <c r="M1242" t="str">
        <f>IF(J1242="Sheep",IF(COUNTIF(lists!$H$2:$H$258, K1242) &gt; 0,"indigenous",IF(COUNTIF(lists!$G$2:$G$258, K1242) &gt; 0,"cross.bred","not found")),"NA")</f>
        <v>indigenous</v>
      </c>
      <c r="N1242" t="str">
        <f>IF(J1242="Goat",IF(COUNTIF(lists!$J$2:$J$258, K1242) &gt; 0,"indigenous",IF(COUNTIF(lists!$I$2:$I$258, K1242) &gt; 0,"cross.bred","not found")),"NA")</f>
        <v>NA</v>
      </c>
      <c r="O1242" s="9" t="s">
        <v>109</v>
      </c>
      <c r="P1242" s="9" t="s">
        <v>177</v>
      </c>
      <c r="S1242" s="9">
        <v>313.7</v>
      </c>
      <c r="T1242" s="9">
        <v>95.1</v>
      </c>
      <c r="U1242" s="9">
        <v>144.80000000000001</v>
      </c>
      <c r="V1242" s="9">
        <v>911.8</v>
      </c>
      <c r="W1242" s="9">
        <v>24.3</v>
      </c>
      <c r="X1242" s="9" t="s">
        <v>106</v>
      </c>
      <c r="Y1242" s="9" t="s">
        <v>106</v>
      </c>
      <c r="Z1242" s="37"/>
      <c r="AA1242" s="37"/>
      <c r="AB1242" s="37"/>
      <c r="AE1242"/>
    </row>
    <row r="1243" spans="1:31" hidden="1">
      <c r="A1243" s="9" t="s">
        <v>1097</v>
      </c>
      <c r="B1243" s="9" t="s">
        <v>1102</v>
      </c>
      <c r="C1243" s="9" t="s">
        <v>105</v>
      </c>
      <c r="D1243" s="9">
        <v>1.33361</v>
      </c>
      <c r="E1243" s="9">
        <v>1.919</v>
      </c>
      <c r="F1243" s="9" t="s">
        <v>106</v>
      </c>
      <c r="G1243" s="9" t="s">
        <v>106</v>
      </c>
      <c r="H1243" s="9" t="s">
        <v>106</v>
      </c>
      <c r="J1243" s="9" t="s">
        <v>107</v>
      </c>
      <c r="K1243" s="9" t="s">
        <v>108</v>
      </c>
      <c r="L1243" t="str">
        <f>IF(OR(J1243="Cattle",J1243="Zebu Cattle"),IF(COUNTIF(lists!$M$2:$M$258, K1243) &gt; 0,"bos.indicus",IF(COUNTIF(lists!$L$2:$L$258, K1243) &gt; 0,"cross.bred","pure.bred.exotic")),"NA")</f>
        <v>NA</v>
      </c>
      <c r="M1243" t="str">
        <f>IF(J1243="Sheep",IF(COUNTIF(lists!$H$2:$H$258, K1243) &gt; 0,"indigenous",IF(COUNTIF(lists!$G$2:$G$258, K1243) &gt; 0,"cross.bred","not found")),"NA")</f>
        <v>indigenous</v>
      </c>
      <c r="N1243" t="str">
        <f>IF(J1243="Goat",IF(COUNTIF(lists!$J$2:$J$258, K1243) &gt; 0,"indigenous",IF(COUNTIF(lists!$I$2:$I$258, K1243) &gt; 0,"cross.bred","not found")),"NA")</f>
        <v>NA</v>
      </c>
      <c r="O1243" s="9" t="s">
        <v>109</v>
      </c>
      <c r="P1243" s="9" t="s">
        <v>177</v>
      </c>
      <c r="S1243" s="9">
        <v>311.10000000000002</v>
      </c>
      <c r="T1243" s="9">
        <v>95.2</v>
      </c>
      <c r="U1243" s="9">
        <v>147.79999999999899</v>
      </c>
      <c r="V1243" s="9">
        <v>912.6</v>
      </c>
      <c r="W1243" s="9">
        <v>24.9</v>
      </c>
      <c r="X1243" s="9" t="s">
        <v>106</v>
      </c>
      <c r="Y1243" s="9" t="s">
        <v>106</v>
      </c>
      <c r="Z1243" s="37"/>
      <c r="AA1243" s="37"/>
      <c r="AB1243" s="37"/>
      <c r="AE1243"/>
    </row>
    <row r="1244" spans="1:31" hidden="1">
      <c r="A1244" s="9" t="s">
        <v>1110</v>
      </c>
      <c r="B1244" s="9" t="s">
        <v>1111</v>
      </c>
      <c r="C1244" s="9" t="s">
        <v>105</v>
      </c>
      <c r="D1244" s="9">
        <v>0.441</v>
      </c>
      <c r="E1244" s="9">
        <v>0.93500000000000005</v>
      </c>
      <c r="F1244" s="9" t="s">
        <v>106</v>
      </c>
      <c r="G1244" s="9" t="s">
        <v>106</v>
      </c>
      <c r="H1244" s="9" t="s">
        <v>106</v>
      </c>
      <c r="J1244" s="9" t="s">
        <v>107</v>
      </c>
      <c r="K1244" s="9" t="s">
        <v>1112</v>
      </c>
      <c r="L1244" t="str">
        <f>IF(OR(J1244="Cattle",J1244="Zebu Cattle"),IF(COUNTIF(lists!$M$2:$M$258, K1244) &gt; 0,"bos.indicus",IF(COUNTIF(lists!$L$2:$L$258, K1244) &gt; 0,"cross.bred","pure.bred.exotic")),"NA")</f>
        <v>NA</v>
      </c>
      <c r="M1244" t="str">
        <f>IF(J1244="Sheep",IF(COUNTIF(lists!$H$2:$H$258, K1244) &gt; 0,"indigenous",IF(COUNTIF(lists!$G$2:$G$258, K1244) &gt; 0,"cross.bred","not found")),"NA")</f>
        <v>not found</v>
      </c>
      <c r="N1244" t="str">
        <f>IF(J1244="Goat",IF(COUNTIF(lists!$J$2:$J$258, K1244) &gt; 0,"indigenous",IF(COUNTIF(lists!$I$2:$I$258, K1244) &gt; 0,"cross.bred","not found")),"NA")</f>
        <v>NA</v>
      </c>
      <c r="O1244" s="9" t="s">
        <v>109</v>
      </c>
      <c r="P1244" s="9" t="s">
        <v>164</v>
      </c>
      <c r="S1244" s="9" t="s">
        <v>106</v>
      </c>
      <c r="T1244" s="9" t="s">
        <v>106</v>
      </c>
      <c r="U1244" s="9" t="s">
        <v>106</v>
      </c>
      <c r="V1244" s="9" t="s">
        <v>106</v>
      </c>
      <c r="W1244" s="9" t="s">
        <v>106</v>
      </c>
      <c r="X1244" s="9" t="s">
        <v>106</v>
      </c>
      <c r="Y1244" s="9" t="s">
        <v>106</v>
      </c>
      <c r="Z1244" s="37"/>
      <c r="AA1244" s="37"/>
      <c r="AB1244" s="37"/>
      <c r="AE1244"/>
    </row>
    <row r="1245" spans="1:31" hidden="1">
      <c r="A1245" s="9" t="s">
        <v>1110</v>
      </c>
      <c r="B1245" s="9" t="s">
        <v>1113</v>
      </c>
      <c r="C1245" s="9" t="s">
        <v>105</v>
      </c>
      <c r="D1245" s="9">
        <v>0.45200000000000001</v>
      </c>
      <c r="E1245" s="9">
        <v>0.93500000000000005</v>
      </c>
      <c r="F1245" s="9" t="s">
        <v>106</v>
      </c>
      <c r="G1245" s="9" t="s">
        <v>106</v>
      </c>
      <c r="H1245" s="9" t="s">
        <v>106</v>
      </c>
      <c r="J1245" s="9" t="s">
        <v>107</v>
      </c>
      <c r="K1245" s="9" t="s">
        <v>1112</v>
      </c>
      <c r="L1245" t="str">
        <f>IF(OR(J1245="Cattle",J1245="Zebu Cattle"),IF(COUNTIF(lists!$M$2:$M$258, K1245) &gt; 0,"bos.indicus",IF(COUNTIF(lists!$L$2:$L$258, K1245) &gt; 0,"cross.bred","pure.bred.exotic")),"NA")</f>
        <v>NA</v>
      </c>
      <c r="M1245" t="str">
        <f>IF(J1245="Sheep",IF(COUNTIF(lists!$H$2:$H$258, K1245) &gt; 0,"indigenous",IF(COUNTIF(lists!$G$2:$G$258, K1245) &gt; 0,"cross.bred","not found")),"NA")</f>
        <v>not found</v>
      </c>
      <c r="N1245" t="str">
        <f>IF(J1245="Goat",IF(COUNTIF(lists!$J$2:$J$258, K1245) &gt; 0,"indigenous",IF(COUNTIF(lists!$I$2:$I$258, K1245) &gt; 0,"cross.bred","not found")),"NA")</f>
        <v>NA</v>
      </c>
      <c r="O1245" s="9" t="s">
        <v>109</v>
      </c>
      <c r="P1245" s="9" t="s">
        <v>164</v>
      </c>
      <c r="S1245" s="9" t="s">
        <v>106</v>
      </c>
      <c r="T1245" s="9" t="s">
        <v>106</v>
      </c>
      <c r="U1245" s="9" t="s">
        <v>106</v>
      </c>
      <c r="V1245" s="9" t="s">
        <v>106</v>
      </c>
      <c r="W1245" s="9" t="s">
        <v>106</v>
      </c>
      <c r="X1245" s="9" t="s">
        <v>106</v>
      </c>
      <c r="Y1245" s="9" t="s">
        <v>106</v>
      </c>
      <c r="Z1245" s="37"/>
      <c r="AA1245" s="37"/>
      <c r="AB1245" s="37"/>
      <c r="AE1245"/>
    </row>
    <row r="1246" spans="1:31" hidden="1">
      <c r="A1246" s="9" t="s">
        <v>1110</v>
      </c>
      <c r="B1246" s="9" t="s">
        <v>1114</v>
      </c>
      <c r="C1246" s="9" t="s">
        <v>105</v>
      </c>
      <c r="D1246" s="9">
        <v>0.48699999999999999</v>
      </c>
      <c r="E1246" s="9">
        <v>0.93500000000000005</v>
      </c>
      <c r="F1246" s="9" t="s">
        <v>106</v>
      </c>
      <c r="G1246" s="9" t="s">
        <v>106</v>
      </c>
      <c r="H1246" s="9" t="s">
        <v>106</v>
      </c>
      <c r="J1246" s="9" t="s">
        <v>107</v>
      </c>
      <c r="K1246" s="9" t="s">
        <v>1112</v>
      </c>
      <c r="L1246" t="str">
        <f>IF(OR(J1246="Cattle",J1246="Zebu Cattle"),IF(COUNTIF(lists!$M$2:$M$258, K1246) &gt; 0,"bos.indicus",IF(COUNTIF(lists!$L$2:$L$258, K1246) &gt; 0,"cross.bred","pure.bred.exotic")),"NA")</f>
        <v>NA</v>
      </c>
      <c r="M1246" t="str">
        <f>IF(J1246="Sheep",IF(COUNTIF(lists!$H$2:$H$258, K1246) &gt; 0,"indigenous",IF(COUNTIF(lists!$G$2:$G$258, K1246) &gt; 0,"cross.bred","not found")),"NA")</f>
        <v>not found</v>
      </c>
      <c r="N1246" t="str">
        <f>IF(J1246="Goat",IF(COUNTIF(lists!$J$2:$J$258, K1246) &gt; 0,"indigenous",IF(COUNTIF(lists!$I$2:$I$258, K1246) &gt; 0,"cross.bred","not found")),"NA")</f>
        <v>NA</v>
      </c>
      <c r="O1246" s="9" t="s">
        <v>109</v>
      </c>
      <c r="P1246" s="9" t="s">
        <v>164</v>
      </c>
      <c r="S1246" s="9" t="s">
        <v>106</v>
      </c>
      <c r="T1246" s="9" t="s">
        <v>106</v>
      </c>
      <c r="U1246" s="9" t="s">
        <v>106</v>
      </c>
      <c r="V1246" s="9" t="s">
        <v>106</v>
      </c>
      <c r="W1246" s="9" t="s">
        <v>106</v>
      </c>
      <c r="X1246" s="9" t="s">
        <v>106</v>
      </c>
      <c r="Y1246" s="9" t="s">
        <v>106</v>
      </c>
      <c r="Z1246" s="37"/>
      <c r="AA1246" s="37"/>
      <c r="AB1246" s="37"/>
      <c r="AE1246"/>
    </row>
    <row r="1247" spans="1:31" hidden="1">
      <c r="A1247" s="9" t="s">
        <v>1110</v>
      </c>
      <c r="B1247" s="9" t="s">
        <v>1115</v>
      </c>
      <c r="C1247" s="9" t="s">
        <v>105</v>
      </c>
      <c r="D1247" s="9">
        <v>0.42899999999999999</v>
      </c>
      <c r="E1247" s="9">
        <v>0.93500000000000005</v>
      </c>
      <c r="F1247" s="9" t="s">
        <v>106</v>
      </c>
      <c r="G1247" s="9" t="s">
        <v>106</v>
      </c>
      <c r="H1247" s="9" t="s">
        <v>106</v>
      </c>
      <c r="J1247" s="9" t="s">
        <v>107</v>
      </c>
      <c r="K1247" s="9" t="s">
        <v>1112</v>
      </c>
      <c r="L1247" t="str">
        <f>IF(OR(J1247="Cattle",J1247="Zebu Cattle"),IF(COUNTIF(lists!$M$2:$M$258, K1247) &gt; 0,"bos.indicus",IF(COUNTIF(lists!$L$2:$L$258, K1247) &gt; 0,"cross.bred","pure.bred.exotic")),"NA")</f>
        <v>NA</v>
      </c>
      <c r="M1247" t="str">
        <f>IF(J1247="Sheep",IF(COUNTIF(lists!$H$2:$H$258, K1247) &gt; 0,"indigenous",IF(COUNTIF(lists!$G$2:$G$258, K1247) &gt; 0,"cross.bred","not found")),"NA")</f>
        <v>not found</v>
      </c>
      <c r="N1247" t="str">
        <f>IF(J1247="Goat",IF(COUNTIF(lists!$J$2:$J$258, K1247) &gt; 0,"indigenous",IF(COUNTIF(lists!$I$2:$I$258, K1247) &gt; 0,"cross.bred","not found")),"NA")</f>
        <v>NA</v>
      </c>
      <c r="O1247" s="9" t="s">
        <v>109</v>
      </c>
      <c r="P1247" s="9" t="s">
        <v>164</v>
      </c>
      <c r="S1247" s="9" t="s">
        <v>106</v>
      </c>
      <c r="T1247" s="9" t="s">
        <v>106</v>
      </c>
      <c r="U1247" s="9" t="s">
        <v>106</v>
      </c>
      <c r="V1247" s="9" t="s">
        <v>106</v>
      </c>
      <c r="W1247" s="9" t="s">
        <v>106</v>
      </c>
      <c r="X1247" s="9" t="s">
        <v>106</v>
      </c>
      <c r="Y1247" s="9" t="s">
        <v>106</v>
      </c>
      <c r="Z1247" s="37"/>
      <c r="AA1247" s="37"/>
      <c r="AB1247" s="37"/>
      <c r="AE1247"/>
    </row>
    <row r="1248" spans="1:31" hidden="1">
      <c r="A1248" s="9" t="s">
        <v>1120</v>
      </c>
      <c r="B1248" s="9" t="s">
        <v>455</v>
      </c>
      <c r="C1248" s="9" t="s">
        <v>105</v>
      </c>
      <c r="D1248" s="9">
        <v>1.66</v>
      </c>
      <c r="E1248" s="9">
        <v>0.02</v>
      </c>
      <c r="F1248" s="9" t="s">
        <v>106</v>
      </c>
      <c r="G1248" s="9" t="s">
        <v>106</v>
      </c>
      <c r="H1248" s="9">
        <v>0.61</v>
      </c>
      <c r="J1248" s="9" t="s">
        <v>107</v>
      </c>
      <c r="K1248" s="9" t="s">
        <v>108</v>
      </c>
      <c r="L1248" t="str">
        <f>IF(OR(J1248="Cattle",J1248="Zebu Cattle"),IF(COUNTIF(lists!$M$2:$M$258, K1248) &gt; 0,"bos.indicus",IF(COUNTIF(lists!$L$2:$L$258, K1248) &gt; 0,"cross.bred","pure.bred.exotic")),"NA")</f>
        <v>NA</v>
      </c>
      <c r="M1248" t="str">
        <f>IF(J1248="Sheep",IF(COUNTIF(lists!$H$2:$H$258, K1248) &gt; 0,"indigenous",IF(COUNTIF(lists!$G$2:$G$258, K1248) &gt; 0,"cross.bred","not found")),"NA")</f>
        <v>indigenous</v>
      </c>
      <c r="N1248" t="str">
        <f>IF(J1248="Goat",IF(COUNTIF(lists!$J$2:$J$258, K1248) &gt; 0,"indigenous",IF(COUNTIF(lists!$I$2:$I$258, K1248) &gt; 0,"cross.bred","not found")),"NA")</f>
        <v>NA</v>
      </c>
      <c r="O1248" s="9" t="s">
        <v>109</v>
      </c>
      <c r="P1248" s="9" t="s">
        <v>202</v>
      </c>
      <c r="S1248" s="9">
        <v>268</v>
      </c>
      <c r="T1248" s="9" t="s">
        <v>106</v>
      </c>
      <c r="U1248" s="9">
        <v>106</v>
      </c>
      <c r="V1248" s="9">
        <v>897</v>
      </c>
      <c r="W1248" s="9">
        <v>64</v>
      </c>
      <c r="X1248" s="9">
        <v>506</v>
      </c>
      <c r="Y1248" s="9">
        <v>600</v>
      </c>
      <c r="Z1248" s="37"/>
      <c r="AA1248" s="37"/>
      <c r="AB1248" s="37"/>
      <c r="AE1248"/>
    </row>
    <row r="1249" spans="1:31" hidden="1">
      <c r="A1249" s="9" t="s">
        <v>1120</v>
      </c>
      <c r="B1249" s="9" t="s">
        <v>1121</v>
      </c>
      <c r="C1249" s="9" t="s">
        <v>105</v>
      </c>
      <c r="D1249" s="9">
        <v>1.63</v>
      </c>
      <c r="E1249" s="9">
        <v>0.02</v>
      </c>
      <c r="F1249" s="9" t="s">
        <v>106</v>
      </c>
      <c r="G1249" s="9" t="s">
        <v>106</v>
      </c>
      <c r="H1249" s="9">
        <v>0.66700000000000004</v>
      </c>
      <c r="J1249" s="9" t="s">
        <v>107</v>
      </c>
      <c r="K1249" s="9" t="s">
        <v>108</v>
      </c>
      <c r="L1249" t="str">
        <f>IF(OR(J1249="Cattle",J1249="Zebu Cattle"),IF(COUNTIF(lists!$M$2:$M$258, K1249) &gt; 0,"bos.indicus",IF(COUNTIF(lists!$L$2:$L$258, K1249) &gt; 0,"cross.bred","pure.bred.exotic")),"NA")</f>
        <v>NA</v>
      </c>
      <c r="M1249" t="str">
        <f>IF(J1249="Sheep",IF(COUNTIF(lists!$H$2:$H$258, K1249) &gt; 0,"indigenous",IF(COUNTIF(lists!$G$2:$G$258, K1249) &gt; 0,"cross.bred","not found")),"NA")</f>
        <v>indigenous</v>
      </c>
      <c r="N1249" t="str">
        <f>IF(J1249="Goat",IF(COUNTIF(lists!$J$2:$J$258, K1249) &gt; 0,"indigenous",IF(COUNTIF(lists!$I$2:$I$258, K1249) &gt; 0,"cross.bred","not found")),"NA")</f>
        <v>NA</v>
      </c>
      <c r="O1249" s="9" t="s">
        <v>109</v>
      </c>
      <c r="P1249" s="9" t="s">
        <v>202</v>
      </c>
      <c r="S1249" s="9">
        <v>312</v>
      </c>
      <c r="T1249" s="9" t="s">
        <v>106</v>
      </c>
      <c r="U1249" s="9">
        <v>114</v>
      </c>
      <c r="V1249" s="9">
        <v>913</v>
      </c>
      <c r="W1249" s="9">
        <v>65</v>
      </c>
      <c r="X1249" s="9">
        <v>538</v>
      </c>
      <c r="Y1249" s="9">
        <v>635</v>
      </c>
      <c r="Z1249" s="37"/>
      <c r="AA1249" s="37"/>
      <c r="AB1249" s="37"/>
      <c r="AE1249"/>
    </row>
    <row r="1250" spans="1:31" hidden="1">
      <c r="A1250" s="9" t="s">
        <v>1120</v>
      </c>
      <c r="B1250" s="9" t="s">
        <v>1122</v>
      </c>
      <c r="C1250" s="9" t="s">
        <v>105</v>
      </c>
      <c r="D1250" s="9">
        <v>1.67</v>
      </c>
      <c r="E1250" s="9">
        <v>0.02</v>
      </c>
      <c r="F1250" s="9" t="s">
        <v>106</v>
      </c>
      <c r="G1250" s="9" t="s">
        <v>106</v>
      </c>
      <c r="H1250" s="9">
        <v>0.71499999999999997</v>
      </c>
      <c r="J1250" s="9" t="s">
        <v>107</v>
      </c>
      <c r="K1250" s="9" t="s">
        <v>108</v>
      </c>
      <c r="L1250" t="str">
        <f>IF(OR(J1250="Cattle",J1250="Zebu Cattle"),IF(COUNTIF(lists!$M$2:$M$258, K1250) &gt; 0,"bos.indicus",IF(COUNTIF(lists!$L$2:$L$258, K1250) &gt; 0,"cross.bred","pure.bred.exotic")),"NA")</f>
        <v>NA</v>
      </c>
      <c r="M1250" t="str">
        <f>IF(J1250="Sheep",IF(COUNTIF(lists!$H$2:$H$258, K1250) &gt; 0,"indigenous",IF(COUNTIF(lists!$G$2:$G$258, K1250) &gt; 0,"cross.bred","not found")),"NA")</f>
        <v>indigenous</v>
      </c>
      <c r="N1250" t="str">
        <f>IF(J1250="Goat",IF(COUNTIF(lists!$J$2:$J$258, K1250) &gt; 0,"indigenous",IF(COUNTIF(lists!$I$2:$I$258, K1250) &gt; 0,"cross.bred","not found")),"NA")</f>
        <v>NA</v>
      </c>
      <c r="O1250" s="9" t="s">
        <v>109</v>
      </c>
      <c r="P1250" s="9" t="s">
        <v>202</v>
      </c>
      <c r="S1250" s="9">
        <v>311</v>
      </c>
      <c r="T1250" s="9" t="s">
        <v>106</v>
      </c>
      <c r="U1250" s="9">
        <v>116</v>
      </c>
      <c r="V1250" s="9">
        <v>897</v>
      </c>
      <c r="W1250" s="9">
        <v>68</v>
      </c>
      <c r="X1250" s="9">
        <v>526</v>
      </c>
      <c r="Y1250" s="9">
        <v>665</v>
      </c>
      <c r="Z1250" s="37"/>
      <c r="AA1250" s="37"/>
      <c r="AB1250" s="37"/>
      <c r="AE1250"/>
    </row>
    <row r="1251" spans="1:31" hidden="1">
      <c r="A1251" s="9" t="s">
        <v>1120</v>
      </c>
      <c r="B1251" s="9" t="s">
        <v>1123</v>
      </c>
      <c r="C1251" s="9" t="s">
        <v>105</v>
      </c>
      <c r="D1251" s="9">
        <v>1.63</v>
      </c>
      <c r="E1251" s="9">
        <v>0.02</v>
      </c>
      <c r="F1251" s="9" t="s">
        <v>106</v>
      </c>
      <c r="G1251" s="9" t="s">
        <v>106</v>
      </c>
      <c r="H1251" s="9">
        <v>0.70199999999999996</v>
      </c>
      <c r="J1251" s="9" t="s">
        <v>107</v>
      </c>
      <c r="K1251" s="9" t="s">
        <v>108</v>
      </c>
      <c r="L1251" t="str">
        <f>IF(OR(J1251="Cattle",J1251="Zebu Cattle"),IF(COUNTIF(lists!$M$2:$M$258, K1251) &gt; 0,"bos.indicus",IF(COUNTIF(lists!$L$2:$L$258, K1251) &gt; 0,"cross.bred","pure.bred.exotic")),"NA")</f>
        <v>NA</v>
      </c>
      <c r="M1251" t="str">
        <f>IF(J1251="Sheep",IF(COUNTIF(lists!$H$2:$H$258, K1251) &gt; 0,"indigenous",IF(COUNTIF(lists!$G$2:$G$258, K1251) &gt; 0,"cross.bred","not found")),"NA")</f>
        <v>indigenous</v>
      </c>
      <c r="N1251" t="str">
        <f>IF(J1251="Goat",IF(COUNTIF(lists!$J$2:$J$258, K1251) &gt; 0,"indigenous",IF(COUNTIF(lists!$I$2:$I$258, K1251) &gt; 0,"cross.bred","not found")),"NA")</f>
        <v>NA</v>
      </c>
      <c r="O1251" s="9" t="s">
        <v>109</v>
      </c>
      <c r="P1251" s="9" t="s">
        <v>202</v>
      </c>
      <c r="S1251" s="9">
        <v>302</v>
      </c>
      <c r="T1251" s="9" t="s">
        <v>106</v>
      </c>
      <c r="U1251" s="9">
        <v>103</v>
      </c>
      <c r="V1251" s="9">
        <v>883</v>
      </c>
      <c r="W1251" s="9">
        <v>74</v>
      </c>
      <c r="X1251" s="9">
        <v>514</v>
      </c>
      <c r="Y1251" s="9">
        <v>643</v>
      </c>
      <c r="Z1251" s="37"/>
      <c r="AA1251" s="37"/>
      <c r="AB1251" s="37"/>
      <c r="AE1251"/>
    </row>
    <row r="1252" spans="1:31" hidden="1">
      <c r="A1252" s="9" t="s">
        <v>1124</v>
      </c>
      <c r="B1252" s="9" t="s">
        <v>151</v>
      </c>
      <c r="C1252" s="9" t="s">
        <v>105</v>
      </c>
      <c r="D1252" s="9">
        <v>0.43152250362259298</v>
      </c>
      <c r="E1252" s="9">
        <v>2.73</v>
      </c>
      <c r="F1252" s="9" t="s">
        <v>106</v>
      </c>
      <c r="G1252" s="9" t="s">
        <v>106</v>
      </c>
      <c r="H1252" s="9" t="s">
        <v>106</v>
      </c>
      <c r="J1252" s="9" t="s">
        <v>107</v>
      </c>
      <c r="K1252" s="9" t="s">
        <v>704</v>
      </c>
      <c r="L1252" t="str">
        <f>IF(OR(J1252="Cattle",J1252="Zebu Cattle"),IF(COUNTIF(lists!$M$2:$M$258, K1252) &gt; 0,"bos.indicus",IF(COUNTIF(lists!$L$2:$L$258, K1252) &gt; 0,"cross.bred","pure.bred.exotic")),"NA")</f>
        <v>NA</v>
      </c>
      <c r="M1252" t="str">
        <f>IF(J1252="Sheep",IF(COUNTIF(lists!$H$2:$H$258, K1252) &gt; 0,"indigenous",IF(COUNTIF(lists!$G$2:$G$258, K1252) &gt; 0,"cross.bred","not found")),"NA")</f>
        <v>not found</v>
      </c>
      <c r="N1252" t="str">
        <f>IF(J1252="Goat",IF(COUNTIF(lists!$J$2:$J$258, K1252) &gt; 0,"indigenous",IF(COUNTIF(lists!$I$2:$I$258, K1252) &gt; 0,"cross.bred","not found")),"NA")</f>
        <v>NA</v>
      </c>
      <c r="O1252" s="9" t="s">
        <v>109</v>
      </c>
      <c r="P1252" s="9" t="s">
        <v>177</v>
      </c>
      <c r="S1252" s="9" t="s">
        <v>106</v>
      </c>
      <c r="T1252" s="9" t="s">
        <v>106</v>
      </c>
      <c r="U1252" s="9" t="s">
        <v>106</v>
      </c>
      <c r="V1252" s="9" t="s">
        <v>106</v>
      </c>
      <c r="W1252" s="9" t="s">
        <v>106</v>
      </c>
      <c r="X1252" s="9" t="s">
        <v>106</v>
      </c>
      <c r="Y1252" s="9">
        <v>67.2</v>
      </c>
      <c r="Z1252" s="37"/>
      <c r="AA1252" s="37"/>
      <c r="AB1252" s="37"/>
      <c r="AE1252"/>
    </row>
    <row r="1253" spans="1:31" hidden="1">
      <c r="A1253" s="9" t="s">
        <v>1124</v>
      </c>
      <c r="B1253" s="9" t="s">
        <v>154</v>
      </c>
      <c r="C1253" s="9" t="s">
        <v>105</v>
      </c>
      <c r="D1253" s="9">
        <v>0.43540103131220198</v>
      </c>
      <c r="E1253" s="9">
        <v>2.73</v>
      </c>
      <c r="F1253" s="9" t="s">
        <v>106</v>
      </c>
      <c r="G1253" s="9" t="s">
        <v>106</v>
      </c>
      <c r="H1253" s="9" t="s">
        <v>106</v>
      </c>
      <c r="J1253" s="9" t="s">
        <v>107</v>
      </c>
      <c r="K1253" s="9" t="s">
        <v>704</v>
      </c>
      <c r="L1253" t="str">
        <f>IF(OR(J1253="Cattle",J1253="Zebu Cattle"),IF(COUNTIF(lists!$M$2:$M$258, K1253) &gt; 0,"bos.indicus",IF(COUNTIF(lists!$L$2:$L$258, K1253) &gt; 0,"cross.bred","pure.bred.exotic")),"NA")</f>
        <v>NA</v>
      </c>
      <c r="M1253" t="str">
        <f>IF(J1253="Sheep",IF(COUNTIF(lists!$H$2:$H$258, K1253) &gt; 0,"indigenous",IF(COUNTIF(lists!$G$2:$G$258, K1253) &gt; 0,"cross.bred","not found")),"NA")</f>
        <v>not found</v>
      </c>
      <c r="N1253" t="str">
        <f>IF(J1253="Goat",IF(COUNTIF(lists!$J$2:$J$258, K1253) &gt; 0,"indigenous",IF(COUNTIF(lists!$I$2:$I$258, K1253) &gt; 0,"cross.bred","not found")),"NA")</f>
        <v>NA</v>
      </c>
      <c r="O1253" s="9" t="s">
        <v>109</v>
      </c>
      <c r="P1253" s="9" t="s">
        <v>177</v>
      </c>
      <c r="S1253" s="9" t="s">
        <v>106</v>
      </c>
      <c r="T1253" s="9" t="s">
        <v>106</v>
      </c>
      <c r="U1253" s="9" t="s">
        <v>106</v>
      </c>
      <c r="V1253" s="9" t="s">
        <v>106</v>
      </c>
      <c r="W1253" s="9" t="s">
        <v>106</v>
      </c>
      <c r="X1253" s="9" t="s">
        <v>106</v>
      </c>
      <c r="Y1253" s="9">
        <v>65.5</v>
      </c>
      <c r="Z1253" s="37"/>
      <c r="AA1253" s="37"/>
      <c r="AB1253" s="37"/>
      <c r="AE1253"/>
    </row>
    <row r="1254" spans="1:31" hidden="1">
      <c r="A1254" s="9" t="s">
        <v>1125</v>
      </c>
      <c r="B1254" s="9" t="s">
        <v>1126</v>
      </c>
      <c r="C1254" s="9" t="s">
        <v>105</v>
      </c>
      <c r="D1254" s="9">
        <v>0.89039999999999997</v>
      </c>
      <c r="E1254" s="9" t="s">
        <v>106</v>
      </c>
      <c r="F1254" s="9" t="s">
        <v>106</v>
      </c>
      <c r="G1254" s="9" t="s">
        <v>106</v>
      </c>
      <c r="H1254" s="9" t="s">
        <v>106</v>
      </c>
      <c r="J1254" s="9" t="s">
        <v>107</v>
      </c>
      <c r="K1254" s="9" t="s">
        <v>1127</v>
      </c>
      <c r="L1254" t="str">
        <f>IF(OR(J1254="Cattle",J1254="Zebu Cattle"),IF(COUNTIF(lists!$M$2:$M$258, K1254) &gt; 0,"bos.indicus",IF(COUNTIF(lists!$L$2:$L$258, K1254) &gt; 0,"cross.bred","pure.bred.exotic")),"NA")</f>
        <v>NA</v>
      </c>
      <c r="M1254" t="str">
        <f>IF(J1254="Sheep",IF(COUNTIF(lists!$H$2:$H$258, K1254) &gt; 0,"indigenous",IF(COUNTIF(lists!$G$2:$G$258, K1254) &gt; 0,"cross.bred","not found")),"NA")</f>
        <v>not found</v>
      </c>
      <c r="N1254" t="str">
        <f>IF(J1254="Goat",IF(COUNTIF(lists!$J$2:$J$258, K1254) &gt; 0,"indigenous",IF(COUNTIF(lists!$I$2:$I$258, K1254) &gt; 0,"cross.bred","not found")),"NA")</f>
        <v>NA</v>
      </c>
      <c r="O1254" s="9" t="s">
        <v>109</v>
      </c>
      <c r="P1254" s="9" t="s">
        <v>1128</v>
      </c>
      <c r="S1254" s="9">
        <v>92</v>
      </c>
      <c r="T1254" s="9">
        <v>73</v>
      </c>
      <c r="U1254" s="9">
        <v>141</v>
      </c>
      <c r="V1254" s="9">
        <v>955</v>
      </c>
      <c r="W1254" s="9">
        <v>48</v>
      </c>
      <c r="X1254" s="9">
        <v>335</v>
      </c>
      <c r="Y1254" s="9">
        <v>84.7</v>
      </c>
      <c r="Z1254" s="37"/>
      <c r="AA1254" s="37"/>
      <c r="AB1254" s="37"/>
      <c r="AE1254"/>
    </row>
    <row r="1255" spans="1:31" hidden="1">
      <c r="A1255" s="9" t="s">
        <v>1125</v>
      </c>
      <c r="B1255" s="9" t="s">
        <v>1129</v>
      </c>
      <c r="C1255" s="9" t="s">
        <v>105</v>
      </c>
      <c r="D1255" s="9">
        <v>0.86779999999999902</v>
      </c>
      <c r="E1255" s="9" t="s">
        <v>106</v>
      </c>
      <c r="F1255" s="9" t="s">
        <v>106</v>
      </c>
      <c r="G1255" s="9" t="s">
        <v>106</v>
      </c>
      <c r="H1255" s="9" t="s">
        <v>106</v>
      </c>
      <c r="J1255" s="9" t="s">
        <v>107</v>
      </c>
      <c r="K1255" s="9" t="s">
        <v>1127</v>
      </c>
      <c r="L1255" t="str">
        <f>IF(OR(J1255="Cattle",J1255="Zebu Cattle"),IF(COUNTIF(lists!$M$2:$M$258, K1255) &gt; 0,"bos.indicus",IF(COUNTIF(lists!$L$2:$L$258, K1255) &gt; 0,"cross.bred","pure.bred.exotic")),"NA")</f>
        <v>NA</v>
      </c>
      <c r="M1255" t="str">
        <f>IF(J1255="Sheep",IF(COUNTIF(lists!$H$2:$H$258, K1255) &gt; 0,"indigenous",IF(COUNTIF(lists!$G$2:$G$258, K1255) &gt; 0,"cross.bred","not found")),"NA")</f>
        <v>not found</v>
      </c>
      <c r="N1255" t="str">
        <f>IF(J1255="Goat",IF(COUNTIF(lists!$J$2:$J$258, K1255) &gt; 0,"indigenous",IF(COUNTIF(lists!$I$2:$I$258, K1255) &gt; 0,"cross.bred","not found")),"NA")</f>
        <v>NA</v>
      </c>
      <c r="O1255" s="9" t="s">
        <v>109</v>
      </c>
      <c r="P1255" s="9" t="s">
        <v>1128</v>
      </c>
      <c r="S1255" s="9">
        <v>184</v>
      </c>
      <c r="T1255" s="9">
        <v>70</v>
      </c>
      <c r="U1255" s="9">
        <v>159</v>
      </c>
      <c r="V1255" s="9">
        <v>947</v>
      </c>
      <c r="W1255" s="9">
        <v>94</v>
      </c>
      <c r="X1255" s="9">
        <v>417</v>
      </c>
      <c r="Y1255" s="9">
        <v>70</v>
      </c>
      <c r="Z1255" s="37"/>
      <c r="AA1255" s="37"/>
      <c r="AB1255" s="37"/>
      <c r="AE1255"/>
    </row>
    <row r="1256" spans="1:31" hidden="1">
      <c r="A1256" s="9" t="s">
        <v>1125</v>
      </c>
      <c r="B1256" s="9" t="s">
        <v>1130</v>
      </c>
      <c r="C1256" s="9" t="s">
        <v>105</v>
      </c>
      <c r="D1256" s="9">
        <v>0.90589999999999904</v>
      </c>
      <c r="E1256" s="9" t="s">
        <v>106</v>
      </c>
      <c r="F1256" s="9" t="s">
        <v>106</v>
      </c>
      <c r="G1256" s="9" t="s">
        <v>106</v>
      </c>
      <c r="H1256" s="9" t="s">
        <v>106</v>
      </c>
      <c r="J1256" s="9" t="s">
        <v>107</v>
      </c>
      <c r="K1256" s="9" t="s">
        <v>1127</v>
      </c>
      <c r="L1256" t="str">
        <f>IF(OR(J1256="Cattle",J1256="Zebu Cattle"),IF(COUNTIF(lists!$M$2:$M$258, K1256) &gt; 0,"bos.indicus",IF(COUNTIF(lists!$L$2:$L$258, K1256) &gt; 0,"cross.bred","pure.bred.exotic")),"NA")</f>
        <v>NA</v>
      </c>
      <c r="M1256" t="str">
        <f>IF(J1256="Sheep",IF(COUNTIF(lists!$H$2:$H$258, K1256) &gt; 0,"indigenous",IF(COUNTIF(lists!$G$2:$G$258, K1256) &gt; 0,"cross.bred","not found")),"NA")</f>
        <v>not found</v>
      </c>
      <c r="N1256" t="str">
        <f>IF(J1256="Goat",IF(COUNTIF(lists!$J$2:$J$258, K1256) &gt; 0,"indigenous",IF(COUNTIF(lists!$I$2:$I$258, K1256) &gt; 0,"cross.bred","not found")),"NA")</f>
        <v>NA</v>
      </c>
      <c r="O1256" s="9" t="s">
        <v>109</v>
      </c>
      <c r="P1256" s="9" t="s">
        <v>1128</v>
      </c>
      <c r="S1256" s="9">
        <v>181</v>
      </c>
      <c r="T1256" s="9">
        <v>73</v>
      </c>
      <c r="U1256" s="9">
        <v>141</v>
      </c>
      <c r="V1256" s="9">
        <v>951</v>
      </c>
      <c r="W1256" s="9">
        <v>29</v>
      </c>
      <c r="X1256" s="9">
        <v>394</v>
      </c>
      <c r="Y1256" s="9">
        <v>65.599999999999994</v>
      </c>
      <c r="Z1256" s="37"/>
      <c r="AA1256" s="37"/>
      <c r="AB1256" s="37"/>
      <c r="AE1256"/>
    </row>
    <row r="1257" spans="1:31" hidden="1">
      <c r="A1257" s="9" t="s">
        <v>1139</v>
      </c>
      <c r="B1257" s="9" t="s">
        <v>163</v>
      </c>
      <c r="C1257" s="9" t="s">
        <v>105</v>
      </c>
      <c r="D1257" s="9">
        <v>0.86499999999999999</v>
      </c>
      <c r="E1257" s="9">
        <v>31.26</v>
      </c>
      <c r="F1257" s="9" t="s">
        <v>106</v>
      </c>
      <c r="G1257" s="9" t="s">
        <v>106</v>
      </c>
      <c r="H1257" s="9" t="s">
        <v>106</v>
      </c>
      <c r="J1257" s="9" t="s">
        <v>107</v>
      </c>
      <c r="K1257" s="9" t="s">
        <v>108</v>
      </c>
      <c r="L1257" t="str">
        <f>IF(OR(J1257="Cattle",J1257="Zebu Cattle"),IF(COUNTIF(lists!$M$2:$M$258, K1257) &gt; 0,"bos.indicus",IF(COUNTIF(lists!$L$2:$L$258, K1257) &gt; 0,"cross.bred","pure.bred.exotic")),"NA")</f>
        <v>NA</v>
      </c>
      <c r="M1257" t="str">
        <f>IF(J1257="Sheep",IF(COUNTIF(lists!$H$2:$H$258, K1257) &gt; 0,"indigenous",IF(COUNTIF(lists!$G$2:$G$258, K1257) &gt; 0,"cross.bred","not found")),"NA")</f>
        <v>indigenous</v>
      </c>
      <c r="N1257" t="str">
        <f>IF(J1257="Goat",IF(COUNTIF(lists!$J$2:$J$258, K1257) &gt; 0,"indigenous",IF(COUNTIF(lists!$I$2:$I$258, K1257) &gt; 0,"cross.bred","not found")),"NA")</f>
        <v>NA</v>
      </c>
      <c r="O1257" s="9" t="s">
        <v>109</v>
      </c>
      <c r="P1257" s="9" t="s">
        <v>164</v>
      </c>
      <c r="S1257" s="9">
        <v>246.7</v>
      </c>
      <c r="T1257" s="9">
        <v>84.6</v>
      </c>
      <c r="U1257" s="9">
        <v>167.39999999999901</v>
      </c>
      <c r="V1257" s="9" t="s">
        <v>106</v>
      </c>
      <c r="W1257" s="9">
        <v>29.4</v>
      </c>
      <c r="X1257" s="9">
        <v>394.4</v>
      </c>
      <c r="Y1257" s="9" t="s">
        <v>106</v>
      </c>
      <c r="Z1257" s="37"/>
      <c r="AA1257" s="37"/>
      <c r="AB1257" s="37"/>
      <c r="AE1257"/>
    </row>
    <row r="1258" spans="1:31" hidden="1">
      <c r="A1258" s="9" t="s">
        <v>1139</v>
      </c>
      <c r="B1258" s="9" t="s">
        <v>165</v>
      </c>
      <c r="C1258" s="9" t="s">
        <v>105</v>
      </c>
      <c r="D1258" s="9">
        <v>0.89400000000000002</v>
      </c>
      <c r="E1258" s="9">
        <v>31.26</v>
      </c>
      <c r="F1258" s="9" t="s">
        <v>106</v>
      </c>
      <c r="G1258" s="9" t="s">
        <v>106</v>
      </c>
      <c r="H1258" s="9" t="s">
        <v>106</v>
      </c>
      <c r="J1258" s="9" t="s">
        <v>107</v>
      </c>
      <c r="K1258" s="9" t="s">
        <v>108</v>
      </c>
      <c r="L1258" t="str">
        <f>IF(OR(J1258="Cattle",J1258="Zebu Cattle"),IF(COUNTIF(lists!$M$2:$M$258, K1258) &gt; 0,"bos.indicus",IF(COUNTIF(lists!$L$2:$L$258, K1258) &gt; 0,"cross.bred","pure.bred.exotic")),"NA")</f>
        <v>NA</v>
      </c>
      <c r="M1258" t="str">
        <f>IF(J1258="Sheep",IF(COUNTIF(lists!$H$2:$H$258, K1258) &gt; 0,"indigenous",IF(COUNTIF(lists!$G$2:$G$258, K1258) &gt; 0,"cross.bred","not found")),"NA")</f>
        <v>indigenous</v>
      </c>
      <c r="N1258" t="str">
        <f>IF(J1258="Goat",IF(COUNTIF(lists!$J$2:$J$258, K1258) &gt; 0,"indigenous",IF(COUNTIF(lists!$I$2:$I$258, K1258) &gt; 0,"cross.bred","not found")),"NA")</f>
        <v>NA</v>
      </c>
      <c r="O1258" s="9" t="s">
        <v>109</v>
      </c>
      <c r="P1258" s="9" t="s">
        <v>164</v>
      </c>
      <c r="S1258" s="9">
        <v>253.5</v>
      </c>
      <c r="T1258" s="9">
        <v>92.2</v>
      </c>
      <c r="U1258" s="9">
        <v>165</v>
      </c>
      <c r="V1258" s="9" t="s">
        <v>106</v>
      </c>
      <c r="W1258" s="9">
        <v>32.5</v>
      </c>
      <c r="X1258" s="9">
        <v>407.9</v>
      </c>
      <c r="Y1258" s="9" t="s">
        <v>106</v>
      </c>
      <c r="Z1258" s="37"/>
      <c r="AA1258" s="37"/>
      <c r="AB1258" s="37"/>
      <c r="AE1258"/>
    </row>
    <row r="1259" spans="1:31" hidden="1">
      <c r="A1259" s="9" t="s">
        <v>1139</v>
      </c>
      <c r="B1259" s="9" t="s">
        <v>166</v>
      </c>
      <c r="C1259" s="9" t="s">
        <v>105</v>
      </c>
      <c r="D1259" s="9">
        <v>0.90200000000000002</v>
      </c>
      <c r="E1259" s="9">
        <v>31.26</v>
      </c>
      <c r="F1259" s="9" t="s">
        <v>106</v>
      </c>
      <c r="G1259" s="9" t="s">
        <v>106</v>
      </c>
      <c r="H1259" s="9" t="s">
        <v>106</v>
      </c>
      <c r="J1259" s="9" t="s">
        <v>107</v>
      </c>
      <c r="K1259" s="9" t="s">
        <v>108</v>
      </c>
      <c r="L1259" t="str">
        <f>IF(OR(J1259="Cattle",J1259="Zebu Cattle"),IF(COUNTIF(lists!$M$2:$M$258, K1259) &gt; 0,"bos.indicus",IF(COUNTIF(lists!$L$2:$L$258, K1259) &gt; 0,"cross.bred","pure.bred.exotic")),"NA")</f>
        <v>NA</v>
      </c>
      <c r="M1259" t="str">
        <f>IF(J1259="Sheep",IF(COUNTIF(lists!$H$2:$H$258, K1259) &gt; 0,"indigenous",IF(COUNTIF(lists!$G$2:$G$258, K1259) &gt; 0,"cross.bred","not found")),"NA")</f>
        <v>indigenous</v>
      </c>
      <c r="N1259" t="str">
        <f>IF(J1259="Goat",IF(COUNTIF(lists!$J$2:$J$258, K1259) &gt; 0,"indigenous",IF(COUNTIF(lists!$I$2:$I$258, K1259) &gt; 0,"cross.bred","not found")),"NA")</f>
        <v>NA</v>
      </c>
      <c r="O1259" s="9" t="s">
        <v>109</v>
      </c>
      <c r="P1259" s="9" t="s">
        <v>164</v>
      </c>
      <c r="S1259" s="9">
        <v>250.5</v>
      </c>
      <c r="T1259" s="9">
        <v>99.7</v>
      </c>
      <c r="U1259" s="9">
        <v>162.5</v>
      </c>
      <c r="V1259" s="9" t="s">
        <v>106</v>
      </c>
      <c r="W1259" s="9">
        <v>35.6</v>
      </c>
      <c r="X1259" s="9">
        <v>421.3</v>
      </c>
      <c r="Y1259" s="9" t="s">
        <v>106</v>
      </c>
      <c r="Z1259" s="37"/>
      <c r="AA1259" s="37"/>
      <c r="AB1259" s="37"/>
      <c r="AE1259"/>
    </row>
    <row r="1260" spans="1:31" hidden="1">
      <c r="A1260" s="9" t="s">
        <v>1140</v>
      </c>
      <c r="B1260" s="9" t="s">
        <v>151</v>
      </c>
      <c r="C1260" s="9" t="s">
        <v>105</v>
      </c>
      <c r="D1260" s="9">
        <v>0.1069</v>
      </c>
      <c r="E1260" s="9">
        <v>0.44</v>
      </c>
      <c r="F1260" s="9" t="s">
        <v>106</v>
      </c>
      <c r="G1260" s="9" t="s">
        <v>106</v>
      </c>
      <c r="H1260" s="9" t="s">
        <v>106</v>
      </c>
      <c r="J1260" s="9" t="s">
        <v>107</v>
      </c>
      <c r="K1260" s="9" t="s">
        <v>108</v>
      </c>
      <c r="L1260" t="str">
        <f>IF(OR(J1260="Cattle",J1260="Zebu Cattle"),IF(COUNTIF(lists!$M$2:$M$258, K1260) &gt; 0,"bos.indicus",IF(COUNTIF(lists!$L$2:$L$258, K1260) &gt; 0,"cross.bred","pure.bred.exotic")),"NA")</f>
        <v>NA</v>
      </c>
      <c r="M1260" t="str">
        <f>IF(J1260="Sheep",IF(COUNTIF(lists!$H$2:$H$258, K1260) &gt; 0,"indigenous",IF(COUNTIF(lists!$G$2:$G$258, K1260) &gt; 0,"cross.bred","not found")),"NA")</f>
        <v>indigenous</v>
      </c>
      <c r="N1260" t="str">
        <f>IF(J1260="Goat",IF(COUNTIF(lists!$J$2:$J$258, K1260) &gt; 0,"indigenous",IF(COUNTIF(lists!$I$2:$I$258, K1260) &gt; 0,"cross.bred","not found")),"NA")</f>
        <v>NA</v>
      </c>
      <c r="O1260" s="9" t="s">
        <v>109</v>
      </c>
      <c r="P1260" s="9" t="s">
        <v>164</v>
      </c>
      <c r="S1260" s="9" t="s">
        <v>106</v>
      </c>
      <c r="T1260" s="9" t="s">
        <v>106</v>
      </c>
      <c r="U1260" s="9" t="s">
        <v>106</v>
      </c>
      <c r="V1260" s="9" t="s">
        <v>106</v>
      </c>
      <c r="W1260" s="9" t="s">
        <v>106</v>
      </c>
      <c r="X1260" s="9" t="s">
        <v>106</v>
      </c>
      <c r="Y1260" s="9">
        <v>86.58</v>
      </c>
      <c r="Z1260" s="37"/>
      <c r="AA1260" s="37"/>
      <c r="AB1260" s="37"/>
      <c r="AE1260"/>
    </row>
    <row r="1261" spans="1:31" hidden="1">
      <c r="A1261" s="9" t="s">
        <v>1140</v>
      </c>
      <c r="B1261" s="9" t="s">
        <v>154</v>
      </c>
      <c r="C1261" s="9" t="s">
        <v>105</v>
      </c>
      <c r="D1261" s="9">
        <v>0.112</v>
      </c>
      <c r="E1261" s="9">
        <v>0.44</v>
      </c>
      <c r="F1261" s="9" t="s">
        <v>106</v>
      </c>
      <c r="G1261" s="9" t="s">
        <v>106</v>
      </c>
      <c r="H1261" s="9" t="s">
        <v>106</v>
      </c>
      <c r="J1261" s="9" t="s">
        <v>107</v>
      </c>
      <c r="K1261" s="9" t="s">
        <v>108</v>
      </c>
      <c r="L1261" t="str">
        <f>IF(OR(J1261="Cattle",J1261="Zebu Cattle"),IF(COUNTIF(lists!$M$2:$M$258, K1261) &gt; 0,"bos.indicus",IF(COUNTIF(lists!$L$2:$L$258, K1261) &gt; 0,"cross.bred","pure.bred.exotic")),"NA")</f>
        <v>NA</v>
      </c>
      <c r="M1261" t="str">
        <f>IF(J1261="Sheep",IF(COUNTIF(lists!$H$2:$H$258, K1261) &gt; 0,"indigenous",IF(COUNTIF(lists!$G$2:$G$258, K1261) &gt; 0,"cross.bred","not found")),"NA")</f>
        <v>indigenous</v>
      </c>
      <c r="N1261" t="str">
        <f>IF(J1261="Goat",IF(COUNTIF(lists!$J$2:$J$258, K1261) &gt; 0,"indigenous",IF(COUNTIF(lists!$I$2:$I$258, K1261) &gt; 0,"cross.bred","not found")),"NA")</f>
        <v>NA</v>
      </c>
      <c r="O1261" s="9" t="s">
        <v>109</v>
      </c>
      <c r="P1261" s="9" t="s">
        <v>164</v>
      </c>
      <c r="S1261" s="9" t="s">
        <v>106</v>
      </c>
      <c r="T1261" s="9" t="s">
        <v>106</v>
      </c>
      <c r="U1261" s="9" t="s">
        <v>106</v>
      </c>
      <c r="V1261" s="9" t="s">
        <v>106</v>
      </c>
      <c r="W1261" s="9" t="s">
        <v>106</v>
      </c>
      <c r="X1261" s="9" t="s">
        <v>106</v>
      </c>
      <c r="Y1261" s="9">
        <v>60.74</v>
      </c>
      <c r="Z1261" s="37"/>
      <c r="AA1261" s="37"/>
      <c r="AB1261" s="37"/>
      <c r="AE1261"/>
    </row>
    <row r="1262" spans="1:31" hidden="1">
      <c r="A1262" s="9" t="s">
        <v>1140</v>
      </c>
      <c r="B1262" s="9" t="s">
        <v>155</v>
      </c>
      <c r="C1262" s="9" t="s">
        <v>105</v>
      </c>
      <c r="D1262" s="9">
        <v>9.3670000000000003E-2</v>
      </c>
      <c r="E1262" s="9">
        <v>0.44</v>
      </c>
      <c r="F1262" s="9" t="s">
        <v>106</v>
      </c>
      <c r="G1262" s="9" t="s">
        <v>106</v>
      </c>
      <c r="H1262" s="9" t="s">
        <v>106</v>
      </c>
      <c r="J1262" s="9" t="s">
        <v>107</v>
      </c>
      <c r="K1262" s="9" t="s">
        <v>108</v>
      </c>
      <c r="L1262" t="str">
        <f>IF(OR(J1262="Cattle",J1262="Zebu Cattle"),IF(COUNTIF(lists!$M$2:$M$258, K1262) &gt; 0,"bos.indicus",IF(COUNTIF(lists!$L$2:$L$258, K1262) &gt; 0,"cross.bred","pure.bred.exotic")),"NA")</f>
        <v>NA</v>
      </c>
      <c r="M1262" t="str">
        <f>IF(J1262="Sheep",IF(COUNTIF(lists!$H$2:$H$258, K1262) &gt; 0,"indigenous",IF(COUNTIF(lists!$G$2:$G$258, K1262) &gt; 0,"cross.bred","not found")),"NA")</f>
        <v>indigenous</v>
      </c>
      <c r="N1262" t="str">
        <f>IF(J1262="Goat",IF(COUNTIF(lists!$J$2:$J$258, K1262) &gt; 0,"indigenous",IF(COUNTIF(lists!$I$2:$I$258, K1262) &gt; 0,"cross.bred","not found")),"NA")</f>
        <v>NA</v>
      </c>
      <c r="O1262" s="9" t="s">
        <v>109</v>
      </c>
      <c r="P1262" s="9" t="s">
        <v>164</v>
      </c>
      <c r="S1262" s="9" t="s">
        <v>106</v>
      </c>
      <c r="T1262" s="9" t="s">
        <v>106</v>
      </c>
      <c r="U1262" s="9" t="s">
        <v>106</v>
      </c>
      <c r="V1262" s="9" t="s">
        <v>106</v>
      </c>
      <c r="W1262" s="9" t="s">
        <v>106</v>
      </c>
      <c r="X1262" s="9" t="s">
        <v>106</v>
      </c>
      <c r="Y1262" s="9">
        <v>60.17</v>
      </c>
      <c r="Z1262" s="37"/>
      <c r="AA1262" s="37"/>
      <c r="AB1262" s="37"/>
      <c r="AE1262"/>
    </row>
    <row r="1263" spans="1:31" hidden="1">
      <c r="A1263" s="9" t="s">
        <v>1141</v>
      </c>
      <c r="B1263" s="9" t="s">
        <v>1142</v>
      </c>
      <c r="C1263" s="9" t="s">
        <v>105</v>
      </c>
      <c r="D1263" s="9">
        <v>1.819</v>
      </c>
      <c r="E1263" s="9">
        <v>12.97</v>
      </c>
      <c r="F1263" s="9" t="s">
        <v>106</v>
      </c>
      <c r="G1263" s="9" t="s">
        <v>106</v>
      </c>
      <c r="H1263" s="9" t="s">
        <v>106</v>
      </c>
      <c r="J1263" s="9" t="s">
        <v>107</v>
      </c>
      <c r="K1263" s="9" t="s">
        <v>1143</v>
      </c>
      <c r="L1263" t="str">
        <f>IF(OR(J1263="Cattle",J1263="Zebu Cattle"),IF(COUNTIF(lists!$M$2:$M$258, K1263) &gt; 0,"bos.indicus",IF(COUNTIF(lists!$L$2:$L$258, K1263) &gt; 0,"cross.bred","pure.bred.exotic")),"NA")</f>
        <v>NA</v>
      </c>
      <c r="M1263" t="str">
        <f>IF(J1263="Sheep",IF(COUNTIF(lists!$H$2:$H$258, K1263) &gt; 0,"indigenous",IF(COUNTIF(lists!$G$2:$G$258, K1263) &gt; 0,"cross.bred","not found")),"NA")</f>
        <v>not found</v>
      </c>
      <c r="N1263" t="str">
        <f>IF(J1263="Goat",IF(COUNTIF(lists!$J$2:$J$258, K1263) &gt; 0,"indigenous",IF(COUNTIF(lists!$I$2:$I$258, K1263) &gt; 0,"cross.bred","not found")),"NA")</f>
        <v>NA</v>
      </c>
      <c r="O1263" s="9" t="s">
        <v>109</v>
      </c>
      <c r="P1263" s="9" t="s">
        <v>110</v>
      </c>
      <c r="S1263" s="9" t="s">
        <v>106</v>
      </c>
      <c r="T1263" s="9">
        <v>101.5</v>
      </c>
      <c r="U1263" s="9">
        <v>145.19999999999999</v>
      </c>
      <c r="V1263" s="9" t="s">
        <v>106</v>
      </c>
      <c r="W1263" s="9">
        <v>40.700000000000003</v>
      </c>
      <c r="X1263" s="9">
        <v>400.9</v>
      </c>
      <c r="Y1263" s="9" t="s">
        <v>106</v>
      </c>
      <c r="Z1263" s="37"/>
      <c r="AA1263" s="37"/>
      <c r="AB1263" s="37"/>
      <c r="AE1263"/>
    </row>
    <row r="1264" spans="1:31" hidden="1">
      <c r="A1264" s="9" t="s">
        <v>1141</v>
      </c>
      <c r="B1264" s="9" t="s">
        <v>1144</v>
      </c>
      <c r="C1264" s="9" t="s">
        <v>105</v>
      </c>
      <c r="D1264" s="9">
        <v>1.79</v>
      </c>
      <c r="E1264" s="9">
        <v>12.97</v>
      </c>
      <c r="F1264" s="9" t="s">
        <v>106</v>
      </c>
      <c r="G1264" s="9" t="s">
        <v>106</v>
      </c>
      <c r="H1264" s="9" t="s">
        <v>106</v>
      </c>
      <c r="J1264" s="9" t="s">
        <v>107</v>
      </c>
      <c r="K1264" s="9" t="s">
        <v>1143</v>
      </c>
      <c r="L1264" t="str">
        <f>IF(OR(J1264="Cattle",J1264="Zebu Cattle"),IF(COUNTIF(lists!$M$2:$M$258, K1264) &gt; 0,"bos.indicus",IF(COUNTIF(lists!$L$2:$L$258, K1264) &gt; 0,"cross.bred","pure.bred.exotic")),"NA")</f>
        <v>NA</v>
      </c>
      <c r="M1264" t="str">
        <f>IF(J1264="Sheep",IF(COUNTIF(lists!$H$2:$H$258, K1264) &gt; 0,"indigenous",IF(COUNTIF(lists!$G$2:$G$258, K1264) &gt; 0,"cross.bred","not found")),"NA")</f>
        <v>not found</v>
      </c>
      <c r="N1264" t="str">
        <f>IF(J1264="Goat",IF(COUNTIF(lists!$J$2:$J$258, K1264) &gt; 0,"indigenous",IF(COUNTIF(lists!$I$2:$I$258, K1264) &gt; 0,"cross.bred","not found")),"NA")</f>
        <v>NA</v>
      </c>
      <c r="O1264" s="9" t="s">
        <v>109</v>
      </c>
      <c r="P1264" s="9" t="s">
        <v>110</v>
      </c>
      <c r="S1264" s="9" t="s">
        <v>106</v>
      </c>
      <c r="T1264" s="9">
        <v>102.1</v>
      </c>
      <c r="U1264" s="9">
        <v>145.19999999999999</v>
      </c>
      <c r="V1264" s="9" t="s">
        <v>106</v>
      </c>
      <c r="W1264" s="9">
        <v>44.3</v>
      </c>
      <c r="X1264" s="9">
        <v>401.2</v>
      </c>
      <c r="Y1264" s="9" t="s">
        <v>106</v>
      </c>
      <c r="Z1264" s="37"/>
      <c r="AA1264" s="37"/>
      <c r="AB1264" s="37"/>
      <c r="AE1264"/>
    </row>
    <row r="1265" spans="1:31" hidden="1">
      <c r="A1265" s="9" t="s">
        <v>1141</v>
      </c>
      <c r="B1265" s="9" t="s">
        <v>1145</v>
      </c>
      <c r="C1265" s="9" t="s">
        <v>105</v>
      </c>
      <c r="D1265" s="9">
        <v>1.784</v>
      </c>
      <c r="E1265" s="9">
        <v>12.97</v>
      </c>
      <c r="F1265" s="9" t="s">
        <v>106</v>
      </c>
      <c r="G1265" s="9" t="s">
        <v>106</v>
      </c>
      <c r="H1265" s="9" t="s">
        <v>106</v>
      </c>
      <c r="J1265" s="9" t="s">
        <v>107</v>
      </c>
      <c r="K1265" s="9" t="s">
        <v>1143</v>
      </c>
      <c r="L1265" t="str">
        <f>IF(OR(J1265="Cattle",J1265="Zebu Cattle"),IF(COUNTIF(lists!$M$2:$M$258, K1265) &gt; 0,"bos.indicus",IF(COUNTIF(lists!$L$2:$L$258, K1265) &gt; 0,"cross.bred","pure.bred.exotic")),"NA")</f>
        <v>NA</v>
      </c>
      <c r="M1265" t="str">
        <f>IF(J1265="Sheep",IF(COUNTIF(lists!$H$2:$H$258, K1265) &gt; 0,"indigenous",IF(COUNTIF(lists!$G$2:$G$258, K1265) &gt; 0,"cross.bred","not found")),"NA")</f>
        <v>not found</v>
      </c>
      <c r="N1265" t="str">
        <f>IF(J1265="Goat",IF(COUNTIF(lists!$J$2:$J$258, K1265) &gt; 0,"indigenous",IF(COUNTIF(lists!$I$2:$I$258, K1265) &gt; 0,"cross.bred","not found")),"NA")</f>
        <v>NA</v>
      </c>
      <c r="O1265" s="9" t="s">
        <v>109</v>
      </c>
      <c r="P1265" s="9" t="s">
        <v>110</v>
      </c>
      <c r="S1265" s="9" t="s">
        <v>106</v>
      </c>
      <c r="T1265" s="9">
        <v>102.7</v>
      </c>
      <c r="U1265" s="9">
        <v>145.19999999999999</v>
      </c>
      <c r="V1265" s="9" t="s">
        <v>106</v>
      </c>
      <c r="W1265" s="9">
        <v>47.9</v>
      </c>
      <c r="X1265" s="9">
        <v>401.4</v>
      </c>
      <c r="Y1265" s="9" t="s">
        <v>106</v>
      </c>
      <c r="Z1265" s="37"/>
      <c r="AA1265" s="37"/>
      <c r="AB1265" s="37"/>
      <c r="AE1265"/>
    </row>
    <row r="1266" spans="1:31" hidden="1">
      <c r="A1266" s="9" t="s">
        <v>1146</v>
      </c>
      <c r="B1266" s="9" t="s">
        <v>151</v>
      </c>
      <c r="C1266" s="9" t="s">
        <v>105</v>
      </c>
      <c r="D1266" s="9">
        <v>1.05768</v>
      </c>
      <c r="E1266" s="9">
        <v>6.0359999999999996</v>
      </c>
      <c r="F1266" s="9" t="s">
        <v>106</v>
      </c>
      <c r="G1266" s="9" t="s">
        <v>106</v>
      </c>
      <c r="H1266" s="9" t="s">
        <v>106</v>
      </c>
      <c r="J1266" s="9" t="s">
        <v>107</v>
      </c>
      <c r="K1266" s="9" t="s">
        <v>966</v>
      </c>
      <c r="L1266" t="str">
        <f>IF(OR(J1266="Cattle",J1266="Zebu Cattle"),IF(COUNTIF(lists!$M$2:$M$258, K1266) &gt; 0,"bos.indicus",IF(COUNTIF(lists!$L$2:$L$258, K1266) &gt; 0,"cross.bred","pure.bred.exotic")),"NA")</f>
        <v>NA</v>
      </c>
      <c r="M1266" t="str">
        <f>IF(J1266="Sheep",IF(COUNTIF(lists!$H$2:$H$258, K1266) &gt; 0,"indigenous",IF(COUNTIF(lists!$G$2:$G$258, K1266) &gt; 0,"cross.bred","not found")),"NA")</f>
        <v>not found</v>
      </c>
      <c r="N1266" t="str">
        <f>IF(J1266="Goat",IF(COUNTIF(lists!$J$2:$J$258, K1266) &gt; 0,"indigenous",IF(COUNTIF(lists!$I$2:$I$258, K1266) &gt; 0,"cross.bred","not found")),"NA")</f>
        <v>NA</v>
      </c>
      <c r="O1266" s="9" t="s">
        <v>135</v>
      </c>
      <c r="P1266" s="9" t="s">
        <v>170</v>
      </c>
      <c r="S1266" s="9">
        <v>178.5</v>
      </c>
      <c r="T1266" s="9" t="s">
        <v>106</v>
      </c>
      <c r="U1266" s="9">
        <v>202.5</v>
      </c>
      <c r="V1266" s="9">
        <v>914.4</v>
      </c>
      <c r="W1266" s="9" t="s">
        <v>106</v>
      </c>
      <c r="X1266" s="9">
        <v>339.3</v>
      </c>
      <c r="Y1266" s="9" t="s">
        <v>106</v>
      </c>
      <c r="Z1266" s="37"/>
      <c r="AA1266" s="37"/>
      <c r="AB1266" s="37"/>
      <c r="AE1266"/>
    </row>
    <row r="1267" spans="1:31" hidden="1">
      <c r="A1267" s="9" t="s">
        <v>1146</v>
      </c>
      <c r="B1267" s="9" t="s">
        <v>154</v>
      </c>
      <c r="C1267" s="9" t="s">
        <v>105</v>
      </c>
      <c r="D1267" s="9">
        <v>1.07768</v>
      </c>
      <c r="E1267" s="9">
        <v>6.0359999999999996</v>
      </c>
      <c r="F1267" s="9" t="s">
        <v>106</v>
      </c>
      <c r="G1267" s="9" t="s">
        <v>106</v>
      </c>
      <c r="H1267" s="9" t="s">
        <v>106</v>
      </c>
      <c r="J1267" s="9" t="s">
        <v>107</v>
      </c>
      <c r="K1267" s="9" t="s">
        <v>966</v>
      </c>
      <c r="L1267" t="str">
        <f>IF(OR(J1267="Cattle",J1267="Zebu Cattle"),IF(COUNTIF(lists!$M$2:$M$258, K1267) &gt; 0,"bos.indicus",IF(COUNTIF(lists!$L$2:$L$258, K1267) &gt; 0,"cross.bred","pure.bred.exotic")),"NA")</f>
        <v>NA</v>
      </c>
      <c r="M1267" t="str">
        <f>IF(J1267="Sheep",IF(COUNTIF(lists!$H$2:$H$258, K1267) &gt; 0,"indigenous",IF(COUNTIF(lists!$G$2:$G$258, K1267) &gt; 0,"cross.bred","not found")),"NA")</f>
        <v>not found</v>
      </c>
      <c r="N1267" t="str">
        <f>IF(J1267="Goat",IF(COUNTIF(lists!$J$2:$J$258, K1267) &gt; 0,"indigenous",IF(COUNTIF(lists!$I$2:$I$258, K1267) &gt; 0,"cross.bred","not found")),"NA")</f>
        <v>NA</v>
      </c>
      <c r="O1267" s="9" t="s">
        <v>135</v>
      </c>
      <c r="P1267" s="9" t="s">
        <v>170</v>
      </c>
      <c r="S1267" s="9">
        <v>155.9</v>
      </c>
      <c r="T1267" s="9" t="s">
        <v>106</v>
      </c>
      <c r="U1267" s="9">
        <v>206.6</v>
      </c>
      <c r="V1267" s="9">
        <v>908.9</v>
      </c>
      <c r="W1267" s="9" t="s">
        <v>106</v>
      </c>
      <c r="X1267" s="9">
        <v>324.3</v>
      </c>
      <c r="Y1267" s="9" t="s">
        <v>106</v>
      </c>
      <c r="Z1267" s="37"/>
      <c r="AA1267" s="37"/>
      <c r="AB1267" s="37"/>
      <c r="AE1267"/>
    </row>
    <row r="1268" spans="1:31" hidden="1">
      <c r="A1268" s="9" t="s">
        <v>1146</v>
      </c>
      <c r="B1268" s="9" t="s">
        <v>155</v>
      </c>
      <c r="C1268" s="9" t="s">
        <v>105</v>
      </c>
      <c r="D1268" s="9">
        <v>1.1238900000000001</v>
      </c>
      <c r="E1268" s="9">
        <v>6.0359999999999996</v>
      </c>
      <c r="F1268" s="9" t="s">
        <v>106</v>
      </c>
      <c r="G1268" s="9" t="s">
        <v>106</v>
      </c>
      <c r="H1268" s="9" t="s">
        <v>106</v>
      </c>
      <c r="J1268" s="9" t="s">
        <v>107</v>
      </c>
      <c r="K1268" s="9" t="s">
        <v>966</v>
      </c>
      <c r="L1268" t="str">
        <f>IF(OR(J1268="Cattle",J1268="Zebu Cattle"),IF(COUNTIF(lists!$M$2:$M$258, K1268) &gt; 0,"bos.indicus",IF(COUNTIF(lists!$L$2:$L$258, K1268) &gt; 0,"cross.bred","pure.bred.exotic")),"NA")</f>
        <v>NA</v>
      </c>
      <c r="M1268" t="str">
        <f>IF(J1268="Sheep",IF(COUNTIF(lists!$H$2:$H$258, K1268) &gt; 0,"indigenous",IF(COUNTIF(lists!$G$2:$G$258, K1268) &gt; 0,"cross.bred","not found")),"NA")</f>
        <v>not found</v>
      </c>
      <c r="N1268" t="str">
        <f>IF(J1268="Goat",IF(COUNTIF(lists!$J$2:$J$258, K1268) &gt; 0,"indigenous",IF(COUNTIF(lists!$I$2:$I$258, K1268) &gt; 0,"cross.bred","not found")),"NA")</f>
        <v>NA</v>
      </c>
      <c r="O1268" s="9" t="s">
        <v>135</v>
      </c>
      <c r="P1268" s="9" t="s">
        <v>170</v>
      </c>
      <c r="S1268" s="9">
        <v>134.5</v>
      </c>
      <c r="T1268" s="9" t="s">
        <v>106</v>
      </c>
      <c r="U1268" s="9">
        <v>208.4</v>
      </c>
      <c r="V1268" s="9">
        <v>905.2</v>
      </c>
      <c r="W1268" s="9" t="s">
        <v>106</v>
      </c>
      <c r="X1268" s="9">
        <v>283.5</v>
      </c>
      <c r="Y1268" s="9" t="s">
        <v>106</v>
      </c>
      <c r="Z1268" s="37"/>
      <c r="AA1268" s="37"/>
      <c r="AB1268" s="37"/>
      <c r="AE1268"/>
    </row>
    <row r="1269" spans="1:31" hidden="1">
      <c r="A1269" s="9" t="s">
        <v>1147</v>
      </c>
      <c r="B1269" s="9" t="s">
        <v>151</v>
      </c>
      <c r="C1269" s="9" t="s">
        <v>105</v>
      </c>
      <c r="D1269" s="9">
        <v>0.66688000000000003</v>
      </c>
      <c r="E1269" s="9">
        <v>3.62</v>
      </c>
      <c r="F1269" s="9" t="s">
        <v>106</v>
      </c>
      <c r="G1269" s="9" t="s">
        <v>106</v>
      </c>
      <c r="H1269" s="9" t="s">
        <v>106</v>
      </c>
      <c r="J1269" s="9" t="s">
        <v>107</v>
      </c>
      <c r="K1269" s="9" t="s">
        <v>152</v>
      </c>
      <c r="L1269" t="str">
        <f>IF(OR(J1269="Cattle",J1269="Zebu Cattle"),IF(COUNTIF(lists!$M$2:$M$258, K1269) &gt; 0,"bos.indicus",IF(COUNTIF(lists!$L$2:$L$258, K1269) &gt; 0,"cross.bred","pure.bred.exotic")),"NA")</f>
        <v>NA</v>
      </c>
      <c r="M1269" t="str">
        <f>IF(J1269="Sheep",IF(COUNTIF(lists!$H$2:$H$258, K1269) &gt; 0,"indigenous",IF(COUNTIF(lists!$G$2:$G$258, K1269) &gt; 0,"cross.bred","not found")),"NA")</f>
        <v>not found</v>
      </c>
      <c r="N1269" t="str">
        <f>IF(J1269="Goat",IF(COUNTIF(lists!$J$2:$J$258, K1269) &gt; 0,"indigenous",IF(COUNTIF(lists!$I$2:$I$258, K1269) &gt; 0,"cross.bred","not found")),"NA")</f>
        <v>NA</v>
      </c>
      <c r="O1269" s="9" t="s">
        <v>109</v>
      </c>
      <c r="P1269" s="9" t="s">
        <v>170</v>
      </c>
      <c r="S1269" s="9">
        <v>182.5</v>
      </c>
      <c r="T1269" s="9">
        <v>65.599999999999994</v>
      </c>
      <c r="U1269" s="9">
        <v>153.9</v>
      </c>
      <c r="V1269" s="9">
        <v>946</v>
      </c>
      <c r="W1269" s="9" t="s">
        <v>106</v>
      </c>
      <c r="X1269" s="9">
        <v>361</v>
      </c>
      <c r="Y1269" s="9">
        <v>60.56</v>
      </c>
      <c r="Z1269" s="37"/>
      <c r="AA1269" s="37"/>
      <c r="AB1269" s="37"/>
      <c r="AE1269"/>
    </row>
    <row r="1270" spans="1:31" hidden="1">
      <c r="A1270" s="9" t="s">
        <v>1147</v>
      </c>
      <c r="B1270" s="9" t="s">
        <v>154</v>
      </c>
      <c r="C1270" s="9" t="s">
        <v>105</v>
      </c>
      <c r="D1270" s="9">
        <v>0.80925999999999998</v>
      </c>
      <c r="E1270" s="9">
        <v>3.62</v>
      </c>
      <c r="F1270" s="9" t="s">
        <v>106</v>
      </c>
      <c r="G1270" s="9" t="s">
        <v>106</v>
      </c>
      <c r="H1270" s="9" t="s">
        <v>106</v>
      </c>
      <c r="J1270" s="9" t="s">
        <v>107</v>
      </c>
      <c r="K1270" s="9" t="s">
        <v>152</v>
      </c>
      <c r="L1270" t="str">
        <f>IF(OR(J1270="Cattle",J1270="Zebu Cattle"),IF(COUNTIF(lists!$M$2:$M$258, K1270) &gt; 0,"bos.indicus",IF(COUNTIF(lists!$L$2:$L$258, K1270) &gt; 0,"cross.bred","pure.bred.exotic")),"NA")</f>
        <v>NA</v>
      </c>
      <c r="M1270" t="str">
        <f>IF(J1270="Sheep",IF(COUNTIF(lists!$H$2:$H$258, K1270) &gt; 0,"indigenous",IF(COUNTIF(lists!$G$2:$G$258, K1270) &gt; 0,"cross.bred","not found")),"NA")</f>
        <v>not found</v>
      </c>
      <c r="N1270" t="str">
        <f>IF(J1270="Goat",IF(COUNTIF(lists!$J$2:$J$258, K1270) &gt; 0,"indigenous",IF(COUNTIF(lists!$I$2:$I$258, K1270) &gt; 0,"cross.bred","not found")),"NA")</f>
        <v>NA</v>
      </c>
      <c r="O1270" s="9" t="s">
        <v>109</v>
      </c>
      <c r="P1270" s="9" t="s">
        <v>170</v>
      </c>
      <c r="S1270" s="9">
        <v>193.6</v>
      </c>
      <c r="T1270" s="9">
        <v>62</v>
      </c>
      <c r="U1270" s="9">
        <v>171.7</v>
      </c>
      <c r="V1270" s="9">
        <v>938.1</v>
      </c>
      <c r="W1270" s="9" t="s">
        <v>106</v>
      </c>
      <c r="X1270" s="9">
        <v>359</v>
      </c>
      <c r="Y1270" s="9">
        <v>61.48</v>
      </c>
      <c r="Z1270" s="37"/>
      <c r="AA1270" s="37"/>
      <c r="AB1270" s="37"/>
      <c r="AE1270"/>
    </row>
    <row r="1271" spans="1:31" hidden="1">
      <c r="A1271" s="9" t="s">
        <v>1147</v>
      </c>
      <c r="B1271" s="9" t="s">
        <v>155</v>
      </c>
      <c r="C1271" s="9" t="s">
        <v>105</v>
      </c>
      <c r="D1271" s="9">
        <v>0.80641999999999903</v>
      </c>
      <c r="E1271" s="9">
        <v>3.62</v>
      </c>
      <c r="F1271" s="9" t="s">
        <v>106</v>
      </c>
      <c r="G1271" s="9" t="s">
        <v>106</v>
      </c>
      <c r="H1271" s="9" t="s">
        <v>106</v>
      </c>
      <c r="J1271" s="9" t="s">
        <v>107</v>
      </c>
      <c r="K1271" s="9" t="s">
        <v>152</v>
      </c>
      <c r="L1271" t="str">
        <f>IF(OR(J1271="Cattle",J1271="Zebu Cattle"),IF(COUNTIF(lists!$M$2:$M$258, K1271) &gt; 0,"bos.indicus",IF(COUNTIF(lists!$L$2:$L$258, K1271) &gt; 0,"cross.bred","pure.bred.exotic")),"NA")</f>
        <v>NA</v>
      </c>
      <c r="M1271" t="str">
        <f>IF(J1271="Sheep",IF(COUNTIF(lists!$H$2:$H$258, K1271) &gt; 0,"indigenous",IF(COUNTIF(lists!$G$2:$G$258, K1271) &gt; 0,"cross.bred","not found")),"NA")</f>
        <v>not found</v>
      </c>
      <c r="N1271" t="str">
        <f>IF(J1271="Goat",IF(COUNTIF(lists!$J$2:$J$258, K1271) &gt; 0,"indigenous",IF(COUNTIF(lists!$I$2:$I$258, K1271) &gt; 0,"cross.bred","not found")),"NA")</f>
        <v>NA</v>
      </c>
      <c r="O1271" s="9" t="s">
        <v>109</v>
      </c>
      <c r="P1271" s="9" t="s">
        <v>170</v>
      </c>
      <c r="S1271" s="9">
        <v>204.2</v>
      </c>
      <c r="T1271" s="9">
        <v>58</v>
      </c>
      <c r="U1271" s="9">
        <v>181.8</v>
      </c>
      <c r="V1271" s="9">
        <v>931.8</v>
      </c>
      <c r="W1271" s="9" t="s">
        <v>106</v>
      </c>
      <c r="X1271" s="9">
        <v>354</v>
      </c>
      <c r="Y1271" s="9">
        <v>62.72</v>
      </c>
      <c r="Z1271" s="37"/>
      <c r="AA1271" s="37"/>
      <c r="AB1271" s="37"/>
      <c r="AE1271"/>
    </row>
    <row r="1272" spans="1:31" hidden="1">
      <c r="A1272" s="9" t="s">
        <v>1147</v>
      </c>
      <c r="B1272" s="9" t="s">
        <v>156</v>
      </c>
      <c r="C1272" s="9" t="s">
        <v>105</v>
      </c>
      <c r="D1272" s="9">
        <v>0.84465999999999997</v>
      </c>
      <c r="E1272" s="9">
        <v>3.62</v>
      </c>
      <c r="F1272" s="9" t="s">
        <v>106</v>
      </c>
      <c r="G1272" s="9" t="s">
        <v>106</v>
      </c>
      <c r="H1272" s="9" t="s">
        <v>106</v>
      </c>
      <c r="J1272" s="9" t="s">
        <v>107</v>
      </c>
      <c r="K1272" s="9" t="s">
        <v>152</v>
      </c>
      <c r="L1272" t="str">
        <f>IF(OR(J1272="Cattle",J1272="Zebu Cattle"),IF(COUNTIF(lists!$M$2:$M$258, K1272) &gt; 0,"bos.indicus",IF(COUNTIF(lists!$L$2:$L$258, K1272) &gt; 0,"cross.bred","pure.bred.exotic")),"NA")</f>
        <v>NA</v>
      </c>
      <c r="M1272" t="str">
        <f>IF(J1272="Sheep",IF(COUNTIF(lists!$H$2:$H$258, K1272) &gt; 0,"indigenous",IF(COUNTIF(lists!$G$2:$G$258, K1272) &gt; 0,"cross.bred","not found")),"NA")</f>
        <v>not found</v>
      </c>
      <c r="N1272" t="str">
        <f>IF(J1272="Goat",IF(COUNTIF(lists!$J$2:$J$258, K1272) &gt; 0,"indigenous",IF(COUNTIF(lists!$I$2:$I$258, K1272) &gt; 0,"cross.bred","not found")),"NA")</f>
        <v>NA</v>
      </c>
      <c r="O1272" s="9" t="s">
        <v>109</v>
      </c>
      <c r="P1272" s="9" t="s">
        <v>170</v>
      </c>
      <c r="S1272" s="9">
        <v>216.2</v>
      </c>
      <c r="T1272" s="9">
        <v>44</v>
      </c>
      <c r="U1272" s="9">
        <v>199.2</v>
      </c>
      <c r="V1272" s="9">
        <v>922.6</v>
      </c>
      <c r="W1272" s="9" t="s">
        <v>106</v>
      </c>
      <c r="X1272" s="9">
        <v>351.4</v>
      </c>
      <c r="Y1272" s="9">
        <v>65.650000000000006</v>
      </c>
      <c r="Z1272" s="37"/>
      <c r="AA1272" s="37"/>
      <c r="AB1272" s="37"/>
      <c r="AE1272"/>
    </row>
    <row r="1273" spans="1:31" hidden="1">
      <c r="A1273" s="9" t="s">
        <v>1147</v>
      </c>
      <c r="B1273" s="9" t="s">
        <v>157</v>
      </c>
      <c r="C1273" s="9" t="s">
        <v>105</v>
      </c>
      <c r="D1273" s="9">
        <v>0.86895999999999995</v>
      </c>
      <c r="E1273" s="9">
        <v>3.62</v>
      </c>
      <c r="F1273" s="9" t="s">
        <v>106</v>
      </c>
      <c r="G1273" s="9" t="s">
        <v>106</v>
      </c>
      <c r="H1273" s="9" t="s">
        <v>106</v>
      </c>
      <c r="J1273" s="9" t="s">
        <v>107</v>
      </c>
      <c r="K1273" s="9" t="s">
        <v>152</v>
      </c>
      <c r="L1273" t="str">
        <f>IF(OR(J1273="Cattle",J1273="Zebu Cattle"),IF(COUNTIF(lists!$M$2:$M$258, K1273) &gt; 0,"bos.indicus",IF(COUNTIF(lists!$L$2:$L$258, K1273) &gt; 0,"cross.bred","pure.bred.exotic")),"NA")</f>
        <v>NA</v>
      </c>
      <c r="M1273" t="str">
        <f>IF(J1273="Sheep",IF(COUNTIF(lists!$H$2:$H$258, K1273) &gt; 0,"indigenous",IF(COUNTIF(lists!$G$2:$G$258, K1273) &gt; 0,"cross.bred","not found")),"NA")</f>
        <v>not found</v>
      </c>
      <c r="N1273" t="str">
        <f>IF(J1273="Goat",IF(COUNTIF(lists!$J$2:$J$258, K1273) &gt; 0,"indigenous",IF(COUNTIF(lists!$I$2:$I$258, K1273) &gt; 0,"cross.bred","not found")),"NA")</f>
        <v>NA</v>
      </c>
      <c r="O1273" s="9" t="s">
        <v>109</v>
      </c>
      <c r="P1273" s="9" t="s">
        <v>170</v>
      </c>
      <c r="S1273" s="9">
        <v>221</v>
      </c>
      <c r="T1273" s="9">
        <v>35.9</v>
      </c>
      <c r="U1273" s="9">
        <v>211.3</v>
      </c>
      <c r="V1273" s="9">
        <v>908.1</v>
      </c>
      <c r="W1273" s="9" t="s">
        <v>106</v>
      </c>
      <c r="X1273" s="9">
        <v>348.8</v>
      </c>
      <c r="Y1273" s="9">
        <v>67.459999999999994</v>
      </c>
      <c r="Z1273" s="37"/>
      <c r="AA1273" s="37"/>
      <c r="AB1273" s="37"/>
      <c r="AE1273"/>
    </row>
    <row r="1274" spans="1:31" hidden="1">
      <c r="A1274" s="9" t="s">
        <v>1148</v>
      </c>
      <c r="B1274" s="9" t="s">
        <v>1149</v>
      </c>
      <c r="C1274" s="9" t="s">
        <v>105</v>
      </c>
      <c r="D1274" s="9">
        <v>1.3</v>
      </c>
      <c r="E1274" s="9" t="s">
        <v>106</v>
      </c>
      <c r="F1274" s="9" t="s">
        <v>106</v>
      </c>
      <c r="G1274" s="9" t="s">
        <v>106</v>
      </c>
      <c r="H1274" s="9" t="s">
        <v>106</v>
      </c>
      <c r="J1274" s="9" t="s">
        <v>107</v>
      </c>
      <c r="K1274" s="9" t="s">
        <v>648</v>
      </c>
      <c r="L1274" t="str">
        <f>IF(OR(J1274="Cattle",J1274="Zebu Cattle"),IF(COUNTIF(lists!$M$2:$M$258, K1274) &gt; 0,"bos.indicus",IF(COUNTIF(lists!$L$2:$L$258, K1274) &gt; 0,"cross.bred","pure.bred.exotic")),"NA")</f>
        <v>NA</v>
      </c>
      <c r="M1274" t="str">
        <f>IF(J1274="Sheep",IF(COUNTIF(lists!$H$2:$H$258, K1274) &gt; 0,"indigenous",IF(COUNTIF(lists!$G$2:$G$258, K1274) &gt; 0,"cross.bred","not found")),"NA")</f>
        <v>not found</v>
      </c>
      <c r="N1274" t="str">
        <f>IF(J1274="Goat",IF(COUNTIF(lists!$J$2:$J$258, K1274) &gt; 0,"indigenous",IF(COUNTIF(lists!$I$2:$I$258, K1274) &gt; 0,"cross.bred","not found")),"NA")</f>
        <v>NA</v>
      </c>
      <c r="O1274" s="9" t="s">
        <v>109</v>
      </c>
      <c r="P1274" s="9" t="s">
        <v>164</v>
      </c>
      <c r="S1274" s="9" t="s">
        <v>106</v>
      </c>
      <c r="T1274" s="9" t="s">
        <v>106</v>
      </c>
      <c r="U1274" s="9" t="s">
        <v>106</v>
      </c>
      <c r="V1274" s="9" t="s">
        <v>106</v>
      </c>
      <c r="W1274" s="9" t="s">
        <v>106</v>
      </c>
      <c r="X1274" s="9" t="s">
        <v>106</v>
      </c>
      <c r="Y1274" s="9" t="s">
        <v>106</v>
      </c>
      <c r="Z1274" s="37"/>
      <c r="AA1274" s="37"/>
      <c r="AB1274" s="37"/>
      <c r="AE1274"/>
    </row>
    <row r="1275" spans="1:31" hidden="1">
      <c r="A1275" s="9" t="s">
        <v>1148</v>
      </c>
      <c r="B1275" s="9" t="s">
        <v>1150</v>
      </c>
      <c r="C1275" s="9" t="s">
        <v>105</v>
      </c>
      <c r="D1275" s="9">
        <v>1.1200000000000001</v>
      </c>
      <c r="E1275" s="9" t="s">
        <v>106</v>
      </c>
      <c r="F1275" s="9" t="s">
        <v>106</v>
      </c>
      <c r="G1275" s="9" t="s">
        <v>106</v>
      </c>
      <c r="H1275" s="9" t="s">
        <v>106</v>
      </c>
      <c r="J1275" s="9" t="s">
        <v>107</v>
      </c>
      <c r="K1275" s="9" t="s">
        <v>648</v>
      </c>
      <c r="L1275" t="str">
        <f>IF(OR(J1275="Cattle",J1275="Zebu Cattle"),IF(COUNTIF(lists!$M$2:$M$258, K1275) &gt; 0,"bos.indicus",IF(COUNTIF(lists!$L$2:$L$258, K1275) &gt; 0,"cross.bred","pure.bred.exotic")),"NA")</f>
        <v>NA</v>
      </c>
      <c r="M1275" t="str">
        <f>IF(J1275="Sheep",IF(COUNTIF(lists!$H$2:$H$258, K1275) &gt; 0,"indigenous",IF(COUNTIF(lists!$G$2:$G$258, K1275) &gt; 0,"cross.bred","not found")),"NA")</f>
        <v>not found</v>
      </c>
      <c r="N1275" t="str">
        <f>IF(J1275="Goat",IF(COUNTIF(lists!$J$2:$J$258, K1275) &gt; 0,"indigenous",IF(COUNTIF(lists!$I$2:$I$258, K1275) &gt; 0,"cross.bred","not found")),"NA")</f>
        <v>NA</v>
      </c>
      <c r="O1275" s="9" t="s">
        <v>109</v>
      </c>
      <c r="P1275" s="9" t="s">
        <v>164</v>
      </c>
      <c r="S1275" s="9" t="s">
        <v>106</v>
      </c>
      <c r="T1275" s="9" t="s">
        <v>106</v>
      </c>
      <c r="U1275" s="9" t="s">
        <v>106</v>
      </c>
      <c r="V1275" s="9" t="s">
        <v>106</v>
      </c>
      <c r="W1275" s="9" t="s">
        <v>106</v>
      </c>
      <c r="X1275" s="9" t="s">
        <v>106</v>
      </c>
      <c r="Y1275" s="9" t="s">
        <v>106</v>
      </c>
      <c r="Z1275" s="37"/>
      <c r="AA1275" s="37"/>
      <c r="AB1275" s="37"/>
      <c r="AE1275"/>
    </row>
    <row r="1276" spans="1:31" hidden="1">
      <c r="A1276" s="9" t="s">
        <v>1152</v>
      </c>
      <c r="B1276" s="9" t="s">
        <v>163</v>
      </c>
      <c r="C1276" s="9" t="s">
        <v>105</v>
      </c>
      <c r="D1276" s="9">
        <v>1.3</v>
      </c>
      <c r="E1276" s="9" t="s">
        <v>106</v>
      </c>
      <c r="F1276" s="9" t="s">
        <v>106</v>
      </c>
      <c r="G1276" s="9" t="s">
        <v>106</v>
      </c>
      <c r="H1276" s="9" t="s">
        <v>106</v>
      </c>
      <c r="J1276" s="9" t="s">
        <v>107</v>
      </c>
      <c r="K1276" s="9" t="s">
        <v>108</v>
      </c>
      <c r="L1276" t="str">
        <f>IF(OR(J1276="Cattle",J1276="Zebu Cattle"),IF(COUNTIF(lists!$M$2:$M$258, K1276) &gt; 0,"bos.indicus",IF(COUNTIF(lists!$L$2:$L$258, K1276) &gt; 0,"cross.bred","pure.bred.exotic")),"NA")</f>
        <v>NA</v>
      </c>
      <c r="M1276" t="str">
        <f>IF(J1276="Sheep",IF(COUNTIF(lists!$H$2:$H$258, K1276) &gt; 0,"indigenous",IF(COUNTIF(lists!$G$2:$G$258, K1276) &gt; 0,"cross.bred","not found")),"NA")</f>
        <v>indigenous</v>
      </c>
      <c r="N1276" t="str">
        <f>IF(J1276="Goat",IF(COUNTIF(lists!$J$2:$J$258, K1276) &gt; 0,"indigenous",IF(COUNTIF(lists!$I$2:$I$258, K1276) &gt; 0,"cross.bred","not found")),"NA")</f>
        <v>NA</v>
      </c>
      <c r="O1276" s="9" t="s">
        <v>109</v>
      </c>
      <c r="P1276" s="9" t="s">
        <v>110</v>
      </c>
      <c r="S1276" s="9">
        <v>189.2</v>
      </c>
      <c r="T1276" s="9">
        <v>104.5</v>
      </c>
      <c r="U1276" s="9">
        <v>111.3</v>
      </c>
      <c r="V1276" s="9">
        <v>677.69999999999902</v>
      </c>
      <c r="W1276" s="9">
        <v>2350</v>
      </c>
      <c r="X1276" s="9">
        <v>355.6</v>
      </c>
      <c r="Y1276" s="9">
        <v>60.98</v>
      </c>
      <c r="Z1276" s="37"/>
      <c r="AA1276" s="37"/>
      <c r="AB1276" s="37"/>
      <c r="AE1276"/>
    </row>
    <row r="1277" spans="1:31" hidden="1">
      <c r="A1277" s="9" t="s">
        <v>1152</v>
      </c>
      <c r="B1277" s="9" t="s">
        <v>165</v>
      </c>
      <c r="C1277" s="9" t="s">
        <v>105</v>
      </c>
      <c r="D1277" s="9">
        <v>1.35</v>
      </c>
      <c r="E1277" s="9" t="s">
        <v>106</v>
      </c>
      <c r="F1277" s="9" t="s">
        <v>106</v>
      </c>
      <c r="G1277" s="9" t="s">
        <v>106</v>
      </c>
      <c r="H1277" s="9" t="s">
        <v>106</v>
      </c>
      <c r="J1277" s="9" t="s">
        <v>107</v>
      </c>
      <c r="K1277" s="9" t="s">
        <v>108</v>
      </c>
      <c r="L1277" t="str">
        <f>IF(OR(J1277="Cattle",J1277="Zebu Cattle"),IF(COUNTIF(lists!$M$2:$M$258, K1277) &gt; 0,"bos.indicus",IF(COUNTIF(lists!$L$2:$L$258, K1277) &gt; 0,"cross.bred","pure.bred.exotic")),"NA")</f>
        <v>NA</v>
      </c>
      <c r="M1277" t="str">
        <f>IF(J1277="Sheep",IF(COUNTIF(lists!$H$2:$H$258, K1277) &gt; 0,"indigenous",IF(COUNTIF(lists!$G$2:$G$258, K1277) &gt; 0,"cross.bred","not found")),"NA")</f>
        <v>indigenous</v>
      </c>
      <c r="N1277" t="str">
        <f>IF(J1277="Goat",IF(COUNTIF(lists!$J$2:$J$258, K1277) &gt; 0,"indigenous",IF(COUNTIF(lists!$I$2:$I$258, K1277) &gt; 0,"cross.bred","not found")),"NA")</f>
        <v>NA</v>
      </c>
      <c r="O1277" s="9" t="s">
        <v>109</v>
      </c>
      <c r="P1277" s="9" t="s">
        <v>110</v>
      </c>
      <c r="S1277" s="9">
        <v>184.5</v>
      </c>
      <c r="T1277" s="9">
        <v>110.5</v>
      </c>
      <c r="U1277" s="9">
        <v>110.4</v>
      </c>
      <c r="V1277" s="9">
        <v>683</v>
      </c>
      <c r="W1277" s="9">
        <v>24.5</v>
      </c>
      <c r="X1277" s="9">
        <v>352.29999999999899</v>
      </c>
      <c r="Y1277" s="9">
        <v>60.4</v>
      </c>
      <c r="Z1277" s="37"/>
      <c r="AA1277" s="37"/>
      <c r="AB1277" s="37"/>
      <c r="AE1277"/>
    </row>
    <row r="1278" spans="1:31" hidden="1">
      <c r="A1278" s="9" t="s">
        <v>1152</v>
      </c>
      <c r="B1278" s="9" t="s">
        <v>166</v>
      </c>
      <c r="C1278" s="9" t="s">
        <v>105</v>
      </c>
      <c r="D1278" s="9">
        <v>1.385</v>
      </c>
      <c r="E1278" s="9" t="s">
        <v>106</v>
      </c>
      <c r="F1278" s="9" t="s">
        <v>106</v>
      </c>
      <c r="G1278" s="9" t="s">
        <v>106</v>
      </c>
      <c r="H1278" s="9" t="s">
        <v>106</v>
      </c>
      <c r="J1278" s="9" t="s">
        <v>107</v>
      </c>
      <c r="K1278" s="9" t="s">
        <v>108</v>
      </c>
      <c r="L1278" t="str">
        <f>IF(OR(J1278="Cattle",J1278="Zebu Cattle"),IF(COUNTIF(lists!$M$2:$M$258, K1278) &gt; 0,"bos.indicus",IF(COUNTIF(lists!$L$2:$L$258, K1278) &gt; 0,"cross.bred","pure.bred.exotic")),"NA")</f>
        <v>NA</v>
      </c>
      <c r="M1278" t="str">
        <f>IF(J1278="Sheep",IF(COUNTIF(lists!$H$2:$H$258, K1278) &gt; 0,"indigenous",IF(COUNTIF(lists!$G$2:$G$258, K1278) &gt; 0,"cross.bred","not found")),"NA")</f>
        <v>indigenous</v>
      </c>
      <c r="N1278" t="str">
        <f>IF(J1278="Goat",IF(COUNTIF(lists!$J$2:$J$258, K1278) &gt; 0,"indigenous",IF(COUNTIF(lists!$I$2:$I$258, K1278) &gt; 0,"cross.bred","not found")),"NA")</f>
        <v>NA</v>
      </c>
      <c r="O1278" s="9" t="s">
        <v>109</v>
      </c>
      <c r="P1278" s="9" t="s">
        <v>110</v>
      </c>
      <c r="S1278" s="9">
        <v>179.89999999999901</v>
      </c>
      <c r="T1278" s="9">
        <v>116.3</v>
      </c>
      <c r="U1278" s="9">
        <v>109.5</v>
      </c>
      <c r="V1278" s="9">
        <v>688.3</v>
      </c>
      <c r="W1278" s="9">
        <v>25.6</v>
      </c>
      <c r="X1278" s="9">
        <v>349</v>
      </c>
      <c r="Y1278" s="9">
        <v>63.7</v>
      </c>
      <c r="Z1278" s="37"/>
      <c r="AA1278" s="37"/>
      <c r="AB1278" s="37"/>
      <c r="AE1278"/>
    </row>
    <row r="1279" spans="1:31" hidden="1">
      <c r="A1279" s="9" t="s">
        <v>1153</v>
      </c>
      <c r="B1279" s="9" t="s">
        <v>1154</v>
      </c>
      <c r="C1279" s="9" t="s">
        <v>105</v>
      </c>
      <c r="D1279" s="9">
        <v>0.64800000000000002</v>
      </c>
      <c r="E1279" s="9">
        <v>16.2</v>
      </c>
      <c r="F1279" s="9">
        <v>16</v>
      </c>
      <c r="G1279" s="9">
        <v>62.9</v>
      </c>
      <c r="H1279" s="9" t="s">
        <v>106</v>
      </c>
      <c r="I1279" s="9">
        <v>32</v>
      </c>
      <c r="J1279" s="9" t="s">
        <v>107</v>
      </c>
      <c r="K1279" s="9" t="s">
        <v>1155</v>
      </c>
      <c r="L1279" t="str">
        <f>IF(OR(J1279="Cattle",J1279="Zebu Cattle"),IF(COUNTIF(lists!$M$2:$M$258, K1279) &gt; 0,"bos.indicus",IF(COUNTIF(lists!$L$2:$L$258, K1279) &gt; 0,"cross.bred","pure.bred.exotic")),"NA")</f>
        <v>NA</v>
      </c>
      <c r="M1279" t="str">
        <f>IF(J1279="Sheep",IF(COUNTIF(lists!$H$2:$H$258, K1279) &gt; 0,"indigenous",IF(COUNTIF(lists!$G$2:$G$258, K1279) &gt; 0,"cross.bred","not found")),"NA")</f>
        <v>not found</v>
      </c>
      <c r="N1279" t="str">
        <f>IF(J1279="Goat",IF(COUNTIF(lists!$J$2:$J$258, K1279) &gt; 0,"indigenous",IF(COUNTIF(lists!$I$2:$I$258, K1279) &gt; 0,"cross.bred","not found")),"NA")</f>
        <v>NA</v>
      </c>
      <c r="O1279" s="9" t="s">
        <v>109</v>
      </c>
      <c r="P1279" s="9" t="s">
        <v>106</v>
      </c>
      <c r="Q1279" s="9" t="s">
        <v>3804</v>
      </c>
      <c r="S1279" s="9" t="s">
        <v>106</v>
      </c>
      <c r="T1279" s="9" t="s">
        <v>106</v>
      </c>
      <c r="U1279" s="9" t="s">
        <v>106</v>
      </c>
      <c r="V1279" s="9" t="s">
        <v>106</v>
      </c>
      <c r="W1279" s="9" t="s">
        <v>106</v>
      </c>
      <c r="X1279" s="9" t="s">
        <v>106</v>
      </c>
      <c r="Y1279" s="9" t="s">
        <v>106</v>
      </c>
      <c r="Z1279" s="37"/>
      <c r="AA1279" s="37"/>
      <c r="AB1279" s="37"/>
      <c r="AE1279">
        <v>0</v>
      </c>
    </row>
    <row r="1280" spans="1:31" hidden="1">
      <c r="A1280" s="9" t="s">
        <v>1153</v>
      </c>
      <c r="B1280" s="9" t="s">
        <v>1156</v>
      </c>
      <c r="C1280" s="9" t="s">
        <v>105</v>
      </c>
      <c r="D1280" s="9">
        <v>0.61599999999999999</v>
      </c>
      <c r="E1280" s="9">
        <v>16.2</v>
      </c>
      <c r="F1280" s="9">
        <v>15.9</v>
      </c>
      <c r="G1280" s="9">
        <v>95.8</v>
      </c>
      <c r="H1280" s="9" t="s">
        <v>106</v>
      </c>
      <c r="I1280" s="9">
        <v>32</v>
      </c>
      <c r="J1280" s="9" t="s">
        <v>107</v>
      </c>
      <c r="K1280" s="9" t="s">
        <v>1155</v>
      </c>
      <c r="L1280" t="str">
        <f>IF(OR(J1280="Cattle",J1280="Zebu Cattle"),IF(COUNTIF(lists!$M$2:$M$258, K1280) &gt; 0,"bos.indicus",IF(COUNTIF(lists!$L$2:$L$258, K1280) &gt; 0,"cross.bred","pure.bred.exotic")),"NA")</f>
        <v>NA</v>
      </c>
      <c r="M1280" t="str">
        <f>IF(J1280="Sheep",IF(COUNTIF(lists!$H$2:$H$258, K1280) &gt; 0,"indigenous",IF(COUNTIF(lists!$G$2:$G$258, K1280) &gt; 0,"cross.bred","not found")),"NA")</f>
        <v>not found</v>
      </c>
      <c r="N1280" t="str">
        <f>IF(J1280="Goat",IF(COUNTIF(lists!$J$2:$J$258, K1280) &gt; 0,"indigenous",IF(COUNTIF(lists!$I$2:$I$258, K1280) &gt; 0,"cross.bred","not found")),"NA")</f>
        <v>NA</v>
      </c>
      <c r="O1280" s="9" t="s">
        <v>109</v>
      </c>
      <c r="P1280" s="9" t="s">
        <v>106</v>
      </c>
      <c r="Q1280" s="9" t="s">
        <v>3804</v>
      </c>
      <c r="S1280" s="9" t="s">
        <v>106</v>
      </c>
      <c r="T1280" s="9" t="s">
        <v>106</v>
      </c>
      <c r="U1280" s="9" t="s">
        <v>106</v>
      </c>
      <c r="V1280" s="9" t="s">
        <v>106</v>
      </c>
      <c r="W1280" s="9" t="s">
        <v>106</v>
      </c>
      <c r="X1280" s="9" t="s">
        <v>106</v>
      </c>
      <c r="Y1280" s="9" t="s">
        <v>106</v>
      </c>
      <c r="Z1280" s="37"/>
      <c r="AA1280" s="37"/>
      <c r="AB1280" s="37"/>
      <c r="AE1280">
        <v>0</v>
      </c>
    </row>
    <row r="1281" spans="1:31" hidden="1">
      <c r="A1281" s="9" t="s">
        <v>1153</v>
      </c>
      <c r="B1281" s="9" t="s">
        <v>1157</v>
      </c>
      <c r="C1281" s="9" t="s">
        <v>105</v>
      </c>
      <c r="D1281" s="9">
        <v>0.53900000000000003</v>
      </c>
      <c r="E1281" s="9">
        <v>16.2</v>
      </c>
      <c r="F1281" s="9">
        <v>16.7</v>
      </c>
      <c r="G1281" s="9">
        <v>48</v>
      </c>
      <c r="H1281" s="9" t="s">
        <v>106</v>
      </c>
      <c r="I1281" s="9">
        <v>32</v>
      </c>
      <c r="J1281" s="9" t="s">
        <v>107</v>
      </c>
      <c r="K1281" s="9" t="s">
        <v>1155</v>
      </c>
      <c r="L1281" t="str">
        <f>IF(OR(J1281="Cattle",J1281="Zebu Cattle"),IF(COUNTIF(lists!$M$2:$M$258, K1281) &gt; 0,"bos.indicus",IF(COUNTIF(lists!$L$2:$L$258, K1281) &gt; 0,"cross.bred","pure.bred.exotic")),"NA")</f>
        <v>NA</v>
      </c>
      <c r="M1281" t="str">
        <f>IF(J1281="Sheep",IF(COUNTIF(lists!$H$2:$H$258, K1281) &gt; 0,"indigenous",IF(COUNTIF(lists!$G$2:$G$258, K1281) &gt; 0,"cross.bred","not found")),"NA")</f>
        <v>not found</v>
      </c>
      <c r="N1281" t="str">
        <f>IF(J1281="Goat",IF(COUNTIF(lists!$J$2:$J$258, K1281) &gt; 0,"indigenous",IF(COUNTIF(lists!$I$2:$I$258, K1281) &gt; 0,"cross.bred","not found")),"NA")</f>
        <v>NA</v>
      </c>
      <c r="O1281" s="9" t="s">
        <v>109</v>
      </c>
      <c r="P1281" s="9" t="s">
        <v>106</v>
      </c>
      <c r="Q1281" s="9" t="s">
        <v>3804</v>
      </c>
      <c r="S1281" s="9" t="s">
        <v>106</v>
      </c>
      <c r="T1281" s="9" t="s">
        <v>106</v>
      </c>
      <c r="U1281" s="9" t="s">
        <v>106</v>
      </c>
      <c r="V1281" s="9" t="s">
        <v>106</v>
      </c>
      <c r="W1281" s="9" t="s">
        <v>106</v>
      </c>
      <c r="X1281" s="9" t="s">
        <v>106</v>
      </c>
      <c r="Y1281" s="9" t="s">
        <v>106</v>
      </c>
      <c r="Z1281" s="37"/>
      <c r="AA1281" s="37"/>
      <c r="AB1281" s="37"/>
      <c r="AE1281">
        <v>0</v>
      </c>
    </row>
    <row r="1282" spans="1:31" hidden="1">
      <c r="A1282" s="9" t="s">
        <v>1153</v>
      </c>
      <c r="B1282" s="9" t="s">
        <v>1158</v>
      </c>
      <c r="C1282" s="9" t="s">
        <v>105</v>
      </c>
      <c r="D1282" s="9">
        <v>0.57099999999999995</v>
      </c>
      <c r="E1282" s="9">
        <v>16.2</v>
      </c>
      <c r="F1282" s="9">
        <v>15.8</v>
      </c>
      <c r="G1282" s="9">
        <v>58.8</v>
      </c>
      <c r="H1282" s="9" t="s">
        <v>106</v>
      </c>
      <c r="I1282" s="9">
        <v>32</v>
      </c>
      <c r="J1282" s="9" t="s">
        <v>107</v>
      </c>
      <c r="K1282" s="9" t="s">
        <v>1155</v>
      </c>
      <c r="L1282" t="str">
        <f>IF(OR(J1282="Cattle",J1282="Zebu Cattle"),IF(COUNTIF(lists!$M$2:$M$258, K1282) &gt; 0,"bos.indicus",IF(COUNTIF(lists!$L$2:$L$258, K1282) &gt; 0,"cross.bred","pure.bred.exotic")),"NA")</f>
        <v>NA</v>
      </c>
      <c r="M1282" t="str">
        <f>IF(J1282="Sheep",IF(COUNTIF(lists!$H$2:$H$258, K1282) &gt; 0,"indigenous",IF(COUNTIF(lists!$G$2:$G$258, K1282) &gt; 0,"cross.bred","not found")),"NA")</f>
        <v>not found</v>
      </c>
      <c r="N1282" t="str">
        <f>IF(J1282="Goat",IF(COUNTIF(lists!$J$2:$J$258, K1282) &gt; 0,"indigenous",IF(COUNTIF(lists!$I$2:$I$258, K1282) &gt; 0,"cross.bred","not found")),"NA")</f>
        <v>NA</v>
      </c>
      <c r="O1282" s="9" t="s">
        <v>109</v>
      </c>
      <c r="P1282" s="9" t="s">
        <v>106</v>
      </c>
      <c r="Q1282" s="9" t="s">
        <v>3804</v>
      </c>
      <c r="S1282" s="9" t="s">
        <v>106</v>
      </c>
      <c r="T1282" s="9" t="s">
        <v>106</v>
      </c>
      <c r="U1282" s="9" t="s">
        <v>106</v>
      </c>
      <c r="V1282" s="9" t="s">
        <v>106</v>
      </c>
      <c r="W1282" s="9" t="s">
        <v>106</v>
      </c>
      <c r="X1282" s="9" t="s">
        <v>106</v>
      </c>
      <c r="Y1282" s="9" t="s">
        <v>106</v>
      </c>
      <c r="Z1282" s="37"/>
      <c r="AA1282" s="37"/>
      <c r="AB1282" s="37"/>
      <c r="AE1282">
        <v>0</v>
      </c>
    </row>
    <row r="1283" spans="1:31" hidden="1">
      <c r="A1283" s="9" t="s">
        <v>1184</v>
      </c>
      <c r="B1283" s="9" t="s">
        <v>1185</v>
      </c>
      <c r="C1283" s="9" t="s">
        <v>105</v>
      </c>
      <c r="D1283" s="9">
        <v>1.472</v>
      </c>
      <c r="E1283" s="9">
        <v>63.04</v>
      </c>
      <c r="F1283" s="9">
        <v>27.6</v>
      </c>
      <c r="G1283" s="9">
        <v>252</v>
      </c>
      <c r="H1283" s="9" t="s">
        <v>106</v>
      </c>
      <c r="I1283" s="9">
        <v>21</v>
      </c>
      <c r="J1283" s="9" t="s">
        <v>107</v>
      </c>
      <c r="K1283" s="9" t="s">
        <v>234</v>
      </c>
      <c r="L1283" t="str">
        <f>IF(OR(J1283="Cattle",J1283="Zebu Cattle"),IF(COUNTIF(lists!$M$2:$M$258, K1283) &gt; 0,"bos.indicus",IF(COUNTIF(lists!$L$2:$L$258, K1283) &gt; 0,"cross.bred","pure.bred.exotic")),"NA")</f>
        <v>NA</v>
      </c>
      <c r="M1283" t="str">
        <f>IF(J1283="Sheep",IF(COUNTIF(lists!$H$2:$H$258, K1283) &gt; 0,"indigenous",IF(COUNTIF(lists!$G$2:$G$258, K1283) &gt; 0,"cross.bred","not found")),"NA")</f>
        <v>not found</v>
      </c>
      <c r="N1283" t="str">
        <f>IF(J1283="Goat",IF(COUNTIF(lists!$J$2:$J$258, K1283) &gt; 0,"indigenous",IF(COUNTIF(lists!$I$2:$I$258, K1283) &gt; 0,"cross.bred","not found")),"NA")</f>
        <v>NA</v>
      </c>
      <c r="O1283" s="9" t="s">
        <v>109</v>
      </c>
      <c r="P1283" s="9" t="s">
        <v>106</v>
      </c>
      <c r="Q1283" s="9" t="s">
        <v>3804</v>
      </c>
      <c r="S1283" s="9">
        <v>325.89999999999998</v>
      </c>
      <c r="T1283" s="9">
        <v>68.599999999999994</v>
      </c>
      <c r="U1283" s="9">
        <v>142.19999999999999</v>
      </c>
      <c r="V1283" s="9">
        <v>912.7</v>
      </c>
      <c r="W1283" s="9">
        <v>28.4</v>
      </c>
      <c r="X1283" s="9">
        <v>443.7</v>
      </c>
      <c r="Y1283" s="9" t="s">
        <v>106</v>
      </c>
      <c r="Z1283" s="37"/>
      <c r="AA1283" s="37"/>
      <c r="AB1283" s="37"/>
      <c r="AE1283">
        <v>0</v>
      </c>
    </row>
    <row r="1284" spans="1:31" hidden="1">
      <c r="A1284" s="9" t="s">
        <v>1184</v>
      </c>
      <c r="B1284" s="9" t="s">
        <v>1186</v>
      </c>
      <c r="C1284" s="9" t="s">
        <v>105</v>
      </c>
      <c r="D1284" s="9">
        <v>1.4330000000000001</v>
      </c>
      <c r="E1284" s="9">
        <v>63.04</v>
      </c>
      <c r="F1284" s="9">
        <v>27.3</v>
      </c>
      <c r="G1284" s="9">
        <v>240</v>
      </c>
      <c r="H1284" s="9" t="s">
        <v>106</v>
      </c>
      <c r="I1284" s="9">
        <v>21</v>
      </c>
      <c r="J1284" s="9" t="s">
        <v>107</v>
      </c>
      <c r="K1284" s="9" t="s">
        <v>234</v>
      </c>
      <c r="L1284" t="str">
        <f>IF(OR(J1284="Cattle",J1284="Zebu Cattle"),IF(COUNTIF(lists!$M$2:$M$258, K1284) &gt; 0,"bos.indicus",IF(COUNTIF(lists!$L$2:$L$258, K1284) &gt; 0,"cross.bred","pure.bred.exotic")),"NA")</f>
        <v>NA</v>
      </c>
      <c r="M1284" t="str">
        <f>IF(J1284="Sheep",IF(COUNTIF(lists!$H$2:$H$258, K1284) &gt; 0,"indigenous",IF(COUNTIF(lists!$G$2:$G$258, K1284) &gt; 0,"cross.bred","not found")),"NA")</f>
        <v>not found</v>
      </c>
      <c r="N1284" t="str">
        <f>IF(J1284="Goat",IF(COUNTIF(lists!$J$2:$J$258, K1284) &gt; 0,"indigenous",IF(COUNTIF(lists!$I$2:$I$258, K1284) &gt; 0,"cross.bred","not found")),"NA")</f>
        <v>NA</v>
      </c>
      <c r="O1284" s="9" t="s">
        <v>109</v>
      </c>
      <c r="P1284" s="9" t="s">
        <v>106</v>
      </c>
      <c r="Q1284" s="9" t="s">
        <v>3804</v>
      </c>
      <c r="S1284" s="9">
        <v>314.5</v>
      </c>
      <c r="T1284" s="9">
        <v>70.099999999999994</v>
      </c>
      <c r="U1284" s="9">
        <v>144.69999999999999</v>
      </c>
      <c r="V1284" s="9">
        <v>915.6</v>
      </c>
      <c r="W1284" s="9">
        <v>27</v>
      </c>
      <c r="X1284" s="9">
        <v>449.5</v>
      </c>
      <c r="Y1284" s="9" t="s">
        <v>106</v>
      </c>
      <c r="Z1284" s="37"/>
      <c r="AA1284" s="37"/>
      <c r="AB1284" s="37"/>
      <c r="AE1284">
        <v>0</v>
      </c>
    </row>
    <row r="1285" spans="1:31" hidden="1">
      <c r="A1285" s="9" t="s">
        <v>1184</v>
      </c>
      <c r="B1285" s="9" t="s">
        <v>1187</v>
      </c>
      <c r="C1285" s="9" t="s">
        <v>105</v>
      </c>
      <c r="D1285" s="9">
        <v>1.415</v>
      </c>
      <c r="E1285" s="9">
        <v>63.04</v>
      </c>
      <c r="F1285" s="9">
        <v>27.8</v>
      </c>
      <c r="G1285" s="9">
        <v>229</v>
      </c>
      <c r="H1285" s="9" t="s">
        <v>106</v>
      </c>
      <c r="I1285" s="9">
        <v>21</v>
      </c>
      <c r="J1285" s="9" t="s">
        <v>107</v>
      </c>
      <c r="K1285" s="9" t="s">
        <v>234</v>
      </c>
      <c r="L1285" t="str">
        <f>IF(OR(J1285="Cattle",J1285="Zebu Cattle"),IF(COUNTIF(lists!$M$2:$M$258, K1285) &gt; 0,"bos.indicus",IF(COUNTIF(lists!$L$2:$L$258, K1285) &gt; 0,"cross.bred","pure.bred.exotic")),"NA")</f>
        <v>NA</v>
      </c>
      <c r="M1285" t="str">
        <f>IF(J1285="Sheep",IF(COUNTIF(lists!$H$2:$H$258, K1285) &gt; 0,"indigenous",IF(COUNTIF(lists!$G$2:$G$258, K1285) &gt; 0,"cross.bred","not found")),"NA")</f>
        <v>not found</v>
      </c>
      <c r="N1285" t="str">
        <f>IF(J1285="Goat",IF(COUNTIF(lists!$J$2:$J$258, K1285) &gt; 0,"indigenous",IF(COUNTIF(lists!$I$2:$I$258, K1285) &gt; 0,"cross.bred","not found")),"NA")</f>
        <v>NA</v>
      </c>
      <c r="O1285" s="9" t="s">
        <v>109</v>
      </c>
      <c r="P1285" s="9" t="s">
        <v>106</v>
      </c>
      <c r="Q1285" s="9" t="s">
        <v>3804</v>
      </c>
      <c r="S1285" s="9">
        <v>303.2</v>
      </c>
      <c r="T1285" s="9">
        <v>71.7</v>
      </c>
      <c r="U1285" s="9">
        <v>147.30000000000001</v>
      </c>
      <c r="V1285" s="9">
        <v>916.7</v>
      </c>
      <c r="W1285" s="9">
        <v>25.5</v>
      </c>
      <c r="X1285" s="9">
        <v>455.4</v>
      </c>
      <c r="Y1285" s="9" t="s">
        <v>106</v>
      </c>
      <c r="Z1285" s="37"/>
      <c r="AA1285" s="37"/>
      <c r="AB1285" s="37"/>
      <c r="AE1285">
        <v>0</v>
      </c>
    </row>
    <row r="1286" spans="1:31" hidden="1">
      <c r="A1286" s="9" t="s">
        <v>1188</v>
      </c>
      <c r="B1286" s="9" t="s">
        <v>819</v>
      </c>
      <c r="C1286" s="9" t="s">
        <v>105</v>
      </c>
      <c r="D1286" s="9">
        <v>1.25</v>
      </c>
      <c r="E1286" s="9">
        <v>210</v>
      </c>
      <c r="F1286" s="9">
        <v>35.17</v>
      </c>
      <c r="G1286" s="9">
        <v>98.855000000000004</v>
      </c>
      <c r="H1286" s="9" t="s">
        <v>106</v>
      </c>
      <c r="I1286" s="9">
        <v>30</v>
      </c>
      <c r="J1286" s="9" t="s">
        <v>107</v>
      </c>
      <c r="K1286" s="9" t="s">
        <v>1189</v>
      </c>
      <c r="L1286" t="str">
        <f>IF(OR(J1286="Cattle",J1286="Zebu Cattle"),IF(COUNTIF(lists!$M$2:$M$258, K1286) &gt; 0,"bos.indicus",IF(COUNTIF(lists!$L$2:$L$258, K1286) &gt; 0,"cross.bred","pure.bred.exotic")),"NA")</f>
        <v>NA</v>
      </c>
      <c r="M1286" t="str">
        <f>IF(J1286="Sheep",IF(COUNTIF(lists!$H$2:$H$258, K1286) &gt; 0,"indigenous",IF(COUNTIF(lists!$G$2:$G$258, K1286) &gt; 0,"cross.bred","not found")),"NA")</f>
        <v>not found</v>
      </c>
      <c r="N1286" t="str">
        <f>IF(J1286="Goat",IF(COUNTIF(lists!$J$2:$J$258, K1286) &gt; 0,"indigenous",IF(COUNTIF(lists!$I$2:$I$258, K1286) &gt; 0,"cross.bred","not found")),"NA")</f>
        <v>NA</v>
      </c>
      <c r="O1286" s="9" t="s">
        <v>109</v>
      </c>
      <c r="P1286" s="9" t="s">
        <v>106</v>
      </c>
      <c r="Q1286" s="9" t="s">
        <v>3800</v>
      </c>
      <c r="S1286" s="9" t="s">
        <v>106</v>
      </c>
      <c r="T1286" s="9">
        <v>73</v>
      </c>
      <c r="U1286" s="9">
        <v>147</v>
      </c>
      <c r="V1286" s="9">
        <v>737</v>
      </c>
      <c r="W1286" s="9">
        <v>44</v>
      </c>
      <c r="X1286" s="9" t="s">
        <v>106</v>
      </c>
      <c r="Y1286" s="9" t="s">
        <v>106</v>
      </c>
      <c r="Z1286" s="37"/>
      <c r="AA1286" s="37"/>
      <c r="AB1286" s="37"/>
      <c r="AE1286">
        <v>0</v>
      </c>
    </row>
    <row r="1287" spans="1:31" hidden="1">
      <c r="A1287" s="9" t="s">
        <v>1188</v>
      </c>
      <c r="B1287" s="9" t="s">
        <v>1190</v>
      </c>
      <c r="C1287" s="9" t="s">
        <v>105</v>
      </c>
      <c r="D1287" s="9">
        <v>1.05</v>
      </c>
      <c r="E1287" s="9">
        <v>10</v>
      </c>
      <c r="F1287" s="9">
        <v>31.83</v>
      </c>
      <c r="G1287" s="9">
        <v>102.39</v>
      </c>
      <c r="H1287" s="9" t="s">
        <v>106</v>
      </c>
      <c r="I1287" s="9">
        <v>30</v>
      </c>
      <c r="J1287" s="9" t="s">
        <v>107</v>
      </c>
      <c r="K1287" s="9" t="s">
        <v>1189</v>
      </c>
      <c r="L1287" t="str">
        <f>IF(OR(J1287="Cattle",J1287="Zebu Cattle"),IF(COUNTIF(lists!$M$2:$M$258, K1287) &gt; 0,"bos.indicus",IF(COUNTIF(lists!$L$2:$L$258, K1287) &gt; 0,"cross.bred","pure.bred.exotic")),"NA")</f>
        <v>NA</v>
      </c>
      <c r="M1287" t="str">
        <f>IF(J1287="Sheep",IF(COUNTIF(lists!$H$2:$H$258, K1287) &gt; 0,"indigenous",IF(COUNTIF(lists!$G$2:$G$258, K1287) &gt; 0,"cross.bred","not found")),"NA")</f>
        <v>not found</v>
      </c>
      <c r="N1287" t="str">
        <f>IF(J1287="Goat",IF(COUNTIF(lists!$J$2:$J$258, K1287) &gt; 0,"indigenous",IF(COUNTIF(lists!$I$2:$I$258, K1287) &gt; 0,"cross.bred","not found")),"NA")</f>
        <v>NA</v>
      </c>
      <c r="O1287" s="9" t="s">
        <v>109</v>
      </c>
      <c r="P1287" s="9" t="s">
        <v>106</v>
      </c>
      <c r="Q1287" s="9" t="s">
        <v>3800</v>
      </c>
      <c r="S1287" s="9" t="s">
        <v>106</v>
      </c>
      <c r="T1287" s="9">
        <v>62</v>
      </c>
      <c r="U1287" s="9">
        <v>212</v>
      </c>
      <c r="V1287" s="9">
        <v>867</v>
      </c>
      <c r="W1287" s="9">
        <v>35</v>
      </c>
      <c r="X1287" s="9" t="s">
        <v>106</v>
      </c>
      <c r="Y1287" s="9" t="s">
        <v>106</v>
      </c>
      <c r="Z1287" s="37"/>
      <c r="AA1287" s="37"/>
      <c r="AB1287" s="37"/>
      <c r="AE1287">
        <v>0</v>
      </c>
    </row>
    <row r="1288" spans="1:31" hidden="1">
      <c r="A1288" s="9" t="s">
        <v>1188</v>
      </c>
      <c r="B1288" s="9" t="s">
        <v>1191</v>
      </c>
      <c r="C1288" s="9" t="s">
        <v>105</v>
      </c>
      <c r="D1288" s="9">
        <v>1.45</v>
      </c>
      <c r="E1288" s="9">
        <v>130</v>
      </c>
      <c r="F1288" s="9">
        <v>34.92</v>
      </c>
      <c r="G1288" s="9">
        <v>100.16</v>
      </c>
      <c r="H1288" s="9" t="s">
        <v>106</v>
      </c>
      <c r="I1288" s="9">
        <v>30</v>
      </c>
      <c r="J1288" s="9" t="s">
        <v>107</v>
      </c>
      <c r="K1288" s="9" t="s">
        <v>1189</v>
      </c>
      <c r="L1288" t="str">
        <f>IF(OR(J1288="Cattle",J1288="Zebu Cattle"),IF(COUNTIF(lists!$M$2:$M$258, K1288) &gt; 0,"bos.indicus",IF(COUNTIF(lists!$L$2:$L$258, K1288) &gt; 0,"cross.bred","pure.bred.exotic")),"NA")</f>
        <v>NA</v>
      </c>
      <c r="M1288" t="str">
        <f>IF(J1288="Sheep",IF(COUNTIF(lists!$H$2:$H$258, K1288) &gt; 0,"indigenous",IF(COUNTIF(lists!$G$2:$G$258, K1288) &gt; 0,"cross.bred","not found")),"NA")</f>
        <v>not found</v>
      </c>
      <c r="N1288" t="str">
        <f>IF(J1288="Goat",IF(COUNTIF(lists!$J$2:$J$258, K1288) &gt; 0,"indigenous",IF(COUNTIF(lists!$I$2:$I$258, K1288) &gt; 0,"cross.bred","not found")),"NA")</f>
        <v>NA</v>
      </c>
      <c r="O1288" s="9" t="s">
        <v>109</v>
      </c>
      <c r="P1288" s="9" t="s">
        <v>106</v>
      </c>
      <c r="Q1288" s="9" t="s">
        <v>3800</v>
      </c>
      <c r="S1288" s="9" t="s">
        <v>106</v>
      </c>
      <c r="T1288" s="9">
        <v>74</v>
      </c>
      <c r="U1288" s="9">
        <v>206</v>
      </c>
      <c r="V1288" s="9">
        <v>850</v>
      </c>
      <c r="W1288" s="9">
        <v>46</v>
      </c>
      <c r="X1288" s="9" t="s">
        <v>106</v>
      </c>
      <c r="Y1288" s="9" t="s">
        <v>106</v>
      </c>
      <c r="Z1288" s="37"/>
      <c r="AA1288" s="37"/>
      <c r="AB1288" s="37"/>
      <c r="AE1288">
        <v>0</v>
      </c>
    </row>
    <row r="1289" spans="1:31" hidden="1">
      <c r="A1289" s="9" t="s">
        <v>1188</v>
      </c>
      <c r="B1289" s="9" t="s">
        <v>1192</v>
      </c>
      <c r="C1289" s="9" t="s">
        <v>105</v>
      </c>
      <c r="D1289" s="9">
        <v>1.2</v>
      </c>
      <c r="E1289" s="9">
        <v>120</v>
      </c>
      <c r="F1289" s="9">
        <v>30.08</v>
      </c>
      <c r="G1289" s="9">
        <v>138.04</v>
      </c>
      <c r="H1289" s="9" t="s">
        <v>106</v>
      </c>
      <c r="I1289" s="9">
        <v>30</v>
      </c>
      <c r="J1289" s="9" t="s">
        <v>107</v>
      </c>
      <c r="K1289" s="9" t="s">
        <v>1189</v>
      </c>
      <c r="L1289" t="str">
        <f>IF(OR(J1289="Cattle",J1289="Zebu Cattle"),IF(COUNTIF(lists!$M$2:$M$258, K1289) &gt; 0,"bos.indicus",IF(COUNTIF(lists!$L$2:$L$258, K1289) &gt; 0,"cross.bred","pure.bred.exotic")),"NA")</f>
        <v>NA</v>
      </c>
      <c r="M1289" t="str">
        <f>IF(J1289="Sheep",IF(COUNTIF(lists!$H$2:$H$258, K1289) &gt; 0,"indigenous",IF(COUNTIF(lists!$G$2:$G$258, K1289) &gt; 0,"cross.bred","not found")),"NA")</f>
        <v>not found</v>
      </c>
      <c r="N1289" t="str">
        <f>IF(J1289="Goat",IF(COUNTIF(lists!$J$2:$J$258, K1289) &gt; 0,"indigenous",IF(COUNTIF(lists!$I$2:$I$258, K1289) &gt; 0,"cross.bred","not found")),"NA")</f>
        <v>NA</v>
      </c>
      <c r="O1289" s="9" t="s">
        <v>109</v>
      </c>
      <c r="P1289" s="9" t="s">
        <v>106</v>
      </c>
      <c r="Q1289" s="9" t="s">
        <v>3800</v>
      </c>
      <c r="S1289" s="9" t="s">
        <v>106</v>
      </c>
      <c r="T1289" s="9">
        <v>69</v>
      </c>
      <c r="U1289" s="9">
        <v>229</v>
      </c>
      <c r="V1289" s="9">
        <v>865</v>
      </c>
      <c r="W1289" s="9">
        <v>40</v>
      </c>
      <c r="X1289" s="9" t="s">
        <v>106</v>
      </c>
      <c r="Y1289" s="9" t="s">
        <v>106</v>
      </c>
      <c r="Z1289" s="37"/>
      <c r="AA1289" s="37"/>
      <c r="AB1289" s="37"/>
      <c r="AE1289">
        <v>0</v>
      </c>
    </row>
    <row r="1290" spans="1:31" hidden="1">
      <c r="A1290" s="9" t="s">
        <v>1188</v>
      </c>
      <c r="B1290" s="9" t="s">
        <v>1193</v>
      </c>
      <c r="C1290" s="9" t="s">
        <v>105</v>
      </c>
      <c r="D1290" s="9">
        <v>1.1599999999999999</v>
      </c>
      <c r="E1290" s="9">
        <v>160</v>
      </c>
      <c r="F1290" s="9">
        <v>34.25</v>
      </c>
      <c r="G1290" s="9">
        <v>106.27</v>
      </c>
      <c r="H1290" s="9" t="s">
        <v>106</v>
      </c>
      <c r="I1290" s="9">
        <v>30</v>
      </c>
      <c r="J1290" s="9" t="s">
        <v>107</v>
      </c>
      <c r="K1290" s="9" t="s">
        <v>1189</v>
      </c>
      <c r="L1290" t="str">
        <f>IF(OR(J1290="Cattle",J1290="Zebu Cattle"),IF(COUNTIF(lists!$M$2:$M$258, K1290) &gt; 0,"bos.indicus",IF(COUNTIF(lists!$L$2:$L$258, K1290) &gt; 0,"cross.bred","pure.bred.exotic")),"NA")</f>
        <v>NA</v>
      </c>
      <c r="M1290" t="str">
        <f>IF(J1290="Sheep",IF(COUNTIF(lists!$H$2:$H$258, K1290) &gt; 0,"indigenous",IF(COUNTIF(lists!$G$2:$G$258, K1290) &gt; 0,"cross.bred","not found")),"NA")</f>
        <v>not found</v>
      </c>
      <c r="N1290" t="str">
        <f>IF(J1290="Goat",IF(COUNTIF(lists!$J$2:$J$258, K1290) &gt; 0,"indigenous",IF(COUNTIF(lists!$I$2:$I$258, K1290) &gt; 0,"cross.bred","not found")),"NA")</f>
        <v>NA</v>
      </c>
      <c r="O1290" s="9" t="s">
        <v>109</v>
      </c>
      <c r="P1290" s="9" t="s">
        <v>106</v>
      </c>
      <c r="Q1290" s="9" t="s">
        <v>3800</v>
      </c>
      <c r="S1290" s="9" t="s">
        <v>106</v>
      </c>
      <c r="T1290" s="9">
        <v>73</v>
      </c>
      <c r="U1290" s="9">
        <v>162</v>
      </c>
      <c r="V1290" s="9">
        <v>959</v>
      </c>
      <c r="W1290" s="9">
        <v>56</v>
      </c>
      <c r="X1290" s="9" t="s">
        <v>106</v>
      </c>
      <c r="Y1290" s="9" t="s">
        <v>106</v>
      </c>
      <c r="Z1290" s="37"/>
      <c r="AA1290" s="37"/>
      <c r="AB1290" s="37"/>
      <c r="AE1290">
        <v>0</v>
      </c>
    </row>
    <row r="1291" spans="1:31" hidden="1">
      <c r="A1291" s="9" t="s">
        <v>1229</v>
      </c>
      <c r="B1291" s="9" t="s">
        <v>1230</v>
      </c>
      <c r="C1291" s="9" t="s">
        <v>105</v>
      </c>
      <c r="D1291" s="9">
        <v>0.46389999999999998</v>
      </c>
      <c r="E1291" s="9" t="s">
        <v>106</v>
      </c>
      <c r="F1291" s="9">
        <v>1.2390000000000001</v>
      </c>
      <c r="G1291" s="9">
        <v>40.700000000000003</v>
      </c>
      <c r="H1291" s="9" t="s">
        <v>106</v>
      </c>
      <c r="I1291" s="9">
        <v>32</v>
      </c>
      <c r="J1291" s="9" t="s">
        <v>107</v>
      </c>
      <c r="K1291" s="9" t="s">
        <v>1231</v>
      </c>
      <c r="L1291" t="str">
        <f>IF(OR(J1291="Cattle",J1291="Zebu Cattle"),IF(COUNTIF(lists!$M$2:$M$258, K1291) &gt; 0,"bos.indicus",IF(COUNTIF(lists!$L$2:$L$258, K1291) &gt; 0,"cross.bred","pure.bred.exotic")),"NA")</f>
        <v>NA</v>
      </c>
      <c r="M1291" t="str">
        <f>IF(J1291="Sheep",IF(COUNTIF(lists!$H$2:$H$258, K1291) &gt; 0,"indigenous",IF(COUNTIF(lists!$G$2:$G$258, K1291) &gt; 0,"cross.bred","not found")),"NA")</f>
        <v>not found</v>
      </c>
      <c r="N1291" t="str">
        <f>IF(J1291="Goat",IF(COUNTIF(lists!$J$2:$J$258, K1291) &gt; 0,"indigenous",IF(COUNTIF(lists!$I$2:$I$258, K1291) &gt; 0,"cross.bred","not found")),"NA")</f>
        <v>NA</v>
      </c>
      <c r="O1291" s="9" t="s">
        <v>109</v>
      </c>
      <c r="P1291" s="9" t="s">
        <v>106</v>
      </c>
      <c r="Q1291" s="9" t="s">
        <v>3804</v>
      </c>
      <c r="S1291" s="9" t="s">
        <v>106</v>
      </c>
      <c r="T1291" s="9" t="s">
        <v>106</v>
      </c>
      <c r="U1291" s="9" t="s">
        <v>106</v>
      </c>
      <c r="V1291" s="9" t="s">
        <v>106</v>
      </c>
      <c r="W1291" s="9" t="s">
        <v>106</v>
      </c>
      <c r="X1291" s="9" t="s">
        <v>106</v>
      </c>
      <c r="Y1291" s="9" t="s">
        <v>106</v>
      </c>
      <c r="Z1291" s="37"/>
      <c r="AA1291" s="37"/>
      <c r="AB1291" s="37"/>
      <c r="AE1291">
        <v>0</v>
      </c>
    </row>
    <row r="1292" spans="1:31" hidden="1">
      <c r="A1292" s="9" t="s">
        <v>1229</v>
      </c>
      <c r="B1292" s="9" t="s">
        <v>1232</v>
      </c>
      <c r="C1292" s="9" t="s">
        <v>105</v>
      </c>
      <c r="D1292" s="9">
        <v>0.35799999999999998</v>
      </c>
      <c r="E1292" s="9" t="s">
        <v>106</v>
      </c>
      <c r="F1292" s="9">
        <v>1.294</v>
      </c>
      <c r="G1292" s="9">
        <v>23.1</v>
      </c>
      <c r="H1292" s="9" t="s">
        <v>106</v>
      </c>
      <c r="I1292" s="9">
        <v>32</v>
      </c>
      <c r="J1292" s="9" t="s">
        <v>107</v>
      </c>
      <c r="K1292" s="9" t="s">
        <v>1231</v>
      </c>
      <c r="L1292" t="str">
        <f>IF(OR(J1292="Cattle",J1292="Zebu Cattle"),IF(COUNTIF(lists!$M$2:$M$258, K1292) &gt; 0,"bos.indicus",IF(COUNTIF(lists!$L$2:$L$258, K1292) &gt; 0,"cross.bred","pure.bred.exotic")),"NA")</f>
        <v>NA</v>
      </c>
      <c r="M1292" t="str">
        <f>IF(J1292="Sheep",IF(COUNTIF(lists!$H$2:$H$258, K1292) &gt; 0,"indigenous",IF(COUNTIF(lists!$G$2:$G$258, K1292) &gt; 0,"cross.bred","not found")),"NA")</f>
        <v>not found</v>
      </c>
      <c r="N1292" t="str">
        <f>IF(J1292="Goat",IF(COUNTIF(lists!$J$2:$J$258, K1292) &gt; 0,"indigenous",IF(COUNTIF(lists!$I$2:$I$258, K1292) &gt; 0,"cross.bred","not found")),"NA")</f>
        <v>NA</v>
      </c>
      <c r="O1292" s="9" t="s">
        <v>109</v>
      </c>
      <c r="P1292" s="9" t="s">
        <v>106</v>
      </c>
      <c r="Q1292" s="9" t="s">
        <v>3804</v>
      </c>
      <c r="S1292" s="9" t="s">
        <v>106</v>
      </c>
      <c r="T1292" s="9" t="s">
        <v>106</v>
      </c>
      <c r="U1292" s="9" t="s">
        <v>106</v>
      </c>
      <c r="V1292" s="9" t="s">
        <v>106</v>
      </c>
      <c r="W1292" s="9" t="s">
        <v>106</v>
      </c>
      <c r="X1292" s="9" t="s">
        <v>106</v>
      </c>
      <c r="Y1292" s="9" t="s">
        <v>106</v>
      </c>
      <c r="Z1292" s="37"/>
      <c r="AA1292" s="37"/>
      <c r="AB1292" s="37"/>
      <c r="AE1292">
        <v>0</v>
      </c>
    </row>
    <row r="1293" spans="1:31" hidden="1">
      <c r="A1293" s="9" t="s">
        <v>1229</v>
      </c>
      <c r="B1293" s="9" t="s">
        <v>1233</v>
      </c>
      <c r="C1293" s="9" t="s">
        <v>105</v>
      </c>
      <c r="D1293" s="9">
        <v>0.49589999999999901</v>
      </c>
      <c r="E1293" s="9" t="s">
        <v>106</v>
      </c>
      <c r="F1293" s="9">
        <v>1.262</v>
      </c>
      <c r="G1293" s="9">
        <v>47.8</v>
      </c>
      <c r="H1293" s="9" t="s">
        <v>106</v>
      </c>
      <c r="I1293" s="9">
        <v>32</v>
      </c>
      <c r="J1293" s="9" t="s">
        <v>107</v>
      </c>
      <c r="K1293" s="9" t="s">
        <v>1231</v>
      </c>
      <c r="L1293" t="str">
        <f>IF(OR(J1293="Cattle",J1293="Zebu Cattle"),IF(COUNTIF(lists!$M$2:$M$258, K1293) &gt; 0,"bos.indicus",IF(COUNTIF(lists!$L$2:$L$258, K1293) &gt; 0,"cross.bred","pure.bred.exotic")),"NA")</f>
        <v>NA</v>
      </c>
      <c r="M1293" t="str">
        <f>IF(J1293="Sheep",IF(COUNTIF(lists!$H$2:$H$258, K1293) &gt; 0,"indigenous",IF(COUNTIF(lists!$G$2:$G$258, K1293) &gt; 0,"cross.bred","not found")),"NA")</f>
        <v>not found</v>
      </c>
      <c r="N1293" t="str">
        <f>IF(J1293="Goat",IF(COUNTIF(lists!$J$2:$J$258, K1293) &gt; 0,"indigenous",IF(COUNTIF(lists!$I$2:$I$258, K1293) &gt; 0,"cross.bred","not found")),"NA")</f>
        <v>NA</v>
      </c>
      <c r="O1293" s="9" t="s">
        <v>109</v>
      </c>
      <c r="P1293" s="9" t="s">
        <v>106</v>
      </c>
      <c r="Q1293" s="9" t="s">
        <v>3804</v>
      </c>
      <c r="S1293" s="9" t="s">
        <v>106</v>
      </c>
      <c r="T1293" s="9" t="s">
        <v>106</v>
      </c>
      <c r="U1293" s="9" t="s">
        <v>106</v>
      </c>
      <c r="V1293" s="9" t="s">
        <v>106</v>
      </c>
      <c r="W1293" s="9" t="s">
        <v>106</v>
      </c>
      <c r="X1293" s="9" t="s">
        <v>106</v>
      </c>
      <c r="Y1293" s="9" t="s">
        <v>106</v>
      </c>
      <c r="Z1293" s="37"/>
      <c r="AA1293" s="37"/>
      <c r="AB1293" s="37"/>
      <c r="AE1293">
        <v>0</v>
      </c>
    </row>
    <row r="1294" spans="1:31" hidden="1">
      <c r="A1294" s="9" t="s">
        <v>1229</v>
      </c>
      <c r="B1294" s="9" t="s">
        <v>1234</v>
      </c>
      <c r="C1294" s="9" t="s">
        <v>105</v>
      </c>
      <c r="D1294" s="9">
        <v>0.42699999999999999</v>
      </c>
      <c r="E1294" s="9" t="s">
        <v>106</v>
      </c>
      <c r="F1294" s="9">
        <v>1.2390000000000001</v>
      </c>
      <c r="G1294" s="9">
        <v>34.1</v>
      </c>
      <c r="H1294" s="9" t="s">
        <v>106</v>
      </c>
      <c r="I1294" s="9">
        <v>32</v>
      </c>
      <c r="J1294" s="9" t="s">
        <v>107</v>
      </c>
      <c r="K1294" s="9" t="s">
        <v>1231</v>
      </c>
      <c r="L1294" t="str">
        <f>IF(OR(J1294="Cattle",J1294="Zebu Cattle"),IF(COUNTIF(lists!$M$2:$M$258, K1294) &gt; 0,"bos.indicus",IF(COUNTIF(lists!$L$2:$L$258, K1294) &gt; 0,"cross.bred","pure.bred.exotic")),"NA")</f>
        <v>NA</v>
      </c>
      <c r="M1294" t="str">
        <f>IF(J1294="Sheep",IF(COUNTIF(lists!$H$2:$H$258, K1294) &gt; 0,"indigenous",IF(COUNTIF(lists!$G$2:$G$258, K1294) &gt; 0,"cross.bred","not found")),"NA")</f>
        <v>not found</v>
      </c>
      <c r="N1294" t="str">
        <f>IF(J1294="Goat",IF(COUNTIF(lists!$J$2:$J$258, K1294) &gt; 0,"indigenous",IF(COUNTIF(lists!$I$2:$I$258, K1294) &gt; 0,"cross.bred","not found")),"NA")</f>
        <v>NA</v>
      </c>
      <c r="O1294" s="9" t="s">
        <v>109</v>
      </c>
      <c r="P1294" s="9" t="s">
        <v>106</v>
      </c>
      <c r="Q1294" s="9" t="s">
        <v>3804</v>
      </c>
      <c r="S1294" s="9" t="s">
        <v>106</v>
      </c>
      <c r="T1294" s="9" t="s">
        <v>106</v>
      </c>
      <c r="U1294" s="9" t="s">
        <v>106</v>
      </c>
      <c r="V1294" s="9" t="s">
        <v>106</v>
      </c>
      <c r="W1294" s="9" t="s">
        <v>106</v>
      </c>
      <c r="X1294" s="9" t="s">
        <v>106</v>
      </c>
      <c r="Y1294" s="9" t="s">
        <v>106</v>
      </c>
      <c r="Z1294" s="37"/>
      <c r="AA1294" s="37"/>
      <c r="AB1294" s="37"/>
      <c r="AE1294">
        <v>0</v>
      </c>
    </row>
    <row r="1295" spans="1:31" hidden="1">
      <c r="A1295" s="9" t="s">
        <v>1229</v>
      </c>
      <c r="B1295" s="9" t="s">
        <v>1235</v>
      </c>
      <c r="C1295" s="9" t="s">
        <v>105</v>
      </c>
      <c r="D1295" s="9">
        <v>0.35799999999999998</v>
      </c>
      <c r="E1295" s="9" t="s">
        <v>106</v>
      </c>
      <c r="F1295" s="9">
        <v>1.294</v>
      </c>
      <c r="G1295" s="9">
        <v>23.1</v>
      </c>
      <c r="H1295" s="9" t="s">
        <v>106</v>
      </c>
      <c r="I1295" s="9">
        <v>32</v>
      </c>
      <c r="J1295" s="9" t="s">
        <v>107</v>
      </c>
      <c r="K1295" s="9" t="s">
        <v>1231</v>
      </c>
      <c r="L1295" t="str">
        <f>IF(OR(J1295="Cattle",J1295="Zebu Cattle"),IF(COUNTIF(lists!$M$2:$M$258, K1295) &gt; 0,"bos.indicus",IF(COUNTIF(lists!$L$2:$L$258, K1295) &gt; 0,"cross.bred","pure.bred.exotic")),"NA")</f>
        <v>NA</v>
      </c>
      <c r="M1295" t="str">
        <f>IF(J1295="Sheep",IF(COUNTIF(lists!$H$2:$H$258, K1295) &gt; 0,"indigenous",IF(COUNTIF(lists!$G$2:$G$258, K1295) &gt; 0,"cross.bred","not found")),"NA")</f>
        <v>not found</v>
      </c>
      <c r="N1295" t="str">
        <f>IF(J1295="Goat",IF(COUNTIF(lists!$J$2:$J$258, K1295) &gt; 0,"indigenous",IF(COUNTIF(lists!$I$2:$I$258, K1295) &gt; 0,"cross.bred","not found")),"NA")</f>
        <v>NA</v>
      </c>
      <c r="O1295" s="9" t="s">
        <v>109</v>
      </c>
      <c r="P1295" s="9" t="s">
        <v>106</v>
      </c>
      <c r="Q1295" s="9" t="s">
        <v>3804</v>
      </c>
      <c r="S1295" s="9" t="s">
        <v>106</v>
      </c>
      <c r="T1295" s="9" t="s">
        <v>106</v>
      </c>
      <c r="U1295" s="9" t="s">
        <v>106</v>
      </c>
      <c r="V1295" s="9" t="s">
        <v>106</v>
      </c>
      <c r="W1295" s="9" t="s">
        <v>106</v>
      </c>
      <c r="X1295" s="9" t="s">
        <v>106</v>
      </c>
      <c r="Y1295" s="9" t="s">
        <v>106</v>
      </c>
      <c r="Z1295" s="37"/>
      <c r="AA1295" s="37"/>
      <c r="AB1295" s="37"/>
      <c r="AE1295">
        <v>0</v>
      </c>
    </row>
    <row r="1296" spans="1:31" hidden="1">
      <c r="A1296" s="9" t="s">
        <v>1229</v>
      </c>
      <c r="B1296" s="9" t="s">
        <v>1236</v>
      </c>
      <c r="C1296" s="9" t="s">
        <v>105</v>
      </c>
      <c r="D1296" s="9">
        <v>0.46389999999999998</v>
      </c>
      <c r="E1296" s="9" t="s">
        <v>106</v>
      </c>
      <c r="F1296" s="9">
        <v>1.2390000000000001</v>
      </c>
      <c r="G1296" s="9">
        <v>40.700000000000003</v>
      </c>
      <c r="H1296" s="9" t="s">
        <v>106</v>
      </c>
      <c r="I1296" s="9">
        <v>32</v>
      </c>
      <c r="J1296" s="9" t="s">
        <v>107</v>
      </c>
      <c r="K1296" s="9" t="s">
        <v>1231</v>
      </c>
      <c r="L1296" t="str">
        <f>IF(OR(J1296="Cattle",J1296="Zebu Cattle"),IF(COUNTIF(lists!$M$2:$M$258, K1296) &gt; 0,"bos.indicus",IF(COUNTIF(lists!$L$2:$L$258, K1296) &gt; 0,"cross.bred","pure.bred.exotic")),"NA")</f>
        <v>NA</v>
      </c>
      <c r="M1296" t="str">
        <f>IF(J1296="Sheep",IF(COUNTIF(lists!$H$2:$H$258, K1296) &gt; 0,"indigenous",IF(COUNTIF(lists!$G$2:$G$258, K1296) &gt; 0,"cross.bred","not found")),"NA")</f>
        <v>not found</v>
      </c>
      <c r="N1296" t="str">
        <f>IF(J1296="Goat",IF(COUNTIF(lists!$J$2:$J$258, K1296) &gt; 0,"indigenous",IF(COUNTIF(lists!$I$2:$I$258, K1296) &gt; 0,"cross.bred","not found")),"NA")</f>
        <v>NA</v>
      </c>
      <c r="O1296" s="9" t="s">
        <v>109</v>
      </c>
      <c r="P1296" s="9" t="s">
        <v>106</v>
      </c>
      <c r="Q1296" s="9" t="s">
        <v>3804</v>
      </c>
      <c r="S1296" s="9" t="s">
        <v>106</v>
      </c>
      <c r="T1296" s="9" t="s">
        <v>106</v>
      </c>
      <c r="U1296" s="9" t="s">
        <v>106</v>
      </c>
      <c r="V1296" s="9" t="s">
        <v>106</v>
      </c>
      <c r="W1296" s="9" t="s">
        <v>106</v>
      </c>
      <c r="X1296" s="9" t="s">
        <v>106</v>
      </c>
      <c r="Y1296" s="9" t="s">
        <v>106</v>
      </c>
      <c r="Z1296" s="37"/>
      <c r="AA1296" s="37"/>
      <c r="AB1296" s="37"/>
      <c r="AE1296">
        <v>0</v>
      </c>
    </row>
    <row r="1297" spans="1:31" hidden="1">
      <c r="A1297" s="9" t="s">
        <v>1229</v>
      </c>
      <c r="B1297" s="9" t="s">
        <v>1237</v>
      </c>
      <c r="C1297" s="9" t="s">
        <v>105</v>
      </c>
      <c r="D1297" s="9">
        <v>0.49589999999999901</v>
      </c>
      <c r="E1297" s="9" t="s">
        <v>106</v>
      </c>
      <c r="F1297" s="9">
        <v>1.2909999999999999</v>
      </c>
      <c r="G1297" s="9">
        <v>47.8</v>
      </c>
      <c r="H1297" s="9" t="s">
        <v>106</v>
      </c>
      <c r="I1297" s="9">
        <v>32</v>
      </c>
      <c r="J1297" s="9" t="s">
        <v>107</v>
      </c>
      <c r="K1297" s="9" t="s">
        <v>1231</v>
      </c>
      <c r="L1297" t="str">
        <f>IF(OR(J1297="Cattle",J1297="Zebu Cattle"),IF(COUNTIF(lists!$M$2:$M$258, K1297) &gt; 0,"bos.indicus",IF(COUNTIF(lists!$L$2:$L$258, K1297) &gt; 0,"cross.bred","pure.bred.exotic")),"NA")</f>
        <v>NA</v>
      </c>
      <c r="M1297" t="str">
        <f>IF(J1297="Sheep",IF(COUNTIF(lists!$H$2:$H$258, K1297) &gt; 0,"indigenous",IF(COUNTIF(lists!$G$2:$G$258, K1297) &gt; 0,"cross.bred","not found")),"NA")</f>
        <v>not found</v>
      </c>
      <c r="N1297" t="str">
        <f>IF(J1297="Goat",IF(COUNTIF(lists!$J$2:$J$258, K1297) &gt; 0,"indigenous",IF(COUNTIF(lists!$I$2:$I$258, K1297) &gt; 0,"cross.bred","not found")),"NA")</f>
        <v>NA</v>
      </c>
      <c r="O1297" s="9" t="s">
        <v>109</v>
      </c>
      <c r="P1297" s="9" t="s">
        <v>106</v>
      </c>
      <c r="Q1297" s="9" t="s">
        <v>3804</v>
      </c>
      <c r="S1297" s="9" t="s">
        <v>106</v>
      </c>
      <c r="T1297" s="9" t="s">
        <v>106</v>
      </c>
      <c r="U1297" s="9" t="s">
        <v>106</v>
      </c>
      <c r="V1297" s="9" t="s">
        <v>106</v>
      </c>
      <c r="W1297" s="9" t="s">
        <v>106</v>
      </c>
      <c r="X1297" s="9" t="s">
        <v>106</v>
      </c>
      <c r="Y1297" s="9" t="s">
        <v>106</v>
      </c>
      <c r="Z1297" s="37"/>
      <c r="AA1297" s="37"/>
      <c r="AB1297" s="37"/>
      <c r="AE1297">
        <v>0</v>
      </c>
    </row>
    <row r="1298" spans="1:31" hidden="1">
      <c r="A1298" s="9" t="s">
        <v>1229</v>
      </c>
      <c r="B1298" s="9" t="s">
        <v>1238</v>
      </c>
      <c r="C1298" s="9" t="s">
        <v>105</v>
      </c>
      <c r="D1298" s="9">
        <v>0.49589999999999901</v>
      </c>
      <c r="E1298" s="9" t="s">
        <v>106</v>
      </c>
      <c r="F1298" s="9">
        <v>1.262</v>
      </c>
      <c r="G1298" s="9">
        <v>47.8</v>
      </c>
      <c r="H1298" s="9" t="s">
        <v>106</v>
      </c>
      <c r="I1298" s="9">
        <v>32</v>
      </c>
      <c r="J1298" s="9" t="s">
        <v>107</v>
      </c>
      <c r="K1298" s="9" t="s">
        <v>1231</v>
      </c>
      <c r="L1298" t="str">
        <f>IF(OR(J1298="Cattle",J1298="Zebu Cattle"),IF(COUNTIF(lists!$M$2:$M$258, K1298) &gt; 0,"bos.indicus",IF(COUNTIF(lists!$L$2:$L$258, K1298) &gt; 0,"cross.bred","pure.bred.exotic")),"NA")</f>
        <v>NA</v>
      </c>
      <c r="M1298" t="str">
        <f>IF(J1298="Sheep",IF(COUNTIF(lists!$H$2:$H$258, K1298) &gt; 0,"indigenous",IF(COUNTIF(lists!$G$2:$G$258, K1298) &gt; 0,"cross.bred","not found")),"NA")</f>
        <v>not found</v>
      </c>
      <c r="N1298" t="str">
        <f>IF(J1298="Goat",IF(COUNTIF(lists!$J$2:$J$258, K1298) &gt; 0,"indigenous",IF(COUNTIF(lists!$I$2:$I$258, K1298) &gt; 0,"cross.bred","not found")),"NA")</f>
        <v>NA</v>
      </c>
      <c r="O1298" s="9" t="s">
        <v>109</v>
      </c>
      <c r="P1298" s="9" t="s">
        <v>106</v>
      </c>
      <c r="Q1298" s="9" t="s">
        <v>3804</v>
      </c>
      <c r="S1298" s="9" t="s">
        <v>106</v>
      </c>
      <c r="T1298" s="9" t="s">
        <v>106</v>
      </c>
      <c r="U1298" s="9" t="s">
        <v>106</v>
      </c>
      <c r="V1298" s="9" t="s">
        <v>106</v>
      </c>
      <c r="W1298" s="9" t="s">
        <v>106</v>
      </c>
      <c r="X1298" s="9" t="s">
        <v>106</v>
      </c>
      <c r="Y1298" s="9" t="s">
        <v>106</v>
      </c>
      <c r="Z1298" s="37"/>
      <c r="AA1298" s="37"/>
      <c r="AB1298" s="37"/>
      <c r="AE1298">
        <v>0</v>
      </c>
    </row>
    <row r="1299" spans="1:31" hidden="1">
      <c r="A1299" s="9" t="s">
        <v>1229</v>
      </c>
      <c r="B1299" s="9" t="s">
        <v>1239</v>
      </c>
      <c r="C1299" s="9" t="s">
        <v>105</v>
      </c>
      <c r="D1299" s="9">
        <v>0.42699999999999999</v>
      </c>
      <c r="E1299" s="9" t="s">
        <v>106</v>
      </c>
      <c r="F1299" s="9">
        <v>1.2909999999999999</v>
      </c>
      <c r="G1299" s="9">
        <v>34.1</v>
      </c>
      <c r="H1299" s="9" t="s">
        <v>106</v>
      </c>
      <c r="I1299" s="9">
        <v>32</v>
      </c>
      <c r="J1299" s="9" t="s">
        <v>107</v>
      </c>
      <c r="K1299" s="9" t="s">
        <v>1231</v>
      </c>
      <c r="L1299" t="str">
        <f>IF(OR(J1299="Cattle",J1299="Zebu Cattle"),IF(COUNTIF(lists!$M$2:$M$258, K1299) &gt; 0,"bos.indicus",IF(COUNTIF(lists!$L$2:$L$258, K1299) &gt; 0,"cross.bred","pure.bred.exotic")),"NA")</f>
        <v>NA</v>
      </c>
      <c r="M1299" t="str">
        <f>IF(J1299="Sheep",IF(COUNTIF(lists!$H$2:$H$258, K1299) &gt; 0,"indigenous",IF(COUNTIF(lists!$G$2:$G$258, K1299) &gt; 0,"cross.bred","not found")),"NA")</f>
        <v>not found</v>
      </c>
      <c r="N1299" t="str">
        <f>IF(J1299="Goat",IF(COUNTIF(lists!$J$2:$J$258, K1299) &gt; 0,"indigenous",IF(COUNTIF(lists!$I$2:$I$258, K1299) &gt; 0,"cross.bred","not found")),"NA")</f>
        <v>NA</v>
      </c>
      <c r="O1299" s="9" t="s">
        <v>109</v>
      </c>
      <c r="P1299" s="9" t="s">
        <v>106</v>
      </c>
      <c r="Q1299" s="9" t="s">
        <v>3804</v>
      </c>
      <c r="S1299" s="9" t="s">
        <v>106</v>
      </c>
      <c r="T1299" s="9" t="s">
        <v>106</v>
      </c>
      <c r="U1299" s="9" t="s">
        <v>106</v>
      </c>
      <c r="V1299" s="9" t="s">
        <v>106</v>
      </c>
      <c r="W1299" s="9" t="s">
        <v>106</v>
      </c>
      <c r="X1299" s="9" t="s">
        <v>106</v>
      </c>
      <c r="Y1299" s="9" t="s">
        <v>106</v>
      </c>
      <c r="Z1299" s="37"/>
      <c r="AA1299" s="37"/>
      <c r="AB1299" s="37"/>
      <c r="AE1299">
        <v>0</v>
      </c>
    </row>
    <row r="1300" spans="1:31" hidden="1">
      <c r="A1300" s="9" t="s">
        <v>1248</v>
      </c>
      <c r="B1300" s="9" t="s">
        <v>1224</v>
      </c>
      <c r="C1300" s="9" t="s">
        <v>105</v>
      </c>
      <c r="D1300" s="9">
        <v>0.1726</v>
      </c>
      <c r="E1300" s="9" t="s">
        <v>106</v>
      </c>
      <c r="F1300" s="9">
        <v>23.5</v>
      </c>
      <c r="G1300" s="9">
        <v>380</v>
      </c>
      <c r="H1300" s="9" t="s">
        <v>106</v>
      </c>
      <c r="I1300" s="9">
        <v>12</v>
      </c>
      <c r="J1300" s="9" t="s">
        <v>107</v>
      </c>
      <c r="K1300" s="9" t="s">
        <v>859</v>
      </c>
      <c r="L1300" t="str">
        <f>IF(OR(J1300="Cattle",J1300="Zebu Cattle"),IF(COUNTIF(lists!$M$2:$M$258, K1300) &gt; 0,"bos.indicus",IF(COUNTIF(lists!$L$2:$L$258, K1300) &gt; 0,"cross.bred","pure.bred.exotic")),"NA")</f>
        <v>NA</v>
      </c>
      <c r="M1300" t="str">
        <f>IF(J1300="Sheep",IF(COUNTIF(lists!$H$2:$H$258, K1300) &gt; 0,"indigenous",IF(COUNTIF(lists!$G$2:$G$258, K1300) &gt; 0,"cross.bred","not found")),"NA")</f>
        <v>not found</v>
      </c>
      <c r="N1300" t="str">
        <f>IF(J1300="Goat",IF(COUNTIF(lists!$J$2:$J$258, K1300) &gt; 0,"indigenous",IF(COUNTIF(lists!$I$2:$I$258, K1300) &gt; 0,"cross.bred","not found")),"NA")</f>
        <v>NA</v>
      </c>
      <c r="O1300" s="9" t="s">
        <v>135</v>
      </c>
      <c r="P1300" s="9" t="s">
        <v>106</v>
      </c>
      <c r="Q1300" s="9" t="s">
        <v>3804</v>
      </c>
      <c r="S1300" s="9" t="s">
        <v>106</v>
      </c>
      <c r="T1300" s="9" t="s">
        <v>106</v>
      </c>
      <c r="U1300" s="9" t="s">
        <v>106</v>
      </c>
      <c r="V1300" s="9" t="s">
        <v>106</v>
      </c>
      <c r="W1300" s="9" t="s">
        <v>106</v>
      </c>
      <c r="X1300" s="9" t="s">
        <v>106</v>
      </c>
      <c r="Y1300" s="9" t="s">
        <v>106</v>
      </c>
      <c r="Z1300" s="37"/>
      <c r="AA1300" s="37"/>
      <c r="AB1300" s="37"/>
      <c r="AE1300">
        <v>0</v>
      </c>
    </row>
    <row r="1301" spans="1:31" hidden="1">
      <c r="A1301" s="9" t="s">
        <v>1248</v>
      </c>
      <c r="B1301" s="9" t="s">
        <v>1249</v>
      </c>
      <c r="C1301" s="9" t="s">
        <v>105</v>
      </c>
      <c r="D1301" s="9">
        <v>0.23580000000000001</v>
      </c>
      <c r="E1301" s="9" t="s">
        <v>106</v>
      </c>
      <c r="F1301" s="9">
        <v>24</v>
      </c>
      <c r="G1301" s="9">
        <v>471.11111111111097</v>
      </c>
      <c r="H1301" s="9" t="s">
        <v>106</v>
      </c>
      <c r="I1301" s="9">
        <v>12</v>
      </c>
      <c r="J1301" s="9" t="s">
        <v>107</v>
      </c>
      <c r="K1301" s="9" t="s">
        <v>859</v>
      </c>
      <c r="L1301" t="str">
        <f>IF(OR(J1301="Cattle",J1301="Zebu Cattle"),IF(COUNTIF(lists!$M$2:$M$258, K1301) &gt; 0,"bos.indicus",IF(COUNTIF(lists!$L$2:$L$258, K1301) &gt; 0,"cross.bred","pure.bred.exotic")),"NA")</f>
        <v>NA</v>
      </c>
      <c r="M1301" t="str">
        <f>IF(J1301="Sheep",IF(COUNTIF(lists!$H$2:$H$258, K1301) &gt; 0,"indigenous",IF(COUNTIF(lists!$G$2:$G$258, K1301) &gt; 0,"cross.bred","not found")),"NA")</f>
        <v>not found</v>
      </c>
      <c r="N1301" t="str">
        <f>IF(J1301="Goat",IF(COUNTIF(lists!$J$2:$J$258, K1301) &gt; 0,"indigenous",IF(COUNTIF(lists!$I$2:$I$258, K1301) &gt; 0,"cross.bred","not found")),"NA")</f>
        <v>NA</v>
      </c>
      <c r="O1301" s="9" t="s">
        <v>135</v>
      </c>
      <c r="P1301" s="9" t="s">
        <v>106</v>
      </c>
      <c r="Q1301" s="9" t="s">
        <v>3804</v>
      </c>
      <c r="S1301" s="9" t="s">
        <v>106</v>
      </c>
      <c r="T1301" s="9" t="s">
        <v>106</v>
      </c>
      <c r="U1301" s="9" t="s">
        <v>106</v>
      </c>
      <c r="V1301" s="9" t="s">
        <v>106</v>
      </c>
      <c r="W1301" s="9" t="s">
        <v>106</v>
      </c>
      <c r="X1301" s="9" t="s">
        <v>106</v>
      </c>
      <c r="Y1301" s="9" t="s">
        <v>106</v>
      </c>
      <c r="Z1301" s="37"/>
      <c r="AA1301" s="37"/>
      <c r="AB1301" s="37"/>
      <c r="AE1301">
        <v>0</v>
      </c>
    </row>
    <row r="1302" spans="1:31" hidden="1">
      <c r="A1302" s="9" t="s">
        <v>1248</v>
      </c>
      <c r="B1302" s="9" t="s">
        <v>1250</v>
      </c>
      <c r="C1302" s="9" t="s">
        <v>105</v>
      </c>
      <c r="D1302" s="9">
        <v>0.24099999999999999</v>
      </c>
      <c r="E1302" s="9" t="s">
        <v>106</v>
      </c>
      <c r="F1302" s="9">
        <v>21.5</v>
      </c>
      <c r="G1302" s="9">
        <v>707.77777777777703</v>
      </c>
      <c r="H1302" s="9" t="s">
        <v>106</v>
      </c>
      <c r="I1302" s="9">
        <v>12</v>
      </c>
      <c r="J1302" s="9" t="s">
        <v>107</v>
      </c>
      <c r="K1302" s="9" t="s">
        <v>859</v>
      </c>
      <c r="L1302" t="str">
        <f>IF(OR(J1302="Cattle",J1302="Zebu Cattle"),IF(COUNTIF(lists!$M$2:$M$258, K1302) &gt; 0,"bos.indicus",IF(COUNTIF(lists!$L$2:$L$258, K1302) &gt; 0,"cross.bred","pure.bred.exotic")),"NA")</f>
        <v>NA</v>
      </c>
      <c r="M1302" t="str">
        <f>IF(J1302="Sheep",IF(COUNTIF(lists!$H$2:$H$258, K1302) &gt; 0,"indigenous",IF(COUNTIF(lists!$G$2:$G$258, K1302) &gt; 0,"cross.bred","not found")),"NA")</f>
        <v>not found</v>
      </c>
      <c r="N1302" t="str">
        <f>IF(J1302="Goat",IF(COUNTIF(lists!$J$2:$J$258, K1302) &gt; 0,"indigenous",IF(COUNTIF(lists!$I$2:$I$258, K1302) &gt; 0,"cross.bred","not found")),"NA")</f>
        <v>NA</v>
      </c>
      <c r="O1302" s="9" t="s">
        <v>135</v>
      </c>
      <c r="P1302" s="9" t="s">
        <v>106</v>
      </c>
      <c r="Q1302" s="9" t="s">
        <v>3804</v>
      </c>
      <c r="S1302" s="9" t="s">
        <v>106</v>
      </c>
      <c r="T1302" s="9" t="s">
        <v>106</v>
      </c>
      <c r="U1302" s="9" t="s">
        <v>106</v>
      </c>
      <c r="V1302" s="9" t="s">
        <v>106</v>
      </c>
      <c r="W1302" s="9" t="s">
        <v>106</v>
      </c>
      <c r="X1302" s="9" t="s">
        <v>106</v>
      </c>
      <c r="Y1302" s="9" t="s">
        <v>106</v>
      </c>
      <c r="Z1302" s="37"/>
      <c r="AA1302" s="37"/>
      <c r="AB1302" s="37"/>
      <c r="AE1302">
        <v>0</v>
      </c>
    </row>
    <row r="1303" spans="1:31" hidden="1">
      <c r="A1303" s="9" t="s">
        <v>1248</v>
      </c>
      <c r="B1303" s="9" t="s">
        <v>1251</v>
      </c>
      <c r="C1303" s="9" t="s">
        <v>105</v>
      </c>
      <c r="D1303" s="9">
        <v>0.2535</v>
      </c>
      <c r="E1303" s="9" t="s">
        <v>106</v>
      </c>
      <c r="F1303" s="9">
        <v>22.4</v>
      </c>
      <c r="G1303" s="9">
        <v>767.77777777777806</v>
      </c>
      <c r="H1303" s="9" t="s">
        <v>106</v>
      </c>
      <c r="I1303" s="9">
        <v>12</v>
      </c>
      <c r="J1303" s="9" t="s">
        <v>107</v>
      </c>
      <c r="K1303" s="9" t="s">
        <v>859</v>
      </c>
      <c r="L1303" t="str">
        <f>IF(OR(J1303="Cattle",J1303="Zebu Cattle"),IF(COUNTIF(lists!$M$2:$M$258, K1303) &gt; 0,"bos.indicus",IF(COUNTIF(lists!$L$2:$L$258, K1303) &gt; 0,"cross.bred","pure.bred.exotic")),"NA")</f>
        <v>NA</v>
      </c>
      <c r="M1303" t="str">
        <f>IF(J1303="Sheep",IF(COUNTIF(lists!$H$2:$H$258, K1303) &gt; 0,"indigenous",IF(COUNTIF(lists!$G$2:$G$258, K1303) &gt; 0,"cross.bred","not found")),"NA")</f>
        <v>not found</v>
      </c>
      <c r="N1303" t="str">
        <f>IF(J1303="Goat",IF(COUNTIF(lists!$J$2:$J$258, K1303) &gt; 0,"indigenous",IF(COUNTIF(lists!$I$2:$I$258, K1303) &gt; 0,"cross.bred","not found")),"NA")</f>
        <v>NA</v>
      </c>
      <c r="O1303" s="9" t="s">
        <v>135</v>
      </c>
      <c r="P1303" s="9" t="s">
        <v>106</v>
      </c>
      <c r="Q1303" s="9" t="s">
        <v>3804</v>
      </c>
      <c r="S1303" s="9" t="s">
        <v>106</v>
      </c>
      <c r="T1303" s="9" t="s">
        <v>106</v>
      </c>
      <c r="U1303" s="9" t="s">
        <v>106</v>
      </c>
      <c r="V1303" s="9" t="s">
        <v>106</v>
      </c>
      <c r="W1303" s="9" t="s">
        <v>106</v>
      </c>
      <c r="X1303" s="9" t="s">
        <v>106</v>
      </c>
      <c r="Y1303" s="9" t="s">
        <v>106</v>
      </c>
      <c r="Z1303" s="37"/>
      <c r="AA1303" s="37"/>
      <c r="AB1303" s="37"/>
      <c r="AE1303">
        <v>0</v>
      </c>
    </row>
    <row r="1304" spans="1:31" hidden="1">
      <c r="A1304" s="9" t="s">
        <v>1252</v>
      </c>
      <c r="B1304" s="9" t="s">
        <v>1253</v>
      </c>
      <c r="C1304" s="9" t="s">
        <v>105</v>
      </c>
      <c r="D1304" s="9">
        <v>0.74019999999999997</v>
      </c>
      <c r="E1304" s="9" t="s">
        <v>106</v>
      </c>
      <c r="F1304" s="9" t="s">
        <v>106</v>
      </c>
      <c r="G1304" s="9" t="s">
        <v>106</v>
      </c>
      <c r="H1304" s="9" t="s">
        <v>106</v>
      </c>
      <c r="I1304" s="9">
        <v>16</v>
      </c>
      <c r="J1304" s="9" t="s">
        <v>107</v>
      </c>
      <c r="K1304" s="9" t="s">
        <v>859</v>
      </c>
      <c r="L1304" t="str">
        <f>IF(OR(J1304="Cattle",J1304="Zebu Cattle"),IF(COUNTIF(lists!$M$2:$M$258, K1304) &gt; 0,"bos.indicus",IF(COUNTIF(lists!$L$2:$L$258, K1304) &gt; 0,"cross.bred","pure.bred.exotic")),"NA")</f>
        <v>NA</v>
      </c>
      <c r="M1304" t="str">
        <f>IF(J1304="Sheep",IF(COUNTIF(lists!$H$2:$H$258, K1304) &gt; 0,"indigenous",IF(COUNTIF(lists!$G$2:$G$258, K1304) &gt; 0,"cross.bred","not found")),"NA")</f>
        <v>not found</v>
      </c>
      <c r="N1304" t="str">
        <f>IF(J1304="Goat",IF(COUNTIF(lists!$J$2:$J$258, K1304) &gt; 0,"indigenous",IF(COUNTIF(lists!$I$2:$I$258, K1304) &gt; 0,"cross.bred","not found")),"NA")</f>
        <v>NA</v>
      </c>
      <c r="O1304" s="9" t="s">
        <v>135</v>
      </c>
      <c r="P1304" s="9" t="s">
        <v>106</v>
      </c>
      <c r="Q1304" s="9" t="s">
        <v>3800</v>
      </c>
      <c r="S1304" s="9" t="s">
        <v>106</v>
      </c>
      <c r="T1304" s="9" t="s">
        <v>106</v>
      </c>
      <c r="U1304" s="9" t="s">
        <v>106</v>
      </c>
      <c r="V1304" s="9" t="s">
        <v>106</v>
      </c>
      <c r="W1304" s="9" t="s">
        <v>106</v>
      </c>
      <c r="X1304" s="9" t="s">
        <v>106</v>
      </c>
      <c r="Y1304" s="9" t="s">
        <v>106</v>
      </c>
      <c r="Z1304" s="37"/>
      <c r="AA1304" s="37"/>
      <c r="AB1304" s="37"/>
      <c r="AE1304">
        <v>0</v>
      </c>
    </row>
    <row r="1305" spans="1:31" hidden="1">
      <c r="A1305" s="9" t="s">
        <v>1252</v>
      </c>
      <c r="B1305" s="9" t="s">
        <v>1254</v>
      </c>
      <c r="C1305" s="9" t="s">
        <v>105</v>
      </c>
      <c r="D1305" s="9">
        <v>0.7379</v>
      </c>
      <c r="E1305" s="9" t="s">
        <v>106</v>
      </c>
      <c r="F1305" s="9" t="s">
        <v>106</v>
      </c>
      <c r="G1305" s="9" t="s">
        <v>106</v>
      </c>
      <c r="H1305" s="9" t="s">
        <v>106</v>
      </c>
      <c r="I1305" s="9">
        <v>16</v>
      </c>
      <c r="J1305" s="9" t="s">
        <v>107</v>
      </c>
      <c r="K1305" s="9" t="s">
        <v>859</v>
      </c>
      <c r="L1305" t="str">
        <f>IF(OR(J1305="Cattle",J1305="Zebu Cattle"),IF(COUNTIF(lists!$M$2:$M$258, K1305) &gt; 0,"bos.indicus",IF(COUNTIF(lists!$L$2:$L$258, K1305) &gt; 0,"cross.bred","pure.bred.exotic")),"NA")</f>
        <v>NA</v>
      </c>
      <c r="M1305" t="str">
        <f>IF(J1305="Sheep",IF(COUNTIF(lists!$H$2:$H$258, K1305) &gt; 0,"indigenous",IF(COUNTIF(lists!$G$2:$G$258, K1305) &gt; 0,"cross.bred","not found")),"NA")</f>
        <v>not found</v>
      </c>
      <c r="N1305" t="str">
        <f>IF(J1305="Goat",IF(COUNTIF(lists!$J$2:$J$258, K1305) &gt; 0,"indigenous",IF(COUNTIF(lists!$I$2:$I$258, K1305) &gt; 0,"cross.bred","not found")),"NA")</f>
        <v>NA</v>
      </c>
      <c r="O1305" s="9" t="s">
        <v>135</v>
      </c>
      <c r="P1305" s="9" t="s">
        <v>106</v>
      </c>
      <c r="Q1305" s="9" t="s">
        <v>3800</v>
      </c>
      <c r="S1305" s="9" t="s">
        <v>106</v>
      </c>
      <c r="T1305" s="9" t="s">
        <v>106</v>
      </c>
      <c r="U1305" s="9" t="s">
        <v>106</v>
      </c>
      <c r="V1305" s="9" t="s">
        <v>106</v>
      </c>
      <c r="W1305" s="9" t="s">
        <v>106</v>
      </c>
      <c r="X1305" s="9" t="s">
        <v>106</v>
      </c>
      <c r="Y1305" s="9" t="s">
        <v>106</v>
      </c>
      <c r="Z1305" s="37"/>
      <c r="AA1305" s="37"/>
      <c r="AB1305" s="37"/>
      <c r="AE1305">
        <v>0</v>
      </c>
    </row>
    <row r="1306" spans="1:31" hidden="1">
      <c r="A1306" s="9" t="s">
        <v>1252</v>
      </c>
      <c r="B1306" s="9" t="s">
        <v>1255</v>
      </c>
      <c r="C1306" s="9" t="s">
        <v>105</v>
      </c>
      <c r="D1306" s="9">
        <v>0.7268</v>
      </c>
      <c r="E1306" s="9" t="s">
        <v>106</v>
      </c>
      <c r="F1306" s="9" t="s">
        <v>106</v>
      </c>
      <c r="G1306" s="9" t="s">
        <v>106</v>
      </c>
      <c r="H1306" s="9" t="s">
        <v>106</v>
      </c>
      <c r="I1306" s="9">
        <v>16</v>
      </c>
      <c r="J1306" s="9" t="s">
        <v>107</v>
      </c>
      <c r="K1306" s="9" t="s">
        <v>859</v>
      </c>
      <c r="L1306" t="str">
        <f>IF(OR(J1306="Cattle",J1306="Zebu Cattle"),IF(COUNTIF(lists!$M$2:$M$258, K1306) &gt; 0,"bos.indicus",IF(COUNTIF(lists!$L$2:$L$258, K1306) &gt; 0,"cross.bred","pure.bred.exotic")),"NA")</f>
        <v>NA</v>
      </c>
      <c r="M1306" t="str">
        <f>IF(J1306="Sheep",IF(COUNTIF(lists!$H$2:$H$258, K1306) &gt; 0,"indigenous",IF(COUNTIF(lists!$G$2:$G$258, K1306) &gt; 0,"cross.bred","not found")),"NA")</f>
        <v>not found</v>
      </c>
      <c r="N1306" t="str">
        <f>IF(J1306="Goat",IF(COUNTIF(lists!$J$2:$J$258, K1306) &gt; 0,"indigenous",IF(COUNTIF(lists!$I$2:$I$258, K1306) &gt; 0,"cross.bred","not found")),"NA")</f>
        <v>NA</v>
      </c>
      <c r="O1306" s="9" t="s">
        <v>135</v>
      </c>
      <c r="P1306" s="9" t="s">
        <v>106</v>
      </c>
      <c r="Q1306" s="9" t="s">
        <v>3800</v>
      </c>
      <c r="S1306" s="9" t="s">
        <v>106</v>
      </c>
      <c r="T1306" s="9" t="s">
        <v>106</v>
      </c>
      <c r="U1306" s="9" t="s">
        <v>106</v>
      </c>
      <c r="V1306" s="9" t="s">
        <v>106</v>
      </c>
      <c r="W1306" s="9" t="s">
        <v>106</v>
      </c>
      <c r="X1306" s="9" t="s">
        <v>106</v>
      </c>
      <c r="Y1306" s="9" t="s">
        <v>106</v>
      </c>
      <c r="Z1306" s="37"/>
      <c r="AA1306" s="37"/>
      <c r="AB1306" s="37"/>
      <c r="AE1306">
        <v>0</v>
      </c>
    </row>
    <row r="1307" spans="1:31" hidden="1">
      <c r="A1307" s="9" t="s">
        <v>1252</v>
      </c>
      <c r="B1307" s="9" t="s">
        <v>1256</v>
      </c>
      <c r="C1307" s="9" t="s">
        <v>105</v>
      </c>
      <c r="D1307" s="9">
        <v>0.74850000000000005</v>
      </c>
      <c r="E1307" s="9" t="s">
        <v>106</v>
      </c>
      <c r="F1307" s="9" t="s">
        <v>106</v>
      </c>
      <c r="G1307" s="9" t="s">
        <v>106</v>
      </c>
      <c r="H1307" s="9" t="s">
        <v>106</v>
      </c>
      <c r="I1307" s="9">
        <v>16</v>
      </c>
      <c r="J1307" s="9" t="s">
        <v>107</v>
      </c>
      <c r="K1307" s="9" t="s">
        <v>859</v>
      </c>
      <c r="L1307" t="str">
        <f>IF(OR(J1307="Cattle",J1307="Zebu Cattle"),IF(COUNTIF(lists!$M$2:$M$258, K1307) &gt; 0,"bos.indicus",IF(COUNTIF(lists!$L$2:$L$258, K1307) &gt; 0,"cross.bred","pure.bred.exotic")),"NA")</f>
        <v>NA</v>
      </c>
      <c r="M1307" t="str">
        <f>IF(J1307="Sheep",IF(COUNTIF(lists!$H$2:$H$258, K1307) &gt; 0,"indigenous",IF(COUNTIF(lists!$G$2:$G$258, K1307) &gt; 0,"cross.bred","not found")),"NA")</f>
        <v>not found</v>
      </c>
      <c r="N1307" t="str">
        <f>IF(J1307="Goat",IF(COUNTIF(lists!$J$2:$J$258, K1307) &gt; 0,"indigenous",IF(COUNTIF(lists!$I$2:$I$258, K1307) &gt; 0,"cross.bred","not found")),"NA")</f>
        <v>NA</v>
      </c>
      <c r="O1307" s="9" t="s">
        <v>135</v>
      </c>
      <c r="P1307" s="9" t="s">
        <v>106</v>
      </c>
      <c r="Q1307" s="9" t="s">
        <v>3800</v>
      </c>
      <c r="S1307" s="9" t="s">
        <v>106</v>
      </c>
      <c r="T1307" s="9" t="s">
        <v>106</v>
      </c>
      <c r="U1307" s="9" t="s">
        <v>106</v>
      </c>
      <c r="V1307" s="9" t="s">
        <v>106</v>
      </c>
      <c r="W1307" s="9" t="s">
        <v>106</v>
      </c>
      <c r="X1307" s="9" t="s">
        <v>106</v>
      </c>
      <c r="Y1307" s="9" t="s">
        <v>106</v>
      </c>
      <c r="Z1307" s="37"/>
      <c r="AA1307" s="37"/>
      <c r="AB1307" s="37"/>
      <c r="AE1307">
        <v>0</v>
      </c>
    </row>
    <row r="1308" spans="1:31" hidden="1">
      <c r="A1308" s="9" t="s">
        <v>1257</v>
      </c>
      <c r="B1308" s="9" t="s">
        <v>1253</v>
      </c>
      <c r="C1308" s="9" t="s">
        <v>105</v>
      </c>
      <c r="D1308" s="9">
        <v>0.31209999999999999</v>
      </c>
      <c r="E1308" s="9" t="s">
        <v>106</v>
      </c>
      <c r="F1308" s="9">
        <v>16.399999999999999</v>
      </c>
      <c r="G1308" s="9">
        <v>68.900000000000006</v>
      </c>
      <c r="H1308" s="9" t="s">
        <v>106</v>
      </c>
      <c r="I1308" s="9">
        <v>16</v>
      </c>
      <c r="J1308" s="9" t="s">
        <v>107</v>
      </c>
      <c r="K1308" s="9" t="s">
        <v>859</v>
      </c>
      <c r="L1308" t="str">
        <f>IF(OR(J1308="Cattle",J1308="Zebu Cattle"),IF(COUNTIF(lists!$M$2:$M$258, K1308) &gt; 0,"bos.indicus",IF(COUNTIF(lists!$L$2:$L$258, K1308) &gt; 0,"cross.bred","pure.bred.exotic")),"NA")</f>
        <v>NA</v>
      </c>
      <c r="M1308" t="str">
        <f>IF(J1308="Sheep",IF(COUNTIF(lists!$H$2:$H$258, K1308) &gt; 0,"indigenous",IF(COUNTIF(lists!$G$2:$G$258, K1308) &gt; 0,"cross.bred","not found")),"NA")</f>
        <v>not found</v>
      </c>
      <c r="N1308" t="str">
        <f>IF(J1308="Goat",IF(COUNTIF(lists!$J$2:$J$258, K1308) &gt; 0,"indigenous",IF(COUNTIF(lists!$I$2:$I$258, K1308) &gt; 0,"cross.bred","not found")),"NA")</f>
        <v>NA</v>
      </c>
      <c r="O1308" s="9" t="s">
        <v>135</v>
      </c>
      <c r="P1308" s="9" t="s">
        <v>106</v>
      </c>
      <c r="Q1308" s="9" t="s">
        <v>3804</v>
      </c>
      <c r="S1308" s="9" t="s">
        <v>106</v>
      </c>
      <c r="T1308" s="9" t="s">
        <v>106</v>
      </c>
      <c r="U1308" s="9" t="s">
        <v>106</v>
      </c>
      <c r="V1308" s="9" t="s">
        <v>106</v>
      </c>
      <c r="W1308" s="9" t="s">
        <v>106</v>
      </c>
      <c r="X1308" s="9" t="s">
        <v>106</v>
      </c>
      <c r="Y1308" s="9" t="s">
        <v>106</v>
      </c>
      <c r="Z1308" s="37"/>
      <c r="AA1308" s="37"/>
      <c r="AB1308" s="37"/>
      <c r="AE1308">
        <v>0</v>
      </c>
    </row>
    <row r="1309" spans="1:31" hidden="1">
      <c r="A1309" s="9" t="s">
        <v>1257</v>
      </c>
      <c r="B1309" s="9" t="s">
        <v>1254</v>
      </c>
      <c r="C1309" s="9" t="s">
        <v>105</v>
      </c>
      <c r="D1309" s="9">
        <v>0.28499999999999998</v>
      </c>
      <c r="E1309" s="9" t="s">
        <v>106</v>
      </c>
      <c r="F1309" s="9">
        <v>17.8</v>
      </c>
      <c r="G1309" s="9">
        <v>62.2</v>
      </c>
      <c r="H1309" s="9" t="s">
        <v>106</v>
      </c>
      <c r="I1309" s="9">
        <v>16</v>
      </c>
      <c r="J1309" s="9" t="s">
        <v>107</v>
      </c>
      <c r="K1309" s="9" t="s">
        <v>859</v>
      </c>
      <c r="L1309" t="str">
        <f>IF(OR(J1309="Cattle",J1309="Zebu Cattle"),IF(COUNTIF(lists!$M$2:$M$258, K1309) &gt; 0,"bos.indicus",IF(COUNTIF(lists!$L$2:$L$258, K1309) &gt; 0,"cross.bred","pure.bred.exotic")),"NA")</f>
        <v>NA</v>
      </c>
      <c r="M1309" t="str">
        <f>IF(J1309="Sheep",IF(COUNTIF(lists!$H$2:$H$258, K1309) &gt; 0,"indigenous",IF(COUNTIF(lists!$G$2:$G$258, K1309) &gt; 0,"cross.bred","not found")),"NA")</f>
        <v>not found</v>
      </c>
      <c r="N1309" t="str">
        <f>IF(J1309="Goat",IF(COUNTIF(lists!$J$2:$J$258, K1309) &gt; 0,"indigenous",IF(COUNTIF(lists!$I$2:$I$258, K1309) &gt; 0,"cross.bred","not found")),"NA")</f>
        <v>NA</v>
      </c>
      <c r="O1309" s="9" t="s">
        <v>135</v>
      </c>
      <c r="P1309" s="9" t="s">
        <v>106</v>
      </c>
      <c r="Q1309" s="9" t="s">
        <v>3804</v>
      </c>
      <c r="S1309" s="9" t="s">
        <v>106</v>
      </c>
      <c r="T1309" s="9" t="s">
        <v>106</v>
      </c>
      <c r="U1309" s="9" t="s">
        <v>106</v>
      </c>
      <c r="V1309" s="9" t="s">
        <v>106</v>
      </c>
      <c r="W1309" s="9" t="s">
        <v>106</v>
      </c>
      <c r="X1309" s="9" t="s">
        <v>106</v>
      </c>
      <c r="Y1309" s="9" t="s">
        <v>106</v>
      </c>
      <c r="Z1309" s="37"/>
      <c r="AA1309" s="37"/>
      <c r="AB1309" s="37"/>
      <c r="AE1309">
        <v>0</v>
      </c>
    </row>
    <row r="1310" spans="1:31" hidden="1">
      <c r="A1310" s="9" t="s">
        <v>1257</v>
      </c>
      <c r="B1310" s="9" t="s">
        <v>1255</v>
      </c>
      <c r="C1310" s="9" t="s">
        <v>105</v>
      </c>
      <c r="D1310" s="9">
        <v>0.27110000000000001</v>
      </c>
      <c r="E1310" s="9" t="s">
        <v>106</v>
      </c>
      <c r="F1310" s="9">
        <v>16.7</v>
      </c>
      <c r="G1310" s="9">
        <v>56.7</v>
      </c>
      <c r="H1310" s="9" t="s">
        <v>106</v>
      </c>
      <c r="I1310" s="9">
        <v>16</v>
      </c>
      <c r="J1310" s="9" t="s">
        <v>107</v>
      </c>
      <c r="K1310" s="9" t="s">
        <v>859</v>
      </c>
      <c r="L1310" t="str">
        <f>IF(OR(J1310="Cattle",J1310="Zebu Cattle"),IF(COUNTIF(lists!$M$2:$M$258, K1310) &gt; 0,"bos.indicus",IF(COUNTIF(lists!$L$2:$L$258, K1310) &gt; 0,"cross.bred","pure.bred.exotic")),"NA")</f>
        <v>NA</v>
      </c>
      <c r="M1310" t="str">
        <f>IF(J1310="Sheep",IF(COUNTIF(lists!$H$2:$H$258, K1310) &gt; 0,"indigenous",IF(COUNTIF(lists!$G$2:$G$258, K1310) &gt; 0,"cross.bred","not found")),"NA")</f>
        <v>not found</v>
      </c>
      <c r="N1310" t="str">
        <f>IF(J1310="Goat",IF(COUNTIF(lists!$J$2:$J$258, K1310) &gt; 0,"indigenous",IF(COUNTIF(lists!$I$2:$I$258, K1310) &gt; 0,"cross.bred","not found")),"NA")</f>
        <v>NA</v>
      </c>
      <c r="O1310" s="9" t="s">
        <v>135</v>
      </c>
      <c r="P1310" s="9" t="s">
        <v>106</v>
      </c>
      <c r="Q1310" s="9" t="s">
        <v>3804</v>
      </c>
      <c r="S1310" s="9" t="s">
        <v>106</v>
      </c>
      <c r="T1310" s="9" t="s">
        <v>106</v>
      </c>
      <c r="U1310" s="9" t="s">
        <v>106</v>
      </c>
      <c r="V1310" s="9" t="s">
        <v>106</v>
      </c>
      <c r="W1310" s="9" t="s">
        <v>106</v>
      </c>
      <c r="X1310" s="9" t="s">
        <v>106</v>
      </c>
      <c r="Y1310" s="9" t="s">
        <v>106</v>
      </c>
      <c r="Z1310" s="37"/>
      <c r="AA1310" s="37"/>
      <c r="AB1310" s="37"/>
      <c r="AE1310">
        <v>0</v>
      </c>
    </row>
    <row r="1311" spans="1:31" hidden="1">
      <c r="A1311" s="9" t="s">
        <v>1257</v>
      </c>
      <c r="B1311" s="9" t="s">
        <v>1256</v>
      </c>
      <c r="C1311" s="9" t="s">
        <v>105</v>
      </c>
      <c r="D1311" s="9">
        <v>0.35899999999999999</v>
      </c>
      <c r="E1311" s="9" t="s">
        <v>106</v>
      </c>
      <c r="F1311" s="9">
        <v>18.2</v>
      </c>
      <c r="G1311" s="9">
        <v>84.4</v>
      </c>
      <c r="H1311" s="9" t="s">
        <v>106</v>
      </c>
      <c r="I1311" s="9">
        <v>16</v>
      </c>
      <c r="J1311" s="9" t="s">
        <v>107</v>
      </c>
      <c r="K1311" s="9" t="s">
        <v>859</v>
      </c>
      <c r="L1311" t="str">
        <f>IF(OR(J1311="Cattle",J1311="Zebu Cattle"),IF(COUNTIF(lists!$M$2:$M$258, K1311) &gt; 0,"bos.indicus",IF(COUNTIF(lists!$L$2:$L$258, K1311) &gt; 0,"cross.bred","pure.bred.exotic")),"NA")</f>
        <v>NA</v>
      </c>
      <c r="M1311" t="str">
        <f>IF(J1311="Sheep",IF(COUNTIF(lists!$H$2:$H$258, K1311) &gt; 0,"indigenous",IF(COUNTIF(lists!$G$2:$G$258, K1311) &gt; 0,"cross.bred","not found")),"NA")</f>
        <v>not found</v>
      </c>
      <c r="N1311" t="str">
        <f>IF(J1311="Goat",IF(COUNTIF(lists!$J$2:$J$258, K1311) &gt; 0,"indigenous",IF(COUNTIF(lists!$I$2:$I$258, K1311) &gt; 0,"cross.bred","not found")),"NA")</f>
        <v>NA</v>
      </c>
      <c r="O1311" s="9" t="s">
        <v>135</v>
      </c>
      <c r="P1311" s="9" t="s">
        <v>106</v>
      </c>
      <c r="Q1311" s="9" t="s">
        <v>3804</v>
      </c>
      <c r="S1311" s="9" t="s">
        <v>106</v>
      </c>
      <c r="T1311" s="9" t="s">
        <v>106</v>
      </c>
      <c r="U1311" s="9" t="s">
        <v>106</v>
      </c>
      <c r="V1311" s="9" t="s">
        <v>106</v>
      </c>
      <c r="W1311" s="9" t="s">
        <v>106</v>
      </c>
      <c r="X1311" s="9" t="s">
        <v>106</v>
      </c>
      <c r="Y1311" s="9" t="s">
        <v>106</v>
      </c>
      <c r="Z1311" s="37"/>
      <c r="AA1311" s="37"/>
      <c r="AB1311" s="37"/>
      <c r="AE1311">
        <v>0</v>
      </c>
    </row>
    <row r="1312" spans="1:31" hidden="1">
      <c r="A1312" s="9" t="s">
        <v>1284</v>
      </c>
      <c r="B1312" s="9" t="s">
        <v>1285</v>
      </c>
      <c r="C1312" s="9" t="s">
        <v>105</v>
      </c>
      <c r="D1312" s="9">
        <v>0.70577000000000001</v>
      </c>
      <c r="E1312" s="9">
        <v>10.220000000000001</v>
      </c>
      <c r="F1312" s="9">
        <v>18.8</v>
      </c>
      <c r="G1312" s="9">
        <v>94.64</v>
      </c>
      <c r="H1312" s="9" t="s">
        <v>106</v>
      </c>
      <c r="I1312" s="9">
        <v>40</v>
      </c>
      <c r="J1312" s="9" t="s">
        <v>107</v>
      </c>
      <c r="K1312" s="9" t="s">
        <v>1127</v>
      </c>
      <c r="L1312" t="str">
        <f>IF(OR(J1312="Cattle",J1312="Zebu Cattle"),IF(COUNTIF(lists!$M$2:$M$258, K1312) &gt; 0,"bos.indicus",IF(COUNTIF(lists!$L$2:$L$258, K1312) &gt; 0,"cross.bred","pure.bred.exotic")),"NA")</f>
        <v>NA</v>
      </c>
      <c r="M1312" t="str">
        <f>IF(J1312="Sheep",IF(COUNTIF(lists!$H$2:$H$258, K1312) &gt; 0,"indigenous",IF(COUNTIF(lists!$G$2:$G$258, K1312) &gt; 0,"cross.bred","not found")),"NA")</f>
        <v>not found</v>
      </c>
      <c r="N1312" t="str">
        <f>IF(J1312="Goat",IF(COUNTIF(lists!$J$2:$J$258, K1312) &gt; 0,"indigenous",IF(COUNTIF(lists!$I$2:$I$258, K1312) &gt; 0,"cross.bred","not found")),"NA")</f>
        <v>NA</v>
      </c>
      <c r="O1312" s="9" t="s">
        <v>109</v>
      </c>
      <c r="P1312" s="9" t="s">
        <v>106</v>
      </c>
      <c r="Q1312" s="9" t="s">
        <v>3806</v>
      </c>
      <c r="S1312" s="9" t="s">
        <v>106</v>
      </c>
      <c r="T1312" s="9" t="s">
        <v>106</v>
      </c>
      <c r="U1312" s="9" t="s">
        <v>106</v>
      </c>
      <c r="V1312" s="9" t="s">
        <v>106</v>
      </c>
      <c r="W1312" s="9" t="s">
        <v>106</v>
      </c>
      <c r="X1312" s="9" t="s">
        <v>106</v>
      </c>
      <c r="Y1312" s="9" t="s">
        <v>106</v>
      </c>
      <c r="Z1312" s="37"/>
      <c r="AA1312" s="37"/>
      <c r="AB1312" s="37"/>
      <c r="AE1312">
        <v>1</v>
      </c>
    </row>
    <row r="1313" spans="1:31" hidden="1">
      <c r="A1313" s="9" t="s">
        <v>1284</v>
      </c>
      <c r="B1313" s="9" t="s">
        <v>1286</v>
      </c>
      <c r="C1313" s="9" t="s">
        <v>105</v>
      </c>
      <c r="D1313" s="9">
        <v>0.67059999999999997</v>
      </c>
      <c r="E1313" s="9">
        <v>9.66</v>
      </c>
      <c r="F1313" s="9">
        <v>17.3</v>
      </c>
      <c r="G1313" s="9">
        <v>101.785</v>
      </c>
      <c r="H1313" s="9" t="s">
        <v>106</v>
      </c>
      <c r="I1313" s="9">
        <v>40</v>
      </c>
      <c r="J1313" s="9" t="s">
        <v>107</v>
      </c>
      <c r="K1313" s="9" t="s">
        <v>1127</v>
      </c>
      <c r="L1313" t="str">
        <f>IF(OR(J1313="Cattle",J1313="Zebu Cattle"),IF(COUNTIF(lists!$M$2:$M$258, K1313) &gt; 0,"bos.indicus",IF(COUNTIF(lists!$L$2:$L$258, K1313) &gt; 0,"cross.bred","pure.bred.exotic")),"NA")</f>
        <v>NA</v>
      </c>
      <c r="M1313" t="str">
        <f>IF(J1313="Sheep",IF(COUNTIF(lists!$H$2:$H$258, K1313) &gt; 0,"indigenous",IF(COUNTIF(lists!$G$2:$G$258, K1313) &gt; 0,"cross.bred","not found")),"NA")</f>
        <v>not found</v>
      </c>
      <c r="N1313" t="str">
        <f>IF(J1313="Goat",IF(COUNTIF(lists!$J$2:$J$258, K1313) &gt; 0,"indigenous",IF(COUNTIF(lists!$I$2:$I$258, K1313) &gt; 0,"cross.bred","not found")),"NA")</f>
        <v>NA</v>
      </c>
      <c r="O1313" s="9" t="s">
        <v>109</v>
      </c>
      <c r="P1313" s="9" t="s">
        <v>106</v>
      </c>
      <c r="Q1313" s="9" t="s">
        <v>3806</v>
      </c>
      <c r="S1313" s="9" t="s">
        <v>106</v>
      </c>
      <c r="T1313" s="9" t="s">
        <v>106</v>
      </c>
      <c r="U1313" s="9" t="s">
        <v>106</v>
      </c>
      <c r="V1313" s="9" t="s">
        <v>106</v>
      </c>
      <c r="W1313" s="9" t="s">
        <v>106</v>
      </c>
      <c r="X1313" s="9" t="s">
        <v>106</v>
      </c>
      <c r="Y1313" s="9" t="s">
        <v>106</v>
      </c>
      <c r="Z1313" s="37"/>
      <c r="AA1313" s="37"/>
      <c r="AB1313" s="37"/>
      <c r="AE1313">
        <v>0</v>
      </c>
    </row>
    <row r="1314" spans="1:31" hidden="1">
      <c r="A1314" s="9" t="s">
        <v>1284</v>
      </c>
      <c r="B1314" s="9" t="s">
        <v>1287</v>
      </c>
      <c r="C1314" s="9" t="s">
        <v>105</v>
      </c>
      <c r="D1314" s="9">
        <v>0.66810000000000003</v>
      </c>
      <c r="E1314" s="9">
        <v>10.7</v>
      </c>
      <c r="F1314" s="9">
        <v>19</v>
      </c>
      <c r="G1314" s="9">
        <v>94.045000000000002</v>
      </c>
      <c r="H1314" s="9" t="s">
        <v>106</v>
      </c>
      <c r="I1314" s="9">
        <v>40</v>
      </c>
      <c r="J1314" s="9" t="s">
        <v>107</v>
      </c>
      <c r="K1314" s="9" t="s">
        <v>1127</v>
      </c>
      <c r="L1314" t="str">
        <f>IF(OR(J1314="Cattle",J1314="Zebu Cattle"),IF(COUNTIF(lists!$M$2:$M$258, K1314) &gt; 0,"bos.indicus",IF(COUNTIF(lists!$L$2:$L$258, K1314) &gt; 0,"cross.bred","pure.bred.exotic")),"NA")</f>
        <v>NA</v>
      </c>
      <c r="M1314" t="str">
        <f>IF(J1314="Sheep",IF(COUNTIF(lists!$H$2:$H$258, K1314) &gt; 0,"indigenous",IF(COUNTIF(lists!$G$2:$G$258, K1314) &gt; 0,"cross.bred","not found")),"NA")</f>
        <v>not found</v>
      </c>
      <c r="N1314" t="str">
        <f>IF(J1314="Goat",IF(COUNTIF(lists!$J$2:$J$258, K1314) &gt; 0,"indigenous",IF(COUNTIF(lists!$I$2:$I$258, K1314) &gt; 0,"cross.bred","not found")),"NA")</f>
        <v>NA</v>
      </c>
      <c r="O1314" s="9" t="s">
        <v>109</v>
      </c>
      <c r="P1314" s="9" t="s">
        <v>106</v>
      </c>
      <c r="Q1314" s="9" t="s">
        <v>3806</v>
      </c>
      <c r="S1314" s="9" t="s">
        <v>106</v>
      </c>
      <c r="T1314" s="9" t="s">
        <v>106</v>
      </c>
      <c r="U1314" s="9" t="s">
        <v>106</v>
      </c>
      <c r="V1314" s="9" t="s">
        <v>106</v>
      </c>
      <c r="W1314" s="9" t="s">
        <v>106</v>
      </c>
      <c r="X1314" s="9" t="s">
        <v>106</v>
      </c>
      <c r="Y1314" s="9" t="s">
        <v>106</v>
      </c>
      <c r="Z1314" s="37"/>
      <c r="AA1314" s="37"/>
      <c r="AB1314" s="37"/>
      <c r="AE1314">
        <v>0</v>
      </c>
    </row>
    <row r="1315" spans="1:31" hidden="1">
      <c r="A1315" s="9" t="s">
        <v>1284</v>
      </c>
      <c r="B1315" s="9" t="s">
        <v>1288</v>
      </c>
      <c r="C1315" s="9" t="s">
        <v>105</v>
      </c>
      <c r="D1315" s="9">
        <v>0.69333999999999996</v>
      </c>
      <c r="E1315" s="9">
        <v>9.1199999999999992</v>
      </c>
      <c r="F1315" s="9">
        <v>17.899999999999999</v>
      </c>
      <c r="G1315" s="9">
        <v>85.715000000000003</v>
      </c>
      <c r="H1315" s="9" t="s">
        <v>106</v>
      </c>
      <c r="I1315" s="9">
        <v>40</v>
      </c>
      <c r="J1315" s="9" t="s">
        <v>107</v>
      </c>
      <c r="K1315" s="9" t="s">
        <v>1127</v>
      </c>
      <c r="L1315" t="str">
        <f>IF(OR(J1315="Cattle",J1315="Zebu Cattle"),IF(COUNTIF(lists!$M$2:$M$258, K1315) &gt; 0,"bos.indicus",IF(COUNTIF(lists!$L$2:$L$258, K1315) &gt; 0,"cross.bred","pure.bred.exotic")),"NA")</f>
        <v>NA</v>
      </c>
      <c r="M1315" t="str">
        <f>IF(J1315="Sheep",IF(COUNTIF(lists!$H$2:$H$258, K1315) &gt; 0,"indigenous",IF(COUNTIF(lists!$G$2:$G$258, K1315) &gt; 0,"cross.bred","not found")),"NA")</f>
        <v>not found</v>
      </c>
      <c r="N1315" t="str">
        <f>IF(J1315="Goat",IF(COUNTIF(lists!$J$2:$J$258, K1315) &gt; 0,"indigenous",IF(COUNTIF(lists!$I$2:$I$258, K1315) &gt; 0,"cross.bred","not found")),"NA")</f>
        <v>NA</v>
      </c>
      <c r="O1315" s="9" t="s">
        <v>109</v>
      </c>
      <c r="P1315" s="9" t="s">
        <v>106</v>
      </c>
      <c r="Q1315" s="9" t="s">
        <v>3806</v>
      </c>
      <c r="S1315" s="9" t="s">
        <v>106</v>
      </c>
      <c r="T1315" s="9" t="s">
        <v>106</v>
      </c>
      <c r="U1315" s="9" t="s">
        <v>106</v>
      </c>
      <c r="V1315" s="9" t="s">
        <v>106</v>
      </c>
      <c r="W1315" s="9" t="s">
        <v>106</v>
      </c>
      <c r="X1315" s="9" t="s">
        <v>106</v>
      </c>
      <c r="Y1315" s="9" t="s">
        <v>106</v>
      </c>
      <c r="Z1315" s="37"/>
      <c r="AA1315" s="37"/>
      <c r="AB1315" s="37"/>
      <c r="AE1315">
        <v>0</v>
      </c>
    </row>
    <row r="1316" spans="1:31" hidden="1">
      <c r="A1316" s="9" t="s">
        <v>1299</v>
      </c>
      <c r="B1316" s="9" t="s">
        <v>1300</v>
      </c>
      <c r="C1316" s="9" t="s">
        <v>105</v>
      </c>
      <c r="D1316" s="9">
        <v>0.61360000000000003</v>
      </c>
      <c r="E1316" s="9">
        <v>4.3</v>
      </c>
      <c r="F1316" s="9">
        <v>17</v>
      </c>
      <c r="G1316" s="9">
        <v>37.799999999999997</v>
      </c>
      <c r="H1316" s="9" t="s">
        <v>106</v>
      </c>
      <c r="I1316" s="9">
        <v>20</v>
      </c>
      <c r="J1316" s="9" t="s">
        <v>107</v>
      </c>
      <c r="K1316" s="9" t="s">
        <v>152</v>
      </c>
      <c r="L1316" t="str">
        <f>IF(OR(J1316="Cattle",J1316="Zebu Cattle"),IF(COUNTIF(lists!$M$2:$M$258, K1316) &gt; 0,"bos.indicus",IF(COUNTIF(lists!$L$2:$L$258, K1316) &gt; 0,"cross.bred","pure.bred.exotic")),"NA")</f>
        <v>NA</v>
      </c>
      <c r="M1316" t="str">
        <f>IF(J1316="Sheep",IF(COUNTIF(lists!$H$2:$H$258, K1316) &gt; 0,"indigenous",IF(COUNTIF(lists!$G$2:$G$258, K1316) &gt; 0,"cross.bred","not found")),"NA")</f>
        <v>not found</v>
      </c>
      <c r="N1316" t="str">
        <f>IF(J1316="Goat",IF(COUNTIF(lists!$J$2:$J$258, K1316) &gt; 0,"indigenous",IF(COUNTIF(lists!$I$2:$I$258, K1316) &gt; 0,"cross.bred","not found")),"NA")</f>
        <v>NA</v>
      </c>
      <c r="O1316" s="9" t="s">
        <v>109</v>
      </c>
      <c r="P1316" s="9" t="s">
        <v>106</v>
      </c>
      <c r="Q1316" s="9" t="s">
        <v>3804</v>
      </c>
      <c r="S1316" s="9" t="s">
        <v>106</v>
      </c>
      <c r="T1316" s="9" t="s">
        <v>106</v>
      </c>
      <c r="U1316" s="9" t="s">
        <v>106</v>
      </c>
      <c r="V1316" s="9" t="s">
        <v>106</v>
      </c>
      <c r="W1316" s="9" t="s">
        <v>106</v>
      </c>
      <c r="X1316" s="9" t="s">
        <v>106</v>
      </c>
      <c r="Y1316" s="9">
        <v>0.49</v>
      </c>
      <c r="Z1316" s="37"/>
      <c r="AA1316" s="37"/>
      <c r="AB1316" s="37"/>
      <c r="AE1316">
        <v>0</v>
      </c>
    </row>
    <row r="1317" spans="1:31" hidden="1">
      <c r="A1317" s="9" t="s">
        <v>1299</v>
      </c>
      <c r="B1317" s="9" t="s">
        <v>1301</v>
      </c>
      <c r="C1317" s="9" t="s">
        <v>105</v>
      </c>
      <c r="D1317" s="9">
        <v>0.71009999999999995</v>
      </c>
      <c r="E1317" s="9">
        <v>4.3</v>
      </c>
      <c r="F1317" s="9">
        <v>17</v>
      </c>
      <c r="G1317" s="9">
        <v>47.8</v>
      </c>
      <c r="H1317" s="9" t="s">
        <v>106</v>
      </c>
      <c r="I1317" s="9">
        <v>20</v>
      </c>
      <c r="J1317" s="9" t="s">
        <v>107</v>
      </c>
      <c r="K1317" s="9" t="s">
        <v>152</v>
      </c>
      <c r="L1317" t="str">
        <f>IF(OR(J1317="Cattle",J1317="Zebu Cattle"),IF(COUNTIF(lists!$M$2:$M$258, K1317) &gt; 0,"bos.indicus",IF(COUNTIF(lists!$L$2:$L$258, K1317) &gt; 0,"cross.bred","pure.bred.exotic")),"NA")</f>
        <v>NA</v>
      </c>
      <c r="M1317" t="str">
        <f>IF(J1317="Sheep",IF(COUNTIF(lists!$H$2:$H$258, K1317) &gt; 0,"indigenous",IF(COUNTIF(lists!$G$2:$G$258, K1317) &gt; 0,"cross.bred","not found")),"NA")</f>
        <v>not found</v>
      </c>
      <c r="N1317" t="str">
        <f>IF(J1317="Goat",IF(COUNTIF(lists!$J$2:$J$258, K1317) &gt; 0,"indigenous",IF(COUNTIF(lists!$I$2:$I$258, K1317) &gt; 0,"cross.bred","not found")),"NA")</f>
        <v>NA</v>
      </c>
      <c r="O1317" s="9" t="s">
        <v>109</v>
      </c>
      <c r="P1317" s="9" t="s">
        <v>106</v>
      </c>
      <c r="Q1317" s="9" t="s">
        <v>3804</v>
      </c>
      <c r="S1317" s="9" t="s">
        <v>106</v>
      </c>
      <c r="T1317" s="9" t="s">
        <v>106</v>
      </c>
      <c r="U1317" s="9" t="s">
        <v>106</v>
      </c>
      <c r="V1317" s="9" t="s">
        <v>106</v>
      </c>
      <c r="W1317" s="9" t="s">
        <v>106</v>
      </c>
      <c r="X1317" s="9" t="s">
        <v>106</v>
      </c>
      <c r="Y1317" s="9">
        <v>0.56999999999999995</v>
      </c>
      <c r="Z1317" s="37"/>
      <c r="AA1317" s="37"/>
      <c r="AB1317" s="37"/>
      <c r="AE1317">
        <v>0</v>
      </c>
    </row>
    <row r="1318" spans="1:31" hidden="1">
      <c r="A1318" s="9" t="s">
        <v>1299</v>
      </c>
      <c r="B1318" s="9" t="s">
        <v>1302</v>
      </c>
      <c r="C1318" s="9" t="s">
        <v>105</v>
      </c>
      <c r="D1318" s="9">
        <v>0.74960000000000004</v>
      </c>
      <c r="E1318" s="9">
        <v>4.3</v>
      </c>
      <c r="F1318" s="9">
        <v>17.2</v>
      </c>
      <c r="G1318" s="9">
        <v>72.2</v>
      </c>
      <c r="H1318" s="9" t="s">
        <v>106</v>
      </c>
      <c r="I1318" s="9">
        <v>20</v>
      </c>
      <c r="J1318" s="9" t="s">
        <v>107</v>
      </c>
      <c r="K1318" s="9" t="s">
        <v>152</v>
      </c>
      <c r="L1318" t="str">
        <f>IF(OR(J1318="Cattle",J1318="Zebu Cattle"),IF(COUNTIF(lists!$M$2:$M$258, K1318) &gt; 0,"bos.indicus",IF(COUNTIF(lists!$L$2:$L$258, K1318) &gt; 0,"cross.bred","pure.bred.exotic")),"NA")</f>
        <v>NA</v>
      </c>
      <c r="M1318" t="str">
        <f>IF(J1318="Sheep",IF(COUNTIF(lists!$H$2:$H$258, K1318) &gt; 0,"indigenous",IF(COUNTIF(lists!$G$2:$G$258, K1318) &gt; 0,"cross.bred","not found")),"NA")</f>
        <v>not found</v>
      </c>
      <c r="N1318" t="str">
        <f>IF(J1318="Goat",IF(COUNTIF(lists!$J$2:$J$258, K1318) &gt; 0,"indigenous",IF(COUNTIF(lists!$I$2:$I$258, K1318) &gt; 0,"cross.bred","not found")),"NA")</f>
        <v>NA</v>
      </c>
      <c r="O1318" s="9" t="s">
        <v>109</v>
      </c>
      <c r="P1318" s="9" t="s">
        <v>106</v>
      </c>
      <c r="Q1318" s="9" t="s">
        <v>3804</v>
      </c>
      <c r="S1318" s="9" t="s">
        <v>106</v>
      </c>
      <c r="T1318" s="9" t="s">
        <v>106</v>
      </c>
      <c r="U1318" s="9" t="s">
        <v>106</v>
      </c>
      <c r="V1318" s="9" t="s">
        <v>106</v>
      </c>
      <c r="W1318" s="9" t="s">
        <v>106</v>
      </c>
      <c r="X1318" s="9" t="s">
        <v>106</v>
      </c>
      <c r="Y1318" s="9">
        <v>0.63</v>
      </c>
      <c r="Z1318" s="37"/>
      <c r="AA1318" s="37"/>
      <c r="AB1318" s="37"/>
      <c r="AE1318">
        <v>0</v>
      </c>
    </row>
    <row r="1319" spans="1:31" hidden="1">
      <c r="A1319" s="9" t="s">
        <v>1299</v>
      </c>
      <c r="B1319" s="9" t="s">
        <v>149</v>
      </c>
      <c r="C1319" s="9" t="s">
        <v>105</v>
      </c>
      <c r="D1319" s="9">
        <v>0.44739999999999902</v>
      </c>
      <c r="E1319" s="9">
        <v>4.3</v>
      </c>
      <c r="F1319" s="9">
        <v>16.399999999999999</v>
      </c>
      <c r="G1319" s="9">
        <v>2.7</v>
      </c>
      <c r="H1319" s="9" t="s">
        <v>106</v>
      </c>
      <c r="I1319" s="9">
        <v>20</v>
      </c>
      <c r="J1319" s="9" t="s">
        <v>107</v>
      </c>
      <c r="K1319" s="9" t="s">
        <v>152</v>
      </c>
      <c r="L1319" t="str">
        <f>IF(OR(J1319="Cattle",J1319="Zebu Cattle"),IF(COUNTIF(lists!$M$2:$M$258, K1319) &gt; 0,"bos.indicus",IF(COUNTIF(lists!$L$2:$L$258, K1319) &gt; 0,"cross.bred","pure.bred.exotic")),"NA")</f>
        <v>NA</v>
      </c>
      <c r="M1319" t="str">
        <f>IF(J1319="Sheep",IF(COUNTIF(lists!$H$2:$H$258, K1319) &gt; 0,"indigenous",IF(COUNTIF(lists!$G$2:$G$258, K1319) &gt; 0,"cross.bred","not found")),"NA")</f>
        <v>not found</v>
      </c>
      <c r="N1319" t="str">
        <f>IF(J1319="Goat",IF(COUNTIF(lists!$J$2:$J$258, K1319) &gt; 0,"indigenous",IF(COUNTIF(lists!$I$2:$I$258, K1319) &gt; 0,"cross.bred","not found")),"NA")</f>
        <v>NA</v>
      </c>
      <c r="O1319" s="9" t="s">
        <v>109</v>
      </c>
      <c r="P1319" s="9" t="s">
        <v>106</v>
      </c>
      <c r="Q1319" s="9" t="s">
        <v>3804</v>
      </c>
      <c r="S1319" s="9" t="s">
        <v>106</v>
      </c>
      <c r="T1319" s="9" t="s">
        <v>106</v>
      </c>
      <c r="U1319" s="9" t="s">
        <v>106</v>
      </c>
      <c r="V1319" s="9" t="s">
        <v>106</v>
      </c>
      <c r="W1319" s="9" t="s">
        <v>106</v>
      </c>
      <c r="X1319" s="9" t="s">
        <v>106</v>
      </c>
      <c r="Y1319" s="9">
        <v>0.45</v>
      </c>
      <c r="Z1319" s="37"/>
      <c r="AA1319" s="37"/>
      <c r="AB1319" s="37"/>
      <c r="AE1319">
        <v>0</v>
      </c>
    </row>
    <row r="1320" spans="1:31" hidden="1">
      <c r="A1320" s="9" t="s">
        <v>1303</v>
      </c>
      <c r="B1320" s="9" t="s">
        <v>1304</v>
      </c>
      <c r="C1320" s="9" t="s">
        <v>105</v>
      </c>
      <c r="D1320" s="9">
        <v>0.54049999999999998</v>
      </c>
      <c r="E1320" s="9">
        <v>24.4</v>
      </c>
      <c r="F1320" s="9">
        <v>17</v>
      </c>
      <c r="G1320" s="9">
        <v>-9.11</v>
      </c>
      <c r="H1320" s="9" t="s">
        <v>106</v>
      </c>
      <c r="I1320" s="9">
        <v>25</v>
      </c>
      <c r="J1320" s="9" t="s">
        <v>107</v>
      </c>
      <c r="K1320" s="9" t="s">
        <v>152</v>
      </c>
      <c r="L1320" t="str">
        <f>IF(OR(J1320="Cattle",J1320="Zebu Cattle"),IF(COUNTIF(lists!$M$2:$M$258, K1320) &gt; 0,"bos.indicus",IF(COUNTIF(lists!$L$2:$L$258, K1320) &gt; 0,"cross.bred","pure.bred.exotic")),"NA")</f>
        <v>NA</v>
      </c>
      <c r="M1320" t="str">
        <f>IF(J1320="Sheep",IF(COUNTIF(lists!$H$2:$H$258, K1320) &gt; 0,"indigenous",IF(COUNTIF(lists!$G$2:$G$258, K1320) &gt; 0,"cross.bred","not found")),"NA")</f>
        <v>not found</v>
      </c>
      <c r="N1320" t="str">
        <f>IF(J1320="Goat",IF(COUNTIF(lists!$J$2:$J$258, K1320) &gt; 0,"indigenous",IF(COUNTIF(lists!$I$2:$I$258, K1320) &gt; 0,"cross.bred","not found")),"NA")</f>
        <v>NA</v>
      </c>
      <c r="O1320" s="9" t="s">
        <v>109</v>
      </c>
      <c r="P1320" s="9" t="s">
        <v>106</v>
      </c>
      <c r="Q1320" s="9" t="s">
        <v>3804</v>
      </c>
      <c r="S1320" s="9">
        <v>453</v>
      </c>
      <c r="T1320" s="9" t="s">
        <v>106</v>
      </c>
      <c r="U1320" s="9">
        <v>36</v>
      </c>
      <c r="V1320" s="9">
        <v>934</v>
      </c>
      <c r="W1320" s="9" t="s">
        <v>106</v>
      </c>
      <c r="X1320" s="9">
        <v>792</v>
      </c>
      <c r="Y1320" s="9">
        <v>63.3</v>
      </c>
      <c r="Z1320" s="37"/>
      <c r="AA1320" s="37"/>
      <c r="AB1320" s="37"/>
      <c r="AE1320">
        <v>0</v>
      </c>
    </row>
    <row r="1321" spans="1:31" hidden="1">
      <c r="A1321" s="9" t="s">
        <v>1303</v>
      </c>
      <c r="B1321" s="9" t="s">
        <v>1305</v>
      </c>
      <c r="C1321" s="9" t="s">
        <v>105</v>
      </c>
      <c r="D1321" s="9">
        <v>0.78800000000000003</v>
      </c>
      <c r="E1321" s="9">
        <v>24.4</v>
      </c>
      <c r="F1321" s="9">
        <v>16.940000000000001</v>
      </c>
      <c r="G1321" s="9">
        <v>70.11</v>
      </c>
      <c r="H1321" s="9" t="s">
        <v>106</v>
      </c>
      <c r="I1321" s="9">
        <v>25</v>
      </c>
      <c r="J1321" s="9" t="s">
        <v>107</v>
      </c>
      <c r="K1321" s="9" t="s">
        <v>152</v>
      </c>
      <c r="L1321" t="str">
        <f>IF(OR(J1321="Cattle",J1321="Zebu Cattle"),IF(COUNTIF(lists!$M$2:$M$258, K1321) &gt; 0,"bos.indicus",IF(COUNTIF(lists!$L$2:$L$258, K1321) &gt; 0,"cross.bred","pure.bred.exotic")),"NA")</f>
        <v>NA</v>
      </c>
      <c r="M1321" t="str">
        <f>IF(J1321="Sheep",IF(COUNTIF(lists!$H$2:$H$258, K1321) &gt; 0,"indigenous",IF(COUNTIF(lists!$G$2:$G$258, K1321) &gt; 0,"cross.bred","not found")),"NA")</f>
        <v>not found</v>
      </c>
      <c r="N1321" t="str">
        <f>IF(J1321="Goat",IF(COUNTIF(lists!$J$2:$J$258, K1321) &gt; 0,"indigenous",IF(COUNTIF(lists!$I$2:$I$258, K1321) &gt; 0,"cross.bred","not found")),"NA")</f>
        <v>NA</v>
      </c>
      <c r="O1321" s="9" t="s">
        <v>109</v>
      </c>
      <c r="P1321" s="9" t="s">
        <v>106</v>
      </c>
      <c r="Q1321" s="9" t="s">
        <v>3804</v>
      </c>
      <c r="S1321" s="9">
        <v>124</v>
      </c>
      <c r="T1321" s="9" t="s">
        <v>106</v>
      </c>
      <c r="U1321" s="9">
        <v>231</v>
      </c>
      <c r="V1321" s="9">
        <v>935</v>
      </c>
      <c r="W1321" s="9" t="s">
        <v>106</v>
      </c>
      <c r="X1321" s="9">
        <v>438</v>
      </c>
      <c r="Y1321" s="9">
        <v>56.5</v>
      </c>
      <c r="Z1321" s="37"/>
      <c r="AA1321" s="37"/>
      <c r="AB1321" s="37"/>
      <c r="AE1321">
        <v>0</v>
      </c>
    </row>
    <row r="1322" spans="1:31" hidden="1">
      <c r="A1322" s="9" t="s">
        <v>1303</v>
      </c>
      <c r="B1322" s="9" t="s">
        <v>1306</v>
      </c>
      <c r="C1322" s="9" t="s">
        <v>105</v>
      </c>
      <c r="D1322" s="9">
        <v>0.69969999999999999</v>
      </c>
      <c r="E1322" s="9">
        <v>24.4</v>
      </c>
      <c r="F1322" s="9">
        <v>16.52</v>
      </c>
      <c r="G1322" s="9">
        <v>70.88</v>
      </c>
      <c r="H1322" s="9" t="s">
        <v>106</v>
      </c>
      <c r="I1322" s="9">
        <v>25</v>
      </c>
      <c r="J1322" s="9" t="s">
        <v>107</v>
      </c>
      <c r="K1322" s="9" t="s">
        <v>152</v>
      </c>
      <c r="L1322" t="str">
        <f>IF(OR(J1322="Cattle",J1322="Zebu Cattle"),IF(COUNTIF(lists!$M$2:$M$258, K1322) &gt; 0,"bos.indicus",IF(COUNTIF(lists!$L$2:$L$258, K1322) &gt; 0,"cross.bred","pure.bred.exotic")),"NA")</f>
        <v>NA</v>
      </c>
      <c r="M1322" t="str">
        <f>IF(J1322="Sheep",IF(COUNTIF(lists!$H$2:$H$258, K1322) &gt; 0,"indigenous",IF(COUNTIF(lists!$G$2:$G$258, K1322) &gt; 0,"cross.bred","not found")),"NA")</f>
        <v>not found</v>
      </c>
      <c r="N1322" t="str">
        <f>IF(J1322="Goat",IF(COUNTIF(lists!$J$2:$J$258, K1322) &gt; 0,"indigenous",IF(COUNTIF(lists!$I$2:$I$258, K1322) &gt; 0,"cross.bred","not found")),"NA")</f>
        <v>NA</v>
      </c>
      <c r="O1322" s="9" t="s">
        <v>109</v>
      </c>
      <c r="P1322" s="9" t="s">
        <v>106</v>
      </c>
      <c r="Q1322" s="9" t="s">
        <v>3804</v>
      </c>
      <c r="S1322" s="9">
        <v>205</v>
      </c>
      <c r="T1322" s="9" t="s">
        <v>106</v>
      </c>
      <c r="U1322" s="9">
        <v>238</v>
      </c>
      <c r="V1322" s="9">
        <v>941</v>
      </c>
      <c r="W1322" s="9" t="s">
        <v>106</v>
      </c>
      <c r="X1322" s="9">
        <v>377</v>
      </c>
      <c r="Y1322" s="9">
        <v>61.9</v>
      </c>
      <c r="Z1322" s="37"/>
      <c r="AA1322" s="37"/>
      <c r="AB1322" s="37"/>
      <c r="AE1322">
        <v>0</v>
      </c>
    </row>
    <row r="1323" spans="1:31" hidden="1">
      <c r="A1323" s="9" t="s">
        <v>1303</v>
      </c>
      <c r="B1323" s="9" t="s">
        <v>1307</v>
      </c>
      <c r="C1323" s="9" t="s">
        <v>105</v>
      </c>
      <c r="D1323" s="9">
        <v>0.69650000000000001</v>
      </c>
      <c r="E1323" s="9">
        <v>24.4</v>
      </c>
      <c r="F1323" s="9">
        <v>16.7</v>
      </c>
      <c r="G1323" s="9">
        <v>82.44</v>
      </c>
      <c r="H1323" s="9" t="s">
        <v>106</v>
      </c>
      <c r="I1323" s="9">
        <v>25</v>
      </c>
      <c r="J1323" s="9" t="s">
        <v>107</v>
      </c>
      <c r="K1323" s="9" t="s">
        <v>152</v>
      </c>
      <c r="L1323" t="str">
        <f>IF(OR(J1323="Cattle",J1323="Zebu Cattle"),IF(COUNTIF(lists!$M$2:$M$258, K1323) &gt; 0,"bos.indicus",IF(COUNTIF(lists!$L$2:$L$258, K1323) &gt; 0,"cross.bred","pure.bred.exotic")),"NA")</f>
        <v>NA</v>
      </c>
      <c r="M1323" t="str">
        <f>IF(J1323="Sheep",IF(COUNTIF(lists!$H$2:$H$258, K1323) &gt; 0,"indigenous",IF(COUNTIF(lists!$G$2:$G$258, K1323) &gt; 0,"cross.bred","not found")),"NA")</f>
        <v>not found</v>
      </c>
      <c r="N1323" t="str">
        <f>IF(J1323="Goat",IF(COUNTIF(lists!$J$2:$J$258, K1323) &gt; 0,"indigenous",IF(COUNTIF(lists!$I$2:$I$258, K1323) &gt; 0,"cross.bred","not found")),"NA")</f>
        <v>NA</v>
      </c>
      <c r="O1323" s="9" t="s">
        <v>109</v>
      </c>
      <c r="P1323" s="9" t="s">
        <v>106</v>
      </c>
      <c r="Q1323" s="9" t="s">
        <v>3804</v>
      </c>
      <c r="S1323" s="9">
        <v>240</v>
      </c>
      <c r="T1323" s="9" t="s">
        <v>106</v>
      </c>
      <c r="U1323" s="9">
        <v>254</v>
      </c>
      <c r="V1323" s="9">
        <v>942</v>
      </c>
      <c r="W1323" s="9" t="s">
        <v>106</v>
      </c>
      <c r="X1323" s="9">
        <v>379</v>
      </c>
      <c r="Y1323" s="9">
        <v>63.1</v>
      </c>
      <c r="Z1323" s="37"/>
      <c r="AA1323" s="37"/>
      <c r="AB1323" s="37"/>
      <c r="AE1323">
        <v>0</v>
      </c>
    </row>
    <row r="1324" spans="1:31" hidden="1">
      <c r="A1324" s="9" t="s">
        <v>1303</v>
      </c>
      <c r="B1324" s="9" t="s">
        <v>1308</v>
      </c>
      <c r="C1324" s="9" t="s">
        <v>105</v>
      </c>
      <c r="D1324" s="9">
        <v>0.66579999999999995</v>
      </c>
      <c r="E1324" s="9">
        <v>24.4</v>
      </c>
      <c r="F1324" s="9">
        <v>16.98</v>
      </c>
      <c r="G1324" s="9">
        <v>73.44</v>
      </c>
      <c r="H1324" s="9" t="s">
        <v>106</v>
      </c>
      <c r="I1324" s="9">
        <v>25</v>
      </c>
      <c r="J1324" s="9" t="s">
        <v>107</v>
      </c>
      <c r="K1324" s="9" t="s">
        <v>152</v>
      </c>
      <c r="L1324" t="str">
        <f>IF(OR(J1324="Cattle",J1324="Zebu Cattle"),IF(COUNTIF(lists!$M$2:$M$258, K1324) &gt; 0,"bos.indicus",IF(COUNTIF(lists!$L$2:$L$258, K1324) &gt; 0,"cross.bred","pure.bred.exotic")),"NA")</f>
        <v>NA</v>
      </c>
      <c r="M1324" t="str">
        <f>IF(J1324="Sheep",IF(COUNTIF(lists!$H$2:$H$258, K1324) &gt; 0,"indigenous",IF(COUNTIF(lists!$G$2:$G$258, K1324) &gt; 0,"cross.bred","not found")),"NA")</f>
        <v>not found</v>
      </c>
      <c r="N1324" t="str">
        <f>IF(J1324="Goat",IF(COUNTIF(lists!$J$2:$J$258, K1324) &gt; 0,"indigenous",IF(COUNTIF(lists!$I$2:$I$258, K1324) &gt; 0,"cross.bred","not found")),"NA")</f>
        <v>NA</v>
      </c>
      <c r="O1324" s="9" t="s">
        <v>109</v>
      </c>
      <c r="P1324" s="9" t="s">
        <v>106</v>
      </c>
      <c r="Q1324" s="9" t="s">
        <v>3804</v>
      </c>
      <c r="S1324" s="9">
        <v>304</v>
      </c>
      <c r="T1324" s="9" t="s">
        <v>106</v>
      </c>
      <c r="U1324" s="9">
        <v>290</v>
      </c>
      <c r="V1324" s="9">
        <v>947</v>
      </c>
      <c r="W1324" s="9" t="s">
        <v>106</v>
      </c>
      <c r="X1324" s="9">
        <v>388</v>
      </c>
      <c r="Y1324" s="9">
        <v>64.3</v>
      </c>
      <c r="Z1324" s="37"/>
      <c r="AA1324" s="37"/>
      <c r="AB1324" s="37"/>
      <c r="AE1324">
        <v>0</v>
      </c>
    </row>
    <row r="1325" spans="1:31" hidden="1">
      <c r="A1325" s="9" t="s">
        <v>1309</v>
      </c>
      <c r="B1325" s="9" t="s">
        <v>119</v>
      </c>
      <c r="C1325" s="9" t="s">
        <v>105</v>
      </c>
      <c r="D1325" s="9">
        <v>0.51600000000000001</v>
      </c>
      <c r="E1325" s="9">
        <v>46.7</v>
      </c>
      <c r="F1325" s="9" t="s">
        <v>106</v>
      </c>
      <c r="G1325" s="9" t="s">
        <v>106</v>
      </c>
      <c r="H1325" s="9" t="s">
        <v>106</v>
      </c>
      <c r="I1325" s="9" t="s">
        <v>106</v>
      </c>
      <c r="J1325" s="9" t="s">
        <v>107</v>
      </c>
      <c r="K1325" s="9" t="s">
        <v>1310</v>
      </c>
      <c r="L1325" t="str">
        <f>IF(OR(J1325="Cattle",J1325="Zebu Cattle"),IF(COUNTIF(lists!$M$2:$M$258, K1325) &gt; 0,"bos.indicus",IF(COUNTIF(lists!$L$2:$L$258, K1325) &gt; 0,"cross.bred","pure.bred.exotic")),"NA")</f>
        <v>NA</v>
      </c>
      <c r="M1325" t="str">
        <f>IF(J1325="Sheep",IF(COUNTIF(lists!$H$2:$H$258, K1325) &gt; 0,"indigenous",IF(COUNTIF(lists!$G$2:$G$258, K1325) &gt; 0,"cross.bred","not found")),"NA")</f>
        <v>not found</v>
      </c>
      <c r="N1325" t="str">
        <f>IF(J1325="Goat",IF(COUNTIF(lists!$J$2:$J$258, K1325) &gt; 0,"indigenous",IF(COUNTIF(lists!$I$2:$I$258, K1325) &gt; 0,"cross.bred","not found")),"NA")</f>
        <v>NA</v>
      </c>
      <c r="O1325" s="9" t="s">
        <v>109</v>
      </c>
      <c r="P1325" s="9" t="s">
        <v>106</v>
      </c>
      <c r="Q1325" s="9" t="s">
        <v>106</v>
      </c>
      <c r="S1325" s="9" t="s">
        <v>106</v>
      </c>
      <c r="T1325" s="9" t="s">
        <v>106</v>
      </c>
      <c r="U1325" s="9" t="s">
        <v>106</v>
      </c>
      <c r="V1325" s="9" t="s">
        <v>106</v>
      </c>
      <c r="W1325" s="9" t="s">
        <v>106</v>
      </c>
      <c r="X1325" s="9" t="s">
        <v>106</v>
      </c>
      <c r="Y1325" s="9">
        <v>514</v>
      </c>
      <c r="Z1325" s="37"/>
      <c r="AA1325" s="37"/>
      <c r="AB1325" s="37"/>
      <c r="AE1325">
        <v>1</v>
      </c>
    </row>
    <row r="1326" spans="1:31" hidden="1">
      <c r="A1326" s="9" t="s">
        <v>1309</v>
      </c>
      <c r="B1326" s="9" t="s">
        <v>483</v>
      </c>
      <c r="C1326" s="9" t="s">
        <v>105</v>
      </c>
      <c r="D1326" s="9">
        <v>0.66</v>
      </c>
      <c r="E1326" s="9">
        <v>46.7</v>
      </c>
      <c r="F1326" s="9" t="s">
        <v>106</v>
      </c>
      <c r="G1326" s="9" t="s">
        <v>106</v>
      </c>
      <c r="H1326" s="9" t="s">
        <v>106</v>
      </c>
      <c r="I1326" s="9" t="s">
        <v>106</v>
      </c>
      <c r="J1326" s="9" t="s">
        <v>107</v>
      </c>
      <c r="K1326" s="9" t="s">
        <v>1310</v>
      </c>
      <c r="L1326" t="str">
        <f>IF(OR(J1326="Cattle",J1326="Zebu Cattle"),IF(COUNTIF(lists!$M$2:$M$258, K1326) &gt; 0,"bos.indicus",IF(COUNTIF(lists!$L$2:$L$258, K1326) &gt; 0,"cross.bred","pure.bred.exotic")),"NA")</f>
        <v>NA</v>
      </c>
      <c r="M1326" t="str">
        <f>IF(J1326="Sheep",IF(COUNTIF(lists!$H$2:$H$258, K1326) &gt; 0,"indigenous",IF(COUNTIF(lists!$G$2:$G$258, K1326) &gt; 0,"cross.bred","not found")),"NA")</f>
        <v>not found</v>
      </c>
      <c r="N1326" t="str">
        <f>IF(J1326="Goat",IF(COUNTIF(lists!$J$2:$J$258, K1326) &gt; 0,"indigenous",IF(COUNTIF(lists!$I$2:$I$258, K1326) &gt; 0,"cross.bred","not found")),"NA")</f>
        <v>NA</v>
      </c>
      <c r="O1326" s="9" t="s">
        <v>109</v>
      </c>
      <c r="P1326" s="9" t="s">
        <v>106</v>
      </c>
      <c r="Q1326" s="9" t="s">
        <v>106</v>
      </c>
      <c r="S1326" s="9" t="s">
        <v>106</v>
      </c>
      <c r="T1326" s="9" t="s">
        <v>106</v>
      </c>
      <c r="U1326" s="9" t="s">
        <v>106</v>
      </c>
      <c r="V1326" s="9" t="s">
        <v>106</v>
      </c>
      <c r="W1326" s="9" t="s">
        <v>106</v>
      </c>
      <c r="X1326" s="9" t="s">
        <v>106</v>
      </c>
      <c r="Y1326" s="9">
        <v>503</v>
      </c>
      <c r="Z1326" s="37"/>
      <c r="AA1326" s="37"/>
      <c r="AB1326" s="37"/>
      <c r="AE1326">
        <v>1</v>
      </c>
    </row>
    <row r="1327" spans="1:31" hidden="1">
      <c r="A1327" s="9" t="s">
        <v>1309</v>
      </c>
      <c r="B1327" s="9" t="s">
        <v>484</v>
      </c>
      <c r="C1327" s="9" t="s">
        <v>105</v>
      </c>
      <c r="D1327" s="9">
        <v>0.7</v>
      </c>
      <c r="E1327" s="9">
        <v>46.7</v>
      </c>
      <c r="F1327" s="9" t="s">
        <v>106</v>
      </c>
      <c r="G1327" s="9" t="s">
        <v>106</v>
      </c>
      <c r="H1327" s="9" t="s">
        <v>106</v>
      </c>
      <c r="I1327" s="9" t="s">
        <v>106</v>
      </c>
      <c r="J1327" s="9" t="s">
        <v>107</v>
      </c>
      <c r="K1327" s="9" t="s">
        <v>1310</v>
      </c>
      <c r="L1327" t="str">
        <f>IF(OR(J1327="Cattle",J1327="Zebu Cattle"),IF(COUNTIF(lists!$M$2:$M$258, K1327) &gt; 0,"bos.indicus",IF(COUNTIF(lists!$L$2:$L$258, K1327) &gt; 0,"cross.bred","pure.bred.exotic")),"NA")</f>
        <v>NA</v>
      </c>
      <c r="M1327" t="str">
        <f>IF(J1327="Sheep",IF(COUNTIF(lists!$H$2:$H$258, K1327) &gt; 0,"indigenous",IF(COUNTIF(lists!$G$2:$G$258, K1327) &gt; 0,"cross.bred","not found")),"NA")</f>
        <v>not found</v>
      </c>
      <c r="N1327" t="str">
        <f>IF(J1327="Goat",IF(COUNTIF(lists!$J$2:$J$258, K1327) &gt; 0,"indigenous",IF(COUNTIF(lists!$I$2:$I$258, K1327) &gt; 0,"cross.bred","not found")),"NA")</f>
        <v>NA</v>
      </c>
      <c r="O1327" s="9" t="s">
        <v>109</v>
      </c>
      <c r="P1327" s="9" t="s">
        <v>106</v>
      </c>
      <c r="Q1327" s="9" t="s">
        <v>106</v>
      </c>
      <c r="S1327" s="9" t="s">
        <v>106</v>
      </c>
      <c r="T1327" s="9" t="s">
        <v>106</v>
      </c>
      <c r="U1327" s="9" t="s">
        <v>106</v>
      </c>
      <c r="V1327" s="9" t="s">
        <v>106</v>
      </c>
      <c r="W1327" s="9" t="s">
        <v>106</v>
      </c>
      <c r="X1327" s="9" t="s">
        <v>106</v>
      </c>
      <c r="Y1327" s="9">
        <v>484</v>
      </c>
      <c r="Z1327" s="37"/>
      <c r="AA1327" s="37"/>
      <c r="AB1327" s="37"/>
      <c r="AE1327">
        <v>1</v>
      </c>
    </row>
    <row r="1328" spans="1:31" hidden="1">
      <c r="A1328" s="9" t="s">
        <v>1309</v>
      </c>
      <c r="B1328" s="9" t="s">
        <v>485</v>
      </c>
      <c r="C1328" s="9" t="s">
        <v>105</v>
      </c>
      <c r="D1328" s="9">
        <v>0.69799999999999995</v>
      </c>
      <c r="E1328" s="9">
        <v>46.7</v>
      </c>
      <c r="F1328" s="9" t="s">
        <v>106</v>
      </c>
      <c r="G1328" s="9" t="s">
        <v>106</v>
      </c>
      <c r="H1328" s="9" t="s">
        <v>106</v>
      </c>
      <c r="I1328" s="9" t="s">
        <v>106</v>
      </c>
      <c r="J1328" s="9" t="s">
        <v>107</v>
      </c>
      <c r="K1328" s="9" t="s">
        <v>1310</v>
      </c>
      <c r="L1328" t="str">
        <f>IF(OR(J1328="Cattle",J1328="Zebu Cattle"),IF(COUNTIF(lists!$M$2:$M$258, K1328) &gt; 0,"bos.indicus",IF(COUNTIF(lists!$L$2:$L$258, K1328) &gt; 0,"cross.bred","pure.bred.exotic")),"NA")</f>
        <v>NA</v>
      </c>
      <c r="M1328" t="str">
        <f>IF(J1328="Sheep",IF(COUNTIF(lists!$H$2:$H$258, K1328) &gt; 0,"indigenous",IF(COUNTIF(lists!$G$2:$G$258, K1328) &gt; 0,"cross.bred","not found")),"NA")</f>
        <v>not found</v>
      </c>
      <c r="N1328" t="str">
        <f>IF(J1328="Goat",IF(COUNTIF(lists!$J$2:$J$258, K1328) &gt; 0,"indigenous",IF(COUNTIF(lists!$I$2:$I$258, K1328) &gt; 0,"cross.bred","not found")),"NA")</f>
        <v>NA</v>
      </c>
      <c r="O1328" s="9" t="s">
        <v>109</v>
      </c>
      <c r="P1328" s="9" t="s">
        <v>106</v>
      </c>
      <c r="Q1328" s="9" t="s">
        <v>106</v>
      </c>
      <c r="S1328" s="9" t="s">
        <v>106</v>
      </c>
      <c r="T1328" s="9" t="s">
        <v>106</v>
      </c>
      <c r="U1328" s="9" t="s">
        <v>106</v>
      </c>
      <c r="V1328" s="9" t="s">
        <v>106</v>
      </c>
      <c r="W1328" s="9" t="s">
        <v>106</v>
      </c>
      <c r="X1328" s="9" t="s">
        <v>106</v>
      </c>
      <c r="Y1328" s="9">
        <v>507</v>
      </c>
      <c r="Z1328" s="37"/>
      <c r="AA1328" s="37"/>
      <c r="AB1328" s="37"/>
      <c r="AE1328">
        <v>1</v>
      </c>
    </row>
    <row r="1329" spans="1:31" hidden="1">
      <c r="A1329" s="9" t="s">
        <v>1309</v>
      </c>
      <c r="B1329" s="9" t="s">
        <v>1311</v>
      </c>
      <c r="C1329" s="9" t="s">
        <v>105</v>
      </c>
      <c r="D1329" s="9">
        <v>0.66300000000000003</v>
      </c>
      <c r="E1329" s="9">
        <v>46.7</v>
      </c>
      <c r="F1329" s="9" t="s">
        <v>106</v>
      </c>
      <c r="G1329" s="9" t="s">
        <v>106</v>
      </c>
      <c r="H1329" s="9" t="s">
        <v>106</v>
      </c>
      <c r="I1329" s="9" t="s">
        <v>106</v>
      </c>
      <c r="J1329" s="9" t="s">
        <v>107</v>
      </c>
      <c r="K1329" s="9" t="s">
        <v>1310</v>
      </c>
      <c r="L1329" t="str">
        <f>IF(OR(J1329="Cattle",J1329="Zebu Cattle"),IF(COUNTIF(lists!$M$2:$M$258, K1329) &gt; 0,"bos.indicus",IF(COUNTIF(lists!$L$2:$L$258, K1329) &gt; 0,"cross.bred","pure.bred.exotic")),"NA")</f>
        <v>NA</v>
      </c>
      <c r="M1329" t="str">
        <f>IF(J1329="Sheep",IF(COUNTIF(lists!$H$2:$H$258, K1329) &gt; 0,"indigenous",IF(COUNTIF(lists!$G$2:$G$258, K1329) &gt; 0,"cross.bred","not found")),"NA")</f>
        <v>not found</v>
      </c>
      <c r="N1329" t="str">
        <f>IF(J1329="Goat",IF(COUNTIF(lists!$J$2:$J$258, K1329) &gt; 0,"indigenous",IF(COUNTIF(lists!$I$2:$I$258, K1329) &gt; 0,"cross.bred","not found")),"NA")</f>
        <v>NA</v>
      </c>
      <c r="O1329" s="9" t="s">
        <v>109</v>
      </c>
      <c r="P1329" s="9" t="s">
        <v>106</v>
      </c>
      <c r="Q1329" s="9" t="s">
        <v>106</v>
      </c>
      <c r="S1329" s="9" t="s">
        <v>106</v>
      </c>
      <c r="T1329" s="9" t="s">
        <v>106</v>
      </c>
      <c r="U1329" s="9" t="s">
        <v>106</v>
      </c>
      <c r="V1329" s="9" t="s">
        <v>106</v>
      </c>
      <c r="W1329" s="9" t="s">
        <v>106</v>
      </c>
      <c r="X1329" s="9" t="s">
        <v>106</v>
      </c>
      <c r="Y1329" s="9">
        <v>542</v>
      </c>
      <c r="Z1329" s="37"/>
      <c r="AA1329" s="37"/>
      <c r="AB1329" s="37"/>
      <c r="AE1329">
        <v>1</v>
      </c>
    </row>
    <row r="1330" spans="1:31" hidden="1">
      <c r="A1330" s="9" t="s">
        <v>1309</v>
      </c>
      <c r="B1330" s="9" t="s">
        <v>1312</v>
      </c>
      <c r="C1330" s="9" t="s">
        <v>105</v>
      </c>
      <c r="D1330" s="9">
        <v>0.66500000000000004</v>
      </c>
      <c r="E1330" s="9">
        <v>46.7</v>
      </c>
      <c r="F1330" s="9" t="s">
        <v>106</v>
      </c>
      <c r="G1330" s="9" t="s">
        <v>106</v>
      </c>
      <c r="H1330" s="9" t="s">
        <v>106</v>
      </c>
      <c r="I1330" s="9" t="s">
        <v>106</v>
      </c>
      <c r="J1330" s="9" t="s">
        <v>107</v>
      </c>
      <c r="K1330" s="9" t="s">
        <v>1310</v>
      </c>
      <c r="L1330" t="str">
        <f>IF(OR(J1330="Cattle",J1330="Zebu Cattle"),IF(COUNTIF(lists!$M$2:$M$258, K1330) &gt; 0,"bos.indicus",IF(COUNTIF(lists!$L$2:$L$258, K1330) &gt; 0,"cross.bred","pure.bred.exotic")),"NA")</f>
        <v>NA</v>
      </c>
      <c r="M1330" t="str">
        <f>IF(J1330="Sheep",IF(COUNTIF(lists!$H$2:$H$258, K1330) &gt; 0,"indigenous",IF(COUNTIF(lists!$G$2:$G$258, K1330) &gt; 0,"cross.bred","not found")),"NA")</f>
        <v>not found</v>
      </c>
      <c r="N1330" t="str">
        <f>IF(J1330="Goat",IF(COUNTIF(lists!$J$2:$J$258, K1330) &gt; 0,"indigenous",IF(COUNTIF(lists!$I$2:$I$258, K1330) &gt; 0,"cross.bred","not found")),"NA")</f>
        <v>NA</v>
      </c>
      <c r="O1330" s="9" t="s">
        <v>109</v>
      </c>
      <c r="P1330" s="9" t="s">
        <v>106</v>
      </c>
      <c r="Q1330" s="9" t="s">
        <v>106</v>
      </c>
      <c r="S1330" s="9" t="s">
        <v>106</v>
      </c>
      <c r="T1330" s="9" t="s">
        <v>106</v>
      </c>
      <c r="U1330" s="9" t="s">
        <v>106</v>
      </c>
      <c r="V1330" s="9" t="s">
        <v>106</v>
      </c>
      <c r="W1330" s="9" t="s">
        <v>106</v>
      </c>
      <c r="X1330" s="9" t="s">
        <v>106</v>
      </c>
      <c r="Y1330" s="9">
        <v>533</v>
      </c>
      <c r="Z1330" s="37"/>
      <c r="AA1330" s="37"/>
      <c r="AB1330" s="37"/>
      <c r="AE1330">
        <v>1</v>
      </c>
    </row>
    <row r="1331" spans="1:31" hidden="1">
      <c r="A1331" s="9" t="s">
        <v>1309</v>
      </c>
      <c r="B1331" s="9" t="s">
        <v>1313</v>
      </c>
      <c r="C1331" s="9" t="s">
        <v>105</v>
      </c>
      <c r="D1331" s="9">
        <v>0.76300000000000001</v>
      </c>
      <c r="E1331" s="9">
        <v>46.7</v>
      </c>
      <c r="F1331" s="9" t="s">
        <v>106</v>
      </c>
      <c r="G1331" s="9" t="s">
        <v>106</v>
      </c>
      <c r="H1331" s="9" t="s">
        <v>106</v>
      </c>
      <c r="I1331" s="9" t="s">
        <v>106</v>
      </c>
      <c r="J1331" s="9" t="s">
        <v>107</v>
      </c>
      <c r="K1331" s="9" t="s">
        <v>1310</v>
      </c>
      <c r="L1331" t="str">
        <f>IF(OR(J1331="Cattle",J1331="Zebu Cattle"),IF(COUNTIF(lists!$M$2:$M$258, K1331) &gt; 0,"bos.indicus",IF(COUNTIF(lists!$L$2:$L$258, K1331) &gt; 0,"cross.bred","pure.bred.exotic")),"NA")</f>
        <v>NA</v>
      </c>
      <c r="M1331" t="str">
        <f>IF(J1331="Sheep",IF(COUNTIF(lists!$H$2:$H$258, K1331) &gt; 0,"indigenous",IF(COUNTIF(lists!$G$2:$G$258, K1331) &gt; 0,"cross.bred","not found")),"NA")</f>
        <v>not found</v>
      </c>
      <c r="N1331" t="str">
        <f>IF(J1331="Goat",IF(COUNTIF(lists!$J$2:$J$258, K1331) &gt; 0,"indigenous",IF(COUNTIF(lists!$I$2:$I$258, K1331) &gt; 0,"cross.bred","not found")),"NA")</f>
        <v>NA</v>
      </c>
      <c r="O1331" s="9" t="s">
        <v>109</v>
      </c>
      <c r="P1331" s="9" t="s">
        <v>106</v>
      </c>
      <c r="Q1331" s="9" t="s">
        <v>106</v>
      </c>
      <c r="S1331" s="9" t="s">
        <v>106</v>
      </c>
      <c r="T1331" s="9" t="s">
        <v>106</v>
      </c>
      <c r="U1331" s="9" t="s">
        <v>106</v>
      </c>
      <c r="V1331" s="9" t="s">
        <v>106</v>
      </c>
      <c r="W1331" s="9" t="s">
        <v>106</v>
      </c>
      <c r="X1331" s="9" t="s">
        <v>106</v>
      </c>
      <c r="Y1331" s="9">
        <v>505</v>
      </c>
      <c r="Z1331" s="37"/>
      <c r="AA1331" s="37"/>
      <c r="AB1331" s="37"/>
      <c r="AE1331">
        <v>1</v>
      </c>
    </row>
    <row r="1332" spans="1:31" hidden="1">
      <c r="A1332" s="9" t="s">
        <v>1314</v>
      </c>
      <c r="B1332" s="9" t="s">
        <v>1315</v>
      </c>
      <c r="C1332" s="9" t="s">
        <v>105</v>
      </c>
      <c r="D1332" s="9">
        <v>0.76100000000000001</v>
      </c>
      <c r="E1332" s="9">
        <v>57.8</v>
      </c>
      <c r="F1332" s="9" t="s">
        <v>106</v>
      </c>
      <c r="G1332" s="9" t="s">
        <v>106</v>
      </c>
      <c r="H1332" s="9" t="s">
        <v>106</v>
      </c>
      <c r="I1332" s="9">
        <v>25</v>
      </c>
      <c r="J1332" s="9" t="s">
        <v>107</v>
      </c>
      <c r="K1332" s="9" t="s">
        <v>1310</v>
      </c>
      <c r="L1332" t="str">
        <f>IF(OR(J1332="Cattle",J1332="Zebu Cattle"),IF(COUNTIF(lists!$M$2:$M$258, K1332) &gt; 0,"bos.indicus",IF(COUNTIF(lists!$L$2:$L$258, K1332) &gt; 0,"cross.bred","pure.bred.exotic")),"NA")</f>
        <v>NA</v>
      </c>
      <c r="M1332" t="str">
        <f>IF(J1332="Sheep",IF(COUNTIF(lists!$H$2:$H$258, K1332) &gt; 0,"indigenous",IF(COUNTIF(lists!$G$2:$G$258, K1332) &gt; 0,"cross.bred","not found")),"NA")</f>
        <v>not found</v>
      </c>
      <c r="N1332" t="str">
        <f>IF(J1332="Goat",IF(COUNTIF(lists!$J$2:$J$258, K1332) &gt; 0,"indigenous",IF(COUNTIF(lists!$I$2:$I$258, K1332) &gt; 0,"cross.bred","not found")),"NA")</f>
        <v>NA</v>
      </c>
      <c r="O1332" s="9" t="s">
        <v>109</v>
      </c>
      <c r="P1332" s="9" t="s">
        <v>106</v>
      </c>
      <c r="Q1332" s="9" t="s">
        <v>3808</v>
      </c>
      <c r="S1332" s="9" t="s">
        <v>106</v>
      </c>
      <c r="T1332" s="9" t="s">
        <v>106</v>
      </c>
      <c r="U1332" s="9" t="s">
        <v>106</v>
      </c>
      <c r="V1332" s="9" t="s">
        <v>106</v>
      </c>
      <c r="W1332" s="9" t="s">
        <v>106</v>
      </c>
      <c r="X1332" s="9" t="s">
        <v>106</v>
      </c>
      <c r="Y1332" s="9">
        <v>535</v>
      </c>
      <c r="Z1332" s="37"/>
      <c r="AA1332" s="37"/>
      <c r="AB1332" s="37"/>
      <c r="AE1332">
        <v>0</v>
      </c>
    </row>
    <row r="1333" spans="1:31" hidden="1">
      <c r="A1333" s="9" t="s">
        <v>1314</v>
      </c>
      <c r="B1333" s="9" t="s">
        <v>1316</v>
      </c>
      <c r="C1333" s="9" t="s">
        <v>105</v>
      </c>
      <c r="D1333" s="9">
        <v>0.77400000000000002</v>
      </c>
      <c r="E1333" s="9">
        <v>57.8</v>
      </c>
      <c r="F1333" s="9" t="s">
        <v>106</v>
      </c>
      <c r="G1333" s="9" t="s">
        <v>106</v>
      </c>
      <c r="H1333" s="9" t="s">
        <v>106</v>
      </c>
      <c r="I1333" s="9">
        <v>25</v>
      </c>
      <c r="J1333" s="9" t="s">
        <v>107</v>
      </c>
      <c r="K1333" s="9" t="s">
        <v>1310</v>
      </c>
      <c r="L1333" t="str">
        <f>IF(OR(J1333="Cattle",J1333="Zebu Cattle"),IF(COUNTIF(lists!$M$2:$M$258, K1333) &gt; 0,"bos.indicus",IF(COUNTIF(lists!$L$2:$L$258, K1333) &gt; 0,"cross.bred","pure.bred.exotic")),"NA")</f>
        <v>NA</v>
      </c>
      <c r="M1333" t="str">
        <f>IF(J1333="Sheep",IF(COUNTIF(lists!$H$2:$H$258, K1333) &gt; 0,"indigenous",IF(COUNTIF(lists!$G$2:$G$258, K1333) &gt; 0,"cross.bred","not found")),"NA")</f>
        <v>not found</v>
      </c>
      <c r="N1333" t="str">
        <f>IF(J1333="Goat",IF(COUNTIF(lists!$J$2:$J$258, K1333) &gt; 0,"indigenous",IF(COUNTIF(lists!$I$2:$I$258, K1333) &gt; 0,"cross.bred","not found")),"NA")</f>
        <v>NA</v>
      </c>
      <c r="O1333" s="9" t="s">
        <v>109</v>
      </c>
      <c r="P1333" s="9" t="s">
        <v>106</v>
      </c>
      <c r="Q1333" s="9" t="s">
        <v>3808</v>
      </c>
      <c r="S1333" s="9" t="s">
        <v>106</v>
      </c>
      <c r="T1333" s="9" t="s">
        <v>106</v>
      </c>
      <c r="U1333" s="9" t="s">
        <v>106</v>
      </c>
      <c r="V1333" s="9" t="s">
        <v>106</v>
      </c>
      <c r="W1333" s="9" t="s">
        <v>106</v>
      </c>
      <c r="X1333" s="9" t="s">
        <v>106</v>
      </c>
      <c r="Y1333" s="9">
        <v>463</v>
      </c>
      <c r="Z1333" s="37"/>
      <c r="AA1333" s="37"/>
      <c r="AB1333" s="37"/>
      <c r="AE1333">
        <v>0</v>
      </c>
    </row>
    <row r="1334" spans="1:31" hidden="1">
      <c r="A1334" s="9" t="s">
        <v>1314</v>
      </c>
      <c r="B1334" s="9" t="s">
        <v>1317</v>
      </c>
      <c r="C1334" s="9" t="s">
        <v>105</v>
      </c>
      <c r="D1334" s="9">
        <v>0.753</v>
      </c>
      <c r="E1334" s="9">
        <v>57.8</v>
      </c>
      <c r="F1334" s="9" t="s">
        <v>106</v>
      </c>
      <c r="G1334" s="9" t="s">
        <v>106</v>
      </c>
      <c r="H1334" s="9" t="s">
        <v>106</v>
      </c>
      <c r="I1334" s="9">
        <v>25</v>
      </c>
      <c r="J1334" s="9" t="s">
        <v>107</v>
      </c>
      <c r="K1334" s="9" t="s">
        <v>1310</v>
      </c>
      <c r="L1334" t="str">
        <f>IF(OR(J1334="Cattle",J1334="Zebu Cattle"),IF(COUNTIF(lists!$M$2:$M$258, K1334) &gt; 0,"bos.indicus",IF(COUNTIF(lists!$L$2:$L$258, K1334) &gt; 0,"cross.bred","pure.bred.exotic")),"NA")</f>
        <v>NA</v>
      </c>
      <c r="M1334" t="str">
        <f>IF(J1334="Sheep",IF(COUNTIF(lists!$H$2:$H$258, K1334) &gt; 0,"indigenous",IF(COUNTIF(lists!$G$2:$G$258, K1334) &gt; 0,"cross.bred","not found")),"NA")</f>
        <v>not found</v>
      </c>
      <c r="N1334" t="str">
        <f>IF(J1334="Goat",IF(COUNTIF(lists!$J$2:$J$258, K1334) &gt; 0,"indigenous",IF(COUNTIF(lists!$I$2:$I$258, K1334) &gt; 0,"cross.bred","not found")),"NA")</f>
        <v>NA</v>
      </c>
      <c r="O1334" s="9" t="s">
        <v>109</v>
      </c>
      <c r="P1334" s="9" t="s">
        <v>106</v>
      </c>
      <c r="Q1334" s="9" t="s">
        <v>3808</v>
      </c>
      <c r="S1334" s="9" t="s">
        <v>106</v>
      </c>
      <c r="T1334" s="9" t="s">
        <v>106</v>
      </c>
      <c r="U1334" s="9" t="s">
        <v>106</v>
      </c>
      <c r="V1334" s="9" t="s">
        <v>106</v>
      </c>
      <c r="W1334" s="9" t="s">
        <v>106</v>
      </c>
      <c r="X1334" s="9" t="s">
        <v>106</v>
      </c>
      <c r="Y1334" s="9">
        <v>542</v>
      </c>
      <c r="Z1334" s="37"/>
      <c r="AA1334" s="37"/>
      <c r="AB1334" s="37"/>
      <c r="AE1334">
        <v>0</v>
      </c>
    </row>
    <row r="1335" spans="1:31" hidden="1">
      <c r="A1335" s="9" t="s">
        <v>1314</v>
      </c>
      <c r="B1335" s="9" t="s">
        <v>1318</v>
      </c>
      <c r="C1335" s="9" t="s">
        <v>105</v>
      </c>
      <c r="D1335" s="9">
        <v>0.70699999999999996</v>
      </c>
      <c r="E1335" s="9">
        <v>57.8</v>
      </c>
      <c r="F1335" s="9" t="s">
        <v>106</v>
      </c>
      <c r="G1335" s="9" t="s">
        <v>106</v>
      </c>
      <c r="H1335" s="9" t="s">
        <v>106</v>
      </c>
      <c r="I1335" s="9">
        <v>25</v>
      </c>
      <c r="J1335" s="9" t="s">
        <v>107</v>
      </c>
      <c r="K1335" s="9" t="s">
        <v>1310</v>
      </c>
      <c r="L1335" t="str">
        <f>IF(OR(J1335="Cattle",J1335="Zebu Cattle"),IF(COUNTIF(lists!$M$2:$M$258, K1335) &gt; 0,"bos.indicus",IF(COUNTIF(lists!$L$2:$L$258, K1335) &gt; 0,"cross.bred","pure.bred.exotic")),"NA")</f>
        <v>NA</v>
      </c>
      <c r="M1335" t="str">
        <f>IF(J1335="Sheep",IF(COUNTIF(lists!$H$2:$H$258, K1335) &gt; 0,"indigenous",IF(COUNTIF(lists!$G$2:$G$258, K1335) &gt; 0,"cross.bred","not found")),"NA")</f>
        <v>not found</v>
      </c>
      <c r="N1335" t="str">
        <f>IF(J1335="Goat",IF(COUNTIF(lists!$J$2:$J$258, K1335) &gt; 0,"indigenous",IF(COUNTIF(lists!$I$2:$I$258, K1335) &gt; 0,"cross.bred","not found")),"NA")</f>
        <v>NA</v>
      </c>
      <c r="O1335" s="9" t="s">
        <v>109</v>
      </c>
      <c r="P1335" s="9" t="s">
        <v>106</v>
      </c>
      <c r="Q1335" s="9" t="s">
        <v>3808</v>
      </c>
      <c r="S1335" s="9" t="s">
        <v>106</v>
      </c>
      <c r="T1335" s="9" t="s">
        <v>106</v>
      </c>
      <c r="U1335" s="9" t="s">
        <v>106</v>
      </c>
      <c r="V1335" s="9" t="s">
        <v>106</v>
      </c>
      <c r="W1335" s="9" t="s">
        <v>106</v>
      </c>
      <c r="X1335" s="9" t="s">
        <v>106</v>
      </c>
      <c r="Y1335" s="9">
        <v>513</v>
      </c>
      <c r="Z1335" s="37"/>
      <c r="AA1335" s="37"/>
      <c r="AB1335" s="37"/>
      <c r="AE1335">
        <v>0</v>
      </c>
    </row>
    <row r="1336" spans="1:31" hidden="1">
      <c r="A1336" s="9" t="s">
        <v>1314</v>
      </c>
      <c r="B1336" s="9" t="s">
        <v>1319</v>
      </c>
      <c r="C1336" s="9" t="s">
        <v>105</v>
      </c>
      <c r="D1336" s="9">
        <v>0.73399999999999999</v>
      </c>
      <c r="E1336" s="9">
        <v>57.8</v>
      </c>
      <c r="F1336" s="9" t="s">
        <v>106</v>
      </c>
      <c r="G1336" s="9" t="s">
        <v>106</v>
      </c>
      <c r="H1336" s="9" t="s">
        <v>106</v>
      </c>
      <c r="I1336" s="9">
        <v>25</v>
      </c>
      <c r="J1336" s="9" t="s">
        <v>107</v>
      </c>
      <c r="K1336" s="9" t="s">
        <v>1310</v>
      </c>
      <c r="L1336" t="str">
        <f>IF(OR(J1336="Cattle",J1336="Zebu Cattle"),IF(COUNTIF(lists!$M$2:$M$258, K1336) &gt; 0,"bos.indicus",IF(COUNTIF(lists!$L$2:$L$258, K1336) &gt; 0,"cross.bred","pure.bred.exotic")),"NA")</f>
        <v>NA</v>
      </c>
      <c r="M1336" t="str">
        <f>IF(J1336="Sheep",IF(COUNTIF(lists!$H$2:$H$258, K1336) &gt; 0,"indigenous",IF(COUNTIF(lists!$G$2:$G$258, K1336) &gt; 0,"cross.bred","not found")),"NA")</f>
        <v>not found</v>
      </c>
      <c r="N1336" t="str">
        <f>IF(J1336="Goat",IF(COUNTIF(lists!$J$2:$J$258, K1336) &gt; 0,"indigenous",IF(COUNTIF(lists!$I$2:$I$258, K1336) &gt; 0,"cross.bred","not found")),"NA")</f>
        <v>NA</v>
      </c>
      <c r="O1336" s="9" t="s">
        <v>109</v>
      </c>
      <c r="P1336" s="9" t="s">
        <v>106</v>
      </c>
      <c r="Q1336" s="9" t="s">
        <v>3808</v>
      </c>
      <c r="S1336" s="9" t="s">
        <v>106</v>
      </c>
      <c r="T1336" s="9" t="s">
        <v>106</v>
      </c>
      <c r="U1336" s="9" t="s">
        <v>106</v>
      </c>
      <c r="V1336" s="9" t="s">
        <v>106</v>
      </c>
      <c r="W1336" s="9" t="s">
        <v>106</v>
      </c>
      <c r="X1336" s="9" t="s">
        <v>106</v>
      </c>
      <c r="Y1336" s="9">
        <v>640</v>
      </c>
      <c r="Z1336" s="37"/>
      <c r="AA1336" s="37"/>
      <c r="AB1336" s="37"/>
      <c r="AE1336">
        <v>0</v>
      </c>
    </row>
    <row r="1337" spans="1:31" hidden="1">
      <c r="A1337" s="9" t="s">
        <v>1320</v>
      </c>
      <c r="B1337" s="9" t="s">
        <v>1321</v>
      </c>
      <c r="C1337" s="9" t="s">
        <v>105</v>
      </c>
      <c r="D1337" s="9">
        <v>0.624</v>
      </c>
      <c r="E1337" s="9">
        <v>29.1</v>
      </c>
      <c r="F1337" s="9">
        <v>17.7</v>
      </c>
      <c r="G1337" s="9">
        <v>31</v>
      </c>
      <c r="H1337" s="9" t="s">
        <v>106</v>
      </c>
      <c r="I1337" s="9">
        <v>30</v>
      </c>
      <c r="J1337" s="9" t="s">
        <v>107</v>
      </c>
      <c r="K1337" s="9" t="s">
        <v>1032</v>
      </c>
      <c r="L1337" t="str">
        <f>IF(OR(J1337="Cattle",J1337="Zebu Cattle"),IF(COUNTIF(lists!$M$2:$M$258, K1337) &gt; 0,"bos.indicus",IF(COUNTIF(lists!$L$2:$L$258, K1337) &gt; 0,"cross.bred","pure.bred.exotic")),"NA")</f>
        <v>NA</v>
      </c>
      <c r="M1337" t="str">
        <f>IF(J1337="Sheep",IF(COUNTIF(lists!$H$2:$H$258, K1337) &gt; 0,"indigenous",IF(COUNTIF(lists!$G$2:$G$258, K1337) &gt; 0,"cross.bred","not found")),"NA")</f>
        <v>not found</v>
      </c>
      <c r="N1337" t="str">
        <f>IF(J1337="Goat",IF(COUNTIF(lists!$J$2:$J$258, K1337) &gt; 0,"indigenous",IF(COUNTIF(lists!$I$2:$I$258, K1337) &gt; 0,"cross.bred","not found")),"NA")</f>
        <v>NA</v>
      </c>
      <c r="O1337" s="9" t="s">
        <v>109</v>
      </c>
      <c r="P1337" s="9" t="s">
        <v>106</v>
      </c>
      <c r="Q1337" s="9" t="s">
        <v>3804</v>
      </c>
      <c r="S1337" s="9" t="s">
        <v>106</v>
      </c>
      <c r="T1337" s="9" t="s">
        <v>106</v>
      </c>
      <c r="U1337" s="9" t="s">
        <v>106</v>
      </c>
      <c r="V1337" s="9" t="s">
        <v>106</v>
      </c>
      <c r="W1337" s="9" t="s">
        <v>106</v>
      </c>
      <c r="X1337" s="9" t="s">
        <v>106</v>
      </c>
      <c r="Y1337" s="9">
        <v>56</v>
      </c>
      <c r="Z1337" s="37"/>
      <c r="AA1337" s="37"/>
      <c r="AB1337" s="37"/>
      <c r="AE1337">
        <v>0</v>
      </c>
    </row>
    <row r="1338" spans="1:31" hidden="1">
      <c r="A1338" s="9" t="s">
        <v>1320</v>
      </c>
      <c r="B1338" s="9" t="s">
        <v>1322</v>
      </c>
      <c r="C1338" s="9" t="s">
        <v>105</v>
      </c>
      <c r="D1338" s="9">
        <v>0.72499999999999998</v>
      </c>
      <c r="E1338" s="9">
        <v>29.1</v>
      </c>
      <c r="F1338" s="9">
        <v>17.7</v>
      </c>
      <c r="G1338" s="9">
        <v>53</v>
      </c>
      <c r="H1338" s="9" t="s">
        <v>106</v>
      </c>
      <c r="I1338" s="9">
        <v>30</v>
      </c>
      <c r="J1338" s="9" t="s">
        <v>107</v>
      </c>
      <c r="K1338" s="9" t="s">
        <v>1032</v>
      </c>
      <c r="L1338" t="str">
        <f>IF(OR(J1338="Cattle",J1338="Zebu Cattle"),IF(COUNTIF(lists!$M$2:$M$258, K1338) &gt; 0,"bos.indicus",IF(COUNTIF(lists!$L$2:$L$258, K1338) &gt; 0,"cross.bred","pure.bred.exotic")),"NA")</f>
        <v>NA</v>
      </c>
      <c r="M1338" t="str">
        <f>IF(J1338="Sheep",IF(COUNTIF(lists!$H$2:$H$258, K1338) &gt; 0,"indigenous",IF(COUNTIF(lists!$G$2:$G$258, K1338) &gt; 0,"cross.bred","not found")),"NA")</f>
        <v>not found</v>
      </c>
      <c r="N1338" t="str">
        <f>IF(J1338="Goat",IF(COUNTIF(lists!$J$2:$J$258, K1338) &gt; 0,"indigenous",IF(COUNTIF(lists!$I$2:$I$258, K1338) &gt; 0,"cross.bred","not found")),"NA")</f>
        <v>NA</v>
      </c>
      <c r="O1338" s="9" t="s">
        <v>109</v>
      </c>
      <c r="P1338" s="9" t="s">
        <v>106</v>
      </c>
      <c r="Q1338" s="9" t="s">
        <v>3804</v>
      </c>
      <c r="S1338" s="9" t="s">
        <v>106</v>
      </c>
      <c r="T1338" s="9" t="s">
        <v>106</v>
      </c>
      <c r="U1338" s="9" t="s">
        <v>106</v>
      </c>
      <c r="V1338" s="9" t="s">
        <v>106</v>
      </c>
      <c r="W1338" s="9" t="s">
        <v>106</v>
      </c>
      <c r="X1338" s="9" t="s">
        <v>106</v>
      </c>
      <c r="Y1338" s="9">
        <v>51</v>
      </c>
      <c r="Z1338" s="37"/>
      <c r="AA1338" s="37"/>
      <c r="AB1338" s="37"/>
      <c r="AE1338">
        <v>0</v>
      </c>
    </row>
    <row r="1339" spans="1:31" hidden="1">
      <c r="A1339" s="9" t="s">
        <v>1320</v>
      </c>
      <c r="B1339" s="9" t="s">
        <v>1323</v>
      </c>
      <c r="C1339" s="9" t="s">
        <v>105</v>
      </c>
      <c r="D1339" s="9">
        <v>0.73899999999999999</v>
      </c>
      <c r="E1339" s="9">
        <v>29.1</v>
      </c>
      <c r="F1339" s="9">
        <v>17.7</v>
      </c>
      <c r="G1339" s="9">
        <v>57</v>
      </c>
      <c r="H1339" s="9" t="s">
        <v>106</v>
      </c>
      <c r="I1339" s="9">
        <v>30</v>
      </c>
      <c r="J1339" s="9" t="s">
        <v>107</v>
      </c>
      <c r="K1339" s="9" t="s">
        <v>1032</v>
      </c>
      <c r="L1339" t="str">
        <f>IF(OR(J1339="Cattle",J1339="Zebu Cattle"),IF(COUNTIF(lists!$M$2:$M$258, K1339) &gt; 0,"bos.indicus",IF(COUNTIF(lists!$L$2:$L$258, K1339) &gt; 0,"cross.bred","pure.bred.exotic")),"NA")</f>
        <v>NA</v>
      </c>
      <c r="M1339" t="str">
        <f>IF(J1339="Sheep",IF(COUNTIF(lists!$H$2:$H$258, K1339) &gt; 0,"indigenous",IF(COUNTIF(lists!$G$2:$G$258, K1339) &gt; 0,"cross.bred","not found")),"NA")</f>
        <v>not found</v>
      </c>
      <c r="N1339" t="str">
        <f>IF(J1339="Goat",IF(COUNTIF(lists!$J$2:$J$258, K1339) &gt; 0,"indigenous",IF(COUNTIF(lists!$I$2:$I$258, K1339) &gt; 0,"cross.bred","not found")),"NA")</f>
        <v>NA</v>
      </c>
      <c r="O1339" s="9" t="s">
        <v>109</v>
      </c>
      <c r="P1339" s="9" t="s">
        <v>106</v>
      </c>
      <c r="Q1339" s="9" t="s">
        <v>3804</v>
      </c>
      <c r="S1339" s="9" t="s">
        <v>106</v>
      </c>
      <c r="T1339" s="9" t="s">
        <v>106</v>
      </c>
      <c r="U1339" s="9" t="s">
        <v>106</v>
      </c>
      <c r="V1339" s="9" t="s">
        <v>106</v>
      </c>
      <c r="W1339" s="9" t="s">
        <v>106</v>
      </c>
      <c r="X1339" s="9" t="s">
        <v>106</v>
      </c>
      <c r="Y1339" s="9">
        <v>54</v>
      </c>
      <c r="Z1339" s="37"/>
      <c r="AA1339" s="37"/>
      <c r="AB1339" s="37"/>
      <c r="AE1339">
        <v>0</v>
      </c>
    </row>
    <row r="1340" spans="1:31" hidden="1">
      <c r="A1340" s="9" t="s">
        <v>1320</v>
      </c>
      <c r="B1340" s="9" t="s">
        <v>1324</v>
      </c>
      <c r="C1340" s="9" t="s">
        <v>105</v>
      </c>
      <c r="D1340" s="9">
        <v>0.70099999999999996</v>
      </c>
      <c r="E1340" s="9">
        <v>29.1</v>
      </c>
      <c r="F1340" s="9">
        <v>17.7</v>
      </c>
      <c r="G1340" s="9">
        <v>53</v>
      </c>
      <c r="H1340" s="9" t="s">
        <v>106</v>
      </c>
      <c r="I1340" s="9">
        <v>30</v>
      </c>
      <c r="J1340" s="9" t="s">
        <v>107</v>
      </c>
      <c r="K1340" s="9" t="s">
        <v>1032</v>
      </c>
      <c r="L1340" t="str">
        <f>IF(OR(J1340="Cattle",J1340="Zebu Cattle"),IF(COUNTIF(lists!$M$2:$M$258, K1340) &gt; 0,"bos.indicus",IF(COUNTIF(lists!$L$2:$L$258, K1340) &gt; 0,"cross.bred","pure.bred.exotic")),"NA")</f>
        <v>NA</v>
      </c>
      <c r="M1340" t="str">
        <f>IF(J1340="Sheep",IF(COUNTIF(lists!$H$2:$H$258, K1340) &gt; 0,"indigenous",IF(COUNTIF(lists!$G$2:$G$258, K1340) &gt; 0,"cross.bred","not found")),"NA")</f>
        <v>not found</v>
      </c>
      <c r="N1340" t="str">
        <f>IF(J1340="Goat",IF(COUNTIF(lists!$J$2:$J$258, K1340) &gt; 0,"indigenous",IF(COUNTIF(lists!$I$2:$I$258, K1340) &gt; 0,"cross.bred","not found")),"NA")</f>
        <v>NA</v>
      </c>
      <c r="O1340" s="9" t="s">
        <v>109</v>
      </c>
      <c r="P1340" s="9" t="s">
        <v>106</v>
      </c>
      <c r="Q1340" s="9" t="s">
        <v>3804</v>
      </c>
      <c r="S1340" s="9" t="s">
        <v>106</v>
      </c>
      <c r="T1340" s="9" t="s">
        <v>106</v>
      </c>
      <c r="U1340" s="9" t="s">
        <v>106</v>
      </c>
      <c r="V1340" s="9" t="s">
        <v>106</v>
      </c>
      <c r="W1340" s="9" t="s">
        <v>106</v>
      </c>
      <c r="X1340" s="9" t="s">
        <v>106</v>
      </c>
      <c r="Y1340" s="9">
        <v>49</v>
      </c>
      <c r="Z1340" s="37"/>
      <c r="AA1340" s="37"/>
      <c r="AB1340" s="37"/>
      <c r="AE1340">
        <v>0</v>
      </c>
    </row>
    <row r="1341" spans="1:31" hidden="1">
      <c r="A1341" s="9" t="s">
        <v>1320</v>
      </c>
      <c r="B1341" s="9" t="s">
        <v>1325</v>
      </c>
      <c r="C1341" s="9" t="s">
        <v>105</v>
      </c>
      <c r="D1341" s="9">
        <v>0.69099999999999995</v>
      </c>
      <c r="E1341" s="9">
        <v>29.1</v>
      </c>
      <c r="F1341" s="9">
        <v>17.7</v>
      </c>
      <c r="G1341" s="9">
        <v>53</v>
      </c>
      <c r="H1341" s="9" t="s">
        <v>106</v>
      </c>
      <c r="I1341" s="9">
        <v>30</v>
      </c>
      <c r="J1341" s="9" t="s">
        <v>107</v>
      </c>
      <c r="K1341" s="9" t="s">
        <v>1032</v>
      </c>
      <c r="L1341" t="str">
        <f>IF(OR(J1341="Cattle",J1341="Zebu Cattle"),IF(COUNTIF(lists!$M$2:$M$258, K1341) &gt; 0,"bos.indicus",IF(COUNTIF(lists!$L$2:$L$258, K1341) &gt; 0,"cross.bred","pure.bred.exotic")),"NA")</f>
        <v>NA</v>
      </c>
      <c r="M1341" t="str">
        <f>IF(J1341="Sheep",IF(COUNTIF(lists!$H$2:$H$258, K1341) &gt; 0,"indigenous",IF(COUNTIF(lists!$G$2:$G$258, K1341) &gt; 0,"cross.bred","not found")),"NA")</f>
        <v>not found</v>
      </c>
      <c r="N1341" t="str">
        <f>IF(J1341="Goat",IF(COUNTIF(lists!$J$2:$J$258, K1341) &gt; 0,"indigenous",IF(COUNTIF(lists!$I$2:$I$258, K1341) &gt; 0,"cross.bred","not found")),"NA")</f>
        <v>NA</v>
      </c>
      <c r="O1341" s="9" t="s">
        <v>109</v>
      </c>
      <c r="P1341" s="9" t="s">
        <v>106</v>
      </c>
      <c r="Q1341" s="9" t="s">
        <v>3804</v>
      </c>
      <c r="S1341" s="9" t="s">
        <v>106</v>
      </c>
      <c r="T1341" s="9" t="s">
        <v>106</v>
      </c>
      <c r="U1341" s="9" t="s">
        <v>106</v>
      </c>
      <c r="V1341" s="9" t="s">
        <v>106</v>
      </c>
      <c r="W1341" s="9" t="s">
        <v>106</v>
      </c>
      <c r="X1341" s="9" t="s">
        <v>106</v>
      </c>
      <c r="Y1341" s="9">
        <v>44</v>
      </c>
      <c r="Z1341" s="37"/>
      <c r="AA1341" s="37"/>
      <c r="AB1341" s="37"/>
      <c r="AE1341">
        <v>0</v>
      </c>
    </row>
    <row r="1342" spans="1:31" hidden="1">
      <c r="A1342" s="9" t="s">
        <v>1326</v>
      </c>
      <c r="B1342" s="9" t="s">
        <v>119</v>
      </c>
      <c r="C1342" s="9" t="s">
        <v>105</v>
      </c>
      <c r="D1342" s="9">
        <v>0.627</v>
      </c>
      <c r="E1342" s="9">
        <v>115</v>
      </c>
      <c r="F1342" s="9">
        <v>16.600000000000001</v>
      </c>
      <c r="G1342" s="9">
        <v>0.2</v>
      </c>
      <c r="H1342" s="9" t="s">
        <v>106</v>
      </c>
      <c r="I1342" s="9">
        <v>40</v>
      </c>
      <c r="J1342" s="9" t="s">
        <v>107</v>
      </c>
      <c r="K1342" s="9" t="s">
        <v>1327</v>
      </c>
      <c r="L1342" t="str">
        <f>IF(OR(J1342="Cattle",J1342="Zebu Cattle"),IF(COUNTIF(lists!$M$2:$M$258, K1342) &gt; 0,"bos.indicus",IF(COUNTIF(lists!$L$2:$L$258, K1342) &gt; 0,"cross.bred","pure.bred.exotic")),"NA")</f>
        <v>NA</v>
      </c>
      <c r="M1342" t="str">
        <f>IF(J1342="Sheep",IF(COUNTIF(lists!$H$2:$H$258, K1342) &gt; 0,"indigenous",IF(COUNTIF(lists!$G$2:$G$258, K1342) &gt; 0,"cross.bred","not found")),"NA")</f>
        <v>not found</v>
      </c>
      <c r="N1342" t="str">
        <f>IF(J1342="Goat",IF(COUNTIF(lists!$J$2:$J$258, K1342) &gt; 0,"indigenous",IF(COUNTIF(lists!$I$2:$I$258, K1342) &gt; 0,"cross.bred","not found")),"NA")</f>
        <v>NA</v>
      </c>
      <c r="O1342" s="9" t="s">
        <v>180</v>
      </c>
      <c r="P1342" s="9" t="s">
        <v>106</v>
      </c>
      <c r="Q1342" s="9" t="s">
        <v>3804</v>
      </c>
      <c r="S1342" s="9" t="s">
        <v>106</v>
      </c>
      <c r="T1342" s="9" t="s">
        <v>106</v>
      </c>
      <c r="U1342" s="9" t="s">
        <v>106</v>
      </c>
      <c r="V1342" s="9" t="s">
        <v>106</v>
      </c>
      <c r="W1342" s="9" t="s">
        <v>106</v>
      </c>
      <c r="X1342" s="9" t="s">
        <v>106</v>
      </c>
      <c r="Y1342" s="9" t="s">
        <v>106</v>
      </c>
      <c r="Z1342" s="37"/>
      <c r="AA1342" s="37"/>
      <c r="AB1342" s="37"/>
      <c r="AE1342">
        <v>0</v>
      </c>
    </row>
    <row r="1343" spans="1:31" hidden="1">
      <c r="A1343" s="9" t="s">
        <v>1326</v>
      </c>
      <c r="B1343" s="9" t="s">
        <v>483</v>
      </c>
      <c r="C1343" s="9" t="s">
        <v>105</v>
      </c>
      <c r="D1343" s="9">
        <v>1.0660000000000001</v>
      </c>
      <c r="E1343" s="9">
        <v>264</v>
      </c>
      <c r="F1343" s="9">
        <v>16.600000000000001</v>
      </c>
      <c r="G1343" s="9">
        <v>51.2</v>
      </c>
      <c r="H1343" s="9" t="s">
        <v>106</v>
      </c>
      <c r="I1343" s="9">
        <v>40</v>
      </c>
      <c r="J1343" s="9" t="s">
        <v>107</v>
      </c>
      <c r="K1343" s="9" t="s">
        <v>1327</v>
      </c>
      <c r="L1343" t="str">
        <f>IF(OR(J1343="Cattle",J1343="Zebu Cattle"),IF(COUNTIF(lists!$M$2:$M$258, K1343) &gt; 0,"bos.indicus",IF(COUNTIF(lists!$L$2:$L$258, K1343) &gt; 0,"cross.bred","pure.bred.exotic")),"NA")</f>
        <v>NA</v>
      </c>
      <c r="M1343" t="str">
        <f>IF(J1343="Sheep",IF(COUNTIF(lists!$H$2:$H$258, K1343) &gt; 0,"indigenous",IF(COUNTIF(lists!$G$2:$G$258, K1343) &gt; 0,"cross.bred","not found")),"NA")</f>
        <v>not found</v>
      </c>
      <c r="N1343" t="str">
        <f>IF(J1343="Goat",IF(COUNTIF(lists!$J$2:$J$258, K1343) &gt; 0,"indigenous",IF(COUNTIF(lists!$I$2:$I$258, K1343) &gt; 0,"cross.bred","not found")),"NA")</f>
        <v>NA</v>
      </c>
      <c r="O1343" s="9" t="s">
        <v>180</v>
      </c>
      <c r="P1343" s="9" t="s">
        <v>106</v>
      </c>
      <c r="Q1343" s="9" t="s">
        <v>3804</v>
      </c>
      <c r="S1343" s="9" t="s">
        <v>106</v>
      </c>
      <c r="T1343" s="9" t="s">
        <v>106</v>
      </c>
      <c r="U1343" s="9" t="s">
        <v>106</v>
      </c>
      <c r="V1343" s="9" t="s">
        <v>106</v>
      </c>
      <c r="W1343" s="9" t="s">
        <v>106</v>
      </c>
      <c r="X1343" s="9" t="s">
        <v>106</v>
      </c>
      <c r="Y1343" s="9" t="s">
        <v>106</v>
      </c>
      <c r="Z1343" s="37"/>
      <c r="AA1343" s="37"/>
      <c r="AB1343" s="37"/>
      <c r="AE1343">
        <v>0</v>
      </c>
    </row>
    <row r="1344" spans="1:31" hidden="1">
      <c r="A1344" s="9" t="s">
        <v>1326</v>
      </c>
      <c r="B1344" s="9" t="s">
        <v>484</v>
      </c>
      <c r="C1344" s="9" t="s">
        <v>105</v>
      </c>
      <c r="D1344" s="9">
        <v>1.077</v>
      </c>
      <c r="E1344" s="9">
        <v>73</v>
      </c>
      <c r="F1344" s="9">
        <v>16.600000000000001</v>
      </c>
      <c r="G1344" s="9">
        <v>66.3</v>
      </c>
      <c r="H1344" s="9" t="s">
        <v>106</v>
      </c>
      <c r="I1344" s="9">
        <v>40</v>
      </c>
      <c r="J1344" s="9" t="s">
        <v>107</v>
      </c>
      <c r="K1344" s="9" t="s">
        <v>1327</v>
      </c>
      <c r="L1344" t="str">
        <f>IF(OR(J1344="Cattle",J1344="Zebu Cattle"),IF(COUNTIF(lists!$M$2:$M$258, K1344) &gt; 0,"bos.indicus",IF(COUNTIF(lists!$L$2:$L$258, K1344) &gt; 0,"cross.bred","pure.bred.exotic")),"NA")</f>
        <v>NA</v>
      </c>
      <c r="M1344" t="str">
        <f>IF(J1344="Sheep",IF(COUNTIF(lists!$H$2:$H$258, K1344) &gt; 0,"indigenous",IF(COUNTIF(lists!$G$2:$G$258, K1344) &gt; 0,"cross.bred","not found")),"NA")</f>
        <v>not found</v>
      </c>
      <c r="N1344" t="str">
        <f>IF(J1344="Goat",IF(COUNTIF(lists!$J$2:$J$258, K1344) &gt; 0,"indigenous",IF(COUNTIF(lists!$I$2:$I$258, K1344) &gt; 0,"cross.bred","not found")),"NA")</f>
        <v>NA</v>
      </c>
      <c r="O1344" s="9" t="s">
        <v>180</v>
      </c>
      <c r="P1344" s="9" t="s">
        <v>106</v>
      </c>
      <c r="Q1344" s="9" t="s">
        <v>3804</v>
      </c>
      <c r="S1344" s="9" t="s">
        <v>106</v>
      </c>
      <c r="T1344" s="9" t="s">
        <v>106</v>
      </c>
      <c r="U1344" s="9" t="s">
        <v>106</v>
      </c>
      <c r="V1344" s="9" t="s">
        <v>106</v>
      </c>
      <c r="W1344" s="9" t="s">
        <v>106</v>
      </c>
      <c r="X1344" s="9" t="s">
        <v>106</v>
      </c>
      <c r="Y1344" s="9" t="s">
        <v>106</v>
      </c>
      <c r="Z1344" s="37"/>
      <c r="AA1344" s="37"/>
      <c r="AB1344" s="37"/>
      <c r="AE1344">
        <v>0</v>
      </c>
    </row>
    <row r="1345" spans="1:31" hidden="1">
      <c r="A1345" s="9" t="s">
        <v>1326</v>
      </c>
      <c r="B1345" s="9" t="s">
        <v>485</v>
      </c>
      <c r="C1345" s="9" t="s">
        <v>105</v>
      </c>
      <c r="D1345" s="9">
        <v>1.175</v>
      </c>
      <c r="E1345" s="9">
        <v>5</v>
      </c>
      <c r="F1345" s="9">
        <v>16.600000000000001</v>
      </c>
      <c r="G1345" s="9">
        <v>70.8</v>
      </c>
      <c r="H1345" s="9" t="s">
        <v>106</v>
      </c>
      <c r="I1345" s="9">
        <v>40</v>
      </c>
      <c r="J1345" s="9" t="s">
        <v>107</v>
      </c>
      <c r="K1345" s="9" t="s">
        <v>1327</v>
      </c>
      <c r="L1345" t="str">
        <f>IF(OR(J1345="Cattle",J1345="Zebu Cattle"),IF(COUNTIF(lists!$M$2:$M$258, K1345) &gt; 0,"bos.indicus",IF(COUNTIF(lists!$L$2:$L$258, K1345) &gt; 0,"cross.bred","pure.bred.exotic")),"NA")</f>
        <v>NA</v>
      </c>
      <c r="M1345" t="str">
        <f>IF(J1345="Sheep",IF(COUNTIF(lists!$H$2:$H$258, K1345) &gt; 0,"indigenous",IF(COUNTIF(lists!$G$2:$G$258, K1345) &gt; 0,"cross.bred","not found")),"NA")</f>
        <v>not found</v>
      </c>
      <c r="N1345" t="str">
        <f>IF(J1345="Goat",IF(COUNTIF(lists!$J$2:$J$258, K1345) &gt; 0,"indigenous",IF(COUNTIF(lists!$I$2:$I$258, K1345) &gt; 0,"cross.bred","not found")),"NA")</f>
        <v>NA</v>
      </c>
      <c r="O1345" s="9" t="s">
        <v>180</v>
      </c>
      <c r="P1345" s="9" t="s">
        <v>106</v>
      </c>
      <c r="Q1345" s="9" t="s">
        <v>3804</v>
      </c>
      <c r="S1345" s="9" t="s">
        <v>106</v>
      </c>
      <c r="T1345" s="9" t="s">
        <v>106</v>
      </c>
      <c r="U1345" s="9" t="s">
        <v>106</v>
      </c>
      <c r="V1345" s="9" t="s">
        <v>106</v>
      </c>
      <c r="W1345" s="9" t="s">
        <v>106</v>
      </c>
      <c r="X1345" s="9" t="s">
        <v>106</v>
      </c>
      <c r="Y1345" s="9" t="s">
        <v>106</v>
      </c>
      <c r="Z1345" s="37"/>
      <c r="AA1345" s="37"/>
      <c r="AB1345" s="37"/>
      <c r="AE1345">
        <v>0</v>
      </c>
    </row>
    <row r="1346" spans="1:31" hidden="1">
      <c r="A1346" s="9" t="s">
        <v>1326</v>
      </c>
      <c r="B1346" s="9" t="s">
        <v>1328</v>
      </c>
      <c r="C1346" s="9" t="s">
        <v>105</v>
      </c>
      <c r="D1346" s="9">
        <v>0.89300000000000002</v>
      </c>
      <c r="E1346" s="9">
        <v>126</v>
      </c>
      <c r="F1346" s="9">
        <v>16.600000000000001</v>
      </c>
      <c r="G1346" s="9">
        <v>55.199999999999903</v>
      </c>
      <c r="H1346" s="9" t="s">
        <v>106</v>
      </c>
      <c r="I1346" s="9">
        <v>40</v>
      </c>
      <c r="J1346" s="9" t="s">
        <v>107</v>
      </c>
      <c r="K1346" s="9" t="s">
        <v>1327</v>
      </c>
      <c r="L1346" t="str">
        <f>IF(OR(J1346="Cattle",J1346="Zebu Cattle"),IF(COUNTIF(lists!$M$2:$M$258, K1346) &gt; 0,"bos.indicus",IF(COUNTIF(lists!$L$2:$L$258, K1346) &gt; 0,"cross.bred","pure.bred.exotic")),"NA")</f>
        <v>NA</v>
      </c>
      <c r="M1346" t="str">
        <f>IF(J1346="Sheep",IF(COUNTIF(lists!$H$2:$H$258, K1346) &gt; 0,"indigenous",IF(COUNTIF(lists!$G$2:$G$258, K1346) &gt; 0,"cross.bred","not found")),"NA")</f>
        <v>not found</v>
      </c>
      <c r="N1346" t="str">
        <f>IF(J1346="Goat",IF(COUNTIF(lists!$J$2:$J$258, K1346) &gt; 0,"indigenous",IF(COUNTIF(lists!$I$2:$I$258, K1346) &gt; 0,"cross.bred","not found")),"NA")</f>
        <v>NA</v>
      </c>
      <c r="O1346" s="9" t="s">
        <v>180</v>
      </c>
      <c r="P1346" s="9" t="s">
        <v>106</v>
      </c>
      <c r="Q1346" s="9" t="s">
        <v>3804</v>
      </c>
      <c r="S1346" s="9" t="s">
        <v>106</v>
      </c>
      <c r="T1346" s="9" t="s">
        <v>106</v>
      </c>
      <c r="U1346" s="9" t="s">
        <v>106</v>
      </c>
      <c r="V1346" s="9" t="s">
        <v>106</v>
      </c>
      <c r="W1346" s="9" t="s">
        <v>106</v>
      </c>
      <c r="X1346" s="9" t="s">
        <v>106</v>
      </c>
      <c r="Y1346" s="9" t="s">
        <v>106</v>
      </c>
      <c r="Z1346" s="37"/>
      <c r="AA1346" s="37"/>
      <c r="AB1346" s="37"/>
      <c r="AE1346">
        <v>0</v>
      </c>
    </row>
    <row r="1347" spans="1:31" hidden="1">
      <c r="A1347" s="9" t="s">
        <v>1329</v>
      </c>
      <c r="B1347" s="9" t="s">
        <v>1330</v>
      </c>
      <c r="C1347" s="9" t="s">
        <v>105</v>
      </c>
      <c r="D1347" s="9">
        <v>0.79271999999999998</v>
      </c>
      <c r="E1347" s="9">
        <v>1.25</v>
      </c>
      <c r="F1347" s="9">
        <v>21.6</v>
      </c>
      <c r="G1347" s="9">
        <v>69.099999999999994</v>
      </c>
      <c r="H1347" s="9" t="s">
        <v>106</v>
      </c>
      <c r="I1347" s="9">
        <v>24</v>
      </c>
      <c r="J1347" s="9" t="s">
        <v>107</v>
      </c>
      <c r="K1347" s="9" t="s">
        <v>207</v>
      </c>
      <c r="L1347" t="str">
        <f>IF(OR(J1347="Cattle",J1347="Zebu Cattle"),IF(COUNTIF(lists!$M$2:$M$258, K1347) &gt; 0,"bos.indicus",IF(COUNTIF(lists!$L$2:$L$258, K1347) &gt; 0,"cross.bred","pure.bred.exotic")),"NA")</f>
        <v>NA</v>
      </c>
      <c r="M1347" t="str">
        <f>IF(J1347="Sheep",IF(COUNTIF(lists!$H$2:$H$258, K1347) &gt; 0,"indigenous",IF(COUNTIF(lists!$G$2:$G$258, K1347) &gt; 0,"cross.bred","not found")),"NA")</f>
        <v>not found</v>
      </c>
      <c r="N1347" t="str">
        <f>IF(J1347="Goat",IF(COUNTIF(lists!$J$2:$J$258, K1347) &gt; 0,"indigenous",IF(COUNTIF(lists!$I$2:$I$258, K1347) &gt; 0,"cross.bred","not found")),"NA")</f>
        <v>NA</v>
      </c>
      <c r="O1347" s="9" t="s">
        <v>109</v>
      </c>
      <c r="P1347" s="9" t="s">
        <v>106</v>
      </c>
      <c r="Q1347" s="9" t="s">
        <v>3804</v>
      </c>
      <c r="S1347" s="9" t="s">
        <v>106</v>
      </c>
      <c r="T1347" s="9" t="s">
        <v>106</v>
      </c>
      <c r="U1347" s="9" t="s">
        <v>106</v>
      </c>
      <c r="V1347" s="9" t="s">
        <v>106</v>
      </c>
      <c r="W1347" s="9" t="s">
        <v>106</v>
      </c>
      <c r="X1347" s="9" t="s">
        <v>106</v>
      </c>
      <c r="Y1347" s="9">
        <v>0.6</v>
      </c>
      <c r="Z1347" s="37"/>
      <c r="AA1347" s="37"/>
      <c r="AB1347" s="37"/>
      <c r="AE1347">
        <v>0</v>
      </c>
    </row>
    <row r="1348" spans="1:31" hidden="1">
      <c r="A1348" s="9" t="s">
        <v>1329</v>
      </c>
      <c r="B1348" s="9" t="s">
        <v>1331</v>
      </c>
      <c r="C1348" s="9" t="s">
        <v>105</v>
      </c>
      <c r="D1348" s="9">
        <v>0.67176000000000002</v>
      </c>
      <c r="E1348" s="9">
        <v>1.25</v>
      </c>
      <c r="F1348" s="9">
        <v>21.6</v>
      </c>
      <c r="G1348" s="9">
        <v>35.200000000000003</v>
      </c>
      <c r="H1348" s="9" t="s">
        <v>106</v>
      </c>
      <c r="I1348" s="9">
        <v>24</v>
      </c>
      <c r="J1348" s="9" t="s">
        <v>107</v>
      </c>
      <c r="K1348" s="9" t="s">
        <v>207</v>
      </c>
      <c r="L1348" t="str">
        <f>IF(OR(J1348="Cattle",J1348="Zebu Cattle"),IF(COUNTIF(lists!$M$2:$M$258, K1348) &gt; 0,"bos.indicus",IF(COUNTIF(lists!$L$2:$L$258, K1348) &gt; 0,"cross.bred","pure.bred.exotic")),"NA")</f>
        <v>NA</v>
      </c>
      <c r="M1348" t="str">
        <f>IF(J1348="Sheep",IF(COUNTIF(lists!$H$2:$H$258, K1348) &gt; 0,"indigenous",IF(COUNTIF(lists!$G$2:$G$258, K1348) &gt; 0,"cross.bred","not found")),"NA")</f>
        <v>not found</v>
      </c>
      <c r="N1348" t="str">
        <f>IF(J1348="Goat",IF(COUNTIF(lists!$J$2:$J$258, K1348) &gt; 0,"indigenous",IF(COUNTIF(lists!$I$2:$I$258, K1348) &gt; 0,"cross.bred","not found")),"NA")</f>
        <v>NA</v>
      </c>
      <c r="O1348" s="9" t="s">
        <v>109</v>
      </c>
      <c r="P1348" s="9" t="s">
        <v>106</v>
      </c>
      <c r="Q1348" s="9" t="s">
        <v>3804</v>
      </c>
      <c r="S1348" s="9" t="s">
        <v>106</v>
      </c>
      <c r="T1348" s="9" t="s">
        <v>106</v>
      </c>
      <c r="U1348" s="9" t="s">
        <v>106</v>
      </c>
      <c r="V1348" s="9" t="s">
        <v>106</v>
      </c>
      <c r="W1348" s="9" t="s">
        <v>106</v>
      </c>
      <c r="X1348" s="9" t="s">
        <v>106</v>
      </c>
      <c r="Y1348" s="9">
        <v>0.59</v>
      </c>
      <c r="Z1348" s="37"/>
      <c r="AA1348" s="37"/>
      <c r="AB1348" s="37"/>
      <c r="AE1348">
        <v>0</v>
      </c>
    </row>
    <row r="1349" spans="1:31" hidden="1">
      <c r="A1349" s="9" t="s">
        <v>1329</v>
      </c>
      <c r="B1349" s="9" t="s">
        <v>1332</v>
      </c>
      <c r="C1349" s="9" t="s">
        <v>105</v>
      </c>
      <c r="D1349" s="9">
        <v>0.77112000000000003</v>
      </c>
      <c r="E1349" s="9">
        <v>1.25</v>
      </c>
      <c r="F1349" s="9">
        <v>21.6</v>
      </c>
      <c r="G1349" s="9">
        <v>56.7</v>
      </c>
      <c r="H1349" s="9" t="s">
        <v>106</v>
      </c>
      <c r="I1349" s="9">
        <v>24</v>
      </c>
      <c r="J1349" s="9" t="s">
        <v>107</v>
      </c>
      <c r="K1349" s="9" t="s">
        <v>207</v>
      </c>
      <c r="L1349" t="str">
        <f>IF(OR(J1349="Cattle",J1349="Zebu Cattle"),IF(COUNTIF(lists!$M$2:$M$258, K1349) &gt; 0,"bos.indicus",IF(COUNTIF(lists!$L$2:$L$258, K1349) &gt; 0,"cross.bred","pure.bred.exotic")),"NA")</f>
        <v>NA</v>
      </c>
      <c r="M1349" t="str">
        <f>IF(J1349="Sheep",IF(COUNTIF(lists!$H$2:$H$258, K1349) &gt; 0,"indigenous",IF(COUNTIF(lists!$G$2:$G$258, K1349) &gt; 0,"cross.bred","not found")),"NA")</f>
        <v>not found</v>
      </c>
      <c r="N1349" t="str">
        <f>IF(J1349="Goat",IF(COUNTIF(lists!$J$2:$J$258, K1349) &gt; 0,"indigenous",IF(COUNTIF(lists!$I$2:$I$258, K1349) &gt; 0,"cross.bred","not found")),"NA")</f>
        <v>NA</v>
      </c>
      <c r="O1349" s="9" t="s">
        <v>109</v>
      </c>
      <c r="P1349" s="9" t="s">
        <v>106</v>
      </c>
      <c r="Q1349" s="9" t="s">
        <v>3804</v>
      </c>
      <c r="S1349" s="9" t="s">
        <v>106</v>
      </c>
      <c r="T1349" s="9" t="s">
        <v>106</v>
      </c>
      <c r="U1349" s="9" t="s">
        <v>106</v>
      </c>
      <c r="V1349" s="9" t="s">
        <v>106</v>
      </c>
      <c r="W1349" s="9" t="s">
        <v>106</v>
      </c>
      <c r="X1349" s="9" t="s">
        <v>106</v>
      </c>
      <c r="Y1349" s="9">
        <v>0.63</v>
      </c>
      <c r="Z1349" s="37"/>
      <c r="AA1349" s="37"/>
      <c r="AB1349" s="37"/>
      <c r="AE1349">
        <v>0</v>
      </c>
    </row>
    <row r="1350" spans="1:31" hidden="1">
      <c r="A1350" s="9" t="s">
        <v>1329</v>
      </c>
      <c r="B1350" s="9" t="s">
        <v>1333</v>
      </c>
      <c r="C1350" s="9" t="s">
        <v>105</v>
      </c>
      <c r="D1350" s="9">
        <v>0.62831999999999999</v>
      </c>
      <c r="E1350" s="9">
        <v>1.25</v>
      </c>
      <c r="F1350" s="9">
        <v>20.399999999999999</v>
      </c>
      <c r="G1350" s="9">
        <v>19.8</v>
      </c>
      <c r="H1350" s="9" t="s">
        <v>106</v>
      </c>
      <c r="I1350" s="9">
        <v>24</v>
      </c>
      <c r="J1350" s="9" t="s">
        <v>107</v>
      </c>
      <c r="K1350" s="9" t="s">
        <v>207</v>
      </c>
      <c r="L1350" t="str">
        <f>IF(OR(J1350="Cattle",J1350="Zebu Cattle"),IF(COUNTIF(lists!$M$2:$M$258, K1350) &gt; 0,"bos.indicus",IF(COUNTIF(lists!$L$2:$L$258, K1350) &gt; 0,"cross.bred","pure.bred.exotic")),"NA")</f>
        <v>NA</v>
      </c>
      <c r="M1350" t="str">
        <f>IF(J1350="Sheep",IF(COUNTIF(lists!$H$2:$H$258, K1350) &gt; 0,"indigenous",IF(COUNTIF(lists!$G$2:$G$258, K1350) &gt; 0,"cross.bred","not found")),"NA")</f>
        <v>not found</v>
      </c>
      <c r="N1350" t="str">
        <f>IF(J1350="Goat",IF(COUNTIF(lists!$J$2:$J$258, K1350) &gt; 0,"indigenous",IF(COUNTIF(lists!$I$2:$I$258, K1350) &gt; 0,"cross.bred","not found")),"NA")</f>
        <v>NA</v>
      </c>
      <c r="O1350" s="9" t="s">
        <v>109</v>
      </c>
      <c r="P1350" s="9" t="s">
        <v>106</v>
      </c>
      <c r="Q1350" s="9" t="s">
        <v>3804</v>
      </c>
      <c r="S1350" s="9" t="s">
        <v>106</v>
      </c>
      <c r="T1350" s="9" t="s">
        <v>106</v>
      </c>
      <c r="U1350" s="9" t="s">
        <v>106</v>
      </c>
      <c r="V1350" s="9" t="s">
        <v>106</v>
      </c>
      <c r="W1350" s="9" t="s">
        <v>106</v>
      </c>
      <c r="X1350" s="9" t="s">
        <v>106</v>
      </c>
      <c r="Y1350" s="9">
        <v>0.57999999999999996</v>
      </c>
      <c r="Z1350" s="37"/>
      <c r="AA1350" s="37"/>
      <c r="AB1350" s="37"/>
      <c r="AE1350">
        <v>0</v>
      </c>
    </row>
    <row r="1351" spans="1:31" hidden="1">
      <c r="A1351" s="9" t="s">
        <v>1334</v>
      </c>
      <c r="B1351" s="9" t="s">
        <v>1335</v>
      </c>
      <c r="C1351" s="9" t="s">
        <v>105</v>
      </c>
      <c r="D1351" s="9">
        <v>0.56989999999999996</v>
      </c>
      <c r="E1351" s="9">
        <v>15.1</v>
      </c>
      <c r="F1351" s="9">
        <v>17.98</v>
      </c>
      <c r="G1351" s="9">
        <v>-7.7</v>
      </c>
      <c r="H1351" s="9" t="s">
        <v>106</v>
      </c>
      <c r="I1351" s="9">
        <v>20</v>
      </c>
      <c r="J1351" s="9" t="s">
        <v>107</v>
      </c>
      <c r="K1351" s="9" t="s">
        <v>1336</v>
      </c>
      <c r="L1351" t="str">
        <f>IF(OR(J1351="Cattle",J1351="Zebu Cattle"),IF(COUNTIF(lists!$M$2:$M$258, K1351) &gt; 0,"bos.indicus",IF(COUNTIF(lists!$L$2:$L$258, K1351) &gt; 0,"cross.bred","pure.bred.exotic")),"NA")</f>
        <v>NA</v>
      </c>
      <c r="M1351" t="str">
        <f>IF(J1351="Sheep",IF(COUNTIF(lists!$H$2:$H$258, K1351) &gt; 0,"indigenous",IF(COUNTIF(lists!$G$2:$G$258, K1351) &gt; 0,"cross.bred","not found")),"NA")</f>
        <v>not found</v>
      </c>
      <c r="N1351" t="str">
        <f>IF(J1351="Goat",IF(COUNTIF(lists!$J$2:$J$258, K1351) &gt; 0,"indigenous",IF(COUNTIF(lists!$I$2:$I$258, K1351) &gt; 0,"cross.bred","not found")),"NA")</f>
        <v>NA</v>
      </c>
      <c r="O1351" s="9" t="s">
        <v>109</v>
      </c>
      <c r="P1351" s="9" t="s">
        <v>106</v>
      </c>
      <c r="Q1351" s="9" t="s">
        <v>3806</v>
      </c>
      <c r="S1351" s="9" t="s">
        <v>106</v>
      </c>
      <c r="T1351" s="9" t="s">
        <v>106</v>
      </c>
      <c r="U1351" s="9" t="s">
        <v>106</v>
      </c>
      <c r="V1351" s="9" t="s">
        <v>106</v>
      </c>
      <c r="W1351" s="9" t="s">
        <v>106</v>
      </c>
      <c r="X1351" s="9" t="s">
        <v>106</v>
      </c>
      <c r="Y1351" s="9">
        <v>0.62</v>
      </c>
      <c r="Z1351" s="37"/>
      <c r="AA1351" s="37"/>
      <c r="AB1351" s="37"/>
      <c r="AE1351">
        <v>0</v>
      </c>
    </row>
    <row r="1352" spans="1:31" hidden="1">
      <c r="A1352" s="9" t="s">
        <v>1334</v>
      </c>
      <c r="B1352" s="9" t="s">
        <v>1337</v>
      </c>
      <c r="C1352" s="9" t="s">
        <v>105</v>
      </c>
      <c r="D1352" s="9">
        <v>0.57699999999999996</v>
      </c>
      <c r="E1352" s="9">
        <v>15.1</v>
      </c>
      <c r="F1352" s="9">
        <v>17</v>
      </c>
      <c r="G1352" s="9">
        <v>26.7</v>
      </c>
      <c r="H1352" s="9" t="s">
        <v>106</v>
      </c>
      <c r="I1352" s="9">
        <v>20</v>
      </c>
      <c r="J1352" s="9" t="s">
        <v>107</v>
      </c>
      <c r="K1352" s="9" t="s">
        <v>1336</v>
      </c>
      <c r="L1352" t="str">
        <f>IF(OR(J1352="Cattle",J1352="Zebu Cattle"),IF(COUNTIF(lists!$M$2:$M$258, K1352) &gt; 0,"bos.indicus",IF(COUNTIF(lists!$L$2:$L$258, K1352) &gt; 0,"cross.bred","pure.bred.exotic")),"NA")</f>
        <v>NA</v>
      </c>
      <c r="M1352" t="str">
        <f>IF(J1352="Sheep",IF(COUNTIF(lists!$H$2:$H$258, K1352) &gt; 0,"indigenous",IF(COUNTIF(lists!$G$2:$G$258, K1352) &gt; 0,"cross.bred","not found")),"NA")</f>
        <v>not found</v>
      </c>
      <c r="N1352" t="str">
        <f>IF(J1352="Goat",IF(COUNTIF(lists!$J$2:$J$258, K1352) &gt; 0,"indigenous",IF(COUNTIF(lists!$I$2:$I$258, K1352) &gt; 0,"cross.bred","not found")),"NA")</f>
        <v>NA</v>
      </c>
      <c r="O1352" s="9" t="s">
        <v>109</v>
      </c>
      <c r="P1352" s="9" t="s">
        <v>106</v>
      </c>
      <c r="Q1352" s="9" t="s">
        <v>3806</v>
      </c>
      <c r="S1352" s="9" t="s">
        <v>106</v>
      </c>
      <c r="T1352" s="9" t="s">
        <v>106</v>
      </c>
      <c r="U1352" s="9" t="s">
        <v>106</v>
      </c>
      <c r="V1352" s="9" t="s">
        <v>106</v>
      </c>
      <c r="W1352" s="9" t="s">
        <v>106</v>
      </c>
      <c r="X1352" s="9" t="s">
        <v>106</v>
      </c>
      <c r="Y1352" s="9">
        <v>0.59</v>
      </c>
      <c r="Z1352" s="37"/>
      <c r="AA1352" s="37"/>
      <c r="AB1352" s="37"/>
      <c r="AE1352">
        <v>0</v>
      </c>
    </row>
    <row r="1353" spans="1:31" hidden="1">
      <c r="A1353" s="9" t="s">
        <v>1334</v>
      </c>
      <c r="B1353" s="9" t="s">
        <v>1338</v>
      </c>
      <c r="C1353" s="9" t="s">
        <v>105</v>
      </c>
      <c r="D1353" s="9">
        <v>0.68569999999999998</v>
      </c>
      <c r="E1353" s="9">
        <v>15.1</v>
      </c>
      <c r="F1353" s="9">
        <v>18.2</v>
      </c>
      <c r="G1353" s="9">
        <v>36.700000000000003</v>
      </c>
      <c r="H1353" s="9" t="s">
        <v>106</v>
      </c>
      <c r="I1353" s="9">
        <v>20</v>
      </c>
      <c r="J1353" s="9" t="s">
        <v>107</v>
      </c>
      <c r="K1353" s="9" t="s">
        <v>1336</v>
      </c>
      <c r="L1353" t="str">
        <f>IF(OR(J1353="Cattle",J1353="Zebu Cattle"),IF(COUNTIF(lists!$M$2:$M$258, K1353) &gt; 0,"bos.indicus",IF(COUNTIF(lists!$L$2:$L$258, K1353) &gt; 0,"cross.bred","pure.bred.exotic")),"NA")</f>
        <v>NA</v>
      </c>
      <c r="M1353" t="str">
        <f>IF(J1353="Sheep",IF(COUNTIF(lists!$H$2:$H$258, K1353) &gt; 0,"indigenous",IF(COUNTIF(lists!$G$2:$G$258, K1353) &gt; 0,"cross.bred","not found")),"NA")</f>
        <v>not found</v>
      </c>
      <c r="N1353" t="str">
        <f>IF(J1353="Goat",IF(COUNTIF(lists!$J$2:$J$258, K1353) &gt; 0,"indigenous",IF(COUNTIF(lists!$I$2:$I$258, K1353) &gt; 0,"cross.bred","not found")),"NA")</f>
        <v>NA</v>
      </c>
      <c r="O1353" s="9" t="s">
        <v>109</v>
      </c>
      <c r="P1353" s="9" t="s">
        <v>106</v>
      </c>
      <c r="Q1353" s="9" t="s">
        <v>3806</v>
      </c>
      <c r="S1353" s="9" t="s">
        <v>106</v>
      </c>
      <c r="T1353" s="9" t="s">
        <v>106</v>
      </c>
      <c r="U1353" s="9" t="s">
        <v>106</v>
      </c>
      <c r="V1353" s="9" t="s">
        <v>106</v>
      </c>
      <c r="W1353" s="9" t="s">
        <v>106</v>
      </c>
      <c r="X1353" s="9" t="s">
        <v>106</v>
      </c>
      <c r="Y1353" s="9">
        <v>0.59</v>
      </c>
      <c r="Z1353" s="37"/>
      <c r="AA1353" s="37"/>
      <c r="AB1353" s="37"/>
      <c r="AE1353">
        <v>0</v>
      </c>
    </row>
    <row r="1354" spans="1:31" hidden="1">
      <c r="A1354" s="9" t="s">
        <v>1334</v>
      </c>
      <c r="B1354" s="9" t="s">
        <v>1339</v>
      </c>
      <c r="C1354" s="9" t="s">
        <v>105</v>
      </c>
      <c r="D1354" s="9">
        <v>0.74419999999999997</v>
      </c>
      <c r="E1354" s="9">
        <v>15.1</v>
      </c>
      <c r="F1354" s="9">
        <v>18.399999999999999</v>
      </c>
      <c r="G1354" s="9">
        <v>51.1</v>
      </c>
      <c r="H1354" s="9" t="s">
        <v>106</v>
      </c>
      <c r="I1354" s="9">
        <v>20</v>
      </c>
      <c r="J1354" s="9" t="s">
        <v>107</v>
      </c>
      <c r="K1354" s="9" t="s">
        <v>1336</v>
      </c>
      <c r="L1354" t="str">
        <f>IF(OR(J1354="Cattle",J1354="Zebu Cattle"),IF(COUNTIF(lists!$M$2:$M$258, K1354) &gt; 0,"bos.indicus",IF(COUNTIF(lists!$L$2:$L$258, K1354) &gt; 0,"cross.bred","pure.bred.exotic")),"NA")</f>
        <v>NA</v>
      </c>
      <c r="M1354" t="str">
        <f>IF(J1354="Sheep",IF(COUNTIF(lists!$H$2:$H$258, K1354) &gt; 0,"indigenous",IF(COUNTIF(lists!$G$2:$G$258, K1354) &gt; 0,"cross.bred","not found")),"NA")</f>
        <v>not found</v>
      </c>
      <c r="N1354" t="str">
        <f>IF(J1354="Goat",IF(COUNTIF(lists!$J$2:$J$258, K1354) &gt; 0,"indigenous",IF(COUNTIF(lists!$I$2:$I$258, K1354) &gt; 0,"cross.bred","not found")),"NA")</f>
        <v>NA</v>
      </c>
      <c r="O1354" s="9" t="s">
        <v>109</v>
      </c>
      <c r="P1354" s="9" t="s">
        <v>106</v>
      </c>
      <c r="Q1354" s="9" t="s">
        <v>3806</v>
      </c>
      <c r="S1354" s="9" t="s">
        <v>106</v>
      </c>
      <c r="T1354" s="9" t="s">
        <v>106</v>
      </c>
      <c r="U1354" s="9" t="s">
        <v>106</v>
      </c>
      <c r="V1354" s="9" t="s">
        <v>106</v>
      </c>
      <c r="W1354" s="9" t="s">
        <v>106</v>
      </c>
      <c r="X1354" s="9" t="s">
        <v>106</v>
      </c>
      <c r="Y1354" s="9">
        <v>0.63</v>
      </c>
      <c r="Z1354" s="37"/>
      <c r="AA1354" s="37"/>
      <c r="AB1354" s="37"/>
      <c r="AE1354">
        <v>0</v>
      </c>
    </row>
    <row r="1355" spans="1:31" hidden="1">
      <c r="A1355" s="9" t="s">
        <v>1340</v>
      </c>
      <c r="B1355" s="9" t="s">
        <v>819</v>
      </c>
      <c r="C1355" s="9" t="s">
        <v>105</v>
      </c>
      <c r="D1355" s="9">
        <v>0.36</v>
      </c>
      <c r="E1355" s="9">
        <v>29</v>
      </c>
      <c r="F1355" s="9">
        <v>14.8</v>
      </c>
      <c r="G1355" s="9">
        <v>-13.3</v>
      </c>
      <c r="H1355" s="9" t="s">
        <v>106</v>
      </c>
      <c r="I1355" s="9">
        <v>24</v>
      </c>
      <c r="J1355" s="9" t="s">
        <v>107</v>
      </c>
      <c r="K1355" s="9" t="s">
        <v>985</v>
      </c>
      <c r="L1355" t="str">
        <f>IF(OR(J1355="Cattle",J1355="Zebu Cattle"),IF(COUNTIF(lists!$M$2:$M$258, K1355) &gt; 0,"bos.indicus",IF(COUNTIF(lists!$L$2:$L$258, K1355) &gt; 0,"cross.bred","pure.bred.exotic")),"NA")</f>
        <v>NA</v>
      </c>
      <c r="M1355" t="str">
        <f>IF(J1355="Sheep",IF(COUNTIF(lists!$H$2:$H$258, K1355) &gt; 0,"indigenous",IF(COUNTIF(lists!$G$2:$G$258, K1355) &gt; 0,"cross.bred","not found")),"NA")</f>
        <v>not found</v>
      </c>
      <c r="N1355" t="str">
        <f>IF(J1355="Goat",IF(COUNTIF(lists!$J$2:$J$258, K1355) &gt; 0,"indigenous",IF(COUNTIF(lists!$I$2:$I$258, K1355) &gt; 0,"cross.bred","not found")),"NA")</f>
        <v>NA</v>
      </c>
      <c r="O1355" s="9" t="s">
        <v>109</v>
      </c>
      <c r="P1355" s="9" t="s">
        <v>106</v>
      </c>
      <c r="Q1355" s="9" t="s">
        <v>3804</v>
      </c>
      <c r="S1355" s="9" t="s">
        <v>106</v>
      </c>
      <c r="T1355" s="9" t="s">
        <v>106</v>
      </c>
      <c r="U1355" s="9" t="s">
        <v>106</v>
      </c>
      <c r="V1355" s="9" t="s">
        <v>106</v>
      </c>
      <c r="W1355" s="9" t="s">
        <v>106</v>
      </c>
      <c r="X1355" s="9" t="s">
        <v>106</v>
      </c>
      <c r="Y1355" s="9">
        <v>51</v>
      </c>
      <c r="Z1355" s="37"/>
      <c r="AA1355" s="37"/>
      <c r="AB1355" s="37"/>
      <c r="AE1355">
        <v>0</v>
      </c>
    </row>
    <row r="1356" spans="1:31" hidden="1">
      <c r="A1356" s="9" t="s">
        <v>1340</v>
      </c>
      <c r="B1356" s="9" t="s">
        <v>1341</v>
      </c>
      <c r="C1356" s="9" t="s">
        <v>105</v>
      </c>
      <c r="D1356" s="9">
        <v>0.51500000000000001</v>
      </c>
      <c r="E1356" s="9">
        <v>13.5</v>
      </c>
      <c r="F1356" s="9">
        <v>14</v>
      </c>
      <c r="G1356" s="9">
        <v>40.200000000000003</v>
      </c>
      <c r="H1356" s="9" t="s">
        <v>106</v>
      </c>
      <c r="I1356" s="9">
        <v>24</v>
      </c>
      <c r="J1356" s="9" t="s">
        <v>107</v>
      </c>
      <c r="K1356" s="9" t="s">
        <v>985</v>
      </c>
      <c r="L1356" t="str">
        <f>IF(OR(J1356="Cattle",J1356="Zebu Cattle"),IF(COUNTIF(lists!$M$2:$M$258, K1356) &gt; 0,"bos.indicus",IF(COUNTIF(lists!$L$2:$L$258, K1356) &gt; 0,"cross.bred","pure.bred.exotic")),"NA")</f>
        <v>NA</v>
      </c>
      <c r="M1356" t="str">
        <f>IF(J1356="Sheep",IF(COUNTIF(lists!$H$2:$H$258, K1356) &gt; 0,"indigenous",IF(COUNTIF(lists!$G$2:$G$258, K1356) &gt; 0,"cross.bred","not found")),"NA")</f>
        <v>not found</v>
      </c>
      <c r="N1356" t="str">
        <f>IF(J1356="Goat",IF(COUNTIF(lists!$J$2:$J$258, K1356) &gt; 0,"indigenous",IF(COUNTIF(lists!$I$2:$I$258, K1356) &gt; 0,"cross.bred","not found")),"NA")</f>
        <v>NA</v>
      </c>
      <c r="O1356" s="9" t="s">
        <v>109</v>
      </c>
      <c r="P1356" s="9" t="s">
        <v>106</v>
      </c>
      <c r="Q1356" s="9" t="s">
        <v>3804</v>
      </c>
      <c r="S1356" s="9" t="s">
        <v>106</v>
      </c>
      <c r="T1356" s="9" t="s">
        <v>106</v>
      </c>
      <c r="U1356" s="9" t="s">
        <v>106</v>
      </c>
      <c r="V1356" s="9" t="s">
        <v>106</v>
      </c>
      <c r="W1356" s="9" t="s">
        <v>106</v>
      </c>
      <c r="X1356" s="9" t="s">
        <v>106</v>
      </c>
      <c r="Y1356" s="9">
        <v>44</v>
      </c>
      <c r="Z1356" s="37"/>
      <c r="AA1356" s="37"/>
      <c r="AB1356" s="37"/>
      <c r="AE1356">
        <v>0</v>
      </c>
    </row>
    <row r="1357" spans="1:31" hidden="1">
      <c r="A1357" s="9" t="s">
        <v>1340</v>
      </c>
      <c r="B1357" s="9" t="s">
        <v>1342</v>
      </c>
      <c r="C1357" s="9" t="s">
        <v>105</v>
      </c>
      <c r="D1357" s="9">
        <v>0.625</v>
      </c>
      <c r="E1357" s="9">
        <v>14.1</v>
      </c>
      <c r="F1357" s="9">
        <v>14</v>
      </c>
      <c r="G1357" s="9">
        <v>40.200000000000003</v>
      </c>
      <c r="H1357" s="9" t="s">
        <v>106</v>
      </c>
      <c r="I1357" s="9">
        <v>24</v>
      </c>
      <c r="J1357" s="9" t="s">
        <v>107</v>
      </c>
      <c r="K1357" s="9" t="s">
        <v>985</v>
      </c>
      <c r="L1357" t="str">
        <f>IF(OR(J1357="Cattle",J1357="Zebu Cattle"),IF(COUNTIF(lists!$M$2:$M$258, K1357) &gt; 0,"bos.indicus",IF(COUNTIF(lists!$L$2:$L$258, K1357) &gt; 0,"cross.bred","pure.bred.exotic")),"NA")</f>
        <v>NA</v>
      </c>
      <c r="M1357" t="str">
        <f>IF(J1357="Sheep",IF(COUNTIF(lists!$H$2:$H$258, K1357) &gt; 0,"indigenous",IF(COUNTIF(lists!$G$2:$G$258, K1357) &gt; 0,"cross.bred","not found")),"NA")</f>
        <v>not found</v>
      </c>
      <c r="N1357" t="str">
        <f>IF(J1357="Goat",IF(COUNTIF(lists!$J$2:$J$258, K1357) &gt; 0,"indigenous",IF(COUNTIF(lists!$I$2:$I$258, K1357) &gt; 0,"cross.bred","not found")),"NA")</f>
        <v>NA</v>
      </c>
      <c r="O1357" s="9" t="s">
        <v>109</v>
      </c>
      <c r="P1357" s="9" t="s">
        <v>106</v>
      </c>
      <c r="Q1357" s="9" t="s">
        <v>3804</v>
      </c>
      <c r="S1357" s="9" t="s">
        <v>106</v>
      </c>
      <c r="T1357" s="9" t="s">
        <v>106</v>
      </c>
      <c r="U1357" s="9" t="s">
        <v>106</v>
      </c>
      <c r="V1357" s="9" t="s">
        <v>106</v>
      </c>
      <c r="W1357" s="9" t="s">
        <v>106</v>
      </c>
      <c r="X1357" s="9" t="s">
        <v>106</v>
      </c>
      <c r="Y1357" s="9">
        <v>36</v>
      </c>
      <c r="Z1357" s="37"/>
      <c r="AA1357" s="37"/>
      <c r="AB1357" s="37"/>
      <c r="AE1357">
        <v>0</v>
      </c>
    </row>
    <row r="1358" spans="1:31" hidden="1">
      <c r="A1358" s="9" t="s">
        <v>1340</v>
      </c>
      <c r="B1358" s="9" t="s">
        <v>1343</v>
      </c>
      <c r="C1358" s="9" t="s">
        <v>105</v>
      </c>
      <c r="D1358" s="9">
        <v>0.75800000000000001</v>
      </c>
      <c r="E1358" s="9">
        <v>22.7</v>
      </c>
      <c r="F1358" s="9">
        <v>13</v>
      </c>
      <c r="G1358" s="9">
        <v>110.1</v>
      </c>
      <c r="H1358" s="9" t="s">
        <v>106</v>
      </c>
      <c r="I1358" s="9">
        <v>24</v>
      </c>
      <c r="J1358" s="9" t="s">
        <v>107</v>
      </c>
      <c r="K1358" s="9" t="s">
        <v>985</v>
      </c>
      <c r="L1358" t="str">
        <f>IF(OR(J1358="Cattle",J1358="Zebu Cattle"),IF(COUNTIF(lists!$M$2:$M$258, K1358) &gt; 0,"bos.indicus",IF(COUNTIF(lists!$L$2:$L$258, K1358) &gt; 0,"cross.bred","pure.bred.exotic")),"NA")</f>
        <v>NA</v>
      </c>
      <c r="M1358" t="str">
        <f>IF(J1358="Sheep",IF(COUNTIF(lists!$H$2:$H$258, K1358) &gt; 0,"indigenous",IF(COUNTIF(lists!$G$2:$G$258, K1358) &gt; 0,"cross.bred","not found")),"NA")</f>
        <v>not found</v>
      </c>
      <c r="N1358" t="str">
        <f>IF(J1358="Goat",IF(COUNTIF(lists!$J$2:$J$258, K1358) &gt; 0,"indigenous",IF(COUNTIF(lists!$I$2:$I$258, K1358) &gt; 0,"cross.bred","not found")),"NA")</f>
        <v>NA</v>
      </c>
      <c r="O1358" s="9" t="s">
        <v>109</v>
      </c>
      <c r="P1358" s="9" t="s">
        <v>106</v>
      </c>
      <c r="Q1358" s="9" t="s">
        <v>3804</v>
      </c>
      <c r="S1358" s="9" t="s">
        <v>106</v>
      </c>
      <c r="T1358" s="9" t="s">
        <v>106</v>
      </c>
      <c r="U1358" s="9" t="s">
        <v>106</v>
      </c>
      <c r="V1358" s="9" t="s">
        <v>106</v>
      </c>
      <c r="W1358" s="9" t="s">
        <v>106</v>
      </c>
      <c r="X1358" s="9" t="s">
        <v>106</v>
      </c>
      <c r="Y1358" s="9">
        <v>48</v>
      </c>
      <c r="Z1358" s="37"/>
      <c r="AA1358" s="37"/>
      <c r="AB1358" s="37"/>
      <c r="AE1358">
        <v>0</v>
      </c>
    </row>
    <row r="1359" spans="1:31" hidden="1">
      <c r="A1359" s="9" t="s">
        <v>1344</v>
      </c>
      <c r="B1359" s="9" t="s">
        <v>819</v>
      </c>
      <c r="C1359" s="9" t="s">
        <v>105</v>
      </c>
      <c r="D1359" s="9">
        <v>0.403248544975157</v>
      </c>
      <c r="E1359" s="9" t="s">
        <v>106</v>
      </c>
      <c r="F1359" s="9">
        <v>13</v>
      </c>
      <c r="G1359" s="9">
        <v>34.6</v>
      </c>
      <c r="H1359" s="9" t="s">
        <v>106</v>
      </c>
      <c r="I1359" s="9">
        <v>46</v>
      </c>
      <c r="J1359" s="9" t="s">
        <v>107</v>
      </c>
      <c r="K1359" s="9" t="s">
        <v>1345</v>
      </c>
      <c r="L1359" t="str">
        <f>IF(OR(J1359="Cattle",J1359="Zebu Cattle"),IF(COUNTIF(lists!$M$2:$M$258, K1359) &gt; 0,"bos.indicus",IF(COUNTIF(lists!$L$2:$L$258, K1359) &gt; 0,"cross.bred","pure.bred.exotic")),"NA")</f>
        <v>NA</v>
      </c>
      <c r="M1359" t="str">
        <f>IF(J1359="Sheep",IF(COUNTIF(lists!$H$2:$H$258, K1359) &gt; 0,"indigenous",IF(COUNTIF(lists!$G$2:$G$258, K1359) &gt; 0,"cross.bred","not found")),"NA")</f>
        <v>not found</v>
      </c>
      <c r="N1359" t="str">
        <f>IF(J1359="Goat",IF(COUNTIF(lists!$J$2:$J$258, K1359) &gt; 0,"indigenous",IF(COUNTIF(lists!$I$2:$I$258, K1359) &gt; 0,"cross.bred","not found")),"NA")</f>
        <v>NA</v>
      </c>
      <c r="O1359" s="9" t="s">
        <v>109</v>
      </c>
      <c r="P1359" s="9" t="s">
        <v>106</v>
      </c>
      <c r="Q1359" s="9" t="s">
        <v>3804</v>
      </c>
      <c r="S1359" s="9" t="s">
        <v>106</v>
      </c>
      <c r="T1359" s="9" t="s">
        <v>106</v>
      </c>
      <c r="U1359" s="9" t="s">
        <v>106</v>
      </c>
      <c r="V1359" s="9" t="s">
        <v>106</v>
      </c>
      <c r="W1359" s="9" t="s">
        <v>106</v>
      </c>
      <c r="X1359" s="9" t="s">
        <v>106</v>
      </c>
      <c r="Y1359" s="9">
        <v>54.8</v>
      </c>
      <c r="Z1359" s="37"/>
      <c r="AA1359" s="37"/>
      <c r="AB1359" s="37"/>
      <c r="AE1359">
        <v>0</v>
      </c>
    </row>
    <row r="1360" spans="1:31" hidden="1">
      <c r="A1360" s="9" t="s">
        <v>1344</v>
      </c>
      <c r="B1360" s="9" t="s">
        <v>558</v>
      </c>
      <c r="C1360" s="9" t="s">
        <v>105</v>
      </c>
      <c r="D1360" s="9">
        <v>0.43268774265585602</v>
      </c>
      <c r="E1360" s="9" t="s">
        <v>106</v>
      </c>
      <c r="F1360" s="9">
        <v>13</v>
      </c>
      <c r="G1360" s="9">
        <v>23</v>
      </c>
      <c r="H1360" s="9" t="s">
        <v>106</v>
      </c>
      <c r="I1360" s="9">
        <v>46</v>
      </c>
      <c r="J1360" s="9" t="s">
        <v>107</v>
      </c>
      <c r="K1360" s="9" t="s">
        <v>1345</v>
      </c>
      <c r="L1360" t="str">
        <f>IF(OR(J1360="Cattle",J1360="Zebu Cattle"),IF(COUNTIF(lists!$M$2:$M$258, K1360) &gt; 0,"bos.indicus",IF(COUNTIF(lists!$L$2:$L$258, K1360) &gt; 0,"cross.bred","pure.bred.exotic")),"NA")</f>
        <v>NA</v>
      </c>
      <c r="M1360" t="str">
        <f>IF(J1360="Sheep",IF(COUNTIF(lists!$H$2:$H$258, K1360) &gt; 0,"indigenous",IF(COUNTIF(lists!$G$2:$G$258, K1360) &gt; 0,"cross.bred","not found")),"NA")</f>
        <v>not found</v>
      </c>
      <c r="N1360" t="str">
        <f>IF(J1360="Goat",IF(COUNTIF(lists!$J$2:$J$258, K1360) &gt; 0,"indigenous",IF(COUNTIF(lists!$I$2:$I$258, K1360) &gt; 0,"cross.bred","not found")),"NA")</f>
        <v>NA</v>
      </c>
      <c r="O1360" s="9" t="s">
        <v>109</v>
      </c>
      <c r="P1360" s="9" t="s">
        <v>106</v>
      </c>
      <c r="Q1360" s="9" t="s">
        <v>3804</v>
      </c>
      <c r="S1360" s="9" t="s">
        <v>106</v>
      </c>
      <c r="T1360" s="9" t="s">
        <v>106</v>
      </c>
      <c r="U1360" s="9" t="s">
        <v>106</v>
      </c>
      <c r="V1360" s="9" t="s">
        <v>106</v>
      </c>
      <c r="W1360" s="9" t="s">
        <v>106</v>
      </c>
      <c r="X1360" s="9" t="s">
        <v>106</v>
      </c>
      <c r="Y1360" s="9">
        <v>42</v>
      </c>
      <c r="Z1360" s="37"/>
      <c r="AA1360" s="37"/>
      <c r="AB1360" s="37"/>
      <c r="AE1360">
        <v>0</v>
      </c>
    </row>
    <row r="1361" spans="1:31" hidden="1">
      <c r="A1361" s="9" t="s">
        <v>1344</v>
      </c>
      <c r="B1361" s="9" t="s">
        <v>559</v>
      </c>
      <c r="C1361" s="9" t="s">
        <v>105</v>
      </c>
      <c r="D1361" s="9">
        <v>0.479242752941613</v>
      </c>
      <c r="E1361" s="9" t="s">
        <v>106</v>
      </c>
      <c r="F1361" s="9">
        <v>13</v>
      </c>
      <c r="G1361" s="9">
        <v>32.299999999999997</v>
      </c>
      <c r="H1361" s="9" t="s">
        <v>106</v>
      </c>
      <c r="I1361" s="9">
        <v>46</v>
      </c>
      <c r="J1361" s="9" t="s">
        <v>107</v>
      </c>
      <c r="K1361" s="9" t="s">
        <v>1345</v>
      </c>
      <c r="L1361" t="str">
        <f>IF(OR(J1361="Cattle",J1361="Zebu Cattle"),IF(COUNTIF(lists!$M$2:$M$258, K1361) &gt; 0,"bos.indicus",IF(COUNTIF(lists!$L$2:$L$258, K1361) &gt; 0,"cross.bred","pure.bred.exotic")),"NA")</f>
        <v>NA</v>
      </c>
      <c r="M1361" t="str">
        <f>IF(J1361="Sheep",IF(COUNTIF(lists!$H$2:$H$258, K1361) &gt; 0,"indigenous",IF(COUNTIF(lists!$G$2:$G$258, K1361) &gt; 0,"cross.bred","not found")),"NA")</f>
        <v>not found</v>
      </c>
      <c r="N1361" t="str">
        <f>IF(J1361="Goat",IF(COUNTIF(lists!$J$2:$J$258, K1361) &gt; 0,"indigenous",IF(COUNTIF(lists!$I$2:$I$258, K1361) &gt; 0,"cross.bred","not found")),"NA")</f>
        <v>NA</v>
      </c>
      <c r="O1361" s="9" t="s">
        <v>109</v>
      </c>
      <c r="P1361" s="9" t="s">
        <v>106</v>
      </c>
      <c r="Q1361" s="9" t="s">
        <v>3804</v>
      </c>
      <c r="S1361" s="9" t="s">
        <v>106</v>
      </c>
      <c r="T1361" s="9" t="s">
        <v>106</v>
      </c>
      <c r="U1361" s="9" t="s">
        <v>106</v>
      </c>
      <c r="V1361" s="9" t="s">
        <v>106</v>
      </c>
      <c r="W1361" s="9" t="s">
        <v>106</v>
      </c>
      <c r="X1361" s="9" t="s">
        <v>106</v>
      </c>
      <c r="Y1361" s="9">
        <v>49</v>
      </c>
      <c r="Z1361" s="37"/>
      <c r="AA1361" s="37"/>
      <c r="AB1361" s="37"/>
      <c r="AE1361">
        <v>0</v>
      </c>
    </row>
    <row r="1362" spans="1:31" hidden="1">
      <c r="A1362" s="9" t="s">
        <v>1344</v>
      </c>
      <c r="B1362" s="9" t="s">
        <v>560</v>
      </c>
      <c r="C1362" s="9" t="s">
        <v>105</v>
      </c>
      <c r="D1362" s="9">
        <v>0.384078834857492</v>
      </c>
      <c r="E1362" s="9" t="s">
        <v>106</v>
      </c>
      <c r="F1362" s="9">
        <v>13</v>
      </c>
      <c r="G1362" s="9">
        <v>0.9</v>
      </c>
      <c r="H1362" s="9" t="s">
        <v>106</v>
      </c>
      <c r="I1362" s="9">
        <v>46</v>
      </c>
      <c r="J1362" s="9" t="s">
        <v>107</v>
      </c>
      <c r="K1362" s="9" t="s">
        <v>1345</v>
      </c>
      <c r="L1362" t="str">
        <f>IF(OR(J1362="Cattle",J1362="Zebu Cattle"),IF(COUNTIF(lists!$M$2:$M$258, K1362) &gt; 0,"bos.indicus",IF(COUNTIF(lists!$L$2:$L$258, K1362) &gt; 0,"cross.bred","pure.bred.exotic")),"NA")</f>
        <v>NA</v>
      </c>
      <c r="M1362" t="str">
        <f>IF(J1362="Sheep",IF(COUNTIF(lists!$H$2:$H$258, K1362) &gt; 0,"indigenous",IF(COUNTIF(lists!$G$2:$G$258, K1362) &gt; 0,"cross.bred","not found")),"NA")</f>
        <v>not found</v>
      </c>
      <c r="N1362" t="str">
        <f>IF(J1362="Goat",IF(COUNTIF(lists!$J$2:$J$258, K1362) &gt; 0,"indigenous",IF(COUNTIF(lists!$I$2:$I$258, K1362) &gt; 0,"cross.bred","not found")),"NA")</f>
        <v>NA</v>
      </c>
      <c r="O1362" s="9" t="s">
        <v>109</v>
      </c>
      <c r="P1362" s="9" t="s">
        <v>106</v>
      </c>
      <c r="Q1362" s="9" t="s">
        <v>3804</v>
      </c>
      <c r="S1362" s="9" t="s">
        <v>106</v>
      </c>
      <c r="T1362" s="9" t="s">
        <v>106</v>
      </c>
      <c r="U1362" s="9" t="s">
        <v>106</v>
      </c>
      <c r="V1362" s="9" t="s">
        <v>106</v>
      </c>
      <c r="W1362" s="9" t="s">
        <v>106</v>
      </c>
      <c r="X1362" s="9" t="s">
        <v>106</v>
      </c>
      <c r="Y1362" s="9">
        <v>61.1</v>
      </c>
      <c r="Z1362" s="37"/>
      <c r="AA1362" s="37"/>
      <c r="AB1362" s="37"/>
      <c r="AE1362">
        <v>0</v>
      </c>
    </row>
    <row r="1363" spans="1:31" hidden="1">
      <c r="A1363" s="9" t="s">
        <v>1346</v>
      </c>
      <c r="B1363" s="9" t="s">
        <v>149</v>
      </c>
      <c r="C1363" s="9" t="s">
        <v>105</v>
      </c>
      <c r="D1363" s="9">
        <v>0.51870000000000005</v>
      </c>
      <c r="E1363" s="9">
        <v>21.9</v>
      </c>
      <c r="F1363" s="9">
        <v>18.399999999999999</v>
      </c>
      <c r="G1363" s="9">
        <v>-2</v>
      </c>
      <c r="H1363" s="9" t="s">
        <v>106</v>
      </c>
      <c r="I1363" s="9">
        <v>20</v>
      </c>
      <c r="J1363" s="9" t="s">
        <v>107</v>
      </c>
      <c r="K1363" s="9" t="s">
        <v>1347</v>
      </c>
      <c r="L1363" t="str">
        <f>IF(OR(J1363="Cattle",J1363="Zebu Cattle"),IF(COUNTIF(lists!$M$2:$M$258, K1363) &gt; 0,"bos.indicus",IF(COUNTIF(lists!$L$2:$L$258, K1363) &gt; 0,"cross.bred","pure.bred.exotic")),"NA")</f>
        <v>NA</v>
      </c>
      <c r="M1363" t="str">
        <f>IF(J1363="Sheep",IF(COUNTIF(lists!$H$2:$H$258, K1363) &gt; 0,"indigenous",IF(COUNTIF(lists!$G$2:$G$258, K1363) &gt; 0,"cross.bred","not found")),"NA")</f>
        <v>not found</v>
      </c>
      <c r="N1363" t="str">
        <f>IF(J1363="Goat",IF(COUNTIF(lists!$J$2:$J$258, K1363) &gt; 0,"indigenous",IF(COUNTIF(lists!$I$2:$I$258, K1363) &gt; 0,"cross.bred","not found")),"NA")</f>
        <v>NA</v>
      </c>
      <c r="O1363" s="9" t="s">
        <v>109</v>
      </c>
      <c r="P1363" s="9" t="s">
        <v>106</v>
      </c>
      <c r="Q1363" s="9" t="s">
        <v>3804</v>
      </c>
      <c r="S1363" s="9" t="s">
        <v>106</v>
      </c>
      <c r="T1363" s="9" t="s">
        <v>106</v>
      </c>
      <c r="U1363" s="9" t="s">
        <v>106</v>
      </c>
      <c r="V1363" s="9" t="s">
        <v>106</v>
      </c>
      <c r="W1363" s="9" t="s">
        <v>106</v>
      </c>
      <c r="X1363" s="9" t="s">
        <v>106</v>
      </c>
      <c r="Y1363" s="9">
        <v>0.57999999999999996</v>
      </c>
      <c r="Z1363" s="37"/>
      <c r="AA1363" s="37"/>
      <c r="AB1363" s="37"/>
      <c r="AE1363">
        <v>0</v>
      </c>
    </row>
    <row r="1364" spans="1:31" hidden="1">
      <c r="A1364" s="9" t="s">
        <v>1346</v>
      </c>
      <c r="B1364" s="9" t="s">
        <v>1348</v>
      </c>
      <c r="C1364" s="9" t="s">
        <v>105</v>
      </c>
      <c r="D1364" s="9">
        <v>0.73099999999999998</v>
      </c>
      <c r="E1364" s="9">
        <v>24.8</v>
      </c>
      <c r="F1364" s="9">
        <v>18.2</v>
      </c>
      <c r="G1364" s="9">
        <v>63.8</v>
      </c>
      <c r="H1364" s="9" t="s">
        <v>106</v>
      </c>
      <c r="I1364" s="9">
        <v>20</v>
      </c>
      <c r="J1364" s="9" t="s">
        <v>107</v>
      </c>
      <c r="K1364" s="9" t="s">
        <v>1347</v>
      </c>
      <c r="L1364" t="str">
        <f>IF(OR(J1364="Cattle",J1364="Zebu Cattle"),IF(COUNTIF(lists!$M$2:$M$258, K1364) &gt; 0,"bos.indicus",IF(COUNTIF(lists!$L$2:$L$258, K1364) &gt; 0,"cross.bred","pure.bred.exotic")),"NA")</f>
        <v>NA</v>
      </c>
      <c r="M1364" t="str">
        <f>IF(J1364="Sheep",IF(COUNTIF(lists!$H$2:$H$258, K1364) &gt; 0,"indigenous",IF(COUNTIF(lists!$G$2:$G$258, K1364) &gt; 0,"cross.bred","not found")),"NA")</f>
        <v>not found</v>
      </c>
      <c r="N1364" t="str">
        <f>IF(J1364="Goat",IF(COUNTIF(lists!$J$2:$J$258, K1364) &gt; 0,"indigenous",IF(COUNTIF(lists!$I$2:$I$258, K1364) &gt; 0,"cross.bred","not found")),"NA")</f>
        <v>NA</v>
      </c>
      <c r="O1364" s="9" t="s">
        <v>109</v>
      </c>
      <c r="P1364" s="9" t="s">
        <v>106</v>
      </c>
      <c r="Q1364" s="9" t="s">
        <v>3804</v>
      </c>
      <c r="S1364" s="9" t="s">
        <v>106</v>
      </c>
      <c r="T1364" s="9" t="s">
        <v>106</v>
      </c>
      <c r="U1364" s="9" t="s">
        <v>106</v>
      </c>
      <c r="V1364" s="9" t="s">
        <v>106</v>
      </c>
      <c r="W1364" s="9" t="s">
        <v>106</v>
      </c>
      <c r="X1364" s="9" t="s">
        <v>106</v>
      </c>
      <c r="Y1364" s="9">
        <v>0.61</v>
      </c>
      <c r="Z1364" s="37"/>
      <c r="AA1364" s="37"/>
      <c r="AB1364" s="37"/>
      <c r="AE1364">
        <v>0</v>
      </c>
    </row>
    <row r="1365" spans="1:31" hidden="1">
      <c r="A1365" s="9" t="s">
        <v>1346</v>
      </c>
      <c r="B1365" s="9" t="s">
        <v>1349</v>
      </c>
      <c r="C1365" s="9" t="s">
        <v>105</v>
      </c>
      <c r="D1365" s="9">
        <v>0.6633</v>
      </c>
      <c r="E1365" s="9">
        <v>24.8</v>
      </c>
      <c r="F1365" s="9">
        <v>17.899999999999999</v>
      </c>
      <c r="G1365" s="9">
        <v>43.3</v>
      </c>
      <c r="H1365" s="9" t="s">
        <v>106</v>
      </c>
      <c r="I1365" s="9">
        <v>20</v>
      </c>
      <c r="J1365" s="9" t="s">
        <v>107</v>
      </c>
      <c r="K1365" s="9" t="s">
        <v>1347</v>
      </c>
      <c r="L1365" t="str">
        <f>IF(OR(J1365="Cattle",J1365="Zebu Cattle"),IF(COUNTIF(lists!$M$2:$M$258, K1365) &gt; 0,"bos.indicus",IF(COUNTIF(lists!$L$2:$L$258, K1365) &gt; 0,"cross.bred","pure.bred.exotic")),"NA")</f>
        <v>NA</v>
      </c>
      <c r="M1365" t="str">
        <f>IF(J1365="Sheep",IF(COUNTIF(lists!$H$2:$H$258, K1365) &gt; 0,"indigenous",IF(COUNTIF(lists!$G$2:$G$258, K1365) &gt; 0,"cross.bred","not found")),"NA")</f>
        <v>not found</v>
      </c>
      <c r="N1365" t="str">
        <f>IF(J1365="Goat",IF(COUNTIF(lists!$J$2:$J$258, K1365) &gt; 0,"indigenous",IF(COUNTIF(lists!$I$2:$I$258, K1365) &gt; 0,"cross.bred","not found")),"NA")</f>
        <v>NA</v>
      </c>
      <c r="O1365" s="9" t="s">
        <v>109</v>
      </c>
      <c r="P1365" s="9" t="s">
        <v>106</v>
      </c>
      <c r="Q1365" s="9" t="s">
        <v>3804</v>
      </c>
      <c r="S1365" s="9" t="s">
        <v>106</v>
      </c>
      <c r="T1365" s="9" t="s">
        <v>106</v>
      </c>
      <c r="U1365" s="9" t="s">
        <v>106</v>
      </c>
      <c r="V1365" s="9" t="s">
        <v>106</v>
      </c>
      <c r="W1365" s="9" t="s">
        <v>106</v>
      </c>
      <c r="X1365" s="9" t="s">
        <v>106</v>
      </c>
      <c r="Y1365" s="9">
        <v>0.68</v>
      </c>
      <c r="Z1365" s="37"/>
      <c r="AA1365" s="37"/>
      <c r="AB1365" s="37"/>
      <c r="AE1365">
        <v>0</v>
      </c>
    </row>
    <row r="1366" spans="1:31" hidden="1">
      <c r="A1366" s="9" t="s">
        <v>1346</v>
      </c>
      <c r="B1366" s="9" t="s">
        <v>1350</v>
      </c>
      <c r="C1366" s="9" t="s">
        <v>105</v>
      </c>
      <c r="D1366" s="9">
        <v>0.75209999999999999</v>
      </c>
      <c r="E1366" s="9">
        <v>24.8</v>
      </c>
      <c r="F1366" s="9">
        <v>18.399999999999999</v>
      </c>
      <c r="G1366" s="9">
        <v>67.099999999999994</v>
      </c>
      <c r="H1366" s="9" t="s">
        <v>106</v>
      </c>
      <c r="I1366" s="9">
        <v>20</v>
      </c>
      <c r="J1366" s="9" t="s">
        <v>107</v>
      </c>
      <c r="K1366" s="9" t="s">
        <v>1347</v>
      </c>
      <c r="L1366" t="str">
        <f>IF(OR(J1366="Cattle",J1366="Zebu Cattle"),IF(COUNTIF(lists!$M$2:$M$258, K1366) &gt; 0,"bos.indicus",IF(COUNTIF(lists!$L$2:$L$258, K1366) &gt; 0,"cross.bred","pure.bred.exotic")),"NA")</f>
        <v>NA</v>
      </c>
      <c r="M1366" t="str">
        <f>IF(J1366="Sheep",IF(COUNTIF(lists!$H$2:$H$258, K1366) &gt; 0,"indigenous",IF(COUNTIF(lists!$G$2:$G$258, K1366) &gt; 0,"cross.bred","not found")),"NA")</f>
        <v>not found</v>
      </c>
      <c r="N1366" t="str">
        <f>IF(J1366="Goat",IF(COUNTIF(lists!$J$2:$J$258, K1366) &gt; 0,"indigenous",IF(COUNTIF(lists!$I$2:$I$258, K1366) &gt; 0,"cross.bred","not found")),"NA")</f>
        <v>NA</v>
      </c>
      <c r="O1366" s="9" t="s">
        <v>109</v>
      </c>
      <c r="P1366" s="9" t="s">
        <v>106</v>
      </c>
      <c r="Q1366" s="9" t="s">
        <v>3804</v>
      </c>
      <c r="S1366" s="9" t="s">
        <v>106</v>
      </c>
      <c r="T1366" s="9" t="s">
        <v>106</v>
      </c>
      <c r="U1366" s="9" t="s">
        <v>106</v>
      </c>
      <c r="V1366" s="9" t="s">
        <v>106</v>
      </c>
      <c r="W1366" s="9" t="s">
        <v>106</v>
      </c>
      <c r="X1366" s="9" t="s">
        <v>106</v>
      </c>
      <c r="Y1366" s="9">
        <v>0.67</v>
      </c>
      <c r="Z1366" s="37"/>
      <c r="AA1366" s="37"/>
      <c r="AB1366" s="37"/>
      <c r="AE1366">
        <v>0</v>
      </c>
    </row>
    <row r="1367" spans="1:31" hidden="1">
      <c r="A1367" s="9" t="s">
        <v>1351</v>
      </c>
      <c r="B1367" s="9" t="s">
        <v>1352</v>
      </c>
      <c r="C1367" s="9" t="s">
        <v>105</v>
      </c>
      <c r="D1367" s="9">
        <v>0.64221282995092599</v>
      </c>
      <c r="E1367" s="9">
        <v>1.81</v>
      </c>
      <c r="F1367" s="9">
        <v>23.8</v>
      </c>
      <c r="G1367" s="9">
        <v>19.899999999999999</v>
      </c>
      <c r="H1367" s="9" t="s">
        <v>106</v>
      </c>
      <c r="I1367" s="9">
        <v>30</v>
      </c>
      <c r="J1367" s="9" t="s">
        <v>107</v>
      </c>
      <c r="K1367" s="9" t="s">
        <v>1345</v>
      </c>
      <c r="L1367" t="str">
        <f>IF(OR(J1367="Cattle",J1367="Zebu Cattle"),IF(COUNTIF(lists!$M$2:$M$258, K1367) &gt; 0,"bos.indicus",IF(COUNTIF(lists!$L$2:$L$258, K1367) &gt; 0,"cross.bred","pure.bred.exotic")),"NA")</f>
        <v>NA</v>
      </c>
      <c r="M1367" t="str">
        <f>IF(J1367="Sheep",IF(COUNTIF(lists!$H$2:$H$258, K1367) &gt; 0,"indigenous",IF(COUNTIF(lists!$G$2:$G$258, K1367) &gt; 0,"cross.bred","not found")),"NA")</f>
        <v>not found</v>
      </c>
      <c r="N1367" t="str">
        <f>IF(J1367="Goat",IF(COUNTIF(lists!$J$2:$J$258, K1367) &gt; 0,"indigenous",IF(COUNTIF(lists!$I$2:$I$258, K1367) &gt; 0,"cross.bred","not found")),"NA")</f>
        <v>NA</v>
      </c>
      <c r="O1367" s="9" t="s">
        <v>109</v>
      </c>
      <c r="P1367" s="9" t="s">
        <v>106</v>
      </c>
      <c r="Q1367" s="9" t="s">
        <v>3804</v>
      </c>
      <c r="S1367" s="9" t="s">
        <v>106</v>
      </c>
      <c r="T1367" s="9" t="s">
        <v>106</v>
      </c>
      <c r="U1367" s="9" t="s">
        <v>106</v>
      </c>
      <c r="V1367" s="9" t="s">
        <v>106</v>
      </c>
      <c r="W1367" s="9" t="s">
        <v>106</v>
      </c>
      <c r="X1367" s="9" t="s">
        <v>106</v>
      </c>
      <c r="Y1367" s="9" t="s">
        <v>106</v>
      </c>
      <c r="Z1367" s="37"/>
      <c r="AA1367" s="37"/>
      <c r="AB1367" s="37"/>
      <c r="AE1367">
        <v>0</v>
      </c>
    </row>
    <row r="1368" spans="1:31" hidden="1">
      <c r="A1368" s="9" t="s">
        <v>1351</v>
      </c>
      <c r="B1368" s="9" t="s">
        <v>1353</v>
      </c>
      <c r="C1368" s="9" t="s">
        <v>105</v>
      </c>
      <c r="D1368" s="9">
        <v>0.69608974521526501</v>
      </c>
      <c r="E1368" s="9">
        <v>1.81</v>
      </c>
      <c r="F1368" s="9">
        <v>23.8</v>
      </c>
      <c r="G1368" s="9">
        <v>20.9</v>
      </c>
      <c r="H1368" s="9" t="s">
        <v>106</v>
      </c>
      <c r="I1368" s="9">
        <v>30</v>
      </c>
      <c r="J1368" s="9" t="s">
        <v>107</v>
      </c>
      <c r="K1368" s="9" t="s">
        <v>1345</v>
      </c>
      <c r="L1368" t="str">
        <f>IF(OR(J1368="Cattle",J1368="Zebu Cattle"),IF(COUNTIF(lists!$M$2:$M$258, K1368) &gt; 0,"bos.indicus",IF(COUNTIF(lists!$L$2:$L$258, K1368) &gt; 0,"cross.bred","pure.bred.exotic")),"NA")</f>
        <v>NA</v>
      </c>
      <c r="M1368" t="str">
        <f>IF(J1368="Sheep",IF(COUNTIF(lists!$H$2:$H$258, K1368) &gt; 0,"indigenous",IF(COUNTIF(lists!$G$2:$G$258, K1368) &gt; 0,"cross.bred","not found")),"NA")</f>
        <v>not found</v>
      </c>
      <c r="N1368" t="str">
        <f>IF(J1368="Goat",IF(COUNTIF(lists!$J$2:$J$258, K1368) &gt; 0,"indigenous",IF(COUNTIF(lists!$I$2:$I$258, K1368) &gt; 0,"cross.bred","not found")),"NA")</f>
        <v>NA</v>
      </c>
      <c r="O1368" s="9" t="s">
        <v>109</v>
      </c>
      <c r="P1368" s="9" t="s">
        <v>106</v>
      </c>
      <c r="Q1368" s="9" t="s">
        <v>3804</v>
      </c>
      <c r="S1368" s="9" t="s">
        <v>106</v>
      </c>
      <c r="T1368" s="9" t="s">
        <v>106</v>
      </c>
      <c r="U1368" s="9" t="s">
        <v>106</v>
      </c>
      <c r="V1368" s="9" t="s">
        <v>106</v>
      </c>
      <c r="W1368" s="9" t="s">
        <v>106</v>
      </c>
      <c r="X1368" s="9" t="s">
        <v>106</v>
      </c>
      <c r="Y1368" s="9" t="s">
        <v>106</v>
      </c>
      <c r="Z1368" s="37"/>
      <c r="AA1368" s="37"/>
      <c r="AB1368" s="37"/>
      <c r="AE1368">
        <v>0</v>
      </c>
    </row>
    <row r="1369" spans="1:31" hidden="1">
      <c r="A1369" s="9" t="s">
        <v>1351</v>
      </c>
      <c r="B1369" s="9" t="s">
        <v>1354</v>
      </c>
      <c r="C1369" s="9" t="s">
        <v>105</v>
      </c>
      <c r="D1369" s="9">
        <v>0.68202729377871796</v>
      </c>
      <c r="E1369" s="9">
        <v>1.81</v>
      </c>
      <c r="F1369" s="9">
        <v>23.5</v>
      </c>
      <c r="G1369" s="9">
        <v>16.5</v>
      </c>
      <c r="H1369" s="9" t="s">
        <v>106</v>
      </c>
      <c r="I1369" s="9">
        <v>30</v>
      </c>
      <c r="J1369" s="9" t="s">
        <v>107</v>
      </c>
      <c r="K1369" s="9" t="s">
        <v>1345</v>
      </c>
      <c r="L1369" t="str">
        <f>IF(OR(J1369="Cattle",J1369="Zebu Cattle"),IF(COUNTIF(lists!$M$2:$M$258, K1369) &gt; 0,"bos.indicus",IF(COUNTIF(lists!$L$2:$L$258, K1369) &gt; 0,"cross.bred","pure.bred.exotic")),"NA")</f>
        <v>NA</v>
      </c>
      <c r="M1369" t="str">
        <f>IF(J1369="Sheep",IF(COUNTIF(lists!$H$2:$H$258, K1369) &gt; 0,"indigenous",IF(COUNTIF(lists!$G$2:$G$258, K1369) &gt; 0,"cross.bred","not found")),"NA")</f>
        <v>not found</v>
      </c>
      <c r="N1369" t="str">
        <f>IF(J1369="Goat",IF(COUNTIF(lists!$J$2:$J$258, K1369) &gt; 0,"indigenous",IF(COUNTIF(lists!$I$2:$I$258, K1369) &gt; 0,"cross.bred","not found")),"NA")</f>
        <v>NA</v>
      </c>
      <c r="O1369" s="9" t="s">
        <v>109</v>
      </c>
      <c r="P1369" s="9" t="s">
        <v>106</v>
      </c>
      <c r="Q1369" s="9" t="s">
        <v>3804</v>
      </c>
      <c r="S1369" s="9" t="s">
        <v>106</v>
      </c>
      <c r="T1369" s="9" t="s">
        <v>106</v>
      </c>
      <c r="U1369" s="9" t="s">
        <v>106</v>
      </c>
      <c r="V1369" s="9" t="s">
        <v>106</v>
      </c>
      <c r="W1369" s="9" t="s">
        <v>106</v>
      </c>
      <c r="X1369" s="9" t="s">
        <v>106</v>
      </c>
      <c r="Y1369" s="9" t="s">
        <v>106</v>
      </c>
      <c r="Z1369" s="37"/>
      <c r="AA1369" s="37"/>
      <c r="AB1369" s="37"/>
      <c r="AE1369">
        <v>0</v>
      </c>
    </row>
    <row r="1370" spans="1:31" hidden="1">
      <c r="A1370" s="9" t="s">
        <v>1351</v>
      </c>
      <c r="B1370" s="9" t="s">
        <v>1355</v>
      </c>
      <c r="C1370" s="9" t="s">
        <v>105</v>
      </c>
      <c r="D1370" s="9">
        <v>0.81569649710209902</v>
      </c>
      <c r="E1370" s="9">
        <v>1.81</v>
      </c>
      <c r="F1370" s="9">
        <v>23.8</v>
      </c>
      <c r="G1370" s="9">
        <v>39.1</v>
      </c>
      <c r="H1370" s="9" t="s">
        <v>106</v>
      </c>
      <c r="I1370" s="9">
        <v>30</v>
      </c>
      <c r="J1370" s="9" t="s">
        <v>107</v>
      </c>
      <c r="K1370" s="9" t="s">
        <v>1345</v>
      </c>
      <c r="L1370" t="str">
        <f>IF(OR(J1370="Cattle",J1370="Zebu Cattle"),IF(COUNTIF(lists!$M$2:$M$258, K1370) &gt; 0,"bos.indicus",IF(COUNTIF(lists!$L$2:$L$258, K1370) &gt; 0,"cross.bred","pure.bred.exotic")),"NA")</f>
        <v>NA</v>
      </c>
      <c r="M1370" t="str">
        <f>IF(J1370="Sheep",IF(COUNTIF(lists!$H$2:$H$258, K1370) &gt; 0,"indigenous",IF(COUNTIF(lists!$G$2:$G$258, K1370) &gt; 0,"cross.bred","not found")),"NA")</f>
        <v>not found</v>
      </c>
      <c r="N1370" t="str">
        <f>IF(J1370="Goat",IF(COUNTIF(lists!$J$2:$J$258, K1370) &gt; 0,"indigenous",IF(COUNTIF(lists!$I$2:$I$258, K1370) &gt; 0,"cross.bred","not found")),"NA")</f>
        <v>NA</v>
      </c>
      <c r="O1370" s="9" t="s">
        <v>109</v>
      </c>
      <c r="P1370" s="9" t="s">
        <v>106</v>
      </c>
      <c r="Q1370" s="9" t="s">
        <v>3804</v>
      </c>
      <c r="S1370" s="9" t="s">
        <v>106</v>
      </c>
      <c r="T1370" s="9" t="s">
        <v>106</v>
      </c>
      <c r="U1370" s="9" t="s">
        <v>106</v>
      </c>
      <c r="V1370" s="9" t="s">
        <v>106</v>
      </c>
      <c r="W1370" s="9" t="s">
        <v>106</v>
      </c>
      <c r="X1370" s="9" t="s">
        <v>106</v>
      </c>
      <c r="Y1370" s="9" t="s">
        <v>106</v>
      </c>
      <c r="Z1370" s="37"/>
      <c r="AA1370" s="37"/>
      <c r="AB1370" s="37"/>
      <c r="AE1370">
        <v>0</v>
      </c>
    </row>
    <row r="1371" spans="1:31" hidden="1">
      <c r="A1371" s="9" t="s">
        <v>1351</v>
      </c>
      <c r="B1371" s="9" t="s">
        <v>1356</v>
      </c>
      <c r="C1371" s="9" t="s">
        <v>105</v>
      </c>
      <c r="D1371" s="9">
        <v>0.76371419045732203</v>
      </c>
      <c r="E1371" s="9">
        <v>1.81</v>
      </c>
      <c r="F1371" s="9">
        <v>23.7</v>
      </c>
      <c r="G1371" s="9">
        <v>26.2</v>
      </c>
      <c r="H1371" s="9" t="s">
        <v>106</v>
      </c>
      <c r="I1371" s="9">
        <v>30</v>
      </c>
      <c r="J1371" s="9" t="s">
        <v>107</v>
      </c>
      <c r="K1371" s="9" t="s">
        <v>1345</v>
      </c>
      <c r="L1371" t="str">
        <f>IF(OR(J1371="Cattle",J1371="Zebu Cattle"),IF(COUNTIF(lists!$M$2:$M$258, K1371) &gt; 0,"bos.indicus",IF(COUNTIF(lists!$L$2:$L$258, K1371) &gt; 0,"cross.bred","pure.bred.exotic")),"NA")</f>
        <v>NA</v>
      </c>
      <c r="M1371" t="str">
        <f>IF(J1371="Sheep",IF(COUNTIF(lists!$H$2:$H$258, K1371) &gt; 0,"indigenous",IF(COUNTIF(lists!$G$2:$G$258, K1371) &gt; 0,"cross.bred","not found")),"NA")</f>
        <v>not found</v>
      </c>
      <c r="N1371" t="str">
        <f>IF(J1371="Goat",IF(COUNTIF(lists!$J$2:$J$258, K1371) &gt; 0,"indigenous",IF(COUNTIF(lists!$I$2:$I$258, K1371) &gt; 0,"cross.bred","not found")),"NA")</f>
        <v>NA</v>
      </c>
      <c r="O1371" s="9" t="s">
        <v>109</v>
      </c>
      <c r="P1371" s="9" t="s">
        <v>106</v>
      </c>
      <c r="Q1371" s="9" t="s">
        <v>3804</v>
      </c>
      <c r="S1371" s="9" t="s">
        <v>106</v>
      </c>
      <c r="T1371" s="9" t="s">
        <v>106</v>
      </c>
      <c r="U1371" s="9" t="s">
        <v>106</v>
      </c>
      <c r="V1371" s="9" t="s">
        <v>106</v>
      </c>
      <c r="W1371" s="9" t="s">
        <v>106</v>
      </c>
      <c r="X1371" s="9" t="s">
        <v>106</v>
      </c>
      <c r="Y1371" s="9" t="s">
        <v>106</v>
      </c>
      <c r="Z1371" s="37"/>
      <c r="AA1371" s="37"/>
      <c r="AB1371" s="37"/>
      <c r="AE1371">
        <v>0</v>
      </c>
    </row>
    <row r="1372" spans="1:31" hidden="1">
      <c r="A1372" s="9" t="s">
        <v>1358</v>
      </c>
      <c r="B1372" s="9" t="s">
        <v>819</v>
      </c>
      <c r="C1372" s="9" t="s">
        <v>105</v>
      </c>
      <c r="D1372" s="9">
        <v>0.53600000000000003</v>
      </c>
      <c r="E1372" s="9" t="s">
        <v>106</v>
      </c>
      <c r="F1372" s="9">
        <v>19.899999999999999</v>
      </c>
      <c r="G1372" s="9">
        <v>-17.5</v>
      </c>
      <c r="H1372" s="9" t="s">
        <v>106</v>
      </c>
      <c r="I1372" s="9">
        <v>66</v>
      </c>
      <c r="J1372" s="9" t="s">
        <v>107</v>
      </c>
      <c r="K1372" s="9" t="s">
        <v>1310</v>
      </c>
      <c r="L1372" t="str">
        <f>IF(OR(J1372="Cattle",J1372="Zebu Cattle"),IF(COUNTIF(lists!$M$2:$M$258, K1372) &gt; 0,"bos.indicus",IF(COUNTIF(lists!$L$2:$L$258, K1372) &gt; 0,"cross.bred","pure.bred.exotic")),"NA")</f>
        <v>NA</v>
      </c>
      <c r="M1372" t="str">
        <f>IF(J1372="Sheep",IF(COUNTIF(lists!$H$2:$H$258, K1372) &gt; 0,"indigenous",IF(COUNTIF(lists!$G$2:$G$258, K1372) &gt; 0,"cross.bred","not found")),"NA")</f>
        <v>not found</v>
      </c>
      <c r="N1372" t="str">
        <f>IF(J1372="Goat",IF(COUNTIF(lists!$J$2:$J$258, K1372) &gt; 0,"indigenous",IF(COUNTIF(lists!$I$2:$I$258, K1372) &gt; 0,"cross.bred","not found")),"NA")</f>
        <v>NA</v>
      </c>
      <c r="O1372" s="9" t="s">
        <v>109</v>
      </c>
      <c r="P1372" s="9" t="s">
        <v>106</v>
      </c>
      <c r="Q1372" s="9" t="s">
        <v>3804</v>
      </c>
      <c r="S1372" s="9" t="s">
        <v>106</v>
      </c>
      <c r="T1372" s="9" t="s">
        <v>106</v>
      </c>
      <c r="U1372" s="9" t="s">
        <v>106</v>
      </c>
      <c r="V1372" s="9" t="s">
        <v>106</v>
      </c>
      <c r="W1372" s="9" t="s">
        <v>106</v>
      </c>
      <c r="X1372" s="9" t="s">
        <v>106</v>
      </c>
      <c r="Y1372" s="9" t="s">
        <v>106</v>
      </c>
      <c r="Z1372" s="37"/>
      <c r="AA1372" s="37"/>
      <c r="AB1372" s="37"/>
      <c r="AE1372">
        <v>0</v>
      </c>
    </row>
    <row r="1373" spans="1:31" hidden="1">
      <c r="A1373" s="9" t="s">
        <v>1358</v>
      </c>
      <c r="B1373" s="9" t="s">
        <v>1359</v>
      </c>
      <c r="C1373" s="9" t="s">
        <v>105</v>
      </c>
      <c r="D1373" s="9">
        <v>0.745</v>
      </c>
      <c r="E1373" s="9" t="s">
        <v>106</v>
      </c>
      <c r="F1373" s="9">
        <v>19.2</v>
      </c>
      <c r="G1373" s="9">
        <v>31.3</v>
      </c>
      <c r="H1373" s="9" t="s">
        <v>106</v>
      </c>
      <c r="I1373" s="9">
        <v>66</v>
      </c>
      <c r="J1373" s="9" t="s">
        <v>107</v>
      </c>
      <c r="K1373" s="9" t="s">
        <v>1310</v>
      </c>
      <c r="L1373" t="str">
        <f>IF(OR(J1373="Cattle",J1373="Zebu Cattle"),IF(COUNTIF(lists!$M$2:$M$258, K1373) &gt; 0,"bos.indicus",IF(COUNTIF(lists!$L$2:$L$258, K1373) &gt; 0,"cross.bred","pure.bred.exotic")),"NA")</f>
        <v>NA</v>
      </c>
      <c r="M1373" t="str">
        <f>IF(J1373="Sheep",IF(COUNTIF(lists!$H$2:$H$258, K1373) &gt; 0,"indigenous",IF(COUNTIF(lists!$G$2:$G$258, K1373) &gt; 0,"cross.bred","not found")),"NA")</f>
        <v>not found</v>
      </c>
      <c r="N1373" t="str">
        <f>IF(J1373="Goat",IF(COUNTIF(lists!$J$2:$J$258, K1373) &gt; 0,"indigenous",IF(COUNTIF(lists!$I$2:$I$258, K1373) &gt; 0,"cross.bred","not found")),"NA")</f>
        <v>NA</v>
      </c>
      <c r="O1373" s="9" t="s">
        <v>109</v>
      </c>
      <c r="P1373" s="9" t="s">
        <v>106</v>
      </c>
      <c r="Q1373" s="9" t="s">
        <v>3804</v>
      </c>
      <c r="S1373" s="9" t="s">
        <v>106</v>
      </c>
      <c r="T1373" s="9" t="s">
        <v>106</v>
      </c>
      <c r="U1373" s="9" t="s">
        <v>106</v>
      </c>
      <c r="V1373" s="9" t="s">
        <v>106</v>
      </c>
      <c r="W1373" s="9" t="s">
        <v>106</v>
      </c>
      <c r="X1373" s="9" t="s">
        <v>106</v>
      </c>
      <c r="Y1373" s="9" t="s">
        <v>106</v>
      </c>
      <c r="Z1373" s="37"/>
      <c r="AA1373" s="37"/>
      <c r="AB1373" s="37"/>
      <c r="AE1373">
        <v>0</v>
      </c>
    </row>
    <row r="1374" spans="1:31" hidden="1">
      <c r="A1374" s="9" t="s">
        <v>1358</v>
      </c>
      <c r="B1374" s="9" t="s">
        <v>1360</v>
      </c>
      <c r="C1374" s="9" t="s">
        <v>105</v>
      </c>
      <c r="D1374" s="9">
        <v>0.69799999999999995</v>
      </c>
      <c r="E1374" s="9" t="s">
        <v>106</v>
      </c>
      <c r="F1374" s="9">
        <v>20.2</v>
      </c>
      <c r="G1374" s="9">
        <v>28.9</v>
      </c>
      <c r="H1374" s="9" t="s">
        <v>106</v>
      </c>
      <c r="I1374" s="9">
        <v>66</v>
      </c>
      <c r="J1374" s="9" t="s">
        <v>107</v>
      </c>
      <c r="K1374" s="9" t="s">
        <v>1310</v>
      </c>
      <c r="L1374" t="str">
        <f>IF(OR(J1374="Cattle",J1374="Zebu Cattle"),IF(COUNTIF(lists!$M$2:$M$258, K1374) &gt; 0,"bos.indicus",IF(COUNTIF(lists!$L$2:$L$258, K1374) &gt; 0,"cross.bred","pure.bred.exotic")),"NA")</f>
        <v>NA</v>
      </c>
      <c r="M1374" t="str">
        <f>IF(J1374="Sheep",IF(COUNTIF(lists!$H$2:$H$258, K1374) &gt; 0,"indigenous",IF(COUNTIF(lists!$G$2:$G$258, K1374) &gt; 0,"cross.bred","not found")),"NA")</f>
        <v>not found</v>
      </c>
      <c r="N1374" t="str">
        <f>IF(J1374="Goat",IF(COUNTIF(lists!$J$2:$J$258, K1374) &gt; 0,"indigenous",IF(COUNTIF(lists!$I$2:$I$258, K1374) &gt; 0,"cross.bred","not found")),"NA")</f>
        <v>NA</v>
      </c>
      <c r="O1374" s="9" t="s">
        <v>109</v>
      </c>
      <c r="P1374" s="9" t="s">
        <v>106</v>
      </c>
      <c r="Q1374" s="9" t="s">
        <v>3804</v>
      </c>
      <c r="S1374" s="9" t="s">
        <v>106</v>
      </c>
      <c r="T1374" s="9" t="s">
        <v>106</v>
      </c>
      <c r="U1374" s="9" t="s">
        <v>106</v>
      </c>
      <c r="V1374" s="9" t="s">
        <v>106</v>
      </c>
      <c r="W1374" s="9" t="s">
        <v>106</v>
      </c>
      <c r="X1374" s="9" t="s">
        <v>106</v>
      </c>
      <c r="Y1374" s="9" t="s">
        <v>106</v>
      </c>
      <c r="Z1374" s="37"/>
      <c r="AA1374" s="37"/>
      <c r="AB1374" s="37"/>
      <c r="AE1374">
        <v>0</v>
      </c>
    </row>
    <row r="1375" spans="1:31" hidden="1">
      <c r="A1375" s="9" t="s">
        <v>1358</v>
      </c>
      <c r="B1375" s="9" t="s">
        <v>1361</v>
      </c>
      <c r="C1375" s="9" t="s">
        <v>105</v>
      </c>
      <c r="D1375" s="9">
        <v>0.70299999999999996</v>
      </c>
      <c r="E1375" s="9" t="s">
        <v>106</v>
      </c>
      <c r="F1375" s="9">
        <v>19.3</v>
      </c>
      <c r="G1375" s="9">
        <v>43.8</v>
      </c>
      <c r="H1375" s="9" t="s">
        <v>106</v>
      </c>
      <c r="I1375" s="9">
        <v>66</v>
      </c>
      <c r="J1375" s="9" t="s">
        <v>107</v>
      </c>
      <c r="K1375" s="9" t="s">
        <v>1310</v>
      </c>
      <c r="L1375" t="str">
        <f>IF(OR(J1375="Cattle",J1375="Zebu Cattle"),IF(COUNTIF(lists!$M$2:$M$258, K1375) &gt; 0,"bos.indicus",IF(COUNTIF(lists!$L$2:$L$258, K1375) &gt; 0,"cross.bred","pure.bred.exotic")),"NA")</f>
        <v>NA</v>
      </c>
      <c r="M1375" t="str">
        <f>IF(J1375="Sheep",IF(COUNTIF(lists!$H$2:$H$258, K1375) &gt; 0,"indigenous",IF(COUNTIF(lists!$G$2:$G$258, K1375) &gt; 0,"cross.bred","not found")),"NA")</f>
        <v>not found</v>
      </c>
      <c r="N1375" t="str">
        <f>IF(J1375="Goat",IF(COUNTIF(lists!$J$2:$J$258, K1375) &gt; 0,"indigenous",IF(COUNTIF(lists!$I$2:$I$258, K1375) &gt; 0,"cross.bred","not found")),"NA")</f>
        <v>NA</v>
      </c>
      <c r="O1375" s="9" t="s">
        <v>109</v>
      </c>
      <c r="P1375" s="9" t="s">
        <v>106</v>
      </c>
      <c r="Q1375" s="9" t="s">
        <v>3804</v>
      </c>
      <c r="S1375" s="9" t="s">
        <v>106</v>
      </c>
      <c r="T1375" s="9" t="s">
        <v>106</v>
      </c>
      <c r="U1375" s="9" t="s">
        <v>106</v>
      </c>
      <c r="V1375" s="9" t="s">
        <v>106</v>
      </c>
      <c r="W1375" s="9" t="s">
        <v>106</v>
      </c>
      <c r="X1375" s="9" t="s">
        <v>106</v>
      </c>
      <c r="Y1375" s="9" t="s">
        <v>106</v>
      </c>
      <c r="Z1375" s="37"/>
      <c r="AA1375" s="37"/>
      <c r="AB1375" s="37"/>
      <c r="AE1375">
        <v>0</v>
      </c>
    </row>
    <row r="1376" spans="1:31" hidden="1">
      <c r="A1376" s="9" t="s">
        <v>1358</v>
      </c>
      <c r="B1376" s="9" t="s">
        <v>1362</v>
      </c>
      <c r="C1376" s="9" t="s">
        <v>105</v>
      </c>
      <c r="D1376" s="9">
        <v>0.67300000000000004</v>
      </c>
      <c r="E1376" s="9" t="s">
        <v>106</v>
      </c>
      <c r="F1376" s="9">
        <v>18.7</v>
      </c>
      <c r="G1376" s="9">
        <v>31.4</v>
      </c>
      <c r="H1376" s="9" t="s">
        <v>106</v>
      </c>
      <c r="I1376" s="9">
        <v>66</v>
      </c>
      <c r="J1376" s="9" t="s">
        <v>107</v>
      </c>
      <c r="K1376" s="9" t="s">
        <v>1310</v>
      </c>
      <c r="L1376" t="str">
        <f>IF(OR(J1376="Cattle",J1376="Zebu Cattle"),IF(COUNTIF(lists!$M$2:$M$258, K1376) &gt; 0,"bos.indicus",IF(COUNTIF(lists!$L$2:$L$258, K1376) &gt; 0,"cross.bred","pure.bred.exotic")),"NA")</f>
        <v>NA</v>
      </c>
      <c r="M1376" t="str">
        <f>IF(J1376="Sheep",IF(COUNTIF(lists!$H$2:$H$258, K1376) &gt; 0,"indigenous",IF(COUNTIF(lists!$G$2:$G$258, K1376) &gt; 0,"cross.bred","not found")),"NA")</f>
        <v>not found</v>
      </c>
      <c r="N1376" t="str">
        <f>IF(J1376="Goat",IF(COUNTIF(lists!$J$2:$J$258, K1376) &gt; 0,"indigenous",IF(COUNTIF(lists!$I$2:$I$258, K1376) &gt; 0,"cross.bred","not found")),"NA")</f>
        <v>NA</v>
      </c>
      <c r="O1376" s="9" t="s">
        <v>109</v>
      </c>
      <c r="P1376" s="9" t="s">
        <v>106</v>
      </c>
      <c r="Q1376" s="9" t="s">
        <v>3804</v>
      </c>
      <c r="S1376" s="9" t="s">
        <v>106</v>
      </c>
      <c r="T1376" s="9" t="s">
        <v>106</v>
      </c>
      <c r="U1376" s="9" t="s">
        <v>106</v>
      </c>
      <c r="V1376" s="9" t="s">
        <v>106</v>
      </c>
      <c r="W1376" s="9" t="s">
        <v>106</v>
      </c>
      <c r="X1376" s="9" t="s">
        <v>106</v>
      </c>
      <c r="Y1376" s="9" t="s">
        <v>106</v>
      </c>
      <c r="Z1376" s="37"/>
      <c r="AA1376" s="37"/>
      <c r="AB1376" s="37"/>
      <c r="AE1376">
        <v>0</v>
      </c>
    </row>
    <row r="1377" spans="1:31" hidden="1">
      <c r="A1377" s="9" t="s">
        <v>1358</v>
      </c>
      <c r="B1377" s="9" t="s">
        <v>1363</v>
      </c>
      <c r="C1377" s="9" t="s">
        <v>105</v>
      </c>
      <c r="D1377" s="9">
        <v>0.69199999999999995</v>
      </c>
      <c r="E1377" s="9" t="s">
        <v>106</v>
      </c>
      <c r="F1377" s="9">
        <v>19.3</v>
      </c>
      <c r="G1377" s="9">
        <v>33.799999999999997</v>
      </c>
      <c r="H1377" s="9" t="s">
        <v>106</v>
      </c>
      <c r="I1377" s="9">
        <v>66</v>
      </c>
      <c r="J1377" s="9" t="s">
        <v>107</v>
      </c>
      <c r="K1377" s="9" t="s">
        <v>1310</v>
      </c>
      <c r="L1377" t="str">
        <f>IF(OR(J1377="Cattle",J1377="Zebu Cattle"),IF(COUNTIF(lists!$M$2:$M$258, K1377) &gt; 0,"bos.indicus",IF(COUNTIF(lists!$L$2:$L$258, K1377) &gt; 0,"cross.bred","pure.bred.exotic")),"NA")</f>
        <v>NA</v>
      </c>
      <c r="M1377" t="str">
        <f>IF(J1377="Sheep",IF(COUNTIF(lists!$H$2:$H$258, K1377) &gt; 0,"indigenous",IF(COUNTIF(lists!$G$2:$G$258, K1377) &gt; 0,"cross.bred","not found")),"NA")</f>
        <v>not found</v>
      </c>
      <c r="N1377" t="str">
        <f>IF(J1377="Goat",IF(COUNTIF(lists!$J$2:$J$258, K1377) &gt; 0,"indigenous",IF(COUNTIF(lists!$I$2:$I$258, K1377) &gt; 0,"cross.bred","not found")),"NA")</f>
        <v>NA</v>
      </c>
      <c r="O1377" s="9" t="s">
        <v>109</v>
      </c>
      <c r="P1377" s="9" t="s">
        <v>106</v>
      </c>
      <c r="Q1377" s="9" t="s">
        <v>3804</v>
      </c>
      <c r="S1377" s="9" t="s">
        <v>106</v>
      </c>
      <c r="T1377" s="9" t="s">
        <v>106</v>
      </c>
      <c r="U1377" s="9" t="s">
        <v>106</v>
      </c>
      <c r="V1377" s="9" t="s">
        <v>106</v>
      </c>
      <c r="W1377" s="9" t="s">
        <v>106</v>
      </c>
      <c r="X1377" s="9" t="s">
        <v>106</v>
      </c>
      <c r="Y1377" s="9" t="s">
        <v>106</v>
      </c>
      <c r="Z1377" s="37"/>
      <c r="AA1377" s="37"/>
      <c r="AB1377" s="37"/>
      <c r="AE1377">
        <v>0</v>
      </c>
    </row>
    <row r="1378" spans="1:31" hidden="1">
      <c r="A1378" s="9" t="s">
        <v>1358</v>
      </c>
      <c r="B1378" s="9" t="s">
        <v>1364</v>
      </c>
      <c r="C1378" s="9" t="s">
        <v>105</v>
      </c>
      <c r="D1378" s="9">
        <v>0.70699999999999996</v>
      </c>
      <c r="E1378" s="9" t="s">
        <v>106</v>
      </c>
      <c r="F1378" s="9">
        <v>19.899999999999999</v>
      </c>
      <c r="G1378" s="9">
        <v>34.5</v>
      </c>
      <c r="H1378" s="9" t="s">
        <v>106</v>
      </c>
      <c r="I1378" s="9">
        <v>66</v>
      </c>
      <c r="J1378" s="9" t="s">
        <v>107</v>
      </c>
      <c r="K1378" s="9" t="s">
        <v>1310</v>
      </c>
      <c r="L1378" t="str">
        <f>IF(OR(J1378="Cattle",J1378="Zebu Cattle"),IF(COUNTIF(lists!$M$2:$M$258, K1378) &gt; 0,"bos.indicus",IF(COUNTIF(lists!$L$2:$L$258, K1378) &gt; 0,"cross.bred","pure.bred.exotic")),"NA")</f>
        <v>NA</v>
      </c>
      <c r="M1378" t="str">
        <f>IF(J1378="Sheep",IF(COUNTIF(lists!$H$2:$H$258, K1378) &gt; 0,"indigenous",IF(COUNTIF(lists!$G$2:$G$258, K1378) &gt; 0,"cross.bred","not found")),"NA")</f>
        <v>not found</v>
      </c>
      <c r="N1378" t="str">
        <f>IF(J1378="Goat",IF(COUNTIF(lists!$J$2:$J$258, K1378) &gt; 0,"indigenous",IF(COUNTIF(lists!$I$2:$I$258, K1378) &gt; 0,"cross.bred","not found")),"NA")</f>
        <v>NA</v>
      </c>
      <c r="O1378" s="9" t="s">
        <v>109</v>
      </c>
      <c r="P1378" s="9" t="s">
        <v>106</v>
      </c>
      <c r="Q1378" s="9" t="s">
        <v>3804</v>
      </c>
      <c r="S1378" s="9" t="s">
        <v>106</v>
      </c>
      <c r="T1378" s="9" t="s">
        <v>106</v>
      </c>
      <c r="U1378" s="9" t="s">
        <v>106</v>
      </c>
      <c r="V1378" s="9" t="s">
        <v>106</v>
      </c>
      <c r="W1378" s="9" t="s">
        <v>106</v>
      </c>
      <c r="X1378" s="9" t="s">
        <v>106</v>
      </c>
      <c r="Y1378" s="9" t="s">
        <v>106</v>
      </c>
      <c r="Z1378" s="37"/>
      <c r="AA1378" s="37"/>
      <c r="AB1378" s="37"/>
      <c r="AE1378">
        <v>0</v>
      </c>
    </row>
    <row r="1379" spans="1:31" hidden="1">
      <c r="A1379" s="9" t="s">
        <v>1358</v>
      </c>
      <c r="B1379" s="9" t="s">
        <v>1365</v>
      </c>
      <c r="C1379" s="9" t="s">
        <v>105</v>
      </c>
      <c r="D1379" s="9">
        <v>0.74199999999999999</v>
      </c>
      <c r="E1379" s="9" t="s">
        <v>106</v>
      </c>
      <c r="F1379" s="9">
        <v>19.7</v>
      </c>
      <c r="G1379" s="9">
        <v>39.9</v>
      </c>
      <c r="H1379" s="9" t="s">
        <v>106</v>
      </c>
      <c r="I1379" s="9">
        <v>66</v>
      </c>
      <c r="J1379" s="9" t="s">
        <v>107</v>
      </c>
      <c r="K1379" s="9" t="s">
        <v>1310</v>
      </c>
      <c r="L1379" t="str">
        <f>IF(OR(J1379="Cattle",J1379="Zebu Cattle"),IF(COUNTIF(lists!$M$2:$M$258, K1379) &gt; 0,"bos.indicus",IF(COUNTIF(lists!$L$2:$L$258, K1379) &gt; 0,"cross.bred","pure.bred.exotic")),"NA")</f>
        <v>NA</v>
      </c>
      <c r="M1379" t="str">
        <f>IF(J1379="Sheep",IF(COUNTIF(lists!$H$2:$H$258, K1379) &gt; 0,"indigenous",IF(COUNTIF(lists!$G$2:$G$258, K1379) &gt; 0,"cross.bred","not found")),"NA")</f>
        <v>not found</v>
      </c>
      <c r="N1379" t="str">
        <f>IF(J1379="Goat",IF(COUNTIF(lists!$J$2:$J$258, K1379) &gt; 0,"indigenous",IF(COUNTIF(lists!$I$2:$I$258, K1379) &gt; 0,"cross.bred","not found")),"NA")</f>
        <v>NA</v>
      </c>
      <c r="O1379" s="9" t="s">
        <v>109</v>
      </c>
      <c r="P1379" s="9" t="s">
        <v>106</v>
      </c>
      <c r="Q1379" s="9" t="s">
        <v>3804</v>
      </c>
      <c r="S1379" s="9" t="s">
        <v>106</v>
      </c>
      <c r="T1379" s="9" t="s">
        <v>106</v>
      </c>
      <c r="U1379" s="9" t="s">
        <v>106</v>
      </c>
      <c r="V1379" s="9" t="s">
        <v>106</v>
      </c>
      <c r="W1379" s="9" t="s">
        <v>106</v>
      </c>
      <c r="X1379" s="9" t="s">
        <v>106</v>
      </c>
      <c r="Y1379" s="9" t="s">
        <v>106</v>
      </c>
      <c r="Z1379" s="37"/>
      <c r="AA1379" s="37"/>
      <c r="AB1379" s="37"/>
      <c r="AE1379">
        <v>0</v>
      </c>
    </row>
    <row r="1380" spans="1:31" hidden="1">
      <c r="A1380" s="9" t="s">
        <v>1358</v>
      </c>
      <c r="B1380" s="9" t="s">
        <v>1366</v>
      </c>
      <c r="C1380" s="9" t="s">
        <v>105</v>
      </c>
      <c r="D1380" s="9">
        <v>0.73099999999999998</v>
      </c>
      <c r="E1380" s="9" t="s">
        <v>106</v>
      </c>
      <c r="F1380" s="9">
        <v>19.3</v>
      </c>
      <c r="G1380" s="9">
        <v>33.299999999999997</v>
      </c>
      <c r="H1380" s="9" t="s">
        <v>106</v>
      </c>
      <c r="I1380" s="9">
        <v>66</v>
      </c>
      <c r="J1380" s="9" t="s">
        <v>107</v>
      </c>
      <c r="K1380" s="9" t="s">
        <v>1310</v>
      </c>
      <c r="L1380" t="str">
        <f>IF(OR(J1380="Cattle",J1380="Zebu Cattle"),IF(COUNTIF(lists!$M$2:$M$258, K1380) &gt; 0,"bos.indicus",IF(COUNTIF(lists!$L$2:$L$258, K1380) &gt; 0,"cross.bred","pure.bred.exotic")),"NA")</f>
        <v>NA</v>
      </c>
      <c r="M1380" t="str">
        <f>IF(J1380="Sheep",IF(COUNTIF(lists!$H$2:$H$258, K1380) &gt; 0,"indigenous",IF(COUNTIF(lists!$G$2:$G$258, K1380) &gt; 0,"cross.bred","not found")),"NA")</f>
        <v>not found</v>
      </c>
      <c r="N1380" t="str">
        <f>IF(J1380="Goat",IF(COUNTIF(lists!$J$2:$J$258, K1380) &gt; 0,"indigenous",IF(COUNTIF(lists!$I$2:$I$258, K1380) &gt; 0,"cross.bred","not found")),"NA")</f>
        <v>NA</v>
      </c>
      <c r="O1380" s="9" t="s">
        <v>109</v>
      </c>
      <c r="P1380" s="9" t="s">
        <v>106</v>
      </c>
      <c r="Q1380" s="9" t="s">
        <v>3804</v>
      </c>
      <c r="S1380" s="9" t="s">
        <v>106</v>
      </c>
      <c r="T1380" s="9" t="s">
        <v>106</v>
      </c>
      <c r="U1380" s="9" t="s">
        <v>106</v>
      </c>
      <c r="V1380" s="9" t="s">
        <v>106</v>
      </c>
      <c r="W1380" s="9" t="s">
        <v>106</v>
      </c>
      <c r="X1380" s="9" t="s">
        <v>106</v>
      </c>
      <c r="Y1380" s="9" t="s">
        <v>106</v>
      </c>
      <c r="Z1380" s="37"/>
      <c r="AA1380" s="37"/>
      <c r="AB1380" s="37"/>
      <c r="AE1380">
        <v>0</v>
      </c>
    </row>
    <row r="1381" spans="1:31" hidden="1">
      <c r="A1381" s="9" t="s">
        <v>1358</v>
      </c>
      <c r="B1381" s="9" t="s">
        <v>1367</v>
      </c>
      <c r="C1381" s="9" t="s">
        <v>105</v>
      </c>
      <c r="D1381" s="9">
        <v>0.73799999999999999</v>
      </c>
      <c r="E1381" s="9" t="s">
        <v>106</v>
      </c>
      <c r="F1381" s="9">
        <v>19.2</v>
      </c>
      <c r="G1381" s="9">
        <v>36.5</v>
      </c>
      <c r="H1381" s="9" t="s">
        <v>106</v>
      </c>
      <c r="I1381" s="9">
        <v>66</v>
      </c>
      <c r="J1381" s="9" t="s">
        <v>107</v>
      </c>
      <c r="K1381" s="9" t="s">
        <v>1310</v>
      </c>
      <c r="L1381" t="str">
        <f>IF(OR(J1381="Cattle",J1381="Zebu Cattle"),IF(COUNTIF(lists!$M$2:$M$258, K1381) &gt; 0,"bos.indicus",IF(COUNTIF(lists!$L$2:$L$258, K1381) &gt; 0,"cross.bred","pure.bred.exotic")),"NA")</f>
        <v>NA</v>
      </c>
      <c r="M1381" t="str">
        <f>IF(J1381="Sheep",IF(COUNTIF(lists!$H$2:$H$258, K1381) &gt; 0,"indigenous",IF(COUNTIF(lists!$G$2:$G$258, K1381) &gt; 0,"cross.bred","not found")),"NA")</f>
        <v>not found</v>
      </c>
      <c r="N1381" t="str">
        <f>IF(J1381="Goat",IF(COUNTIF(lists!$J$2:$J$258, K1381) &gt; 0,"indigenous",IF(COUNTIF(lists!$I$2:$I$258, K1381) &gt; 0,"cross.bred","not found")),"NA")</f>
        <v>NA</v>
      </c>
      <c r="O1381" s="9" t="s">
        <v>109</v>
      </c>
      <c r="P1381" s="9" t="s">
        <v>106</v>
      </c>
      <c r="Q1381" s="9" t="s">
        <v>3804</v>
      </c>
      <c r="S1381" s="9" t="s">
        <v>106</v>
      </c>
      <c r="T1381" s="9" t="s">
        <v>106</v>
      </c>
      <c r="U1381" s="9" t="s">
        <v>106</v>
      </c>
      <c r="V1381" s="9" t="s">
        <v>106</v>
      </c>
      <c r="W1381" s="9" t="s">
        <v>106</v>
      </c>
      <c r="X1381" s="9" t="s">
        <v>106</v>
      </c>
      <c r="Y1381" s="9" t="s">
        <v>106</v>
      </c>
      <c r="Z1381" s="37"/>
      <c r="AA1381" s="37"/>
      <c r="AB1381" s="37"/>
      <c r="AE1381">
        <v>0</v>
      </c>
    </row>
    <row r="1382" spans="1:31" hidden="1">
      <c r="A1382" s="9" t="s">
        <v>1358</v>
      </c>
      <c r="B1382" s="9" t="s">
        <v>1368</v>
      </c>
      <c r="C1382" s="9" t="s">
        <v>105</v>
      </c>
      <c r="D1382" s="9">
        <v>0.72199999999999998</v>
      </c>
      <c r="E1382" s="9" t="s">
        <v>106</v>
      </c>
      <c r="F1382" s="9">
        <v>20.3</v>
      </c>
      <c r="G1382" s="9">
        <v>36.4</v>
      </c>
      <c r="H1382" s="9" t="s">
        <v>106</v>
      </c>
      <c r="I1382" s="9">
        <v>66</v>
      </c>
      <c r="J1382" s="9" t="s">
        <v>107</v>
      </c>
      <c r="K1382" s="9" t="s">
        <v>1310</v>
      </c>
      <c r="L1382" t="str">
        <f>IF(OR(J1382="Cattle",J1382="Zebu Cattle"),IF(COUNTIF(lists!$M$2:$M$258, K1382) &gt; 0,"bos.indicus",IF(COUNTIF(lists!$L$2:$L$258, K1382) &gt; 0,"cross.bred","pure.bred.exotic")),"NA")</f>
        <v>NA</v>
      </c>
      <c r="M1382" t="str">
        <f>IF(J1382="Sheep",IF(COUNTIF(lists!$H$2:$H$258, K1382) &gt; 0,"indigenous",IF(COUNTIF(lists!$G$2:$G$258, K1382) &gt; 0,"cross.bred","not found")),"NA")</f>
        <v>not found</v>
      </c>
      <c r="N1382" t="str">
        <f>IF(J1382="Goat",IF(COUNTIF(lists!$J$2:$J$258, K1382) &gt; 0,"indigenous",IF(COUNTIF(lists!$I$2:$I$258, K1382) &gt; 0,"cross.bred","not found")),"NA")</f>
        <v>NA</v>
      </c>
      <c r="O1382" s="9" t="s">
        <v>109</v>
      </c>
      <c r="P1382" s="9" t="s">
        <v>106</v>
      </c>
      <c r="Q1382" s="9" t="s">
        <v>3804</v>
      </c>
      <c r="S1382" s="9" t="s">
        <v>106</v>
      </c>
      <c r="T1382" s="9" t="s">
        <v>106</v>
      </c>
      <c r="U1382" s="9" t="s">
        <v>106</v>
      </c>
      <c r="V1382" s="9" t="s">
        <v>106</v>
      </c>
      <c r="W1382" s="9" t="s">
        <v>106</v>
      </c>
      <c r="X1382" s="9" t="s">
        <v>106</v>
      </c>
      <c r="Y1382" s="9" t="s">
        <v>106</v>
      </c>
      <c r="Z1382" s="37"/>
      <c r="AA1382" s="37"/>
      <c r="AB1382" s="37"/>
      <c r="AE1382">
        <v>0</v>
      </c>
    </row>
    <row r="1383" spans="1:31" hidden="1">
      <c r="A1383" s="9" t="s">
        <v>1369</v>
      </c>
      <c r="B1383" s="9" t="s">
        <v>1370</v>
      </c>
      <c r="C1383" s="9" t="s">
        <v>105</v>
      </c>
      <c r="D1383" s="9">
        <v>0.52009045692964795</v>
      </c>
      <c r="E1383" s="9">
        <v>2.52</v>
      </c>
      <c r="F1383" s="9">
        <v>19.899999999999999</v>
      </c>
      <c r="G1383" s="9">
        <v>-24.4</v>
      </c>
      <c r="H1383" s="9" t="s">
        <v>106</v>
      </c>
      <c r="I1383" s="9">
        <v>102</v>
      </c>
      <c r="J1383" s="9" t="s">
        <v>107</v>
      </c>
      <c r="K1383" s="9" t="s">
        <v>1345</v>
      </c>
      <c r="L1383" t="str">
        <f>IF(OR(J1383="Cattle",J1383="Zebu Cattle"),IF(COUNTIF(lists!$M$2:$M$258, K1383) &gt; 0,"bos.indicus",IF(COUNTIF(lists!$L$2:$L$258, K1383) &gt; 0,"cross.bred","pure.bred.exotic")),"NA")</f>
        <v>NA</v>
      </c>
      <c r="M1383" t="str">
        <f>IF(J1383="Sheep",IF(COUNTIF(lists!$H$2:$H$258, K1383) &gt; 0,"indigenous",IF(COUNTIF(lists!$G$2:$G$258, K1383) &gt; 0,"cross.bred","not found")),"NA")</f>
        <v>not found</v>
      </c>
      <c r="N1383" t="str">
        <f>IF(J1383="Goat",IF(COUNTIF(lists!$J$2:$J$258, K1383) &gt; 0,"indigenous",IF(COUNTIF(lists!$I$2:$I$258, K1383) &gt; 0,"cross.bred","not found")),"NA")</f>
        <v>NA</v>
      </c>
      <c r="O1383" s="9" t="s">
        <v>109</v>
      </c>
      <c r="P1383" s="9" t="s">
        <v>106</v>
      </c>
      <c r="Q1383" s="9" t="s">
        <v>3806</v>
      </c>
      <c r="S1383" s="9" t="s">
        <v>106</v>
      </c>
      <c r="T1383" s="9" t="s">
        <v>106</v>
      </c>
      <c r="U1383" s="9" t="s">
        <v>106</v>
      </c>
      <c r="V1383" s="9" t="s">
        <v>106</v>
      </c>
      <c r="W1383" s="9" t="s">
        <v>106</v>
      </c>
      <c r="X1383" s="9" t="s">
        <v>106</v>
      </c>
      <c r="Y1383" s="9">
        <v>451</v>
      </c>
      <c r="Z1383" s="37"/>
      <c r="AA1383" s="37"/>
      <c r="AB1383" s="37"/>
      <c r="AE1383">
        <v>0</v>
      </c>
    </row>
    <row r="1384" spans="1:31" hidden="1">
      <c r="A1384" s="9" t="s">
        <v>1369</v>
      </c>
      <c r="B1384" s="9" t="s">
        <v>1371</v>
      </c>
      <c r="C1384" s="9" t="s">
        <v>105</v>
      </c>
      <c r="D1384" s="9">
        <v>0.55800823202663596</v>
      </c>
      <c r="E1384" s="9">
        <v>2.79</v>
      </c>
      <c r="F1384" s="9">
        <v>19.3</v>
      </c>
      <c r="G1384" s="9">
        <v>13.299999999999899</v>
      </c>
      <c r="H1384" s="9" t="s">
        <v>106</v>
      </c>
      <c r="I1384" s="9">
        <v>102</v>
      </c>
      <c r="J1384" s="9" t="s">
        <v>107</v>
      </c>
      <c r="K1384" s="9" t="s">
        <v>1345</v>
      </c>
      <c r="L1384" t="str">
        <f>IF(OR(J1384="Cattle",J1384="Zebu Cattle"),IF(COUNTIF(lists!$M$2:$M$258, K1384) &gt; 0,"bos.indicus",IF(COUNTIF(lists!$L$2:$L$258, K1384) &gt; 0,"cross.bred","pure.bred.exotic")),"NA")</f>
        <v>NA</v>
      </c>
      <c r="M1384" t="str">
        <f>IF(J1384="Sheep",IF(COUNTIF(lists!$H$2:$H$258, K1384) &gt; 0,"indigenous",IF(COUNTIF(lists!$G$2:$G$258, K1384) &gt; 0,"cross.bred","not found")),"NA")</f>
        <v>not found</v>
      </c>
      <c r="N1384" t="str">
        <f>IF(J1384="Goat",IF(COUNTIF(lists!$J$2:$J$258, K1384) &gt; 0,"indigenous",IF(COUNTIF(lists!$I$2:$I$258, K1384) &gt; 0,"cross.bred","not found")),"NA")</f>
        <v>NA</v>
      </c>
      <c r="O1384" s="9" t="s">
        <v>109</v>
      </c>
      <c r="P1384" s="9" t="s">
        <v>106</v>
      </c>
      <c r="Q1384" s="9" t="s">
        <v>3806</v>
      </c>
      <c r="S1384" s="9" t="s">
        <v>106</v>
      </c>
      <c r="T1384" s="9" t="s">
        <v>106</v>
      </c>
      <c r="U1384" s="9" t="s">
        <v>106</v>
      </c>
      <c r="V1384" s="9" t="s">
        <v>106</v>
      </c>
      <c r="W1384" s="9" t="s">
        <v>106</v>
      </c>
      <c r="X1384" s="9" t="s">
        <v>106</v>
      </c>
      <c r="Y1384" s="9">
        <v>447</v>
      </c>
      <c r="Z1384" s="37"/>
      <c r="AA1384" s="37"/>
      <c r="AB1384" s="37"/>
      <c r="AE1384">
        <v>0</v>
      </c>
    </row>
    <row r="1385" spans="1:31" hidden="1">
      <c r="A1385" s="9" t="s">
        <v>1369</v>
      </c>
      <c r="B1385" s="9" t="s">
        <v>1372</v>
      </c>
      <c r="C1385" s="9" t="s">
        <v>105</v>
      </c>
      <c r="D1385" s="9">
        <v>0.59067984957147102</v>
      </c>
      <c r="E1385" s="9">
        <v>2.79</v>
      </c>
      <c r="F1385" s="9">
        <v>19.399999999999999</v>
      </c>
      <c r="G1385" s="9">
        <v>25.9</v>
      </c>
      <c r="H1385" s="9" t="s">
        <v>106</v>
      </c>
      <c r="I1385" s="9">
        <v>102</v>
      </c>
      <c r="J1385" s="9" t="s">
        <v>107</v>
      </c>
      <c r="K1385" s="9" t="s">
        <v>1345</v>
      </c>
      <c r="L1385" t="str">
        <f>IF(OR(J1385="Cattle",J1385="Zebu Cattle"),IF(COUNTIF(lists!$M$2:$M$258, K1385) &gt; 0,"bos.indicus",IF(COUNTIF(lists!$L$2:$L$258, K1385) &gt; 0,"cross.bred","pure.bred.exotic")),"NA")</f>
        <v>NA</v>
      </c>
      <c r="M1385" t="str">
        <f>IF(J1385="Sheep",IF(COUNTIF(lists!$H$2:$H$258, K1385) &gt; 0,"indigenous",IF(COUNTIF(lists!$G$2:$G$258, K1385) &gt; 0,"cross.bred","not found")),"NA")</f>
        <v>not found</v>
      </c>
      <c r="N1385" t="str">
        <f>IF(J1385="Goat",IF(COUNTIF(lists!$J$2:$J$258, K1385) &gt; 0,"indigenous",IF(COUNTIF(lists!$I$2:$I$258, K1385) &gt; 0,"cross.bred","not found")),"NA")</f>
        <v>NA</v>
      </c>
      <c r="O1385" s="9" t="s">
        <v>109</v>
      </c>
      <c r="P1385" s="9" t="s">
        <v>106</v>
      </c>
      <c r="Q1385" s="9" t="s">
        <v>3806</v>
      </c>
      <c r="S1385" s="9" t="s">
        <v>106</v>
      </c>
      <c r="T1385" s="9" t="s">
        <v>106</v>
      </c>
      <c r="U1385" s="9" t="s">
        <v>106</v>
      </c>
      <c r="V1385" s="9" t="s">
        <v>106</v>
      </c>
      <c r="W1385" s="9" t="s">
        <v>106</v>
      </c>
      <c r="X1385" s="9" t="s">
        <v>106</v>
      </c>
      <c r="Y1385" s="9">
        <v>485</v>
      </c>
      <c r="Z1385" s="37"/>
      <c r="AA1385" s="37"/>
      <c r="AB1385" s="37"/>
      <c r="AE1385">
        <v>0</v>
      </c>
    </row>
    <row r="1386" spans="1:31" hidden="1">
      <c r="A1386" s="9" t="s">
        <v>1369</v>
      </c>
      <c r="B1386" s="9" t="s">
        <v>1373</v>
      </c>
      <c r="C1386" s="9" t="s">
        <v>105</v>
      </c>
      <c r="D1386" s="9">
        <v>0.61523280836969296</v>
      </c>
      <c r="E1386" s="9">
        <v>2.79</v>
      </c>
      <c r="F1386" s="9">
        <v>19.5</v>
      </c>
      <c r="G1386" s="9">
        <v>42.3</v>
      </c>
      <c r="H1386" s="9" t="s">
        <v>106</v>
      </c>
      <c r="I1386" s="9">
        <v>102</v>
      </c>
      <c r="J1386" s="9" t="s">
        <v>107</v>
      </c>
      <c r="K1386" s="9" t="s">
        <v>1345</v>
      </c>
      <c r="L1386" t="str">
        <f>IF(OR(J1386="Cattle",J1386="Zebu Cattle"),IF(COUNTIF(lists!$M$2:$M$258, K1386) &gt; 0,"bos.indicus",IF(COUNTIF(lists!$L$2:$L$258, K1386) &gt; 0,"cross.bred","pure.bred.exotic")),"NA")</f>
        <v>NA</v>
      </c>
      <c r="M1386" t="str">
        <f>IF(J1386="Sheep",IF(COUNTIF(lists!$H$2:$H$258, K1386) &gt; 0,"indigenous",IF(COUNTIF(lists!$G$2:$G$258, K1386) &gt; 0,"cross.bred","not found")),"NA")</f>
        <v>not found</v>
      </c>
      <c r="N1386" t="str">
        <f>IF(J1386="Goat",IF(COUNTIF(lists!$J$2:$J$258, K1386) &gt; 0,"indigenous",IF(COUNTIF(lists!$I$2:$I$258, K1386) &gt; 0,"cross.bred","not found")),"NA")</f>
        <v>NA</v>
      </c>
      <c r="O1386" s="9" t="s">
        <v>109</v>
      </c>
      <c r="P1386" s="9" t="s">
        <v>106</v>
      </c>
      <c r="Q1386" s="9" t="s">
        <v>3806</v>
      </c>
      <c r="S1386" s="9" t="s">
        <v>106</v>
      </c>
      <c r="T1386" s="9" t="s">
        <v>106</v>
      </c>
      <c r="U1386" s="9" t="s">
        <v>106</v>
      </c>
      <c r="V1386" s="9" t="s">
        <v>106</v>
      </c>
      <c r="W1386" s="9" t="s">
        <v>106</v>
      </c>
      <c r="X1386" s="9" t="s">
        <v>106</v>
      </c>
      <c r="Y1386" s="9">
        <v>505</v>
      </c>
      <c r="Z1386" s="37"/>
      <c r="AA1386" s="37"/>
      <c r="AB1386" s="37"/>
      <c r="AE1386">
        <v>0</v>
      </c>
    </row>
    <row r="1387" spans="1:31" hidden="1">
      <c r="A1387" s="9" t="s">
        <v>1369</v>
      </c>
      <c r="B1387" s="9" t="s">
        <v>1374</v>
      </c>
      <c r="C1387" s="9" t="s">
        <v>105</v>
      </c>
      <c r="D1387" s="9">
        <v>0.60731871857348396</v>
      </c>
      <c r="E1387" s="9">
        <v>2.79</v>
      </c>
      <c r="F1387" s="9">
        <v>19.399999999999999</v>
      </c>
      <c r="G1387" s="9">
        <v>56.099999999999902</v>
      </c>
      <c r="H1387" s="9" t="s">
        <v>106</v>
      </c>
      <c r="I1387" s="9">
        <v>102</v>
      </c>
      <c r="J1387" s="9" t="s">
        <v>107</v>
      </c>
      <c r="K1387" s="9" t="s">
        <v>1345</v>
      </c>
      <c r="L1387" t="str">
        <f>IF(OR(J1387="Cattle",J1387="Zebu Cattle"),IF(COUNTIF(lists!$M$2:$M$258, K1387) &gt; 0,"bos.indicus",IF(COUNTIF(lists!$L$2:$L$258, K1387) &gt; 0,"cross.bred","pure.bred.exotic")),"NA")</f>
        <v>NA</v>
      </c>
      <c r="M1387" t="str">
        <f>IF(J1387="Sheep",IF(COUNTIF(lists!$H$2:$H$258, K1387) &gt; 0,"indigenous",IF(COUNTIF(lists!$G$2:$G$258, K1387) &gt; 0,"cross.bred","not found")),"NA")</f>
        <v>not found</v>
      </c>
      <c r="N1387" t="str">
        <f>IF(J1387="Goat",IF(COUNTIF(lists!$J$2:$J$258, K1387) &gt; 0,"indigenous",IF(COUNTIF(lists!$I$2:$I$258, K1387) &gt; 0,"cross.bred","not found")),"NA")</f>
        <v>NA</v>
      </c>
      <c r="O1387" s="9" t="s">
        <v>109</v>
      </c>
      <c r="P1387" s="9" t="s">
        <v>106</v>
      </c>
      <c r="Q1387" s="9" t="s">
        <v>3806</v>
      </c>
      <c r="S1387" s="9" t="s">
        <v>106</v>
      </c>
      <c r="T1387" s="9" t="s">
        <v>106</v>
      </c>
      <c r="U1387" s="9" t="s">
        <v>106</v>
      </c>
      <c r="V1387" s="9" t="s">
        <v>106</v>
      </c>
      <c r="W1387" s="9" t="s">
        <v>106</v>
      </c>
      <c r="X1387" s="9" t="s">
        <v>106</v>
      </c>
      <c r="Y1387" s="9">
        <v>489</v>
      </c>
      <c r="Z1387" s="37"/>
      <c r="AA1387" s="37"/>
      <c r="AB1387" s="37"/>
      <c r="AE1387">
        <v>0</v>
      </c>
    </row>
    <row r="1388" spans="1:31" hidden="1">
      <c r="A1388" s="9" t="s">
        <v>1369</v>
      </c>
      <c r="B1388" s="9" t="s">
        <v>1375</v>
      </c>
      <c r="C1388" s="9" t="s">
        <v>105</v>
      </c>
      <c r="D1388" s="9">
        <v>0.533760799929481</v>
      </c>
      <c r="E1388" s="9">
        <v>2.79</v>
      </c>
      <c r="F1388" s="9">
        <v>19.600000000000001</v>
      </c>
      <c r="G1388" s="9">
        <v>8.3000000000000007</v>
      </c>
      <c r="H1388" s="9" t="s">
        <v>106</v>
      </c>
      <c r="I1388" s="9">
        <v>102</v>
      </c>
      <c r="J1388" s="9" t="s">
        <v>107</v>
      </c>
      <c r="K1388" s="9" t="s">
        <v>1345</v>
      </c>
      <c r="L1388" t="str">
        <f>IF(OR(J1388="Cattle",J1388="Zebu Cattle"),IF(COUNTIF(lists!$M$2:$M$258, K1388) &gt; 0,"bos.indicus",IF(COUNTIF(lists!$L$2:$L$258, K1388) &gt; 0,"cross.bred","pure.bred.exotic")),"NA")</f>
        <v>NA</v>
      </c>
      <c r="M1388" t="str">
        <f>IF(J1388="Sheep",IF(COUNTIF(lists!$H$2:$H$258, K1388) &gt; 0,"indigenous",IF(COUNTIF(lists!$G$2:$G$258, K1388) &gt; 0,"cross.bred","not found")),"NA")</f>
        <v>not found</v>
      </c>
      <c r="N1388" t="str">
        <f>IF(J1388="Goat",IF(COUNTIF(lists!$J$2:$J$258, K1388) &gt; 0,"indigenous",IF(COUNTIF(lists!$I$2:$I$258, K1388) &gt; 0,"cross.bred","not found")),"NA")</f>
        <v>NA</v>
      </c>
      <c r="O1388" s="9" t="s">
        <v>109</v>
      </c>
      <c r="P1388" s="9" t="s">
        <v>106</v>
      </c>
      <c r="Q1388" s="9" t="s">
        <v>3806</v>
      </c>
      <c r="S1388" s="9" t="s">
        <v>106</v>
      </c>
      <c r="T1388" s="9" t="s">
        <v>106</v>
      </c>
      <c r="U1388" s="9" t="s">
        <v>106</v>
      </c>
      <c r="V1388" s="9" t="s">
        <v>106</v>
      </c>
      <c r="W1388" s="9" t="s">
        <v>106</v>
      </c>
      <c r="X1388" s="9" t="s">
        <v>106</v>
      </c>
      <c r="Y1388" s="9">
        <v>511</v>
      </c>
      <c r="Z1388" s="37"/>
      <c r="AA1388" s="37"/>
      <c r="AB1388" s="37"/>
      <c r="AE1388">
        <v>0</v>
      </c>
    </row>
    <row r="1389" spans="1:31" hidden="1">
      <c r="A1389" s="9" t="s">
        <v>1369</v>
      </c>
      <c r="B1389" s="9" t="s">
        <v>1376</v>
      </c>
      <c r="C1389" s="9" t="s">
        <v>105</v>
      </c>
      <c r="D1389" s="9">
        <v>0.57741245993668799</v>
      </c>
      <c r="E1389" s="9">
        <v>2.79</v>
      </c>
      <c r="F1389" s="9">
        <v>20.2</v>
      </c>
      <c r="G1389" s="9">
        <v>38.799999999999997</v>
      </c>
      <c r="H1389" s="9" t="s">
        <v>106</v>
      </c>
      <c r="I1389" s="9">
        <v>102</v>
      </c>
      <c r="J1389" s="9" t="s">
        <v>107</v>
      </c>
      <c r="K1389" s="9" t="s">
        <v>1345</v>
      </c>
      <c r="L1389" t="str">
        <f>IF(OR(J1389="Cattle",J1389="Zebu Cattle"),IF(COUNTIF(lists!$M$2:$M$258, K1389) &gt; 0,"bos.indicus",IF(COUNTIF(lists!$L$2:$L$258, K1389) &gt; 0,"cross.bred","pure.bred.exotic")),"NA")</f>
        <v>NA</v>
      </c>
      <c r="M1389" t="str">
        <f>IF(J1389="Sheep",IF(COUNTIF(lists!$H$2:$H$258, K1389) &gt; 0,"indigenous",IF(COUNTIF(lists!$G$2:$G$258, K1389) &gt; 0,"cross.bred","not found")),"NA")</f>
        <v>not found</v>
      </c>
      <c r="N1389" t="str">
        <f>IF(J1389="Goat",IF(COUNTIF(lists!$J$2:$J$258, K1389) &gt; 0,"indigenous",IF(COUNTIF(lists!$I$2:$I$258, K1389) &gt; 0,"cross.bred","not found")),"NA")</f>
        <v>NA</v>
      </c>
      <c r="O1389" s="9" t="s">
        <v>109</v>
      </c>
      <c r="P1389" s="9" t="s">
        <v>106</v>
      </c>
      <c r="Q1389" s="9" t="s">
        <v>3806</v>
      </c>
      <c r="S1389" s="9" t="s">
        <v>106</v>
      </c>
      <c r="T1389" s="9" t="s">
        <v>106</v>
      </c>
      <c r="U1389" s="9" t="s">
        <v>106</v>
      </c>
      <c r="V1389" s="9" t="s">
        <v>106</v>
      </c>
      <c r="W1389" s="9" t="s">
        <v>106</v>
      </c>
      <c r="X1389" s="9" t="s">
        <v>106</v>
      </c>
      <c r="Y1389" s="9">
        <v>469</v>
      </c>
      <c r="Z1389" s="37"/>
      <c r="AA1389" s="37"/>
      <c r="AB1389" s="37"/>
      <c r="AE1389">
        <v>0</v>
      </c>
    </row>
    <row r="1390" spans="1:31" hidden="1">
      <c r="A1390" s="9" t="s">
        <v>1369</v>
      </c>
      <c r="B1390" s="9" t="s">
        <v>1377</v>
      </c>
      <c r="C1390" s="9" t="s">
        <v>105</v>
      </c>
      <c r="D1390" s="9">
        <v>0.58553831384807897</v>
      </c>
      <c r="E1390" s="9">
        <v>2.79</v>
      </c>
      <c r="F1390" s="9">
        <v>19.5</v>
      </c>
      <c r="G1390" s="9">
        <v>60.6</v>
      </c>
      <c r="H1390" s="9" t="s">
        <v>106</v>
      </c>
      <c r="I1390" s="9">
        <v>102</v>
      </c>
      <c r="J1390" s="9" t="s">
        <v>107</v>
      </c>
      <c r="K1390" s="9" t="s">
        <v>1345</v>
      </c>
      <c r="L1390" t="str">
        <f>IF(OR(J1390="Cattle",J1390="Zebu Cattle"),IF(COUNTIF(lists!$M$2:$M$258, K1390) &gt; 0,"bos.indicus",IF(COUNTIF(lists!$L$2:$L$258, K1390) &gt; 0,"cross.bred","pure.bred.exotic")),"NA")</f>
        <v>NA</v>
      </c>
      <c r="M1390" t="str">
        <f>IF(J1390="Sheep",IF(COUNTIF(lists!$H$2:$H$258, K1390) &gt; 0,"indigenous",IF(COUNTIF(lists!$G$2:$G$258, K1390) &gt; 0,"cross.bred","not found")),"NA")</f>
        <v>not found</v>
      </c>
      <c r="N1390" t="str">
        <f>IF(J1390="Goat",IF(COUNTIF(lists!$J$2:$J$258, K1390) &gt; 0,"indigenous",IF(COUNTIF(lists!$I$2:$I$258, K1390) &gt; 0,"cross.bred","not found")),"NA")</f>
        <v>NA</v>
      </c>
      <c r="O1390" s="9" t="s">
        <v>109</v>
      </c>
      <c r="P1390" s="9" t="s">
        <v>106</v>
      </c>
      <c r="Q1390" s="9" t="s">
        <v>3806</v>
      </c>
      <c r="S1390" s="9" t="s">
        <v>106</v>
      </c>
      <c r="T1390" s="9" t="s">
        <v>106</v>
      </c>
      <c r="U1390" s="9" t="s">
        <v>106</v>
      </c>
      <c r="V1390" s="9" t="s">
        <v>106</v>
      </c>
      <c r="W1390" s="9" t="s">
        <v>106</v>
      </c>
      <c r="X1390" s="9" t="s">
        <v>106</v>
      </c>
      <c r="Y1390" s="9">
        <v>443</v>
      </c>
      <c r="Z1390" s="37"/>
      <c r="AA1390" s="37"/>
      <c r="AB1390" s="37"/>
      <c r="AE1390">
        <v>0</v>
      </c>
    </row>
    <row r="1391" spans="1:31" hidden="1">
      <c r="A1391" s="9" t="s">
        <v>1369</v>
      </c>
      <c r="B1391" s="9" t="s">
        <v>1378</v>
      </c>
      <c r="C1391" s="9" t="s">
        <v>105</v>
      </c>
      <c r="D1391" s="9">
        <v>0.55769972523406497</v>
      </c>
      <c r="E1391" s="9">
        <v>2.79</v>
      </c>
      <c r="F1391" s="9">
        <v>19.5</v>
      </c>
      <c r="G1391" s="9">
        <v>65.199999999999903</v>
      </c>
      <c r="H1391" s="9" t="s">
        <v>106</v>
      </c>
      <c r="I1391" s="9">
        <v>102</v>
      </c>
      <c r="J1391" s="9" t="s">
        <v>107</v>
      </c>
      <c r="K1391" s="9" t="s">
        <v>1345</v>
      </c>
      <c r="L1391" t="str">
        <f>IF(OR(J1391="Cattle",J1391="Zebu Cattle"),IF(COUNTIF(lists!$M$2:$M$258, K1391) &gt; 0,"bos.indicus",IF(COUNTIF(lists!$L$2:$L$258, K1391) &gt; 0,"cross.bred","pure.bred.exotic")),"NA")</f>
        <v>NA</v>
      </c>
      <c r="M1391" t="str">
        <f>IF(J1391="Sheep",IF(COUNTIF(lists!$H$2:$H$258, K1391) &gt; 0,"indigenous",IF(COUNTIF(lists!$G$2:$G$258, K1391) &gt; 0,"cross.bred","not found")),"NA")</f>
        <v>not found</v>
      </c>
      <c r="N1391" t="str">
        <f>IF(J1391="Goat",IF(COUNTIF(lists!$J$2:$J$258, K1391) &gt; 0,"indigenous",IF(COUNTIF(lists!$I$2:$I$258, K1391) &gt; 0,"cross.bred","not found")),"NA")</f>
        <v>NA</v>
      </c>
      <c r="O1391" s="9" t="s">
        <v>109</v>
      </c>
      <c r="P1391" s="9" t="s">
        <v>106</v>
      </c>
      <c r="Q1391" s="9" t="s">
        <v>3806</v>
      </c>
      <c r="S1391" s="9" t="s">
        <v>106</v>
      </c>
      <c r="T1391" s="9" t="s">
        <v>106</v>
      </c>
      <c r="U1391" s="9" t="s">
        <v>106</v>
      </c>
      <c r="V1391" s="9" t="s">
        <v>106</v>
      </c>
      <c r="W1391" s="9" t="s">
        <v>106</v>
      </c>
      <c r="X1391" s="9" t="s">
        <v>106</v>
      </c>
      <c r="Y1391" s="9">
        <v>437</v>
      </c>
      <c r="Z1391" s="37"/>
      <c r="AA1391" s="37"/>
      <c r="AB1391" s="37"/>
      <c r="AE1391">
        <v>0</v>
      </c>
    </row>
    <row r="1392" spans="1:31" hidden="1">
      <c r="A1392" s="9" t="s">
        <v>1369</v>
      </c>
      <c r="B1392" s="9" t="s">
        <v>1379</v>
      </c>
      <c r="C1392" s="9" t="s">
        <v>105</v>
      </c>
      <c r="D1392" s="9">
        <v>0.55278020351132995</v>
      </c>
      <c r="E1392" s="9">
        <v>2.79</v>
      </c>
      <c r="F1392" s="9">
        <v>19.399999999999999</v>
      </c>
      <c r="G1392" s="9">
        <v>6.5</v>
      </c>
      <c r="H1392" s="9" t="s">
        <v>106</v>
      </c>
      <c r="I1392" s="9">
        <v>102</v>
      </c>
      <c r="J1392" s="9" t="s">
        <v>107</v>
      </c>
      <c r="K1392" s="9" t="s">
        <v>1345</v>
      </c>
      <c r="L1392" t="str">
        <f>IF(OR(J1392="Cattle",J1392="Zebu Cattle"),IF(COUNTIF(lists!$M$2:$M$258, K1392) &gt; 0,"bos.indicus",IF(COUNTIF(lists!$L$2:$L$258, K1392) &gt; 0,"cross.bred","pure.bred.exotic")),"NA")</f>
        <v>NA</v>
      </c>
      <c r="M1392" t="str">
        <f>IF(J1392="Sheep",IF(COUNTIF(lists!$H$2:$H$258, K1392) &gt; 0,"indigenous",IF(COUNTIF(lists!$G$2:$G$258, K1392) &gt; 0,"cross.bred","not found")),"NA")</f>
        <v>not found</v>
      </c>
      <c r="N1392" t="str">
        <f>IF(J1392="Goat",IF(COUNTIF(lists!$J$2:$J$258, K1392) &gt; 0,"indigenous",IF(COUNTIF(lists!$I$2:$I$258, K1392) &gt; 0,"cross.bred","not found")),"NA")</f>
        <v>NA</v>
      </c>
      <c r="O1392" s="9" t="s">
        <v>109</v>
      </c>
      <c r="P1392" s="9" t="s">
        <v>106</v>
      </c>
      <c r="Q1392" s="9" t="s">
        <v>3806</v>
      </c>
      <c r="S1392" s="9" t="s">
        <v>106</v>
      </c>
      <c r="T1392" s="9" t="s">
        <v>106</v>
      </c>
      <c r="U1392" s="9" t="s">
        <v>106</v>
      </c>
      <c r="V1392" s="9" t="s">
        <v>106</v>
      </c>
      <c r="W1392" s="9" t="s">
        <v>106</v>
      </c>
      <c r="X1392" s="9" t="s">
        <v>106</v>
      </c>
      <c r="Y1392" s="9">
        <v>494</v>
      </c>
      <c r="Z1392" s="37"/>
      <c r="AA1392" s="37"/>
      <c r="AB1392" s="37"/>
      <c r="AE1392">
        <v>0</v>
      </c>
    </row>
    <row r="1393" spans="1:31" hidden="1">
      <c r="A1393" s="9" t="s">
        <v>1369</v>
      </c>
      <c r="B1393" s="9" t="s">
        <v>1380</v>
      </c>
      <c r="C1393" s="9" t="s">
        <v>105</v>
      </c>
      <c r="D1393" s="9">
        <v>0.61059304360069</v>
      </c>
      <c r="E1393" s="9">
        <v>2.79</v>
      </c>
      <c r="F1393" s="9">
        <v>19.5</v>
      </c>
      <c r="G1393" s="9">
        <v>19.099999999999898</v>
      </c>
      <c r="H1393" s="9" t="s">
        <v>106</v>
      </c>
      <c r="I1393" s="9">
        <v>102</v>
      </c>
      <c r="J1393" s="9" t="s">
        <v>107</v>
      </c>
      <c r="K1393" s="9" t="s">
        <v>1345</v>
      </c>
      <c r="L1393" t="str">
        <f>IF(OR(J1393="Cattle",J1393="Zebu Cattle"),IF(COUNTIF(lists!$M$2:$M$258, K1393) &gt; 0,"bos.indicus",IF(COUNTIF(lists!$L$2:$L$258, K1393) &gt; 0,"cross.bred","pure.bred.exotic")),"NA")</f>
        <v>NA</v>
      </c>
      <c r="M1393" t="str">
        <f>IF(J1393="Sheep",IF(COUNTIF(lists!$H$2:$H$258, K1393) &gt; 0,"indigenous",IF(COUNTIF(lists!$G$2:$G$258, K1393) &gt; 0,"cross.bred","not found")),"NA")</f>
        <v>not found</v>
      </c>
      <c r="N1393" t="str">
        <f>IF(J1393="Goat",IF(COUNTIF(lists!$J$2:$J$258, K1393) &gt; 0,"indigenous",IF(COUNTIF(lists!$I$2:$I$258, K1393) &gt; 0,"cross.bred","not found")),"NA")</f>
        <v>NA</v>
      </c>
      <c r="O1393" s="9" t="s">
        <v>109</v>
      </c>
      <c r="P1393" s="9" t="s">
        <v>106</v>
      </c>
      <c r="Q1393" s="9" t="s">
        <v>3806</v>
      </c>
      <c r="S1393" s="9" t="s">
        <v>106</v>
      </c>
      <c r="T1393" s="9" t="s">
        <v>106</v>
      </c>
      <c r="U1393" s="9" t="s">
        <v>106</v>
      </c>
      <c r="V1393" s="9" t="s">
        <v>106</v>
      </c>
      <c r="W1393" s="9" t="s">
        <v>106</v>
      </c>
      <c r="X1393" s="9" t="s">
        <v>106</v>
      </c>
      <c r="Y1393" s="9">
        <v>518</v>
      </c>
      <c r="Z1393" s="37"/>
      <c r="AA1393" s="37"/>
      <c r="AB1393" s="37"/>
      <c r="AE1393">
        <v>0</v>
      </c>
    </row>
    <row r="1394" spans="1:31" hidden="1">
      <c r="A1394" s="9" t="s">
        <v>1369</v>
      </c>
      <c r="B1394" s="9" t="s">
        <v>1381</v>
      </c>
      <c r="C1394" s="9" t="s">
        <v>105</v>
      </c>
      <c r="D1394" s="9">
        <v>0.668956928297192</v>
      </c>
      <c r="E1394" s="9">
        <v>2.79</v>
      </c>
      <c r="F1394" s="9">
        <v>19.899999999999999</v>
      </c>
      <c r="G1394" s="9">
        <v>27.099999999999898</v>
      </c>
      <c r="H1394" s="9" t="s">
        <v>106</v>
      </c>
      <c r="I1394" s="9">
        <v>102</v>
      </c>
      <c r="J1394" s="9" t="s">
        <v>107</v>
      </c>
      <c r="K1394" s="9" t="s">
        <v>1345</v>
      </c>
      <c r="L1394" t="str">
        <f>IF(OR(J1394="Cattle",J1394="Zebu Cattle"),IF(COUNTIF(lists!$M$2:$M$258, K1394) &gt; 0,"bos.indicus",IF(COUNTIF(lists!$L$2:$L$258, K1394) &gt; 0,"cross.bred","pure.bred.exotic")),"NA")</f>
        <v>NA</v>
      </c>
      <c r="M1394" t="str">
        <f>IF(J1394="Sheep",IF(COUNTIF(lists!$H$2:$H$258, K1394) &gt; 0,"indigenous",IF(COUNTIF(lists!$G$2:$G$258, K1394) &gt; 0,"cross.bred","not found")),"NA")</f>
        <v>not found</v>
      </c>
      <c r="N1394" t="str">
        <f>IF(J1394="Goat",IF(COUNTIF(lists!$J$2:$J$258, K1394) &gt; 0,"indigenous",IF(COUNTIF(lists!$I$2:$I$258, K1394) &gt; 0,"cross.bred","not found")),"NA")</f>
        <v>NA</v>
      </c>
      <c r="O1394" s="9" t="s">
        <v>109</v>
      </c>
      <c r="P1394" s="9" t="s">
        <v>106</v>
      </c>
      <c r="Q1394" s="9" t="s">
        <v>3806</v>
      </c>
      <c r="S1394" s="9" t="s">
        <v>106</v>
      </c>
      <c r="T1394" s="9" t="s">
        <v>106</v>
      </c>
      <c r="U1394" s="9" t="s">
        <v>106</v>
      </c>
      <c r="V1394" s="9" t="s">
        <v>106</v>
      </c>
      <c r="W1394" s="9" t="s">
        <v>106</v>
      </c>
      <c r="X1394" s="9" t="s">
        <v>106</v>
      </c>
      <c r="Y1394" s="9">
        <v>507</v>
      </c>
      <c r="Z1394" s="37"/>
      <c r="AA1394" s="37"/>
      <c r="AB1394" s="37"/>
      <c r="AE1394">
        <v>0</v>
      </c>
    </row>
    <row r="1395" spans="1:31" hidden="1">
      <c r="A1395" s="9" t="s">
        <v>1369</v>
      </c>
      <c r="B1395" s="9" t="s">
        <v>1382</v>
      </c>
      <c r="C1395" s="9" t="s">
        <v>105</v>
      </c>
      <c r="D1395" s="9">
        <v>0.68034486586009801</v>
      </c>
      <c r="E1395" s="9">
        <v>2.79</v>
      </c>
      <c r="F1395" s="9">
        <v>19.399999999999999</v>
      </c>
      <c r="G1395" s="9">
        <v>35.1</v>
      </c>
      <c r="H1395" s="9" t="s">
        <v>106</v>
      </c>
      <c r="I1395" s="9">
        <v>102</v>
      </c>
      <c r="J1395" s="9" t="s">
        <v>107</v>
      </c>
      <c r="K1395" s="9" t="s">
        <v>1345</v>
      </c>
      <c r="L1395" t="str">
        <f>IF(OR(J1395="Cattle",J1395="Zebu Cattle"),IF(COUNTIF(lists!$M$2:$M$258, K1395) &gt; 0,"bos.indicus",IF(COUNTIF(lists!$L$2:$L$258, K1395) &gt; 0,"cross.bred","pure.bred.exotic")),"NA")</f>
        <v>NA</v>
      </c>
      <c r="M1395" t="str">
        <f>IF(J1395="Sheep",IF(COUNTIF(lists!$H$2:$H$258, K1395) &gt; 0,"indigenous",IF(COUNTIF(lists!$G$2:$G$258, K1395) &gt; 0,"cross.bred","not found")),"NA")</f>
        <v>not found</v>
      </c>
      <c r="N1395" t="str">
        <f>IF(J1395="Goat",IF(COUNTIF(lists!$J$2:$J$258, K1395) &gt; 0,"indigenous",IF(COUNTIF(lists!$I$2:$I$258, K1395) &gt; 0,"cross.bred","not found")),"NA")</f>
        <v>NA</v>
      </c>
      <c r="O1395" s="9" t="s">
        <v>109</v>
      </c>
      <c r="P1395" s="9" t="s">
        <v>106</v>
      </c>
      <c r="Q1395" s="9" t="s">
        <v>3806</v>
      </c>
      <c r="S1395" s="9" t="s">
        <v>106</v>
      </c>
      <c r="T1395" s="9" t="s">
        <v>106</v>
      </c>
      <c r="U1395" s="9" t="s">
        <v>106</v>
      </c>
      <c r="V1395" s="9" t="s">
        <v>106</v>
      </c>
      <c r="W1395" s="9" t="s">
        <v>106</v>
      </c>
      <c r="X1395" s="9" t="s">
        <v>106</v>
      </c>
      <c r="Y1395" s="9">
        <v>510</v>
      </c>
      <c r="Z1395" s="37"/>
      <c r="AA1395" s="37"/>
      <c r="AB1395" s="37"/>
      <c r="AE1395">
        <v>0</v>
      </c>
    </row>
    <row r="1396" spans="1:31" hidden="1">
      <c r="A1396" s="9" t="s">
        <v>1369</v>
      </c>
      <c r="B1396" s="9" t="s">
        <v>1383</v>
      </c>
      <c r="C1396" s="9" t="s">
        <v>105</v>
      </c>
      <c r="D1396" s="9">
        <v>0.57922488404452399</v>
      </c>
      <c r="E1396" s="9">
        <v>2.79</v>
      </c>
      <c r="F1396" s="9">
        <v>18.899999999999999</v>
      </c>
      <c r="G1396" s="9">
        <v>16</v>
      </c>
      <c r="H1396" s="9" t="s">
        <v>106</v>
      </c>
      <c r="I1396" s="9">
        <v>102</v>
      </c>
      <c r="J1396" s="9" t="s">
        <v>107</v>
      </c>
      <c r="K1396" s="9" t="s">
        <v>1345</v>
      </c>
      <c r="L1396" t="str">
        <f>IF(OR(J1396="Cattle",J1396="Zebu Cattle"),IF(COUNTIF(lists!$M$2:$M$258, K1396) &gt; 0,"bos.indicus",IF(COUNTIF(lists!$L$2:$L$258, K1396) &gt; 0,"cross.bred","pure.bred.exotic")),"NA")</f>
        <v>NA</v>
      </c>
      <c r="M1396" t="str">
        <f>IF(J1396="Sheep",IF(COUNTIF(lists!$H$2:$H$258, K1396) &gt; 0,"indigenous",IF(COUNTIF(lists!$G$2:$G$258, K1396) &gt; 0,"cross.bred","not found")),"NA")</f>
        <v>not found</v>
      </c>
      <c r="N1396" t="str">
        <f>IF(J1396="Goat",IF(COUNTIF(lists!$J$2:$J$258, K1396) &gt; 0,"indigenous",IF(COUNTIF(lists!$I$2:$I$258, K1396) &gt; 0,"cross.bred","not found")),"NA")</f>
        <v>NA</v>
      </c>
      <c r="O1396" s="9" t="s">
        <v>109</v>
      </c>
      <c r="P1396" s="9" t="s">
        <v>106</v>
      </c>
      <c r="Q1396" s="9" t="s">
        <v>3806</v>
      </c>
      <c r="S1396" s="9" t="s">
        <v>106</v>
      </c>
      <c r="T1396" s="9" t="s">
        <v>106</v>
      </c>
      <c r="U1396" s="9" t="s">
        <v>106</v>
      </c>
      <c r="V1396" s="9" t="s">
        <v>106</v>
      </c>
      <c r="W1396" s="9" t="s">
        <v>106</v>
      </c>
      <c r="X1396" s="9" t="s">
        <v>106</v>
      </c>
      <c r="Y1396" s="9">
        <v>485</v>
      </c>
      <c r="Z1396" s="37"/>
      <c r="AA1396" s="37"/>
      <c r="AB1396" s="37"/>
      <c r="AE1396">
        <v>0</v>
      </c>
    </row>
    <row r="1397" spans="1:31" hidden="1">
      <c r="A1397" s="9" t="s">
        <v>1369</v>
      </c>
      <c r="B1397" s="9" t="s">
        <v>1384</v>
      </c>
      <c r="C1397" s="9" t="s">
        <v>105</v>
      </c>
      <c r="D1397" s="9">
        <v>0.58605794151535595</v>
      </c>
      <c r="E1397" s="9">
        <v>2.79</v>
      </c>
      <c r="F1397" s="9">
        <v>19.399999999999999</v>
      </c>
      <c r="G1397" s="9">
        <v>40.5</v>
      </c>
      <c r="H1397" s="9" t="s">
        <v>106</v>
      </c>
      <c r="I1397" s="9">
        <v>102</v>
      </c>
      <c r="J1397" s="9" t="s">
        <v>107</v>
      </c>
      <c r="K1397" s="9" t="s">
        <v>1345</v>
      </c>
      <c r="L1397" t="str">
        <f>IF(OR(J1397="Cattle",J1397="Zebu Cattle"),IF(COUNTIF(lists!$M$2:$M$258, K1397) &gt; 0,"bos.indicus",IF(COUNTIF(lists!$L$2:$L$258, K1397) &gt; 0,"cross.bred","pure.bred.exotic")),"NA")</f>
        <v>NA</v>
      </c>
      <c r="M1397" t="str">
        <f>IF(J1397="Sheep",IF(COUNTIF(lists!$H$2:$H$258, K1397) &gt; 0,"indigenous",IF(COUNTIF(lists!$G$2:$G$258, K1397) &gt; 0,"cross.bred","not found")),"NA")</f>
        <v>not found</v>
      </c>
      <c r="N1397" t="str">
        <f>IF(J1397="Goat",IF(COUNTIF(lists!$J$2:$J$258, K1397) &gt; 0,"indigenous",IF(COUNTIF(lists!$I$2:$I$258, K1397) &gt; 0,"cross.bred","not found")),"NA")</f>
        <v>NA</v>
      </c>
      <c r="O1397" s="9" t="s">
        <v>109</v>
      </c>
      <c r="P1397" s="9" t="s">
        <v>106</v>
      </c>
      <c r="Q1397" s="9" t="s">
        <v>3806</v>
      </c>
      <c r="S1397" s="9" t="s">
        <v>106</v>
      </c>
      <c r="T1397" s="9" t="s">
        <v>106</v>
      </c>
      <c r="U1397" s="9" t="s">
        <v>106</v>
      </c>
      <c r="V1397" s="9" t="s">
        <v>106</v>
      </c>
      <c r="W1397" s="9" t="s">
        <v>106</v>
      </c>
      <c r="X1397" s="9" t="s">
        <v>106</v>
      </c>
      <c r="Y1397" s="9">
        <v>513</v>
      </c>
      <c r="Z1397" s="37"/>
      <c r="AA1397" s="37"/>
      <c r="AB1397" s="37"/>
      <c r="AE1397">
        <v>0</v>
      </c>
    </row>
    <row r="1398" spans="1:31" hidden="1">
      <c r="A1398" s="9" t="s">
        <v>1369</v>
      </c>
      <c r="B1398" s="9" t="s">
        <v>1385</v>
      </c>
      <c r="C1398" s="9" t="s">
        <v>105</v>
      </c>
      <c r="D1398" s="9">
        <v>0.62265643200009602</v>
      </c>
      <c r="E1398" s="9">
        <v>2.79</v>
      </c>
      <c r="F1398" s="9">
        <v>19.5</v>
      </c>
      <c r="G1398" s="9">
        <v>32.5</v>
      </c>
      <c r="H1398" s="9" t="s">
        <v>106</v>
      </c>
      <c r="I1398" s="9">
        <v>102</v>
      </c>
      <c r="J1398" s="9" t="s">
        <v>107</v>
      </c>
      <c r="K1398" s="9" t="s">
        <v>1345</v>
      </c>
      <c r="L1398" t="str">
        <f>IF(OR(J1398="Cattle",J1398="Zebu Cattle"),IF(COUNTIF(lists!$M$2:$M$258, K1398) &gt; 0,"bos.indicus",IF(COUNTIF(lists!$L$2:$L$258, K1398) &gt; 0,"cross.bred","pure.bred.exotic")),"NA")</f>
        <v>NA</v>
      </c>
      <c r="M1398" t="str">
        <f>IF(J1398="Sheep",IF(COUNTIF(lists!$H$2:$H$258, K1398) &gt; 0,"indigenous",IF(COUNTIF(lists!$G$2:$G$258, K1398) &gt; 0,"cross.bred","not found")),"NA")</f>
        <v>not found</v>
      </c>
      <c r="N1398" t="str">
        <f>IF(J1398="Goat",IF(COUNTIF(lists!$J$2:$J$258, K1398) &gt; 0,"indigenous",IF(COUNTIF(lists!$I$2:$I$258, K1398) &gt; 0,"cross.bred","not found")),"NA")</f>
        <v>NA</v>
      </c>
      <c r="O1398" s="9" t="s">
        <v>109</v>
      </c>
      <c r="P1398" s="9" t="s">
        <v>106</v>
      </c>
      <c r="Q1398" s="9" t="s">
        <v>3806</v>
      </c>
      <c r="S1398" s="9" t="s">
        <v>106</v>
      </c>
      <c r="T1398" s="9" t="s">
        <v>106</v>
      </c>
      <c r="U1398" s="9" t="s">
        <v>106</v>
      </c>
      <c r="V1398" s="9" t="s">
        <v>106</v>
      </c>
      <c r="W1398" s="9" t="s">
        <v>106</v>
      </c>
      <c r="X1398" s="9" t="s">
        <v>106</v>
      </c>
      <c r="Y1398" s="9">
        <v>477</v>
      </c>
      <c r="Z1398" s="37"/>
      <c r="AA1398" s="37"/>
      <c r="AB1398" s="37"/>
      <c r="AE1398">
        <v>0</v>
      </c>
    </row>
    <row r="1399" spans="1:31" hidden="1">
      <c r="A1399" s="9" t="s">
        <v>1369</v>
      </c>
      <c r="B1399" s="9" t="s">
        <v>1386</v>
      </c>
      <c r="C1399" s="9" t="s">
        <v>105</v>
      </c>
      <c r="D1399" s="9">
        <v>0.65513478538311198</v>
      </c>
      <c r="E1399" s="9">
        <v>2.79</v>
      </c>
      <c r="F1399" s="9">
        <v>19.5</v>
      </c>
      <c r="G1399" s="9">
        <v>30.8</v>
      </c>
      <c r="H1399" s="9" t="s">
        <v>106</v>
      </c>
      <c r="I1399" s="9">
        <v>102</v>
      </c>
      <c r="J1399" s="9" t="s">
        <v>107</v>
      </c>
      <c r="K1399" s="9" t="s">
        <v>1345</v>
      </c>
      <c r="L1399" t="str">
        <f>IF(OR(J1399="Cattle",J1399="Zebu Cattle"),IF(COUNTIF(lists!$M$2:$M$258, K1399) &gt; 0,"bos.indicus",IF(COUNTIF(lists!$L$2:$L$258, K1399) &gt; 0,"cross.bred","pure.bred.exotic")),"NA")</f>
        <v>NA</v>
      </c>
      <c r="M1399" t="str">
        <f>IF(J1399="Sheep",IF(COUNTIF(lists!$H$2:$H$258, K1399) &gt; 0,"indigenous",IF(COUNTIF(lists!$G$2:$G$258, K1399) &gt; 0,"cross.bred","not found")),"NA")</f>
        <v>not found</v>
      </c>
      <c r="N1399" t="str">
        <f>IF(J1399="Goat",IF(COUNTIF(lists!$J$2:$J$258, K1399) &gt; 0,"indigenous",IF(COUNTIF(lists!$I$2:$I$258, K1399) &gt; 0,"cross.bred","not found")),"NA")</f>
        <v>NA</v>
      </c>
      <c r="O1399" s="9" t="s">
        <v>109</v>
      </c>
      <c r="P1399" s="9" t="s">
        <v>106</v>
      </c>
      <c r="Q1399" s="9" t="s">
        <v>3806</v>
      </c>
      <c r="S1399" s="9" t="s">
        <v>106</v>
      </c>
      <c r="T1399" s="9" t="s">
        <v>106</v>
      </c>
      <c r="U1399" s="9" t="s">
        <v>106</v>
      </c>
      <c r="V1399" s="9" t="s">
        <v>106</v>
      </c>
      <c r="W1399" s="9" t="s">
        <v>106</v>
      </c>
      <c r="X1399" s="9" t="s">
        <v>106</v>
      </c>
      <c r="Y1399" s="9">
        <v>500</v>
      </c>
      <c r="Z1399" s="37"/>
      <c r="AA1399" s="37"/>
      <c r="AB1399" s="37"/>
      <c r="AE1399">
        <v>0</v>
      </c>
    </row>
    <row r="1400" spans="1:31" hidden="1">
      <c r="A1400" s="9" t="s">
        <v>1393</v>
      </c>
      <c r="B1400" s="9" t="s">
        <v>1394</v>
      </c>
      <c r="C1400" s="9" t="s">
        <v>105</v>
      </c>
      <c r="D1400" s="9">
        <v>0.82982</v>
      </c>
      <c r="E1400" s="9">
        <v>11.073</v>
      </c>
      <c r="F1400" s="9">
        <v>17.329999999999998</v>
      </c>
      <c r="G1400" s="9">
        <v>53.62</v>
      </c>
      <c r="H1400" s="9" t="s">
        <v>106</v>
      </c>
      <c r="I1400" s="9">
        <v>20</v>
      </c>
      <c r="J1400" s="9" t="s">
        <v>107</v>
      </c>
      <c r="K1400" s="9" t="s">
        <v>620</v>
      </c>
      <c r="L1400" t="str">
        <f>IF(OR(J1400="Cattle",J1400="Zebu Cattle"),IF(COUNTIF(lists!$M$2:$M$258, K1400) &gt; 0,"bos.indicus",IF(COUNTIF(lists!$L$2:$L$258, K1400) &gt; 0,"cross.bred","pure.bred.exotic")),"NA")</f>
        <v>NA</v>
      </c>
      <c r="M1400" t="str">
        <f>IF(J1400="Sheep",IF(COUNTIF(lists!$H$2:$H$258, K1400) &gt; 0,"indigenous",IF(COUNTIF(lists!$G$2:$G$258, K1400) &gt; 0,"cross.bred","not found")),"NA")</f>
        <v>not found</v>
      </c>
      <c r="N1400" t="str">
        <f>IF(J1400="Goat",IF(COUNTIF(lists!$J$2:$J$258, K1400) &gt; 0,"indigenous",IF(COUNTIF(lists!$I$2:$I$258, K1400) &gt; 0,"cross.bred","not found")),"NA")</f>
        <v>NA</v>
      </c>
      <c r="O1400" s="9" t="s">
        <v>109</v>
      </c>
      <c r="P1400" s="9" t="s">
        <v>106</v>
      </c>
      <c r="Q1400" s="9" t="s">
        <v>3804</v>
      </c>
      <c r="S1400" s="9" t="s">
        <v>106</v>
      </c>
      <c r="T1400" s="9" t="s">
        <v>106</v>
      </c>
      <c r="U1400" s="9">
        <v>57.11</v>
      </c>
      <c r="V1400" s="9" t="s">
        <v>106</v>
      </c>
      <c r="W1400" s="9" t="s">
        <v>106</v>
      </c>
      <c r="X1400" s="9" t="s">
        <v>106</v>
      </c>
      <c r="Y1400" s="9">
        <v>0.44</v>
      </c>
      <c r="Z1400" s="37"/>
      <c r="AA1400" s="37"/>
      <c r="AB1400" s="37"/>
      <c r="AE1400">
        <v>0</v>
      </c>
    </row>
    <row r="1401" spans="1:31" hidden="1">
      <c r="A1401" s="9" t="s">
        <v>1393</v>
      </c>
      <c r="B1401" s="9" t="s">
        <v>1395</v>
      </c>
      <c r="C1401" s="9" t="s">
        <v>105</v>
      </c>
      <c r="D1401" s="9">
        <v>0.70047999999999999</v>
      </c>
      <c r="E1401" s="9">
        <v>11.073</v>
      </c>
      <c r="F1401" s="9">
        <v>17.53</v>
      </c>
      <c r="G1401" s="9">
        <v>63.89</v>
      </c>
      <c r="H1401" s="9" t="s">
        <v>106</v>
      </c>
      <c r="I1401" s="9">
        <v>20</v>
      </c>
      <c r="J1401" s="9" t="s">
        <v>107</v>
      </c>
      <c r="K1401" s="9" t="s">
        <v>620</v>
      </c>
      <c r="L1401" t="str">
        <f>IF(OR(J1401="Cattle",J1401="Zebu Cattle"),IF(COUNTIF(lists!$M$2:$M$258, K1401) &gt; 0,"bos.indicus",IF(COUNTIF(lists!$L$2:$L$258, K1401) &gt; 0,"cross.bred","pure.bred.exotic")),"NA")</f>
        <v>NA</v>
      </c>
      <c r="M1401" t="str">
        <f>IF(J1401="Sheep",IF(COUNTIF(lists!$H$2:$H$258, K1401) &gt; 0,"indigenous",IF(COUNTIF(lists!$G$2:$G$258, K1401) &gt; 0,"cross.bred","not found")),"NA")</f>
        <v>not found</v>
      </c>
      <c r="N1401" t="str">
        <f>IF(J1401="Goat",IF(COUNTIF(lists!$J$2:$J$258, K1401) &gt; 0,"indigenous",IF(COUNTIF(lists!$I$2:$I$258, K1401) &gt; 0,"cross.bred","not found")),"NA")</f>
        <v>NA</v>
      </c>
      <c r="O1401" s="9" t="s">
        <v>109</v>
      </c>
      <c r="P1401" s="9" t="s">
        <v>106</v>
      </c>
      <c r="Q1401" s="9" t="s">
        <v>3804</v>
      </c>
      <c r="S1401" s="9" t="s">
        <v>106</v>
      </c>
      <c r="T1401" s="9" t="s">
        <v>106</v>
      </c>
      <c r="U1401" s="9">
        <v>57.49</v>
      </c>
      <c r="V1401" s="9" t="s">
        <v>106</v>
      </c>
      <c r="W1401" s="9" t="s">
        <v>106</v>
      </c>
      <c r="X1401" s="9" t="s">
        <v>106</v>
      </c>
      <c r="Y1401" s="9">
        <v>0.57999999999999996</v>
      </c>
      <c r="Z1401" s="37"/>
      <c r="AA1401" s="37"/>
      <c r="AB1401" s="37"/>
      <c r="AE1401">
        <v>0</v>
      </c>
    </row>
    <row r="1402" spans="1:31" hidden="1">
      <c r="A1402" s="9" t="s">
        <v>1393</v>
      </c>
      <c r="B1402" s="9" t="s">
        <v>1396</v>
      </c>
      <c r="C1402" s="9" t="s">
        <v>105</v>
      </c>
      <c r="D1402" s="9">
        <v>0.74678</v>
      </c>
      <c r="E1402" s="9">
        <v>11.073</v>
      </c>
      <c r="F1402" s="9">
        <v>17.53</v>
      </c>
      <c r="G1402" s="9">
        <v>56.39</v>
      </c>
      <c r="H1402" s="9" t="s">
        <v>106</v>
      </c>
      <c r="I1402" s="9">
        <v>20</v>
      </c>
      <c r="J1402" s="9" t="s">
        <v>107</v>
      </c>
      <c r="K1402" s="9" t="s">
        <v>620</v>
      </c>
      <c r="L1402" t="str">
        <f>IF(OR(J1402="Cattle",J1402="Zebu Cattle"),IF(COUNTIF(lists!$M$2:$M$258, K1402) &gt; 0,"bos.indicus",IF(COUNTIF(lists!$L$2:$L$258, K1402) &gt; 0,"cross.bred","pure.bred.exotic")),"NA")</f>
        <v>NA</v>
      </c>
      <c r="M1402" t="str">
        <f>IF(J1402="Sheep",IF(COUNTIF(lists!$H$2:$H$258, K1402) &gt; 0,"indigenous",IF(COUNTIF(lists!$G$2:$G$258, K1402) &gt; 0,"cross.bred","not found")),"NA")</f>
        <v>not found</v>
      </c>
      <c r="N1402" t="str">
        <f>IF(J1402="Goat",IF(COUNTIF(lists!$J$2:$J$258, K1402) &gt; 0,"indigenous",IF(COUNTIF(lists!$I$2:$I$258, K1402) &gt; 0,"cross.bred","not found")),"NA")</f>
        <v>NA</v>
      </c>
      <c r="O1402" s="9" t="s">
        <v>109</v>
      </c>
      <c r="P1402" s="9" t="s">
        <v>106</v>
      </c>
      <c r="Q1402" s="9" t="s">
        <v>3804</v>
      </c>
      <c r="S1402" s="9" t="s">
        <v>106</v>
      </c>
      <c r="T1402" s="9" t="s">
        <v>106</v>
      </c>
      <c r="U1402" s="9">
        <v>57.36</v>
      </c>
      <c r="V1402" s="9" t="s">
        <v>106</v>
      </c>
      <c r="W1402" s="9" t="s">
        <v>106</v>
      </c>
      <c r="X1402" s="9" t="s">
        <v>106</v>
      </c>
      <c r="Y1402" s="9">
        <v>0.54</v>
      </c>
      <c r="Z1402" s="37"/>
      <c r="AA1402" s="37"/>
      <c r="AB1402" s="37"/>
      <c r="AE1402">
        <v>0</v>
      </c>
    </row>
    <row r="1403" spans="1:31" hidden="1">
      <c r="A1403" s="9" t="s">
        <v>1393</v>
      </c>
      <c r="B1403" s="9" t="s">
        <v>1397</v>
      </c>
      <c r="C1403" s="9" t="s">
        <v>105</v>
      </c>
      <c r="D1403" s="9">
        <v>0.77427000000000001</v>
      </c>
      <c r="E1403" s="9">
        <v>11.073</v>
      </c>
      <c r="F1403" s="9">
        <v>17.95</v>
      </c>
      <c r="G1403" s="9">
        <v>55.28</v>
      </c>
      <c r="H1403" s="9" t="s">
        <v>106</v>
      </c>
      <c r="I1403" s="9">
        <v>20</v>
      </c>
      <c r="J1403" s="9" t="s">
        <v>107</v>
      </c>
      <c r="K1403" s="9" t="s">
        <v>620</v>
      </c>
      <c r="L1403" t="str">
        <f>IF(OR(J1403="Cattle",J1403="Zebu Cattle"),IF(COUNTIF(lists!$M$2:$M$258, K1403) &gt; 0,"bos.indicus",IF(COUNTIF(lists!$L$2:$L$258, K1403) &gt; 0,"cross.bred","pure.bred.exotic")),"NA")</f>
        <v>NA</v>
      </c>
      <c r="M1403" t="str">
        <f>IF(J1403="Sheep",IF(COUNTIF(lists!$H$2:$H$258, K1403) &gt; 0,"indigenous",IF(COUNTIF(lists!$G$2:$G$258, K1403) &gt; 0,"cross.bred","not found")),"NA")</f>
        <v>not found</v>
      </c>
      <c r="N1403" t="str">
        <f>IF(J1403="Goat",IF(COUNTIF(lists!$J$2:$J$258, K1403) &gt; 0,"indigenous",IF(COUNTIF(lists!$I$2:$I$258, K1403) &gt; 0,"cross.bred","not found")),"NA")</f>
        <v>NA</v>
      </c>
      <c r="O1403" s="9" t="s">
        <v>109</v>
      </c>
      <c r="P1403" s="9" t="s">
        <v>106</v>
      </c>
      <c r="Q1403" s="9" t="s">
        <v>3804</v>
      </c>
      <c r="S1403" s="9" t="s">
        <v>106</v>
      </c>
      <c r="T1403" s="9" t="s">
        <v>106</v>
      </c>
      <c r="U1403" s="9">
        <v>57.23</v>
      </c>
      <c r="V1403" s="9" t="s">
        <v>106</v>
      </c>
      <c r="W1403" s="9" t="s">
        <v>106</v>
      </c>
      <c r="X1403" s="9" t="s">
        <v>106</v>
      </c>
      <c r="Y1403" s="9">
        <v>0.51</v>
      </c>
      <c r="Z1403" s="37"/>
      <c r="AA1403" s="37"/>
      <c r="AB1403" s="37"/>
      <c r="AE1403">
        <v>0</v>
      </c>
    </row>
    <row r="1404" spans="1:31" hidden="1">
      <c r="A1404" s="9" t="s">
        <v>1393</v>
      </c>
      <c r="B1404" s="9" t="s">
        <v>1398</v>
      </c>
      <c r="C1404" s="9" t="s">
        <v>105</v>
      </c>
      <c r="D1404" s="9">
        <v>0.66827000000000003</v>
      </c>
      <c r="E1404" s="9">
        <v>11.073</v>
      </c>
      <c r="F1404" s="9">
        <v>16.28</v>
      </c>
      <c r="G1404" s="9">
        <v>67.5</v>
      </c>
      <c r="H1404" s="9" t="s">
        <v>106</v>
      </c>
      <c r="I1404" s="9">
        <v>20</v>
      </c>
      <c r="J1404" s="9" t="s">
        <v>107</v>
      </c>
      <c r="K1404" s="9" t="s">
        <v>620</v>
      </c>
      <c r="L1404" t="str">
        <f>IF(OR(J1404="Cattle",J1404="Zebu Cattle"),IF(COUNTIF(lists!$M$2:$M$258, K1404) &gt; 0,"bos.indicus",IF(COUNTIF(lists!$L$2:$L$258, K1404) &gt; 0,"cross.bred","pure.bred.exotic")),"NA")</f>
        <v>NA</v>
      </c>
      <c r="M1404" t="str">
        <f>IF(J1404="Sheep",IF(COUNTIF(lists!$H$2:$H$258, K1404) &gt; 0,"indigenous",IF(COUNTIF(lists!$G$2:$G$258, K1404) &gt; 0,"cross.bred","not found")),"NA")</f>
        <v>not found</v>
      </c>
      <c r="N1404" t="str">
        <f>IF(J1404="Goat",IF(COUNTIF(lists!$J$2:$J$258, K1404) &gt; 0,"indigenous",IF(COUNTIF(lists!$I$2:$I$258, K1404) &gt; 0,"cross.bred","not found")),"NA")</f>
        <v>NA</v>
      </c>
      <c r="O1404" s="9" t="s">
        <v>109</v>
      </c>
      <c r="P1404" s="9" t="s">
        <v>106</v>
      </c>
      <c r="Q1404" s="9" t="s">
        <v>3804</v>
      </c>
      <c r="S1404" s="9" t="s">
        <v>106</v>
      </c>
      <c r="T1404" s="9" t="s">
        <v>106</v>
      </c>
      <c r="U1404" s="9">
        <v>57.62</v>
      </c>
      <c r="V1404" s="9" t="s">
        <v>106</v>
      </c>
      <c r="W1404" s="9" t="s">
        <v>106</v>
      </c>
      <c r="X1404" s="9" t="s">
        <v>106</v>
      </c>
      <c r="Y1404" s="9">
        <v>0.66</v>
      </c>
      <c r="Z1404" s="37"/>
      <c r="AA1404" s="37"/>
      <c r="AB1404" s="37"/>
      <c r="AE1404">
        <v>0</v>
      </c>
    </row>
    <row r="1405" spans="1:31" hidden="1">
      <c r="A1405" s="9" t="s">
        <v>1400</v>
      </c>
      <c r="B1405" s="9" t="s">
        <v>1401</v>
      </c>
      <c r="C1405" s="9" t="s">
        <v>105</v>
      </c>
      <c r="D1405" s="9">
        <v>1.54</v>
      </c>
      <c r="E1405" s="9">
        <v>97</v>
      </c>
      <c r="F1405" s="9">
        <v>25.64</v>
      </c>
      <c r="G1405" s="9">
        <v>220</v>
      </c>
      <c r="H1405" s="9" t="s">
        <v>106</v>
      </c>
      <c r="I1405" s="9">
        <v>60</v>
      </c>
      <c r="J1405" s="9" t="s">
        <v>107</v>
      </c>
      <c r="K1405" s="9" t="s">
        <v>1402</v>
      </c>
      <c r="L1405" t="str">
        <f>IF(OR(J1405="Cattle",J1405="Zebu Cattle"),IF(COUNTIF(lists!$M$2:$M$258, K1405) &gt; 0,"bos.indicus",IF(COUNTIF(lists!$L$2:$L$258, K1405) &gt; 0,"cross.bred","pure.bred.exotic")),"NA")</f>
        <v>NA</v>
      </c>
      <c r="M1405" t="str">
        <f>IF(J1405="Sheep",IF(COUNTIF(lists!$H$2:$H$258, K1405) &gt; 0,"indigenous",IF(COUNTIF(lists!$G$2:$G$258, K1405) &gt; 0,"cross.bred","not found")),"NA")</f>
        <v>not found</v>
      </c>
      <c r="N1405" t="str">
        <f>IF(J1405="Goat",IF(COUNTIF(lists!$J$2:$J$258, K1405) &gt; 0,"indigenous",IF(COUNTIF(lists!$I$2:$I$258, K1405) &gt; 0,"cross.bred","not found")),"NA")</f>
        <v>NA</v>
      </c>
      <c r="O1405" s="9" t="s">
        <v>109</v>
      </c>
      <c r="P1405" s="9" t="s">
        <v>106</v>
      </c>
      <c r="Q1405" s="9" t="s">
        <v>3806</v>
      </c>
      <c r="S1405" s="9">
        <v>116.93</v>
      </c>
      <c r="T1405" s="9" t="s">
        <v>106</v>
      </c>
      <c r="U1405" s="9">
        <v>138.80000000000001</v>
      </c>
      <c r="V1405" s="9" t="s">
        <v>106</v>
      </c>
      <c r="W1405" s="9" t="s">
        <v>106</v>
      </c>
      <c r="X1405" s="9">
        <v>285.75</v>
      </c>
      <c r="Y1405" s="9" t="s">
        <v>106</v>
      </c>
      <c r="Z1405" s="37"/>
      <c r="AA1405" s="37"/>
      <c r="AB1405" s="37"/>
      <c r="AE1405">
        <v>0</v>
      </c>
    </row>
    <row r="1406" spans="1:31" hidden="1">
      <c r="A1406" s="9" t="s">
        <v>1400</v>
      </c>
      <c r="B1406" s="9" t="s">
        <v>1403</v>
      </c>
      <c r="C1406" s="9" t="s">
        <v>105</v>
      </c>
      <c r="D1406" s="9">
        <v>1.39</v>
      </c>
      <c r="E1406" s="9">
        <v>108</v>
      </c>
      <c r="F1406" s="9">
        <v>24.61</v>
      </c>
      <c r="G1406" s="9">
        <v>240</v>
      </c>
      <c r="H1406" s="9" t="s">
        <v>106</v>
      </c>
      <c r="I1406" s="9">
        <v>60</v>
      </c>
      <c r="J1406" s="9" t="s">
        <v>107</v>
      </c>
      <c r="K1406" s="9" t="s">
        <v>1402</v>
      </c>
      <c r="L1406" t="str">
        <f>IF(OR(J1406="Cattle",J1406="Zebu Cattle"),IF(COUNTIF(lists!$M$2:$M$258, K1406) &gt; 0,"bos.indicus",IF(COUNTIF(lists!$L$2:$L$258, K1406) &gt; 0,"cross.bred","pure.bred.exotic")),"NA")</f>
        <v>NA</v>
      </c>
      <c r="M1406" t="str">
        <f>IF(J1406="Sheep",IF(COUNTIF(lists!$H$2:$H$258, K1406) &gt; 0,"indigenous",IF(COUNTIF(lists!$G$2:$G$258, K1406) &gt; 0,"cross.bred","not found")),"NA")</f>
        <v>not found</v>
      </c>
      <c r="N1406" t="str">
        <f>IF(J1406="Goat",IF(COUNTIF(lists!$J$2:$J$258, K1406) &gt; 0,"indigenous",IF(COUNTIF(lists!$I$2:$I$258, K1406) &gt; 0,"cross.bred","not found")),"NA")</f>
        <v>NA</v>
      </c>
      <c r="O1406" s="9" t="s">
        <v>109</v>
      </c>
      <c r="P1406" s="9" t="s">
        <v>106</v>
      </c>
      <c r="Q1406" s="9" t="s">
        <v>3806</v>
      </c>
      <c r="S1406" s="9">
        <v>165.33</v>
      </c>
      <c r="T1406" s="9" t="s">
        <v>106</v>
      </c>
      <c r="U1406" s="9">
        <v>138.6</v>
      </c>
      <c r="V1406" s="9" t="s">
        <v>106</v>
      </c>
      <c r="W1406" s="9" t="s">
        <v>106</v>
      </c>
      <c r="X1406" s="9">
        <v>359.58</v>
      </c>
      <c r="Y1406" s="9" t="s">
        <v>106</v>
      </c>
      <c r="Z1406" s="37"/>
      <c r="AA1406" s="37"/>
      <c r="AB1406" s="37"/>
      <c r="AE1406">
        <v>0</v>
      </c>
    </row>
    <row r="1407" spans="1:31" hidden="1">
      <c r="A1407" s="9" t="s">
        <v>1400</v>
      </c>
      <c r="B1407" s="9" t="s">
        <v>1404</v>
      </c>
      <c r="C1407" s="9" t="s">
        <v>105</v>
      </c>
      <c r="D1407" s="9">
        <v>1.51</v>
      </c>
      <c r="E1407" s="9">
        <v>65</v>
      </c>
      <c r="F1407" s="9">
        <v>23.9</v>
      </c>
      <c r="G1407" s="9">
        <v>220</v>
      </c>
      <c r="H1407" s="9" t="s">
        <v>106</v>
      </c>
      <c r="I1407" s="9">
        <v>60</v>
      </c>
      <c r="J1407" s="9" t="s">
        <v>107</v>
      </c>
      <c r="K1407" s="9" t="s">
        <v>1402</v>
      </c>
      <c r="L1407" t="str">
        <f>IF(OR(J1407="Cattle",J1407="Zebu Cattle"),IF(COUNTIF(lists!$M$2:$M$258, K1407) &gt; 0,"bos.indicus",IF(COUNTIF(lists!$L$2:$L$258, K1407) &gt; 0,"cross.bred","pure.bred.exotic")),"NA")</f>
        <v>NA</v>
      </c>
      <c r="M1407" t="str">
        <f>IF(J1407="Sheep",IF(COUNTIF(lists!$H$2:$H$258, K1407) &gt; 0,"indigenous",IF(COUNTIF(lists!$G$2:$G$258, K1407) &gt; 0,"cross.bred","not found")),"NA")</f>
        <v>not found</v>
      </c>
      <c r="N1407" t="str">
        <f>IF(J1407="Goat",IF(COUNTIF(lists!$J$2:$J$258, K1407) &gt; 0,"indigenous",IF(COUNTIF(lists!$I$2:$I$258, K1407) &gt; 0,"cross.bred","not found")),"NA")</f>
        <v>NA</v>
      </c>
      <c r="O1407" s="9" t="s">
        <v>109</v>
      </c>
      <c r="P1407" s="9" t="s">
        <v>106</v>
      </c>
      <c r="Q1407" s="9" t="s">
        <v>3806</v>
      </c>
      <c r="S1407" s="9">
        <v>193.78</v>
      </c>
      <c r="T1407" s="9" t="s">
        <v>106</v>
      </c>
      <c r="U1407" s="9">
        <v>138.39999999999901</v>
      </c>
      <c r="V1407" s="9" t="s">
        <v>106</v>
      </c>
      <c r="W1407" s="9" t="s">
        <v>106</v>
      </c>
      <c r="X1407" s="9">
        <v>402.97500000000002</v>
      </c>
      <c r="Y1407" s="9" t="s">
        <v>106</v>
      </c>
      <c r="Z1407" s="37"/>
      <c r="AA1407" s="37"/>
      <c r="AB1407" s="37"/>
      <c r="AE1407">
        <v>0</v>
      </c>
    </row>
    <row r="1408" spans="1:31" hidden="1">
      <c r="A1408" s="9" t="s">
        <v>1400</v>
      </c>
      <c r="B1408" s="9" t="s">
        <v>1405</v>
      </c>
      <c r="C1408" s="9" t="s">
        <v>105</v>
      </c>
      <c r="D1408" s="9">
        <v>1.59</v>
      </c>
      <c r="E1408" s="9">
        <v>63</v>
      </c>
      <c r="F1408" s="9">
        <v>24.07</v>
      </c>
      <c r="G1408" s="9">
        <v>230</v>
      </c>
      <c r="H1408" s="9" t="s">
        <v>106</v>
      </c>
      <c r="I1408" s="9">
        <v>60</v>
      </c>
      <c r="J1408" s="9" t="s">
        <v>107</v>
      </c>
      <c r="K1408" s="9" t="s">
        <v>1402</v>
      </c>
      <c r="L1408" t="str">
        <f>IF(OR(J1408="Cattle",J1408="Zebu Cattle"),IF(COUNTIF(lists!$M$2:$M$258, K1408) &gt; 0,"bos.indicus",IF(COUNTIF(lists!$L$2:$L$258, K1408) &gt; 0,"cross.bred","pure.bred.exotic")),"NA")</f>
        <v>NA</v>
      </c>
      <c r="M1408" t="str">
        <f>IF(J1408="Sheep",IF(COUNTIF(lists!$H$2:$H$258, K1408) &gt; 0,"indigenous",IF(COUNTIF(lists!$G$2:$G$258, K1408) &gt; 0,"cross.bred","not found")),"NA")</f>
        <v>not found</v>
      </c>
      <c r="N1408" t="str">
        <f>IF(J1408="Goat",IF(COUNTIF(lists!$J$2:$J$258, K1408) &gt; 0,"indigenous",IF(COUNTIF(lists!$I$2:$I$258, K1408) &gt; 0,"cross.bred","not found")),"NA")</f>
        <v>NA</v>
      </c>
      <c r="O1408" s="9" t="s">
        <v>109</v>
      </c>
      <c r="P1408" s="9" t="s">
        <v>106</v>
      </c>
      <c r="Q1408" s="9" t="s">
        <v>3806</v>
      </c>
      <c r="S1408" s="9" t="s">
        <v>106</v>
      </c>
      <c r="T1408" s="9" t="s">
        <v>106</v>
      </c>
      <c r="U1408" s="9" t="s">
        <v>106</v>
      </c>
      <c r="V1408" s="9" t="s">
        <v>106</v>
      </c>
      <c r="W1408" s="9" t="s">
        <v>106</v>
      </c>
      <c r="X1408" s="9" t="s">
        <v>106</v>
      </c>
      <c r="Y1408" s="9" t="s">
        <v>106</v>
      </c>
      <c r="Z1408" s="37"/>
      <c r="AA1408" s="37"/>
      <c r="AB1408" s="37"/>
      <c r="AE1408">
        <v>0</v>
      </c>
    </row>
    <row r="1409" spans="1:31" hidden="1">
      <c r="A1409" s="9" t="s">
        <v>1400</v>
      </c>
      <c r="B1409" s="9" t="s">
        <v>1406</v>
      </c>
      <c r="C1409" s="9" t="s">
        <v>105</v>
      </c>
      <c r="D1409" s="9">
        <v>1.54</v>
      </c>
      <c r="E1409" s="9">
        <v>61</v>
      </c>
      <c r="F1409" s="9">
        <v>25.37</v>
      </c>
      <c r="G1409" s="9">
        <v>240</v>
      </c>
      <c r="H1409" s="9" t="s">
        <v>106</v>
      </c>
      <c r="I1409" s="9">
        <v>60</v>
      </c>
      <c r="J1409" s="9" t="s">
        <v>107</v>
      </c>
      <c r="K1409" s="9" t="s">
        <v>1402</v>
      </c>
      <c r="L1409" t="str">
        <f>IF(OR(J1409="Cattle",J1409="Zebu Cattle"),IF(COUNTIF(lists!$M$2:$M$258, K1409) &gt; 0,"bos.indicus",IF(COUNTIF(lists!$L$2:$L$258, K1409) &gt; 0,"cross.bred","pure.bred.exotic")),"NA")</f>
        <v>NA</v>
      </c>
      <c r="M1409" t="str">
        <f>IF(J1409="Sheep",IF(COUNTIF(lists!$H$2:$H$258, K1409) &gt; 0,"indigenous",IF(COUNTIF(lists!$G$2:$G$258, K1409) &gt; 0,"cross.bred","not found")),"NA")</f>
        <v>not found</v>
      </c>
      <c r="N1409" t="str">
        <f>IF(J1409="Goat",IF(COUNTIF(lists!$J$2:$J$258, K1409) &gt; 0,"indigenous",IF(COUNTIF(lists!$I$2:$I$258, K1409) &gt; 0,"cross.bred","not found")),"NA")</f>
        <v>NA</v>
      </c>
      <c r="O1409" s="9" t="s">
        <v>109</v>
      </c>
      <c r="P1409" s="9" t="s">
        <v>106</v>
      </c>
      <c r="Q1409" s="9" t="s">
        <v>3806</v>
      </c>
      <c r="S1409" s="9">
        <v>143.13</v>
      </c>
      <c r="T1409" s="9" t="s">
        <v>106</v>
      </c>
      <c r="U1409" s="9">
        <v>138.5</v>
      </c>
      <c r="V1409" s="9" t="s">
        <v>106</v>
      </c>
      <c r="W1409" s="9" t="s">
        <v>106</v>
      </c>
      <c r="X1409" s="9">
        <v>325.72000000000003</v>
      </c>
      <c r="Y1409" s="9" t="s">
        <v>106</v>
      </c>
      <c r="Z1409" s="37"/>
      <c r="AA1409" s="37"/>
      <c r="AB1409" s="37"/>
      <c r="AE1409">
        <v>0</v>
      </c>
    </row>
    <row r="1410" spans="1:31" hidden="1">
      <c r="A1410" s="9" t="s">
        <v>1408</v>
      </c>
      <c r="B1410" s="9" t="s">
        <v>1409</v>
      </c>
      <c r="C1410" s="9" t="s">
        <v>105</v>
      </c>
      <c r="D1410" s="9">
        <v>1.0407999999999999</v>
      </c>
      <c r="E1410" s="9">
        <v>81.900000000000006</v>
      </c>
      <c r="F1410" s="9">
        <v>25.9</v>
      </c>
      <c r="G1410" s="9">
        <v>163.6</v>
      </c>
      <c r="H1410" s="9" t="s">
        <v>106</v>
      </c>
      <c r="I1410" s="9">
        <v>36</v>
      </c>
      <c r="J1410" s="9" t="s">
        <v>107</v>
      </c>
      <c r="K1410" s="9" t="s">
        <v>108</v>
      </c>
      <c r="L1410" t="str">
        <f>IF(OR(J1410="Cattle",J1410="Zebu Cattle"),IF(COUNTIF(lists!$M$2:$M$258, K1410) &gt; 0,"bos.indicus",IF(COUNTIF(lists!$L$2:$L$258, K1410) &gt; 0,"cross.bred","pure.bred.exotic")),"NA")</f>
        <v>NA</v>
      </c>
      <c r="M1410" t="str">
        <f>IF(J1410="Sheep",IF(COUNTIF(lists!$H$2:$H$258, K1410) &gt; 0,"indigenous",IF(COUNTIF(lists!$G$2:$G$258, K1410) &gt; 0,"cross.bred","not found")),"NA")</f>
        <v>indigenous</v>
      </c>
      <c r="N1410" t="str">
        <f>IF(J1410="Goat",IF(COUNTIF(lists!$J$2:$J$258, K1410) &gt; 0,"indigenous",IF(COUNTIF(lists!$I$2:$I$258, K1410) &gt; 0,"cross.bred","not found")),"NA")</f>
        <v>NA</v>
      </c>
      <c r="O1410" s="9" t="s">
        <v>109</v>
      </c>
      <c r="P1410" s="9" t="s">
        <v>106</v>
      </c>
      <c r="Q1410" s="9" t="s">
        <v>3804</v>
      </c>
      <c r="S1410" s="9">
        <v>185</v>
      </c>
      <c r="T1410" s="9" t="s">
        <v>106</v>
      </c>
      <c r="U1410" s="9">
        <v>169</v>
      </c>
      <c r="V1410" s="9" t="s">
        <v>106</v>
      </c>
      <c r="W1410" s="9">
        <v>18.899999999999999</v>
      </c>
      <c r="X1410" s="9">
        <v>400</v>
      </c>
      <c r="Y1410" s="9" t="s">
        <v>106</v>
      </c>
      <c r="Z1410" s="37"/>
      <c r="AA1410" s="37"/>
      <c r="AB1410" s="37"/>
      <c r="AE1410">
        <v>0</v>
      </c>
    </row>
    <row r="1411" spans="1:31" hidden="1">
      <c r="A1411" s="9" t="s">
        <v>1408</v>
      </c>
      <c r="B1411" s="9" t="s">
        <v>1410</v>
      </c>
      <c r="C1411" s="9" t="s">
        <v>105</v>
      </c>
      <c r="D1411" s="9">
        <v>1.0529999999999999</v>
      </c>
      <c r="E1411" s="9">
        <v>83.5</v>
      </c>
      <c r="F1411" s="9">
        <v>26.4</v>
      </c>
      <c r="G1411" s="9">
        <v>180.6</v>
      </c>
      <c r="H1411" s="9" t="s">
        <v>106</v>
      </c>
      <c r="I1411" s="9">
        <v>36</v>
      </c>
      <c r="J1411" s="9" t="s">
        <v>107</v>
      </c>
      <c r="K1411" s="9" t="s">
        <v>108</v>
      </c>
      <c r="L1411" t="str">
        <f>IF(OR(J1411="Cattle",J1411="Zebu Cattle"),IF(COUNTIF(lists!$M$2:$M$258, K1411) &gt; 0,"bos.indicus",IF(COUNTIF(lists!$L$2:$L$258, K1411) &gt; 0,"cross.bred","pure.bred.exotic")),"NA")</f>
        <v>NA</v>
      </c>
      <c r="M1411" t="str">
        <f>IF(J1411="Sheep",IF(COUNTIF(lists!$H$2:$H$258, K1411) &gt; 0,"indigenous",IF(COUNTIF(lists!$G$2:$G$258, K1411) &gt; 0,"cross.bred","not found")),"NA")</f>
        <v>indigenous</v>
      </c>
      <c r="N1411" t="str">
        <f>IF(J1411="Goat",IF(COUNTIF(lists!$J$2:$J$258, K1411) &gt; 0,"indigenous",IF(COUNTIF(lists!$I$2:$I$258, K1411) &gt; 0,"cross.bred","not found")),"NA")</f>
        <v>NA</v>
      </c>
      <c r="O1411" s="9" t="s">
        <v>109</v>
      </c>
      <c r="P1411" s="9" t="s">
        <v>106</v>
      </c>
      <c r="Q1411" s="9" t="s">
        <v>3804</v>
      </c>
      <c r="S1411" s="9">
        <v>189</v>
      </c>
      <c r="T1411" s="9" t="s">
        <v>106</v>
      </c>
      <c r="U1411" s="9">
        <v>161</v>
      </c>
      <c r="V1411" s="9" t="s">
        <v>106</v>
      </c>
      <c r="W1411" s="9">
        <v>12.5</v>
      </c>
      <c r="X1411" s="9">
        <v>407</v>
      </c>
      <c r="Y1411" s="9" t="s">
        <v>106</v>
      </c>
      <c r="Z1411" s="37"/>
      <c r="AA1411" s="37"/>
      <c r="AB1411" s="37"/>
      <c r="AE1411">
        <v>0</v>
      </c>
    </row>
    <row r="1412" spans="1:31" hidden="1">
      <c r="A1412" s="9" t="s">
        <v>1408</v>
      </c>
      <c r="B1412" s="9" t="s">
        <v>1411</v>
      </c>
      <c r="C1412" s="9" t="s">
        <v>105</v>
      </c>
      <c r="D1412" s="9">
        <v>0.89019999999999999</v>
      </c>
      <c r="E1412" s="9">
        <v>85.2</v>
      </c>
      <c r="F1412" s="9">
        <v>26.9</v>
      </c>
      <c r="G1412" s="9">
        <v>127.4</v>
      </c>
      <c r="H1412" s="9" t="s">
        <v>106</v>
      </c>
      <c r="I1412" s="9">
        <v>36</v>
      </c>
      <c r="J1412" s="9" t="s">
        <v>107</v>
      </c>
      <c r="K1412" s="9" t="s">
        <v>108</v>
      </c>
      <c r="L1412" t="str">
        <f>IF(OR(J1412="Cattle",J1412="Zebu Cattle"),IF(COUNTIF(lists!$M$2:$M$258, K1412) &gt; 0,"bos.indicus",IF(COUNTIF(lists!$L$2:$L$258, K1412) &gt; 0,"cross.bred","pure.bred.exotic")),"NA")</f>
        <v>NA</v>
      </c>
      <c r="M1412" t="str">
        <f>IF(J1412="Sheep",IF(COUNTIF(lists!$H$2:$H$258, K1412) &gt; 0,"indigenous",IF(COUNTIF(lists!$G$2:$G$258, K1412) &gt; 0,"cross.bred","not found")),"NA")</f>
        <v>indigenous</v>
      </c>
      <c r="N1412" t="str">
        <f>IF(J1412="Goat",IF(COUNTIF(lists!$J$2:$J$258, K1412) &gt; 0,"indigenous",IF(COUNTIF(lists!$I$2:$I$258, K1412) &gt; 0,"cross.bred","not found")),"NA")</f>
        <v>NA</v>
      </c>
      <c r="O1412" s="9" t="s">
        <v>109</v>
      </c>
      <c r="P1412" s="9" t="s">
        <v>106</v>
      </c>
      <c r="Q1412" s="9" t="s">
        <v>3804</v>
      </c>
      <c r="S1412" s="9">
        <v>183</v>
      </c>
      <c r="T1412" s="9" t="s">
        <v>106</v>
      </c>
      <c r="U1412" s="9">
        <v>161</v>
      </c>
      <c r="V1412" s="9" t="s">
        <v>106</v>
      </c>
      <c r="W1412" s="9">
        <v>17.600000000000001</v>
      </c>
      <c r="X1412" s="9">
        <v>405</v>
      </c>
      <c r="Y1412" s="9" t="s">
        <v>106</v>
      </c>
      <c r="Z1412" s="37"/>
      <c r="AA1412" s="37"/>
      <c r="AB1412" s="37"/>
      <c r="AE1412">
        <v>0</v>
      </c>
    </row>
    <row r="1413" spans="1:31" hidden="1">
      <c r="A1413" s="9" t="s">
        <v>1408</v>
      </c>
      <c r="B1413" s="9" t="s">
        <v>1412</v>
      </c>
      <c r="C1413" s="9" t="s">
        <v>105</v>
      </c>
      <c r="D1413" s="9">
        <v>1.0304</v>
      </c>
      <c r="E1413" s="9">
        <v>133.1</v>
      </c>
      <c r="F1413" s="9">
        <v>26.2</v>
      </c>
      <c r="G1413" s="9">
        <v>149.19999999999999</v>
      </c>
      <c r="H1413" s="9" t="s">
        <v>106</v>
      </c>
      <c r="I1413" s="9">
        <v>36</v>
      </c>
      <c r="J1413" s="9" t="s">
        <v>107</v>
      </c>
      <c r="K1413" s="9" t="s">
        <v>108</v>
      </c>
      <c r="L1413" t="str">
        <f>IF(OR(J1413="Cattle",J1413="Zebu Cattle"),IF(COUNTIF(lists!$M$2:$M$258, K1413) &gt; 0,"bos.indicus",IF(COUNTIF(lists!$L$2:$L$258, K1413) &gt; 0,"cross.bred","pure.bred.exotic")),"NA")</f>
        <v>NA</v>
      </c>
      <c r="M1413" t="str">
        <f>IF(J1413="Sheep",IF(COUNTIF(lists!$H$2:$H$258, K1413) &gt; 0,"indigenous",IF(COUNTIF(lists!$G$2:$G$258, K1413) &gt; 0,"cross.bred","not found")),"NA")</f>
        <v>indigenous</v>
      </c>
      <c r="N1413" t="str">
        <f>IF(J1413="Goat",IF(COUNTIF(lists!$J$2:$J$258, K1413) &gt; 0,"indigenous",IF(COUNTIF(lists!$I$2:$I$258, K1413) &gt; 0,"cross.bred","not found")),"NA")</f>
        <v>NA</v>
      </c>
      <c r="O1413" s="9" t="s">
        <v>109</v>
      </c>
      <c r="P1413" s="9" t="s">
        <v>106</v>
      </c>
      <c r="Q1413" s="9" t="s">
        <v>3804</v>
      </c>
      <c r="S1413" s="9">
        <v>191</v>
      </c>
      <c r="T1413" s="9" t="s">
        <v>106</v>
      </c>
      <c r="U1413" s="9">
        <v>155</v>
      </c>
      <c r="V1413" s="9" t="s">
        <v>106</v>
      </c>
      <c r="W1413" s="9">
        <v>17</v>
      </c>
      <c r="X1413" s="9">
        <v>386</v>
      </c>
      <c r="Y1413" s="9" t="s">
        <v>106</v>
      </c>
      <c r="Z1413" s="37"/>
      <c r="AA1413" s="37"/>
      <c r="AB1413" s="37"/>
      <c r="AE1413">
        <v>0</v>
      </c>
    </row>
    <row r="1414" spans="1:31" hidden="1">
      <c r="A1414" s="9" t="s">
        <v>1413</v>
      </c>
      <c r="B1414" s="9" t="s">
        <v>1414</v>
      </c>
      <c r="C1414" s="9" t="s">
        <v>105</v>
      </c>
      <c r="D1414" s="9">
        <v>0.61099999999999999</v>
      </c>
      <c r="E1414" s="9" t="s">
        <v>106</v>
      </c>
      <c r="F1414" s="9">
        <v>19.399999999999999</v>
      </c>
      <c r="G1414" s="9">
        <v>36.200000000000003</v>
      </c>
      <c r="H1414" s="9" t="s">
        <v>106</v>
      </c>
      <c r="I1414" s="9">
        <v>25</v>
      </c>
      <c r="J1414" s="9" t="s">
        <v>107</v>
      </c>
      <c r="K1414" s="9" t="s">
        <v>542</v>
      </c>
      <c r="L1414" t="str">
        <f>IF(OR(J1414="Cattle",J1414="Zebu Cattle"),IF(COUNTIF(lists!$M$2:$M$258, K1414) &gt; 0,"bos.indicus",IF(COUNTIF(lists!$L$2:$L$258, K1414) &gt; 0,"cross.bred","pure.bred.exotic")),"NA")</f>
        <v>NA</v>
      </c>
      <c r="M1414" t="str">
        <f>IF(J1414="Sheep",IF(COUNTIF(lists!$H$2:$H$258, K1414) &gt; 0,"indigenous",IF(COUNTIF(lists!$G$2:$G$258, K1414) &gt; 0,"cross.bred","not found")),"NA")</f>
        <v>not found</v>
      </c>
      <c r="N1414" t="str">
        <f>IF(J1414="Goat",IF(COUNTIF(lists!$J$2:$J$258, K1414) &gt; 0,"indigenous",IF(COUNTIF(lists!$I$2:$I$258, K1414) &gt; 0,"cross.bred","not found")),"NA")</f>
        <v>NA</v>
      </c>
      <c r="O1414" s="9" t="s">
        <v>109</v>
      </c>
      <c r="P1414" s="9" t="s">
        <v>106</v>
      </c>
      <c r="Q1414" s="9" t="s">
        <v>3804</v>
      </c>
      <c r="S1414" s="9" t="s">
        <v>106</v>
      </c>
      <c r="T1414" s="9" t="s">
        <v>106</v>
      </c>
      <c r="U1414" s="9" t="s">
        <v>106</v>
      </c>
      <c r="V1414" s="9" t="s">
        <v>106</v>
      </c>
      <c r="W1414" s="9" t="s">
        <v>106</v>
      </c>
      <c r="X1414" s="9" t="s">
        <v>106</v>
      </c>
      <c r="Y1414" s="9">
        <v>0.56999999999999995</v>
      </c>
      <c r="Z1414" s="37"/>
      <c r="AA1414" s="37"/>
      <c r="AB1414" s="37"/>
      <c r="AE1414">
        <v>0</v>
      </c>
    </row>
    <row r="1415" spans="1:31" hidden="1">
      <c r="A1415" s="9" t="s">
        <v>1413</v>
      </c>
      <c r="B1415" s="9" t="s">
        <v>1415</v>
      </c>
      <c r="C1415" s="9" t="s">
        <v>105</v>
      </c>
      <c r="D1415" s="9">
        <v>0.8</v>
      </c>
      <c r="E1415" s="9" t="s">
        <v>106</v>
      </c>
      <c r="F1415" s="9">
        <v>18.899999999999999</v>
      </c>
      <c r="G1415" s="9">
        <v>99.5</v>
      </c>
      <c r="H1415" s="9" t="s">
        <v>106</v>
      </c>
      <c r="I1415" s="9">
        <v>25</v>
      </c>
      <c r="J1415" s="9" t="s">
        <v>107</v>
      </c>
      <c r="K1415" s="9" t="s">
        <v>542</v>
      </c>
      <c r="L1415" t="str">
        <f>IF(OR(J1415="Cattle",J1415="Zebu Cattle"),IF(COUNTIF(lists!$M$2:$M$258, K1415) &gt; 0,"bos.indicus",IF(COUNTIF(lists!$L$2:$L$258, K1415) &gt; 0,"cross.bred","pure.bred.exotic")),"NA")</f>
        <v>NA</v>
      </c>
      <c r="M1415" t="str">
        <f>IF(J1415="Sheep",IF(COUNTIF(lists!$H$2:$H$258, K1415) &gt; 0,"indigenous",IF(COUNTIF(lists!$G$2:$G$258, K1415) &gt; 0,"cross.bred","not found")),"NA")</f>
        <v>not found</v>
      </c>
      <c r="N1415" t="str">
        <f>IF(J1415="Goat",IF(COUNTIF(lists!$J$2:$J$258, K1415) &gt; 0,"indigenous",IF(COUNTIF(lists!$I$2:$I$258, K1415) &gt; 0,"cross.bred","not found")),"NA")</f>
        <v>NA</v>
      </c>
      <c r="O1415" s="9" t="s">
        <v>109</v>
      </c>
      <c r="P1415" s="9" t="s">
        <v>106</v>
      </c>
      <c r="Q1415" s="9" t="s">
        <v>3804</v>
      </c>
      <c r="S1415" s="9" t="s">
        <v>106</v>
      </c>
      <c r="T1415" s="9" t="s">
        <v>106</v>
      </c>
      <c r="U1415" s="9" t="s">
        <v>106</v>
      </c>
      <c r="V1415" s="9" t="s">
        <v>106</v>
      </c>
      <c r="W1415" s="9" t="s">
        <v>106</v>
      </c>
      <c r="X1415" s="9" t="s">
        <v>106</v>
      </c>
      <c r="Y1415" s="9">
        <v>0.62</v>
      </c>
      <c r="Z1415" s="37"/>
      <c r="AA1415" s="37"/>
      <c r="AB1415" s="37"/>
      <c r="AE1415">
        <v>0</v>
      </c>
    </row>
    <row r="1416" spans="1:31" hidden="1">
      <c r="A1416" s="9" t="s">
        <v>1413</v>
      </c>
      <c r="B1416" s="9" t="s">
        <v>1416</v>
      </c>
      <c r="C1416" s="9" t="s">
        <v>105</v>
      </c>
      <c r="D1416" s="9">
        <v>0.8</v>
      </c>
      <c r="E1416" s="9" t="s">
        <v>106</v>
      </c>
      <c r="F1416" s="9">
        <v>18.899999999999999</v>
      </c>
      <c r="G1416" s="9">
        <v>99.5</v>
      </c>
      <c r="H1416" s="9" t="s">
        <v>106</v>
      </c>
      <c r="I1416" s="9">
        <v>25</v>
      </c>
      <c r="J1416" s="9" t="s">
        <v>107</v>
      </c>
      <c r="K1416" s="9" t="s">
        <v>542</v>
      </c>
      <c r="L1416" t="str">
        <f>IF(OR(J1416="Cattle",J1416="Zebu Cattle"),IF(COUNTIF(lists!$M$2:$M$258, K1416) &gt; 0,"bos.indicus",IF(COUNTIF(lists!$L$2:$L$258, K1416) &gt; 0,"cross.bred","pure.bred.exotic")),"NA")</f>
        <v>NA</v>
      </c>
      <c r="M1416" t="str">
        <f>IF(J1416="Sheep",IF(COUNTIF(lists!$H$2:$H$258, K1416) &gt; 0,"indigenous",IF(COUNTIF(lists!$G$2:$G$258, K1416) &gt; 0,"cross.bred","not found")),"NA")</f>
        <v>not found</v>
      </c>
      <c r="N1416" t="str">
        <f>IF(J1416="Goat",IF(COUNTIF(lists!$J$2:$J$258, K1416) &gt; 0,"indigenous",IF(COUNTIF(lists!$I$2:$I$258, K1416) &gt; 0,"cross.bred","not found")),"NA")</f>
        <v>NA</v>
      </c>
      <c r="O1416" s="9" t="s">
        <v>109</v>
      </c>
      <c r="P1416" s="9" t="s">
        <v>106</v>
      </c>
      <c r="Q1416" s="9" t="s">
        <v>3804</v>
      </c>
      <c r="S1416" s="9" t="s">
        <v>106</v>
      </c>
      <c r="T1416" s="9" t="s">
        <v>106</v>
      </c>
      <c r="U1416" s="9" t="s">
        <v>106</v>
      </c>
      <c r="V1416" s="9" t="s">
        <v>106</v>
      </c>
      <c r="W1416" s="9" t="s">
        <v>106</v>
      </c>
      <c r="X1416" s="9" t="s">
        <v>106</v>
      </c>
      <c r="Y1416" s="9">
        <v>0.62</v>
      </c>
      <c r="Z1416" s="37"/>
      <c r="AA1416" s="37"/>
      <c r="AB1416" s="37"/>
      <c r="AE1416">
        <v>0</v>
      </c>
    </row>
    <row r="1417" spans="1:31" hidden="1">
      <c r="A1417" s="9" t="s">
        <v>1413</v>
      </c>
      <c r="B1417" s="9" t="s">
        <v>1417</v>
      </c>
      <c r="C1417" s="9" t="s">
        <v>105</v>
      </c>
      <c r="D1417" s="9">
        <v>0.81799999999999995</v>
      </c>
      <c r="E1417" s="9" t="s">
        <v>106</v>
      </c>
      <c r="F1417" s="9">
        <v>19.100000000000001</v>
      </c>
      <c r="G1417" s="9">
        <v>74</v>
      </c>
      <c r="H1417" s="9" t="s">
        <v>106</v>
      </c>
      <c r="I1417" s="9">
        <v>25</v>
      </c>
      <c r="J1417" s="9" t="s">
        <v>107</v>
      </c>
      <c r="K1417" s="9" t="s">
        <v>542</v>
      </c>
      <c r="L1417" t="str">
        <f>IF(OR(J1417="Cattle",J1417="Zebu Cattle"),IF(COUNTIF(lists!$M$2:$M$258, K1417) &gt; 0,"bos.indicus",IF(COUNTIF(lists!$L$2:$L$258, K1417) &gt; 0,"cross.bred","pure.bred.exotic")),"NA")</f>
        <v>NA</v>
      </c>
      <c r="M1417" t="str">
        <f>IF(J1417="Sheep",IF(COUNTIF(lists!$H$2:$H$258, K1417) &gt; 0,"indigenous",IF(COUNTIF(lists!$G$2:$G$258, K1417) &gt; 0,"cross.bred","not found")),"NA")</f>
        <v>not found</v>
      </c>
      <c r="N1417" t="str">
        <f>IF(J1417="Goat",IF(COUNTIF(lists!$J$2:$J$258, K1417) &gt; 0,"indigenous",IF(COUNTIF(lists!$I$2:$I$258, K1417) &gt; 0,"cross.bred","not found")),"NA")</f>
        <v>NA</v>
      </c>
      <c r="O1417" s="9" t="s">
        <v>109</v>
      </c>
      <c r="P1417" s="9" t="s">
        <v>106</v>
      </c>
      <c r="Q1417" s="9" t="s">
        <v>3804</v>
      </c>
      <c r="S1417" s="9" t="s">
        <v>106</v>
      </c>
      <c r="T1417" s="9" t="s">
        <v>106</v>
      </c>
      <c r="U1417" s="9" t="s">
        <v>106</v>
      </c>
      <c r="V1417" s="9" t="s">
        <v>106</v>
      </c>
      <c r="W1417" s="9" t="s">
        <v>106</v>
      </c>
      <c r="X1417" s="9" t="s">
        <v>106</v>
      </c>
      <c r="Y1417" s="9">
        <v>0.63</v>
      </c>
      <c r="Z1417" s="37"/>
      <c r="AA1417" s="37"/>
      <c r="AB1417" s="37"/>
      <c r="AE1417">
        <v>0</v>
      </c>
    </row>
    <row r="1418" spans="1:31" hidden="1">
      <c r="A1418" s="9" t="s">
        <v>1413</v>
      </c>
      <c r="B1418" s="9" t="s">
        <v>1418</v>
      </c>
      <c r="C1418" s="9" t="s">
        <v>105</v>
      </c>
      <c r="D1418" s="9">
        <v>0.81499999999999995</v>
      </c>
      <c r="E1418" s="9" t="s">
        <v>106</v>
      </c>
      <c r="F1418" s="9">
        <v>19.100000000000001</v>
      </c>
      <c r="G1418" s="9">
        <v>96.6</v>
      </c>
      <c r="H1418" s="9" t="s">
        <v>106</v>
      </c>
      <c r="I1418" s="9">
        <v>25</v>
      </c>
      <c r="J1418" s="9" t="s">
        <v>107</v>
      </c>
      <c r="K1418" s="9" t="s">
        <v>542</v>
      </c>
      <c r="L1418" t="str">
        <f>IF(OR(J1418="Cattle",J1418="Zebu Cattle"),IF(COUNTIF(lists!$M$2:$M$258, K1418) &gt; 0,"bos.indicus",IF(COUNTIF(lists!$L$2:$L$258, K1418) &gt; 0,"cross.bred","pure.bred.exotic")),"NA")</f>
        <v>NA</v>
      </c>
      <c r="M1418" t="str">
        <f>IF(J1418="Sheep",IF(COUNTIF(lists!$H$2:$H$258, K1418) &gt; 0,"indigenous",IF(COUNTIF(lists!$G$2:$G$258, K1418) &gt; 0,"cross.bred","not found")),"NA")</f>
        <v>not found</v>
      </c>
      <c r="N1418" t="str">
        <f>IF(J1418="Goat",IF(COUNTIF(lists!$J$2:$J$258, K1418) &gt; 0,"indigenous",IF(COUNTIF(lists!$I$2:$I$258, K1418) &gt; 0,"cross.bred","not found")),"NA")</f>
        <v>NA</v>
      </c>
      <c r="O1418" s="9" t="s">
        <v>109</v>
      </c>
      <c r="P1418" s="9" t="s">
        <v>106</v>
      </c>
      <c r="Q1418" s="9" t="s">
        <v>3804</v>
      </c>
      <c r="S1418" s="9" t="s">
        <v>106</v>
      </c>
      <c r="T1418" s="9" t="s">
        <v>106</v>
      </c>
      <c r="U1418" s="9" t="s">
        <v>106</v>
      </c>
      <c r="V1418" s="9" t="s">
        <v>106</v>
      </c>
      <c r="W1418" s="9" t="s">
        <v>106</v>
      </c>
      <c r="X1418" s="9" t="s">
        <v>106</v>
      </c>
      <c r="Y1418" s="9">
        <v>0.61</v>
      </c>
      <c r="Z1418" s="37"/>
      <c r="AA1418" s="37"/>
      <c r="AB1418" s="37"/>
      <c r="AE1418">
        <v>0</v>
      </c>
    </row>
    <row r="1419" spans="1:31" hidden="1">
      <c r="A1419" s="9" t="s">
        <v>1413</v>
      </c>
      <c r="B1419" s="9" t="s">
        <v>1419</v>
      </c>
      <c r="C1419" s="9" t="s">
        <v>105</v>
      </c>
      <c r="D1419" s="9">
        <v>0.82099999999999995</v>
      </c>
      <c r="E1419" s="9" t="s">
        <v>106</v>
      </c>
      <c r="F1419" s="9">
        <v>19</v>
      </c>
      <c r="G1419" s="9">
        <v>80</v>
      </c>
      <c r="H1419" s="9" t="s">
        <v>106</v>
      </c>
      <c r="I1419" s="9">
        <v>25</v>
      </c>
      <c r="J1419" s="9" t="s">
        <v>107</v>
      </c>
      <c r="K1419" s="9" t="s">
        <v>542</v>
      </c>
      <c r="L1419" t="str">
        <f>IF(OR(J1419="Cattle",J1419="Zebu Cattle"),IF(COUNTIF(lists!$M$2:$M$258, K1419) &gt; 0,"bos.indicus",IF(COUNTIF(lists!$L$2:$L$258, K1419) &gt; 0,"cross.bred","pure.bred.exotic")),"NA")</f>
        <v>NA</v>
      </c>
      <c r="M1419" t="str">
        <f>IF(J1419="Sheep",IF(COUNTIF(lists!$H$2:$H$258, K1419) &gt; 0,"indigenous",IF(COUNTIF(lists!$G$2:$G$258, K1419) &gt; 0,"cross.bred","not found")),"NA")</f>
        <v>not found</v>
      </c>
      <c r="N1419" t="str">
        <f>IF(J1419="Goat",IF(COUNTIF(lists!$J$2:$J$258, K1419) &gt; 0,"indigenous",IF(COUNTIF(lists!$I$2:$I$258, K1419) &gt; 0,"cross.bred","not found")),"NA")</f>
        <v>NA</v>
      </c>
      <c r="O1419" s="9" t="s">
        <v>109</v>
      </c>
      <c r="P1419" s="9" t="s">
        <v>106</v>
      </c>
      <c r="Q1419" s="9" t="s">
        <v>3804</v>
      </c>
      <c r="S1419" s="9" t="s">
        <v>106</v>
      </c>
      <c r="T1419" s="9" t="s">
        <v>106</v>
      </c>
      <c r="U1419" s="9" t="s">
        <v>106</v>
      </c>
      <c r="V1419" s="9" t="s">
        <v>106</v>
      </c>
      <c r="W1419" s="9" t="s">
        <v>106</v>
      </c>
      <c r="X1419" s="9" t="s">
        <v>106</v>
      </c>
      <c r="Y1419" s="9">
        <v>0.62</v>
      </c>
      <c r="Z1419" s="37"/>
      <c r="AA1419" s="37"/>
      <c r="AB1419" s="37"/>
      <c r="AE1419">
        <v>0</v>
      </c>
    </row>
    <row r="1420" spans="1:31" hidden="1">
      <c r="A1420" s="9" t="s">
        <v>1413</v>
      </c>
      <c r="B1420" s="9" t="s">
        <v>1420</v>
      </c>
      <c r="C1420" s="9" t="s">
        <v>105</v>
      </c>
      <c r="D1420" s="9">
        <v>0.81799999999999995</v>
      </c>
      <c r="E1420" s="9" t="s">
        <v>106</v>
      </c>
      <c r="F1420" s="9">
        <v>19.100000000000001</v>
      </c>
      <c r="G1420" s="9">
        <v>74</v>
      </c>
      <c r="H1420" s="9" t="s">
        <v>106</v>
      </c>
      <c r="I1420" s="9">
        <v>25</v>
      </c>
      <c r="J1420" s="9" t="s">
        <v>107</v>
      </c>
      <c r="K1420" s="9" t="s">
        <v>542</v>
      </c>
      <c r="L1420" t="str">
        <f>IF(OR(J1420="Cattle",J1420="Zebu Cattle"),IF(COUNTIF(lists!$M$2:$M$258, K1420) &gt; 0,"bos.indicus",IF(COUNTIF(lists!$L$2:$L$258, K1420) &gt; 0,"cross.bred","pure.bred.exotic")),"NA")</f>
        <v>NA</v>
      </c>
      <c r="M1420" t="str">
        <f>IF(J1420="Sheep",IF(COUNTIF(lists!$H$2:$H$258, K1420) &gt; 0,"indigenous",IF(COUNTIF(lists!$G$2:$G$258, K1420) &gt; 0,"cross.bred","not found")),"NA")</f>
        <v>not found</v>
      </c>
      <c r="N1420" t="str">
        <f>IF(J1420="Goat",IF(COUNTIF(lists!$J$2:$J$258, K1420) &gt; 0,"indigenous",IF(COUNTIF(lists!$I$2:$I$258, K1420) &gt; 0,"cross.bred","not found")),"NA")</f>
        <v>NA</v>
      </c>
      <c r="O1420" s="9" t="s">
        <v>109</v>
      </c>
      <c r="P1420" s="9" t="s">
        <v>106</v>
      </c>
      <c r="Q1420" s="9" t="s">
        <v>3804</v>
      </c>
      <c r="S1420" s="9" t="s">
        <v>106</v>
      </c>
      <c r="T1420" s="9" t="s">
        <v>106</v>
      </c>
      <c r="U1420" s="9" t="s">
        <v>106</v>
      </c>
      <c r="V1420" s="9" t="s">
        <v>106</v>
      </c>
      <c r="W1420" s="9" t="s">
        <v>106</v>
      </c>
      <c r="X1420" s="9" t="s">
        <v>106</v>
      </c>
      <c r="Y1420" s="9">
        <v>0.63</v>
      </c>
      <c r="Z1420" s="37"/>
      <c r="AA1420" s="37"/>
      <c r="AB1420" s="37"/>
      <c r="AE1420">
        <v>0</v>
      </c>
    </row>
    <row r="1421" spans="1:31" hidden="1">
      <c r="A1421" s="9" t="s">
        <v>1428</v>
      </c>
      <c r="B1421" s="9" t="s">
        <v>119</v>
      </c>
      <c r="C1421" s="9" t="s">
        <v>105</v>
      </c>
      <c r="D1421" s="9">
        <v>0.65</v>
      </c>
      <c r="E1421" s="9">
        <v>7</v>
      </c>
      <c r="F1421" s="9">
        <v>13.7</v>
      </c>
      <c r="G1421" s="9">
        <v>82</v>
      </c>
      <c r="H1421" s="9" t="s">
        <v>106</v>
      </c>
      <c r="I1421" s="9">
        <v>16</v>
      </c>
      <c r="J1421" s="9" t="s">
        <v>107</v>
      </c>
      <c r="K1421" s="9" t="s">
        <v>138</v>
      </c>
      <c r="L1421" t="str">
        <f>IF(OR(J1421="Cattle",J1421="Zebu Cattle"),IF(COUNTIF(lists!$M$2:$M$258, K1421) &gt; 0,"bos.indicus",IF(COUNTIF(lists!$L$2:$L$258, K1421) &gt; 0,"cross.bred","pure.bred.exotic")),"NA")</f>
        <v>NA</v>
      </c>
      <c r="M1421" t="str">
        <f>IF(J1421="Sheep",IF(COUNTIF(lists!$H$2:$H$258, K1421) &gt; 0,"indigenous",IF(COUNTIF(lists!$G$2:$G$258, K1421) &gt; 0,"cross.bred","not found")),"NA")</f>
        <v>not found</v>
      </c>
      <c r="N1421" t="str">
        <f>IF(J1421="Goat",IF(COUNTIF(lists!$J$2:$J$258, K1421) &gt; 0,"indigenous",IF(COUNTIF(lists!$I$2:$I$258, K1421) &gt; 0,"cross.bred","not found")),"NA")</f>
        <v>NA</v>
      </c>
      <c r="O1421" s="9" t="s">
        <v>109</v>
      </c>
      <c r="P1421" s="9" t="s">
        <v>106</v>
      </c>
      <c r="Q1421" s="9" t="s">
        <v>3806</v>
      </c>
      <c r="S1421" s="9">
        <v>180</v>
      </c>
      <c r="T1421" s="9" t="s">
        <v>106</v>
      </c>
      <c r="U1421" s="9">
        <v>14</v>
      </c>
      <c r="V1421" s="9">
        <v>890</v>
      </c>
      <c r="W1421" s="9">
        <v>37</v>
      </c>
      <c r="X1421" s="9">
        <v>320</v>
      </c>
      <c r="Y1421" s="9">
        <v>660</v>
      </c>
      <c r="Z1421" s="37"/>
      <c r="AA1421" s="37"/>
      <c r="AB1421" s="37"/>
      <c r="AE1421">
        <v>0</v>
      </c>
    </row>
    <row r="1422" spans="1:31" hidden="1">
      <c r="A1422" s="9" t="s">
        <v>1428</v>
      </c>
      <c r="B1422" s="9" t="s">
        <v>1429</v>
      </c>
      <c r="C1422" s="9" t="s">
        <v>105</v>
      </c>
      <c r="D1422" s="9">
        <v>0.68500000000000005</v>
      </c>
      <c r="E1422" s="9">
        <v>7</v>
      </c>
      <c r="F1422" s="9">
        <v>13.8</v>
      </c>
      <c r="G1422" s="9">
        <v>95</v>
      </c>
      <c r="H1422" s="9" t="s">
        <v>106</v>
      </c>
      <c r="I1422" s="9">
        <v>16</v>
      </c>
      <c r="J1422" s="9" t="s">
        <v>107</v>
      </c>
      <c r="K1422" s="9" t="s">
        <v>138</v>
      </c>
      <c r="L1422" t="str">
        <f>IF(OR(J1422="Cattle",J1422="Zebu Cattle"),IF(COUNTIF(lists!$M$2:$M$258, K1422) &gt; 0,"bos.indicus",IF(COUNTIF(lists!$L$2:$L$258, K1422) &gt; 0,"cross.bred","pure.bred.exotic")),"NA")</f>
        <v>NA</v>
      </c>
      <c r="M1422" t="str">
        <f>IF(J1422="Sheep",IF(COUNTIF(lists!$H$2:$H$258, K1422) &gt; 0,"indigenous",IF(COUNTIF(lists!$G$2:$G$258, K1422) &gt; 0,"cross.bred","not found")),"NA")</f>
        <v>not found</v>
      </c>
      <c r="N1422" t="str">
        <f>IF(J1422="Goat",IF(COUNTIF(lists!$J$2:$J$258, K1422) &gt; 0,"indigenous",IF(COUNTIF(lists!$I$2:$I$258, K1422) &gt; 0,"cross.bred","not found")),"NA")</f>
        <v>NA</v>
      </c>
      <c r="O1422" s="9" t="s">
        <v>109</v>
      </c>
      <c r="P1422" s="9" t="s">
        <v>106</v>
      </c>
      <c r="Q1422" s="9" t="s">
        <v>3806</v>
      </c>
      <c r="S1422" s="9">
        <v>220</v>
      </c>
      <c r="T1422" s="9" t="s">
        <v>106</v>
      </c>
      <c r="U1422" s="9">
        <v>14</v>
      </c>
      <c r="V1422" s="9">
        <v>890</v>
      </c>
      <c r="W1422" s="9">
        <v>34</v>
      </c>
      <c r="X1422" s="9">
        <v>370</v>
      </c>
      <c r="Y1422" s="9">
        <v>650</v>
      </c>
      <c r="Z1422" s="37"/>
      <c r="AA1422" s="37"/>
      <c r="AB1422" s="37"/>
      <c r="AE1422">
        <v>0</v>
      </c>
    </row>
    <row r="1423" spans="1:31" hidden="1">
      <c r="A1423" s="9" t="s">
        <v>1428</v>
      </c>
      <c r="B1423" s="9" t="s">
        <v>1430</v>
      </c>
      <c r="C1423" s="9" t="s">
        <v>105</v>
      </c>
      <c r="D1423" s="9">
        <v>0.7</v>
      </c>
      <c r="E1423" s="9">
        <v>7</v>
      </c>
      <c r="F1423" s="9">
        <v>13.7</v>
      </c>
      <c r="G1423" s="9">
        <v>102</v>
      </c>
      <c r="H1423" s="9" t="s">
        <v>106</v>
      </c>
      <c r="I1423" s="9">
        <v>16</v>
      </c>
      <c r="J1423" s="9" t="s">
        <v>107</v>
      </c>
      <c r="K1423" s="9" t="s">
        <v>138</v>
      </c>
      <c r="L1423" t="str">
        <f>IF(OR(J1423="Cattle",J1423="Zebu Cattle"),IF(COUNTIF(lists!$M$2:$M$258, K1423) &gt; 0,"bos.indicus",IF(COUNTIF(lists!$L$2:$L$258, K1423) &gt; 0,"cross.bred","pure.bred.exotic")),"NA")</f>
        <v>NA</v>
      </c>
      <c r="M1423" t="str">
        <f>IF(J1423="Sheep",IF(COUNTIF(lists!$H$2:$H$258, K1423) &gt; 0,"indigenous",IF(COUNTIF(lists!$G$2:$G$258, K1423) &gt; 0,"cross.bred","not found")),"NA")</f>
        <v>not found</v>
      </c>
      <c r="N1423" t="str">
        <f>IF(J1423="Goat",IF(COUNTIF(lists!$J$2:$J$258, K1423) &gt; 0,"indigenous",IF(COUNTIF(lists!$I$2:$I$258, K1423) &gt; 0,"cross.bred","not found")),"NA")</f>
        <v>NA</v>
      </c>
      <c r="O1423" s="9" t="s">
        <v>109</v>
      </c>
      <c r="P1423" s="9" t="s">
        <v>106</v>
      </c>
      <c r="Q1423" s="9" t="s">
        <v>3806</v>
      </c>
      <c r="S1423" s="9">
        <v>240</v>
      </c>
      <c r="T1423" s="9" t="s">
        <v>106</v>
      </c>
      <c r="U1423" s="9">
        <v>14</v>
      </c>
      <c r="V1423" s="9">
        <v>890</v>
      </c>
      <c r="W1423" s="9">
        <v>32</v>
      </c>
      <c r="X1423" s="9">
        <v>420</v>
      </c>
      <c r="Y1423" s="9">
        <v>640</v>
      </c>
      <c r="Z1423" s="37"/>
      <c r="AA1423" s="37"/>
      <c r="AB1423" s="37"/>
      <c r="AE1423">
        <v>0</v>
      </c>
    </row>
    <row r="1424" spans="1:31" hidden="1">
      <c r="A1424" s="9" t="s">
        <v>1428</v>
      </c>
      <c r="B1424" s="9" t="s">
        <v>1431</v>
      </c>
      <c r="C1424" s="9" t="s">
        <v>105</v>
      </c>
      <c r="D1424" s="9">
        <v>0.58499999999999996</v>
      </c>
      <c r="E1424" s="9">
        <v>7</v>
      </c>
      <c r="F1424" s="9">
        <v>13.7</v>
      </c>
      <c r="G1424" s="9">
        <v>67</v>
      </c>
      <c r="H1424" s="9" t="s">
        <v>106</v>
      </c>
      <c r="I1424" s="9">
        <v>16</v>
      </c>
      <c r="J1424" s="9" t="s">
        <v>107</v>
      </c>
      <c r="K1424" s="9" t="s">
        <v>138</v>
      </c>
      <c r="L1424" t="str">
        <f>IF(OR(J1424="Cattle",J1424="Zebu Cattle"),IF(COUNTIF(lists!$M$2:$M$258, K1424) &gt; 0,"bos.indicus",IF(COUNTIF(lists!$L$2:$L$258, K1424) &gt; 0,"cross.bred","pure.bred.exotic")),"NA")</f>
        <v>NA</v>
      </c>
      <c r="M1424" t="str">
        <f>IF(J1424="Sheep",IF(COUNTIF(lists!$H$2:$H$258, K1424) &gt; 0,"indigenous",IF(COUNTIF(lists!$G$2:$G$258, K1424) &gt; 0,"cross.bred","not found")),"NA")</f>
        <v>not found</v>
      </c>
      <c r="N1424" t="str">
        <f>IF(J1424="Goat",IF(COUNTIF(lists!$J$2:$J$258, K1424) &gt; 0,"indigenous",IF(COUNTIF(lists!$I$2:$I$258, K1424) &gt; 0,"cross.bred","not found")),"NA")</f>
        <v>NA</v>
      </c>
      <c r="O1424" s="9" t="s">
        <v>109</v>
      </c>
      <c r="P1424" s="9" t="s">
        <v>106</v>
      </c>
      <c r="Q1424" s="9" t="s">
        <v>3806</v>
      </c>
      <c r="S1424" s="9">
        <v>290</v>
      </c>
      <c r="T1424" s="9" t="s">
        <v>106</v>
      </c>
      <c r="U1424" s="9">
        <v>14</v>
      </c>
      <c r="V1424" s="9">
        <v>900</v>
      </c>
      <c r="W1424" s="9">
        <v>31</v>
      </c>
      <c r="X1424" s="9">
        <v>450</v>
      </c>
      <c r="Y1424" s="9">
        <v>630</v>
      </c>
      <c r="Z1424" s="37"/>
      <c r="AA1424" s="37"/>
      <c r="AB1424" s="37"/>
      <c r="AE1424">
        <v>0</v>
      </c>
    </row>
    <row r="1425" spans="1:31" hidden="1">
      <c r="A1425" s="9" t="s">
        <v>1436</v>
      </c>
      <c r="B1425" s="9" t="s">
        <v>1437</v>
      </c>
      <c r="C1425" s="9" t="s">
        <v>105</v>
      </c>
      <c r="D1425" s="9">
        <v>1.081</v>
      </c>
      <c r="E1425" s="9">
        <v>23</v>
      </c>
      <c r="F1425" s="9" t="s">
        <v>106</v>
      </c>
      <c r="G1425" s="9" t="s">
        <v>106</v>
      </c>
      <c r="H1425" s="9" t="s">
        <v>106</v>
      </c>
      <c r="I1425" s="9">
        <v>48</v>
      </c>
      <c r="J1425" s="9" t="s">
        <v>107</v>
      </c>
      <c r="K1425" s="9" t="s">
        <v>1073</v>
      </c>
      <c r="L1425" t="str">
        <f>IF(OR(J1425="Cattle",J1425="Zebu Cattle"),IF(COUNTIF(lists!$M$2:$M$258, K1425) &gt; 0,"bos.indicus",IF(COUNTIF(lists!$L$2:$L$258, K1425) &gt; 0,"cross.bred","pure.bred.exotic")),"NA")</f>
        <v>NA</v>
      </c>
      <c r="M1425" t="str">
        <f>IF(J1425="Sheep",IF(COUNTIF(lists!$H$2:$H$258, K1425) &gt; 0,"indigenous",IF(COUNTIF(lists!$G$2:$G$258, K1425) &gt; 0,"cross.bred","not found")),"NA")</f>
        <v>not found</v>
      </c>
      <c r="N1425" t="str">
        <f>IF(J1425="Goat",IF(COUNTIF(lists!$J$2:$J$258, K1425) &gt; 0,"indigenous",IF(COUNTIF(lists!$I$2:$I$258, K1425) &gt; 0,"cross.bred","not found")),"NA")</f>
        <v>NA</v>
      </c>
      <c r="O1425" s="9" t="s">
        <v>124</v>
      </c>
      <c r="P1425" s="9" t="s">
        <v>106</v>
      </c>
      <c r="Q1425" s="9" t="s">
        <v>3801</v>
      </c>
      <c r="S1425" s="9" t="s">
        <v>106</v>
      </c>
      <c r="T1425" s="9" t="s">
        <v>106</v>
      </c>
      <c r="U1425" s="9" t="s">
        <v>106</v>
      </c>
      <c r="V1425" s="9" t="s">
        <v>106</v>
      </c>
      <c r="W1425" s="9" t="s">
        <v>106</v>
      </c>
      <c r="X1425" s="9" t="s">
        <v>106</v>
      </c>
      <c r="Y1425" s="9">
        <v>52.5</v>
      </c>
      <c r="Z1425" s="37"/>
      <c r="AA1425" s="37"/>
      <c r="AB1425" s="37"/>
      <c r="AE1425">
        <v>0</v>
      </c>
    </row>
    <row r="1426" spans="1:31" hidden="1">
      <c r="A1426" s="9" t="s">
        <v>1436</v>
      </c>
      <c r="B1426" s="9" t="s">
        <v>1438</v>
      </c>
      <c r="C1426" s="9" t="s">
        <v>105</v>
      </c>
      <c r="D1426" s="9">
        <v>0.92600000000000005</v>
      </c>
      <c r="E1426" s="9">
        <v>23</v>
      </c>
      <c r="F1426" s="9" t="s">
        <v>106</v>
      </c>
      <c r="G1426" s="9" t="s">
        <v>106</v>
      </c>
      <c r="H1426" s="9" t="s">
        <v>106</v>
      </c>
      <c r="I1426" s="9">
        <v>48</v>
      </c>
      <c r="J1426" s="9" t="s">
        <v>107</v>
      </c>
      <c r="K1426" s="9" t="s">
        <v>1073</v>
      </c>
      <c r="L1426" t="str">
        <f>IF(OR(J1426="Cattle",J1426="Zebu Cattle"),IF(COUNTIF(lists!$M$2:$M$258, K1426) &gt; 0,"bos.indicus",IF(COUNTIF(lists!$L$2:$L$258, K1426) &gt; 0,"cross.bred","pure.bred.exotic")),"NA")</f>
        <v>NA</v>
      </c>
      <c r="M1426" t="str">
        <f>IF(J1426="Sheep",IF(COUNTIF(lists!$H$2:$H$258, K1426) &gt; 0,"indigenous",IF(COUNTIF(lists!$G$2:$G$258, K1426) &gt; 0,"cross.bred","not found")),"NA")</f>
        <v>not found</v>
      </c>
      <c r="N1426" t="str">
        <f>IF(J1426="Goat",IF(COUNTIF(lists!$J$2:$J$258, K1426) &gt; 0,"indigenous",IF(COUNTIF(lists!$I$2:$I$258, K1426) &gt; 0,"cross.bred","not found")),"NA")</f>
        <v>NA</v>
      </c>
      <c r="O1426" s="9" t="s">
        <v>124</v>
      </c>
      <c r="P1426" s="9" t="s">
        <v>106</v>
      </c>
      <c r="Q1426" s="9" t="s">
        <v>3801</v>
      </c>
      <c r="S1426" s="9" t="s">
        <v>106</v>
      </c>
      <c r="T1426" s="9" t="s">
        <v>106</v>
      </c>
      <c r="U1426" s="9" t="s">
        <v>106</v>
      </c>
      <c r="V1426" s="9" t="s">
        <v>106</v>
      </c>
      <c r="W1426" s="9" t="s">
        <v>106</v>
      </c>
      <c r="X1426" s="9" t="s">
        <v>106</v>
      </c>
      <c r="Y1426" s="9">
        <v>56.2</v>
      </c>
      <c r="Z1426" s="37"/>
      <c r="AA1426" s="37"/>
      <c r="AB1426" s="37"/>
      <c r="AE1426">
        <v>0</v>
      </c>
    </row>
    <row r="1427" spans="1:31" hidden="1">
      <c r="A1427" s="9" t="s">
        <v>1436</v>
      </c>
      <c r="B1427" s="9" t="s">
        <v>1439</v>
      </c>
      <c r="C1427" s="9" t="s">
        <v>105</v>
      </c>
      <c r="D1427" s="9">
        <v>1.032</v>
      </c>
      <c r="E1427" s="9">
        <v>23</v>
      </c>
      <c r="F1427" s="9" t="s">
        <v>106</v>
      </c>
      <c r="G1427" s="9" t="s">
        <v>106</v>
      </c>
      <c r="H1427" s="9" t="s">
        <v>106</v>
      </c>
      <c r="I1427" s="9">
        <v>48</v>
      </c>
      <c r="J1427" s="9" t="s">
        <v>107</v>
      </c>
      <c r="K1427" s="9" t="s">
        <v>1073</v>
      </c>
      <c r="L1427" t="str">
        <f>IF(OR(J1427="Cattle",J1427="Zebu Cattle"),IF(COUNTIF(lists!$M$2:$M$258, K1427) &gt; 0,"bos.indicus",IF(COUNTIF(lists!$L$2:$L$258, K1427) &gt; 0,"cross.bred","pure.bred.exotic")),"NA")</f>
        <v>NA</v>
      </c>
      <c r="M1427" t="str">
        <f>IF(J1427="Sheep",IF(COUNTIF(lists!$H$2:$H$258, K1427) &gt; 0,"indigenous",IF(COUNTIF(lists!$G$2:$G$258, K1427) &gt; 0,"cross.bred","not found")),"NA")</f>
        <v>not found</v>
      </c>
      <c r="N1427" t="str">
        <f>IF(J1427="Goat",IF(COUNTIF(lists!$J$2:$J$258, K1427) &gt; 0,"indigenous",IF(COUNTIF(lists!$I$2:$I$258, K1427) &gt; 0,"cross.bred","not found")),"NA")</f>
        <v>NA</v>
      </c>
      <c r="O1427" s="9" t="s">
        <v>124</v>
      </c>
      <c r="P1427" s="9" t="s">
        <v>106</v>
      </c>
      <c r="Q1427" s="9" t="s">
        <v>3801</v>
      </c>
      <c r="S1427" s="9" t="s">
        <v>106</v>
      </c>
      <c r="T1427" s="9" t="s">
        <v>106</v>
      </c>
      <c r="U1427" s="9" t="s">
        <v>106</v>
      </c>
      <c r="V1427" s="9" t="s">
        <v>106</v>
      </c>
      <c r="W1427" s="9" t="s">
        <v>106</v>
      </c>
      <c r="X1427" s="9" t="s">
        <v>106</v>
      </c>
      <c r="Y1427" s="9">
        <v>51.5</v>
      </c>
      <c r="Z1427" s="37"/>
      <c r="AA1427" s="37"/>
      <c r="AB1427" s="37"/>
      <c r="AE1427">
        <v>0</v>
      </c>
    </row>
    <row r="1428" spans="1:31" hidden="1">
      <c r="A1428" s="9" t="s">
        <v>1436</v>
      </c>
      <c r="B1428" s="9" t="s">
        <v>1440</v>
      </c>
      <c r="C1428" s="9" t="s">
        <v>105</v>
      </c>
      <c r="D1428" s="9">
        <v>1.0960000000000001</v>
      </c>
      <c r="E1428" s="9">
        <v>23</v>
      </c>
      <c r="F1428" s="9" t="s">
        <v>106</v>
      </c>
      <c r="G1428" s="9" t="s">
        <v>106</v>
      </c>
      <c r="H1428" s="9" t="s">
        <v>106</v>
      </c>
      <c r="I1428" s="9">
        <v>48</v>
      </c>
      <c r="J1428" s="9" t="s">
        <v>107</v>
      </c>
      <c r="K1428" s="9" t="s">
        <v>1073</v>
      </c>
      <c r="L1428" t="str">
        <f>IF(OR(J1428="Cattle",J1428="Zebu Cattle"),IF(COUNTIF(lists!$M$2:$M$258, K1428) &gt; 0,"bos.indicus",IF(COUNTIF(lists!$L$2:$L$258, K1428) &gt; 0,"cross.bred","pure.bred.exotic")),"NA")</f>
        <v>NA</v>
      </c>
      <c r="M1428" t="str">
        <f>IF(J1428="Sheep",IF(COUNTIF(lists!$H$2:$H$258, K1428) &gt; 0,"indigenous",IF(COUNTIF(lists!$G$2:$G$258, K1428) &gt; 0,"cross.bred","not found")),"NA")</f>
        <v>not found</v>
      </c>
      <c r="N1428" t="str">
        <f>IF(J1428="Goat",IF(COUNTIF(lists!$J$2:$J$258, K1428) &gt; 0,"indigenous",IF(COUNTIF(lists!$I$2:$I$258, K1428) &gt; 0,"cross.bred","not found")),"NA")</f>
        <v>NA</v>
      </c>
      <c r="O1428" s="9" t="s">
        <v>124</v>
      </c>
      <c r="P1428" s="9" t="s">
        <v>106</v>
      </c>
      <c r="Q1428" s="9" t="s">
        <v>3801</v>
      </c>
      <c r="S1428" s="9" t="s">
        <v>106</v>
      </c>
      <c r="T1428" s="9" t="s">
        <v>106</v>
      </c>
      <c r="U1428" s="9" t="s">
        <v>106</v>
      </c>
      <c r="V1428" s="9" t="s">
        <v>106</v>
      </c>
      <c r="W1428" s="9" t="s">
        <v>106</v>
      </c>
      <c r="X1428" s="9" t="s">
        <v>106</v>
      </c>
      <c r="Y1428" s="9">
        <v>61.7</v>
      </c>
      <c r="Z1428" s="37"/>
      <c r="AA1428" s="37"/>
      <c r="AB1428" s="37"/>
      <c r="AE1428">
        <v>0</v>
      </c>
    </row>
    <row r="1429" spans="1:31" hidden="1">
      <c r="A1429" s="9" t="s">
        <v>1443</v>
      </c>
      <c r="B1429" s="9" t="s">
        <v>1444</v>
      </c>
      <c r="C1429" s="9" t="s">
        <v>105</v>
      </c>
      <c r="D1429" s="9">
        <v>0.77</v>
      </c>
      <c r="E1429" s="9" t="s">
        <v>106</v>
      </c>
      <c r="F1429" s="9">
        <v>19.5</v>
      </c>
      <c r="G1429" s="9">
        <v>108</v>
      </c>
      <c r="H1429" s="9" t="s">
        <v>106</v>
      </c>
      <c r="I1429" s="9">
        <v>24</v>
      </c>
      <c r="J1429" s="9" t="s">
        <v>107</v>
      </c>
      <c r="K1429" s="9" t="s">
        <v>704</v>
      </c>
      <c r="L1429" t="str">
        <f>IF(OR(J1429="Cattle",J1429="Zebu Cattle"),IF(COUNTIF(lists!$M$2:$M$258, K1429) &gt; 0,"bos.indicus",IF(COUNTIF(lists!$L$2:$L$258, K1429) &gt; 0,"cross.bred","pure.bred.exotic")),"NA")</f>
        <v>NA</v>
      </c>
      <c r="M1429" t="str">
        <f>IF(J1429="Sheep",IF(COUNTIF(lists!$H$2:$H$258, K1429) &gt; 0,"indigenous",IF(COUNTIF(lists!$G$2:$G$258, K1429) &gt; 0,"cross.bred","not found")),"NA")</f>
        <v>not found</v>
      </c>
      <c r="N1429" t="str">
        <f>IF(J1429="Goat",IF(COUNTIF(lists!$J$2:$J$258, K1429) &gt; 0,"indigenous",IF(COUNTIF(lists!$I$2:$I$258, K1429) &gt; 0,"cross.bred","not found")),"NA")</f>
        <v>NA</v>
      </c>
      <c r="O1429" s="9" t="s">
        <v>109</v>
      </c>
      <c r="P1429" s="9" t="s">
        <v>106</v>
      </c>
      <c r="Q1429" s="9" t="s">
        <v>3804</v>
      </c>
      <c r="S1429" s="9" t="s">
        <v>106</v>
      </c>
      <c r="T1429" s="9" t="s">
        <v>106</v>
      </c>
      <c r="U1429" s="9" t="s">
        <v>106</v>
      </c>
      <c r="V1429" s="9" t="s">
        <v>106</v>
      </c>
      <c r="W1429" s="9" t="s">
        <v>106</v>
      </c>
      <c r="X1429" s="9" t="s">
        <v>106</v>
      </c>
      <c r="Y1429" s="9" t="s">
        <v>106</v>
      </c>
      <c r="Z1429" s="37"/>
      <c r="AA1429" s="37"/>
      <c r="AB1429" s="37"/>
      <c r="AE1429">
        <v>0</v>
      </c>
    </row>
    <row r="1430" spans="1:31" hidden="1">
      <c r="A1430" s="9" t="s">
        <v>1443</v>
      </c>
      <c r="B1430" s="9" t="s">
        <v>1445</v>
      </c>
      <c r="C1430" s="9" t="s">
        <v>105</v>
      </c>
      <c r="D1430" s="9">
        <v>0.77</v>
      </c>
      <c r="E1430" s="9" t="s">
        <v>106</v>
      </c>
      <c r="F1430" s="9">
        <v>19.5</v>
      </c>
      <c r="G1430" s="9">
        <v>108</v>
      </c>
      <c r="H1430" s="9" t="s">
        <v>106</v>
      </c>
      <c r="I1430" s="9">
        <v>24</v>
      </c>
      <c r="J1430" s="9" t="s">
        <v>107</v>
      </c>
      <c r="K1430" s="9" t="s">
        <v>704</v>
      </c>
      <c r="L1430" t="str">
        <f>IF(OR(J1430="Cattle",J1430="Zebu Cattle"),IF(COUNTIF(lists!$M$2:$M$258, K1430) &gt; 0,"bos.indicus",IF(COUNTIF(lists!$L$2:$L$258, K1430) &gt; 0,"cross.bred","pure.bred.exotic")),"NA")</f>
        <v>NA</v>
      </c>
      <c r="M1430" t="str">
        <f>IF(J1430="Sheep",IF(COUNTIF(lists!$H$2:$H$258, K1430) &gt; 0,"indigenous",IF(COUNTIF(lists!$G$2:$G$258, K1430) &gt; 0,"cross.bred","not found")),"NA")</f>
        <v>not found</v>
      </c>
      <c r="N1430" t="str">
        <f>IF(J1430="Goat",IF(COUNTIF(lists!$J$2:$J$258, K1430) &gt; 0,"indigenous",IF(COUNTIF(lists!$I$2:$I$258, K1430) &gt; 0,"cross.bred","not found")),"NA")</f>
        <v>NA</v>
      </c>
      <c r="O1430" s="9" t="s">
        <v>109</v>
      </c>
      <c r="P1430" s="9" t="s">
        <v>106</v>
      </c>
      <c r="Q1430" s="9" t="s">
        <v>3804</v>
      </c>
      <c r="S1430" s="9" t="s">
        <v>106</v>
      </c>
      <c r="T1430" s="9" t="s">
        <v>106</v>
      </c>
      <c r="U1430" s="9" t="s">
        <v>106</v>
      </c>
      <c r="V1430" s="9" t="s">
        <v>106</v>
      </c>
      <c r="W1430" s="9" t="s">
        <v>106</v>
      </c>
      <c r="X1430" s="9" t="s">
        <v>106</v>
      </c>
      <c r="Y1430" s="9" t="s">
        <v>106</v>
      </c>
      <c r="Z1430" s="37"/>
      <c r="AA1430" s="37"/>
      <c r="AB1430" s="37"/>
      <c r="AE1430">
        <v>0</v>
      </c>
    </row>
    <row r="1431" spans="1:31" hidden="1">
      <c r="A1431" s="9" t="s">
        <v>1443</v>
      </c>
      <c r="B1431" s="9" t="s">
        <v>1446</v>
      </c>
      <c r="C1431" s="9" t="s">
        <v>105</v>
      </c>
      <c r="D1431" s="9">
        <v>0.77</v>
      </c>
      <c r="E1431" s="9" t="s">
        <v>106</v>
      </c>
      <c r="F1431" s="9">
        <v>19.5</v>
      </c>
      <c r="G1431" s="9">
        <v>108</v>
      </c>
      <c r="H1431" s="9" t="s">
        <v>106</v>
      </c>
      <c r="I1431" s="9">
        <v>24</v>
      </c>
      <c r="J1431" s="9" t="s">
        <v>107</v>
      </c>
      <c r="K1431" s="9" t="s">
        <v>704</v>
      </c>
      <c r="L1431" t="str">
        <f>IF(OR(J1431="Cattle",J1431="Zebu Cattle"),IF(COUNTIF(lists!$M$2:$M$258, K1431) &gt; 0,"bos.indicus",IF(COUNTIF(lists!$L$2:$L$258, K1431) &gt; 0,"cross.bred","pure.bred.exotic")),"NA")</f>
        <v>NA</v>
      </c>
      <c r="M1431" t="str">
        <f>IF(J1431="Sheep",IF(COUNTIF(lists!$H$2:$H$258, K1431) &gt; 0,"indigenous",IF(COUNTIF(lists!$G$2:$G$258, K1431) &gt; 0,"cross.bred","not found")),"NA")</f>
        <v>not found</v>
      </c>
      <c r="N1431" t="str">
        <f>IF(J1431="Goat",IF(COUNTIF(lists!$J$2:$J$258, K1431) &gt; 0,"indigenous",IF(COUNTIF(lists!$I$2:$I$258, K1431) &gt; 0,"cross.bred","not found")),"NA")</f>
        <v>NA</v>
      </c>
      <c r="O1431" s="9" t="s">
        <v>109</v>
      </c>
      <c r="P1431" s="9" t="s">
        <v>106</v>
      </c>
      <c r="Q1431" s="9" t="s">
        <v>3804</v>
      </c>
      <c r="S1431" s="9" t="s">
        <v>106</v>
      </c>
      <c r="T1431" s="9" t="s">
        <v>106</v>
      </c>
      <c r="U1431" s="9" t="s">
        <v>106</v>
      </c>
      <c r="V1431" s="9" t="s">
        <v>106</v>
      </c>
      <c r="W1431" s="9" t="s">
        <v>106</v>
      </c>
      <c r="X1431" s="9" t="s">
        <v>106</v>
      </c>
      <c r="Y1431" s="9" t="s">
        <v>106</v>
      </c>
      <c r="Z1431" s="37"/>
      <c r="AA1431" s="37"/>
      <c r="AB1431" s="37"/>
      <c r="AE1431">
        <v>0</v>
      </c>
    </row>
    <row r="1432" spans="1:31" hidden="1">
      <c r="A1432" s="9" t="s">
        <v>1443</v>
      </c>
      <c r="B1432" s="9" t="s">
        <v>1447</v>
      </c>
      <c r="C1432" s="9" t="s">
        <v>105</v>
      </c>
      <c r="D1432" s="9">
        <v>0.95499999999999996</v>
      </c>
      <c r="E1432" s="9" t="s">
        <v>106</v>
      </c>
      <c r="F1432" s="9">
        <v>19.5</v>
      </c>
      <c r="G1432" s="9">
        <v>59</v>
      </c>
      <c r="H1432" s="9" t="s">
        <v>106</v>
      </c>
      <c r="I1432" s="9">
        <v>24</v>
      </c>
      <c r="J1432" s="9" t="s">
        <v>107</v>
      </c>
      <c r="K1432" s="9" t="s">
        <v>704</v>
      </c>
      <c r="L1432" t="str">
        <f>IF(OR(J1432="Cattle",J1432="Zebu Cattle"),IF(COUNTIF(lists!$M$2:$M$258, K1432) &gt; 0,"bos.indicus",IF(COUNTIF(lists!$L$2:$L$258, K1432) &gt; 0,"cross.bred","pure.bred.exotic")),"NA")</f>
        <v>NA</v>
      </c>
      <c r="M1432" t="str">
        <f>IF(J1432="Sheep",IF(COUNTIF(lists!$H$2:$H$258, K1432) &gt; 0,"indigenous",IF(COUNTIF(lists!$G$2:$G$258, K1432) &gt; 0,"cross.bred","not found")),"NA")</f>
        <v>not found</v>
      </c>
      <c r="N1432" t="str">
        <f>IF(J1432="Goat",IF(COUNTIF(lists!$J$2:$J$258, K1432) &gt; 0,"indigenous",IF(COUNTIF(lists!$I$2:$I$258, K1432) &gt; 0,"cross.bred","not found")),"NA")</f>
        <v>NA</v>
      </c>
      <c r="O1432" s="9" t="s">
        <v>109</v>
      </c>
      <c r="P1432" s="9" t="s">
        <v>106</v>
      </c>
      <c r="Q1432" s="9" t="s">
        <v>3804</v>
      </c>
      <c r="S1432" s="9" t="s">
        <v>106</v>
      </c>
      <c r="T1432" s="9" t="s">
        <v>106</v>
      </c>
      <c r="U1432" s="9" t="s">
        <v>106</v>
      </c>
      <c r="V1432" s="9" t="s">
        <v>106</v>
      </c>
      <c r="W1432" s="9" t="s">
        <v>106</v>
      </c>
      <c r="X1432" s="9" t="s">
        <v>106</v>
      </c>
      <c r="Y1432" s="9" t="s">
        <v>106</v>
      </c>
      <c r="Z1432" s="37"/>
      <c r="AA1432" s="37"/>
      <c r="AB1432" s="37"/>
      <c r="AE1432">
        <v>0</v>
      </c>
    </row>
    <row r="1433" spans="1:31" hidden="1">
      <c r="A1433" s="9" t="s">
        <v>1443</v>
      </c>
      <c r="B1433" s="9" t="s">
        <v>1448</v>
      </c>
      <c r="C1433" s="9" t="s">
        <v>105</v>
      </c>
      <c r="D1433" s="9">
        <v>0.95499999999999996</v>
      </c>
      <c r="E1433" s="9" t="s">
        <v>106</v>
      </c>
      <c r="F1433" s="9">
        <v>19.5</v>
      </c>
      <c r="G1433" s="9">
        <v>59</v>
      </c>
      <c r="H1433" s="9" t="s">
        <v>106</v>
      </c>
      <c r="I1433" s="9">
        <v>24</v>
      </c>
      <c r="J1433" s="9" t="s">
        <v>107</v>
      </c>
      <c r="K1433" s="9" t="s">
        <v>704</v>
      </c>
      <c r="L1433" t="str">
        <f>IF(OR(J1433="Cattle",J1433="Zebu Cattle"),IF(COUNTIF(lists!$M$2:$M$258, K1433) &gt; 0,"bos.indicus",IF(COUNTIF(lists!$L$2:$L$258, K1433) &gt; 0,"cross.bred","pure.bred.exotic")),"NA")</f>
        <v>NA</v>
      </c>
      <c r="M1433" t="str">
        <f>IF(J1433="Sheep",IF(COUNTIF(lists!$H$2:$H$258, K1433) &gt; 0,"indigenous",IF(COUNTIF(lists!$G$2:$G$258, K1433) &gt; 0,"cross.bred","not found")),"NA")</f>
        <v>not found</v>
      </c>
      <c r="N1433" t="str">
        <f>IF(J1433="Goat",IF(COUNTIF(lists!$J$2:$J$258, K1433) &gt; 0,"indigenous",IF(COUNTIF(lists!$I$2:$I$258, K1433) &gt; 0,"cross.bred","not found")),"NA")</f>
        <v>NA</v>
      </c>
      <c r="O1433" s="9" t="s">
        <v>109</v>
      </c>
      <c r="P1433" s="9" t="s">
        <v>106</v>
      </c>
      <c r="Q1433" s="9" t="s">
        <v>3804</v>
      </c>
      <c r="S1433" s="9" t="s">
        <v>106</v>
      </c>
      <c r="T1433" s="9" t="s">
        <v>106</v>
      </c>
      <c r="U1433" s="9" t="s">
        <v>106</v>
      </c>
      <c r="V1433" s="9" t="s">
        <v>106</v>
      </c>
      <c r="W1433" s="9" t="s">
        <v>106</v>
      </c>
      <c r="X1433" s="9" t="s">
        <v>106</v>
      </c>
      <c r="Y1433" s="9" t="s">
        <v>106</v>
      </c>
      <c r="Z1433" s="37"/>
      <c r="AA1433" s="37"/>
      <c r="AB1433" s="37"/>
      <c r="AE1433">
        <v>0</v>
      </c>
    </row>
    <row r="1434" spans="1:31" hidden="1">
      <c r="A1434" s="9" t="s">
        <v>1443</v>
      </c>
      <c r="B1434" s="9" t="s">
        <v>1449</v>
      </c>
      <c r="C1434" s="9" t="s">
        <v>105</v>
      </c>
      <c r="D1434" s="9">
        <v>0.995</v>
      </c>
      <c r="E1434" s="9" t="s">
        <v>106</v>
      </c>
      <c r="F1434" s="9">
        <v>19.5</v>
      </c>
      <c r="G1434" s="9">
        <v>119</v>
      </c>
      <c r="H1434" s="9" t="s">
        <v>106</v>
      </c>
      <c r="I1434" s="9">
        <v>24</v>
      </c>
      <c r="J1434" s="9" t="s">
        <v>107</v>
      </c>
      <c r="K1434" s="9" t="s">
        <v>704</v>
      </c>
      <c r="L1434" t="str">
        <f>IF(OR(J1434="Cattle",J1434="Zebu Cattle"),IF(COUNTIF(lists!$M$2:$M$258, K1434) &gt; 0,"bos.indicus",IF(COUNTIF(lists!$L$2:$L$258, K1434) &gt; 0,"cross.bred","pure.bred.exotic")),"NA")</f>
        <v>NA</v>
      </c>
      <c r="M1434" t="str">
        <f>IF(J1434="Sheep",IF(COUNTIF(lists!$H$2:$H$258, K1434) &gt; 0,"indigenous",IF(COUNTIF(lists!$G$2:$G$258, K1434) &gt; 0,"cross.bred","not found")),"NA")</f>
        <v>not found</v>
      </c>
      <c r="N1434" t="str">
        <f>IF(J1434="Goat",IF(COUNTIF(lists!$J$2:$J$258, K1434) &gt; 0,"indigenous",IF(COUNTIF(lists!$I$2:$I$258, K1434) &gt; 0,"cross.bred","not found")),"NA")</f>
        <v>NA</v>
      </c>
      <c r="O1434" s="9" t="s">
        <v>109</v>
      </c>
      <c r="P1434" s="9" t="s">
        <v>106</v>
      </c>
      <c r="Q1434" s="9" t="s">
        <v>3804</v>
      </c>
      <c r="S1434" s="9" t="s">
        <v>106</v>
      </c>
      <c r="T1434" s="9" t="s">
        <v>106</v>
      </c>
      <c r="U1434" s="9" t="s">
        <v>106</v>
      </c>
      <c r="V1434" s="9" t="s">
        <v>106</v>
      </c>
      <c r="W1434" s="9" t="s">
        <v>106</v>
      </c>
      <c r="X1434" s="9" t="s">
        <v>106</v>
      </c>
      <c r="Y1434" s="9" t="s">
        <v>106</v>
      </c>
      <c r="Z1434" s="37"/>
      <c r="AA1434" s="37"/>
      <c r="AB1434" s="37"/>
      <c r="AE1434">
        <v>0</v>
      </c>
    </row>
    <row r="1435" spans="1:31" hidden="1">
      <c r="A1435" s="9" t="s">
        <v>1443</v>
      </c>
      <c r="B1435" s="9" t="s">
        <v>1450</v>
      </c>
      <c r="C1435" s="9" t="s">
        <v>105</v>
      </c>
      <c r="D1435" s="9">
        <v>0.995</v>
      </c>
      <c r="E1435" s="9" t="s">
        <v>106</v>
      </c>
      <c r="F1435" s="9">
        <v>19.5</v>
      </c>
      <c r="G1435" s="9">
        <v>119</v>
      </c>
      <c r="H1435" s="9" t="s">
        <v>106</v>
      </c>
      <c r="I1435" s="9">
        <v>24</v>
      </c>
      <c r="J1435" s="9" t="s">
        <v>107</v>
      </c>
      <c r="K1435" s="9" t="s">
        <v>704</v>
      </c>
      <c r="L1435" t="str">
        <f>IF(OR(J1435="Cattle",J1435="Zebu Cattle"),IF(COUNTIF(lists!$M$2:$M$258, K1435) &gt; 0,"bos.indicus",IF(COUNTIF(lists!$L$2:$L$258, K1435) &gt; 0,"cross.bred","pure.bred.exotic")),"NA")</f>
        <v>NA</v>
      </c>
      <c r="M1435" t="str">
        <f>IF(J1435="Sheep",IF(COUNTIF(lists!$H$2:$H$258, K1435) &gt; 0,"indigenous",IF(COUNTIF(lists!$G$2:$G$258, K1435) &gt; 0,"cross.bred","not found")),"NA")</f>
        <v>not found</v>
      </c>
      <c r="N1435" t="str">
        <f>IF(J1435="Goat",IF(COUNTIF(lists!$J$2:$J$258, K1435) &gt; 0,"indigenous",IF(COUNTIF(lists!$I$2:$I$258, K1435) &gt; 0,"cross.bred","not found")),"NA")</f>
        <v>NA</v>
      </c>
      <c r="O1435" s="9" t="s">
        <v>109</v>
      </c>
      <c r="P1435" s="9" t="s">
        <v>106</v>
      </c>
      <c r="Q1435" s="9" t="s">
        <v>3804</v>
      </c>
      <c r="S1435" s="9" t="s">
        <v>106</v>
      </c>
      <c r="T1435" s="9" t="s">
        <v>106</v>
      </c>
      <c r="U1435" s="9" t="s">
        <v>106</v>
      </c>
      <c r="V1435" s="9" t="s">
        <v>106</v>
      </c>
      <c r="W1435" s="9" t="s">
        <v>106</v>
      </c>
      <c r="X1435" s="9" t="s">
        <v>106</v>
      </c>
      <c r="Y1435" s="9" t="s">
        <v>106</v>
      </c>
      <c r="Z1435" s="37"/>
      <c r="AA1435" s="37"/>
      <c r="AB1435" s="37"/>
      <c r="AE1435">
        <v>0</v>
      </c>
    </row>
    <row r="1436" spans="1:31" hidden="1">
      <c r="A1436" s="9" t="s">
        <v>1443</v>
      </c>
      <c r="B1436" s="9" t="s">
        <v>1451</v>
      </c>
      <c r="C1436" s="9" t="s">
        <v>105</v>
      </c>
      <c r="D1436" s="9">
        <v>1.0620000000000001</v>
      </c>
      <c r="E1436" s="9" t="s">
        <v>106</v>
      </c>
      <c r="F1436" s="9">
        <v>19.5</v>
      </c>
      <c r="G1436" s="9">
        <v>81</v>
      </c>
      <c r="H1436" s="9" t="s">
        <v>106</v>
      </c>
      <c r="I1436" s="9">
        <v>24</v>
      </c>
      <c r="J1436" s="9" t="s">
        <v>107</v>
      </c>
      <c r="K1436" s="9" t="s">
        <v>704</v>
      </c>
      <c r="L1436" t="str">
        <f>IF(OR(J1436="Cattle",J1436="Zebu Cattle"),IF(COUNTIF(lists!$M$2:$M$258, K1436) &gt; 0,"bos.indicus",IF(COUNTIF(lists!$L$2:$L$258, K1436) &gt; 0,"cross.bred","pure.bred.exotic")),"NA")</f>
        <v>NA</v>
      </c>
      <c r="M1436" t="str">
        <f>IF(J1436="Sheep",IF(COUNTIF(lists!$H$2:$H$258, K1436) &gt; 0,"indigenous",IF(COUNTIF(lists!$G$2:$G$258, K1436) &gt; 0,"cross.bred","not found")),"NA")</f>
        <v>not found</v>
      </c>
      <c r="N1436" t="str">
        <f>IF(J1436="Goat",IF(COUNTIF(lists!$J$2:$J$258, K1436) &gt; 0,"indigenous",IF(COUNTIF(lists!$I$2:$I$258, K1436) &gt; 0,"cross.bred","not found")),"NA")</f>
        <v>NA</v>
      </c>
      <c r="O1436" s="9" t="s">
        <v>109</v>
      </c>
      <c r="P1436" s="9" t="s">
        <v>106</v>
      </c>
      <c r="Q1436" s="9" t="s">
        <v>3804</v>
      </c>
      <c r="S1436" s="9" t="s">
        <v>106</v>
      </c>
      <c r="T1436" s="9" t="s">
        <v>106</v>
      </c>
      <c r="U1436" s="9" t="s">
        <v>106</v>
      </c>
      <c r="V1436" s="9" t="s">
        <v>106</v>
      </c>
      <c r="W1436" s="9" t="s">
        <v>106</v>
      </c>
      <c r="X1436" s="9" t="s">
        <v>106</v>
      </c>
      <c r="Y1436" s="9" t="s">
        <v>106</v>
      </c>
      <c r="Z1436" s="37"/>
      <c r="AA1436" s="37"/>
      <c r="AB1436" s="37"/>
      <c r="AE1436">
        <v>0</v>
      </c>
    </row>
    <row r="1437" spans="1:31" hidden="1">
      <c r="A1437" s="9" t="s">
        <v>1443</v>
      </c>
      <c r="B1437" s="9" t="s">
        <v>1452</v>
      </c>
      <c r="C1437" s="9" t="s">
        <v>105</v>
      </c>
      <c r="D1437" s="9">
        <v>1.0620000000000001</v>
      </c>
      <c r="E1437" s="9" t="s">
        <v>106</v>
      </c>
      <c r="F1437" s="9">
        <v>19.5</v>
      </c>
      <c r="G1437" s="9">
        <v>81</v>
      </c>
      <c r="H1437" s="9" t="s">
        <v>106</v>
      </c>
      <c r="I1437" s="9">
        <v>24</v>
      </c>
      <c r="J1437" s="9" t="s">
        <v>107</v>
      </c>
      <c r="K1437" s="9" t="s">
        <v>704</v>
      </c>
      <c r="L1437" t="str">
        <f>IF(OR(J1437="Cattle",J1437="Zebu Cattle"),IF(COUNTIF(lists!$M$2:$M$258, K1437) &gt; 0,"bos.indicus",IF(COUNTIF(lists!$L$2:$L$258, K1437) &gt; 0,"cross.bred","pure.bred.exotic")),"NA")</f>
        <v>NA</v>
      </c>
      <c r="M1437" t="str">
        <f>IF(J1437="Sheep",IF(COUNTIF(lists!$H$2:$H$258, K1437) &gt; 0,"indigenous",IF(COUNTIF(lists!$G$2:$G$258, K1437) &gt; 0,"cross.bred","not found")),"NA")</f>
        <v>not found</v>
      </c>
      <c r="N1437" t="str">
        <f>IF(J1437="Goat",IF(COUNTIF(lists!$J$2:$J$258, K1437) &gt; 0,"indigenous",IF(COUNTIF(lists!$I$2:$I$258, K1437) &gt; 0,"cross.bred","not found")),"NA")</f>
        <v>NA</v>
      </c>
      <c r="O1437" s="9" t="s">
        <v>109</v>
      </c>
      <c r="P1437" s="9" t="s">
        <v>106</v>
      </c>
      <c r="Q1437" s="9" t="s">
        <v>3804</v>
      </c>
      <c r="S1437" s="9" t="s">
        <v>106</v>
      </c>
      <c r="T1437" s="9" t="s">
        <v>106</v>
      </c>
      <c r="U1437" s="9" t="s">
        <v>106</v>
      </c>
      <c r="V1437" s="9" t="s">
        <v>106</v>
      </c>
      <c r="W1437" s="9" t="s">
        <v>106</v>
      </c>
      <c r="X1437" s="9" t="s">
        <v>106</v>
      </c>
      <c r="Y1437" s="9" t="s">
        <v>106</v>
      </c>
      <c r="Z1437" s="37"/>
      <c r="AA1437" s="37"/>
      <c r="AB1437" s="37"/>
      <c r="AE1437">
        <v>0</v>
      </c>
    </row>
    <row r="1438" spans="1:31" hidden="1">
      <c r="A1438" s="9" t="s">
        <v>1443</v>
      </c>
      <c r="B1438" s="9" t="s">
        <v>1453</v>
      </c>
      <c r="C1438" s="9" t="s">
        <v>105</v>
      </c>
      <c r="D1438" s="9">
        <v>1.0620000000000001</v>
      </c>
      <c r="E1438" s="9" t="s">
        <v>106</v>
      </c>
      <c r="F1438" s="9">
        <v>19.5</v>
      </c>
      <c r="G1438" s="9">
        <v>81</v>
      </c>
      <c r="H1438" s="9" t="s">
        <v>106</v>
      </c>
      <c r="I1438" s="9">
        <v>24</v>
      </c>
      <c r="J1438" s="9" t="s">
        <v>107</v>
      </c>
      <c r="K1438" s="9" t="s">
        <v>704</v>
      </c>
      <c r="L1438" t="str">
        <f>IF(OR(J1438="Cattle",J1438="Zebu Cattle"),IF(COUNTIF(lists!$M$2:$M$258, K1438) &gt; 0,"bos.indicus",IF(COUNTIF(lists!$L$2:$L$258, K1438) &gt; 0,"cross.bred","pure.bred.exotic")),"NA")</f>
        <v>NA</v>
      </c>
      <c r="M1438" t="str">
        <f>IF(J1438="Sheep",IF(COUNTIF(lists!$H$2:$H$258, K1438) &gt; 0,"indigenous",IF(COUNTIF(lists!$G$2:$G$258, K1438) &gt; 0,"cross.bred","not found")),"NA")</f>
        <v>not found</v>
      </c>
      <c r="N1438" t="str">
        <f>IF(J1438="Goat",IF(COUNTIF(lists!$J$2:$J$258, K1438) &gt; 0,"indigenous",IF(COUNTIF(lists!$I$2:$I$258, K1438) &gt; 0,"cross.bred","not found")),"NA")</f>
        <v>NA</v>
      </c>
      <c r="O1438" s="9" t="s">
        <v>109</v>
      </c>
      <c r="P1438" s="9" t="s">
        <v>106</v>
      </c>
      <c r="Q1438" s="9" t="s">
        <v>3804</v>
      </c>
      <c r="S1438" s="9" t="s">
        <v>106</v>
      </c>
      <c r="T1438" s="9" t="s">
        <v>106</v>
      </c>
      <c r="U1438" s="9" t="s">
        <v>106</v>
      </c>
      <c r="V1438" s="9" t="s">
        <v>106</v>
      </c>
      <c r="W1438" s="9" t="s">
        <v>106</v>
      </c>
      <c r="X1438" s="9" t="s">
        <v>106</v>
      </c>
      <c r="Y1438" s="9" t="s">
        <v>106</v>
      </c>
      <c r="Z1438" s="37"/>
      <c r="AA1438" s="37"/>
      <c r="AB1438" s="37"/>
      <c r="AE1438">
        <v>0</v>
      </c>
    </row>
    <row r="1439" spans="1:31" hidden="1">
      <c r="A1439" s="9" t="s">
        <v>1461</v>
      </c>
      <c r="B1439" s="9" t="s">
        <v>1462</v>
      </c>
      <c r="C1439" s="9" t="s">
        <v>105</v>
      </c>
      <c r="D1439" s="9">
        <v>0.877</v>
      </c>
      <c r="E1439" s="9" t="s">
        <v>106</v>
      </c>
      <c r="F1439" s="9">
        <v>22</v>
      </c>
      <c r="G1439" s="9">
        <v>49.29</v>
      </c>
      <c r="H1439" s="9" t="s">
        <v>106</v>
      </c>
      <c r="I1439" s="9">
        <v>20</v>
      </c>
      <c r="J1439" s="9" t="s">
        <v>107</v>
      </c>
      <c r="K1439" s="9" t="s">
        <v>1463</v>
      </c>
      <c r="L1439" t="str">
        <f>IF(OR(J1439="Cattle",J1439="Zebu Cattle"),IF(COUNTIF(lists!$M$2:$M$258, K1439) &gt; 0,"bos.indicus",IF(COUNTIF(lists!$L$2:$L$258, K1439) &gt; 0,"cross.bred","pure.bred.exotic")),"NA")</f>
        <v>NA</v>
      </c>
      <c r="M1439" t="str">
        <f>IF(J1439="Sheep",IF(COUNTIF(lists!$H$2:$H$258, K1439) &gt; 0,"indigenous",IF(COUNTIF(lists!$G$2:$G$258, K1439) &gt; 0,"cross.bred","not found")),"NA")</f>
        <v>not found</v>
      </c>
      <c r="N1439" t="str">
        <f>IF(J1439="Goat",IF(COUNTIF(lists!$J$2:$J$258, K1439) &gt; 0,"indigenous",IF(COUNTIF(lists!$I$2:$I$258, K1439) &gt; 0,"cross.bred","not found")),"NA")</f>
        <v>NA</v>
      </c>
      <c r="O1439" s="9" t="s">
        <v>109</v>
      </c>
      <c r="P1439" s="9" t="s">
        <v>106</v>
      </c>
      <c r="Q1439" s="9" t="s">
        <v>3804</v>
      </c>
      <c r="S1439" s="9" t="s">
        <v>106</v>
      </c>
      <c r="T1439" s="9" t="s">
        <v>106</v>
      </c>
      <c r="U1439" s="9" t="s">
        <v>106</v>
      </c>
      <c r="V1439" s="9" t="s">
        <v>106</v>
      </c>
      <c r="W1439" s="9" t="s">
        <v>106</v>
      </c>
      <c r="X1439" s="9" t="s">
        <v>106</v>
      </c>
      <c r="Y1439" s="9" t="s">
        <v>106</v>
      </c>
      <c r="Z1439" s="37"/>
      <c r="AA1439" s="37"/>
      <c r="AB1439" s="37"/>
      <c r="AE1439">
        <v>0</v>
      </c>
    </row>
    <row r="1440" spans="1:31" hidden="1">
      <c r="A1440" s="9" t="s">
        <v>1461</v>
      </c>
      <c r="B1440" s="9" t="s">
        <v>1464</v>
      </c>
      <c r="C1440" s="9" t="s">
        <v>105</v>
      </c>
      <c r="D1440" s="9">
        <v>0.82899999999999996</v>
      </c>
      <c r="E1440" s="9" t="s">
        <v>106</v>
      </c>
      <c r="F1440" s="9">
        <v>22</v>
      </c>
      <c r="G1440" s="9">
        <v>52.14</v>
      </c>
      <c r="H1440" s="9" t="s">
        <v>106</v>
      </c>
      <c r="I1440" s="9">
        <v>20</v>
      </c>
      <c r="J1440" s="9" t="s">
        <v>107</v>
      </c>
      <c r="K1440" s="9" t="s">
        <v>1463</v>
      </c>
      <c r="L1440" t="str">
        <f>IF(OR(J1440="Cattle",J1440="Zebu Cattle"),IF(COUNTIF(lists!$M$2:$M$258, K1440) &gt; 0,"bos.indicus",IF(COUNTIF(lists!$L$2:$L$258, K1440) &gt; 0,"cross.bred","pure.bred.exotic")),"NA")</f>
        <v>NA</v>
      </c>
      <c r="M1440" t="str">
        <f>IF(J1440="Sheep",IF(COUNTIF(lists!$H$2:$H$258, K1440) &gt; 0,"indigenous",IF(COUNTIF(lists!$G$2:$G$258, K1440) &gt; 0,"cross.bred","not found")),"NA")</f>
        <v>not found</v>
      </c>
      <c r="N1440" t="str">
        <f>IF(J1440="Goat",IF(COUNTIF(lists!$J$2:$J$258, K1440) &gt; 0,"indigenous",IF(COUNTIF(lists!$I$2:$I$258, K1440) &gt; 0,"cross.bred","not found")),"NA")</f>
        <v>NA</v>
      </c>
      <c r="O1440" s="9" t="s">
        <v>109</v>
      </c>
      <c r="P1440" s="9" t="s">
        <v>106</v>
      </c>
      <c r="Q1440" s="9" t="s">
        <v>3804</v>
      </c>
      <c r="S1440" s="9" t="s">
        <v>106</v>
      </c>
      <c r="T1440" s="9" t="s">
        <v>106</v>
      </c>
      <c r="U1440" s="9" t="s">
        <v>106</v>
      </c>
      <c r="V1440" s="9" t="s">
        <v>106</v>
      </c>
      <c r="W1440" s="9" t="s">
        <v>106</v>
      </c>
      <c r="X1440" s="9" t="s">
        <v>106</v>
      </c>
      <c r="Y1440" s="9" t="s">
        <v>106</v>
      </c>
      <c r="Z1440" s="37"/>
      <c r="AA1440" s="37"/>
      <c r="AB1440" s="37"/>
      <c r="AE1440">
        <v>0</v>
      </c>
    </row>
    <row r="1441" spans="1:31" hidden="1">
      <c r="A1441" s="9" t="s">
        <v>1461</v>
      </c>
      <c r="B1441" s="9" t="s">
        <v>455</v>
      </c>
      <c r="C1441" s="9" t="s">
        <v>105</v>
      </c>
      <c r="D1441" s="9">
        <v>0.73599999999999999</v>
      </c>
      <c r="E1441" s="9" t="s">
        <v>106</v>
      </c>
      <c r="F1441" s="9">
        <v>22</v>
      </c>
      <c r="G1441" s="9">
        <v>20</v>
      </c>
      <c r="H1441" s="9" t="s">
        <v>106</v>
      </c>
      <c r="I1441" s="9">
        <v>20</v>
      </c>
      <c r="J1441" s="9" t="s">
        <v>107</v>
      </c>
      <c r="K1441" s="9" t="s">
        <v>1463</v>
      </c>
      <c r="L1441" t="str">
        <f>IF(OR(J1441="Cattle",J1441="Zebu Cattle"),IF(COUNTIF(lists!$M$2:$M$258, K1441) &gt; 0,"bos.indicus",IF(COUNTIF(lists!$L$2:$L$258, K1441) &gt; 0,"cross.bred","pure.bred.exotic")),"NA")</f>
        <v>NA</v>
      </c>
      <c r="M1441" t="str">
        <f>IF(J1441="Sheep",IF(COUNTIF(lists!$H$2:$H$258, K1441) &gt; 0,"indigenous",IF(COUNTIF(lists!$G$2:$G$258, K1441) &gt; 0,"cross.bred","not found")),"NA")</f>
        <v>not found</v>
      </c>
      <c r="N1441" t="str">
        <f>IF(J1441="Goat",IF(COUNTIF(lists!$J$2:$J$258, K1441) &gt; 0,"indigenous",IF(COUNTIF(lists!$I$2:$I$258, K1441) &gt; 0,"cross.bred","not found")),"NA")</f>
        <v>NA</v>
      </c>
      <c r="O1441" s="9" t="s">
        <v>109</v>
      </c>
      <c r="P1441" s="9" t="s">
        <v>106</v>
      </c>
      <c r="Q1441" s="9" t="s">
        <v>3804</v>
      </c>
      <c r="S1441" s="9" t="s">
        <v>106</v>
      </c>
      <c r="T1441" s="9" t="s">
        <v>106</v>
      </c>
      <c r="U1441" s="9" t="s">
        <v>106</v>
      </c>
      <c r="V1441" s="9" t="s">
        <v>106</v>
      </c>
      <c r="W1441" s="9" t="s">
        <v>106</v>
      </c>
      <c r="X1441" s="9" t="s">
        <v>106</v>
      </c>
      <c r="Y1441" s="9" t="s">
        <v>106</v>
      </c>
      <c r="Z1441" s="37"/>
      <c r="AA1441" s="37"/>
      <c r="AB1441" s="37"/>
      <c r="AE1441">
        <v>0</v>
      </c>
    </row>
    <row r="1442" spans="1:31" hidden="1">
      <c r="A1442" s="9" t="s">
        <v>1461</v>
      </c>
      <c r="B1442" s="9" t="s">
        <v>1465</v>
      </c>
      <c r="C1442" s="9" t="s">
        <v>105</v>
      </c>
      <c r="D1442" s="9">
        <v>0.89600000000000002</v>
      </c>
      <c r="E1442" s="9" t="s">
        <v>106</v>
      </c>
      <c r="F1442" s="9">
        <v>22</v>
      </c>
      <c r="G1442" s="9">
        <v>48.93</v>
      </c>
      <c r="H1442" s="9" t="s">
        <v>106</v>
      </c>
      <c r="I1442" s="9">
        <v>20</v>
      </c>
      <c r="J1442" s="9" t="s">
        <v>107</v>
      </c>
      <c r="K1442" s="9" t="s">
        <v>1463</v>
      </c>
      <c r="L1442" t="str">
        <f>IF(OR(J1442="Cattle",J1442="Zebu Cattle"),IF(COUNTIF(lists!$M$2:$M$258, K1442) &gt; 0,"bos.indicus",IF(COUNTIF(lists!$L$2:$L$258, K1442) &gt; 0,"cross.bred","pure.bred.exotic")),"NA")</f>
        <v>NA</v>
      </c>
      <c r="M1442" t="str">
        <f>IF(J1442="Sheep",IF(COUNTIF(lists!$H$2:$H$258, K1442) &gt; 0,"indigenous",IF(COUNTIF(lists!$G$2:$G$258, K1442) &gt; 0,"cross.bred","not found")),"NA")</f>
        <v>not found</v>
      </c>
      <c r="N1442" t="str">
        <f>IF(J1442="Goat",IF(COUNTIF(lists!$J$2:$J$258, K1442) &gt; 0,"indigenous",IF(COUNTIF(lists!$I$2:$I$258, K1442) &gt; 0,"cross.bred","not found")),"NA")</f>
        <v>NA</v>
      </c>
      <c r="O1442" s="9" t="s">
        <v>109</v>
      </c>
      <c r="P1442" s="9" t="s">
        <v>106</v>
      </c>
      <c r="Q1442" s="9" t="s">
        <v>3804</v>
      </c>
      <c r="S1442" s="9" t="s">
        <v>106</v>
      </c>
      <c r="T1442" s="9" t="s">
        <v>106</v>
      </c>
      <c r="U1442" s="9" t="s">
        <v>106</v>
      </c>
      <c r="V1442" s="9" t="s">
        <v>106</v>
      </c>
      <c r="W1442" s="9" t="s">
        <v>106</v>
      </c>
      <c r="X1442" s="9" t="s">
        <v>106</v>
      </c>
      <c r="Y1442" s="9" t="s">
        <v>106</v>
      </c>
      <c r="Z1442" s="37"/>
      <c r="AA1442" s="37"/>
      <c r="AB1442" s="37"/>
      <c r="AE1442">
        <v>0</v>
      </c>
    </row>
    <row r="1443" spans="1:31" hidden="1">
      <c r="A1443" s="9" t="s">
        <v>1474</v>
      </c>
      <c r="B1443" s="9" t="s">
        <v>1475</v>
      </c>
      <c r="C1443" s="9" t="s">
        <v>105</v>
      </c>
      <c r="D1443" s="9">
        <v>1.5209999999999999</v>
      </c>
      <c r="E1443" s="9">
        <v>122</v>
      </c>
      <c r="F1443" s="9">
        <v>15.7</v>
      </c>
      <c r="G1443" s="9">
        <v>303</v>
      </c>
      <c r="H1443" s="9" t="s">
        <v>106</v>
      </c>
      <c r="I1443" s="9">
        <v>24</v>
      </c>
      <c r="J1443" s="9" t="s">
        <v>107</v>
      </c>
      <c r="K1443" s="9" t="s">
        <v>1402</v>
      </c>
      <c r="L1443" t="str">
        <f>IF(OR(J1443="Cattle",J1443="Zebu Cattle"),IF(COUNTIF(lists!$M$2:$M$258, K1443) &gt; 0,"bos.indicus",IF(COUNTIF(lists!$L$2:$L$258, K1443) &gt; 0,"cross.bred","pure.bred.exotic")),"NA")</f>
        <v>NA</v>
      </c>
      <c r="M1443" t="str">
        <f>IF(J1443="Sheep",IF(COUNTIF(lists!$H$2:$H$258, K1443) &gt; 0,"indigenous",IF(COUNTIF(lists!$G$2:$G$258, K1443) &gt; 0,"cross.bred","not found")),"NA")</f>
        <v>not found</v>
      </c>
      <c r="N1443" t="str">
        <f>IF(J1443="Goat",IF(COUNTIF(lists!$J$2:$J$258, K1443) &gt; 0,"indigenous",IF(COUNTIF(lists!$I$2:$I$258, K1443) &gt; 0,"cross.bred","not found")),"NA")</f>
        <v>NA</v>
      </c>
      <c r="O1443" s="9" t="s">
        <v>109</v>
      </c>
      <c r="P1443" s="9" t="s">
        <v>106</v>
      </c>
      <c r="Q1443" s="9" t="s">
        <v>3810</v>
      </c>
      <c r="S1443" s="9">
        <v>165</v>
      </c>
      <c r="T1443" s="9" t="s">
        <v>106</v>
      </c>
      <c r="U1443" s="9">
        <v>189</v>
      </c>
      <c r="V1443" s="9">
        <v>903</v>
      </c>
      <c r="W1443" s="9" t="s">
        <v>106</v>
      </c>
      <c r="X1443" s="9">
        <v>326</v>
      </c>
      <c r="Y1443" s="9" t="s">
        <v>106</v>
      </c>
      <c r="Z1443" s="37"/>
      <c r="AA1443" s="37"/>
      <c r="AB1443" s="37"/>
      <c r="AE1443">
        <v>0</v>
      </c>
    </row>
    <row r="1444" spans="1:31" hidden="1">
      <c r="A1444" s="9" t="s">
        <v>1474</v>
      </c>
      <c r="B1444" s="9" t="s">
        <v>1476</v>
      </c>
      <c r="C1444" s="9" t="s">
        <v>105</v>
      </c>
      <c r="D1444" s="9">
        <v>1.339</v>
      </c>
      <c r="E1444" s="9">
        <v>122</v>
      </c>
      <c r="F1444" s="9">
        <v>15.7</v>
      </c>
      <c r="G1444" s="9">
        <v>305</v>
      </c>
      <c r="H1444" s="9" t="s">
        <v>106</v>
      </c>
      <c r="I1444" s="9">
        <v>24</v>
      </c>
      <c r="J1444" s="9" t="s">
        <v>107</v>
      </c>
      <c r="K1444" s="9" t="s">
        <v>1402</v>
      </c>
      <c r="L1444" t="str">
        <f>IF(OR(J1444="Cattle",J1444="Zebu Cattle"),IF(COUNTIF(lists!$M$2:$M$258, K1444) &gt; 0,"bos.indicus",IF(COUNTIF(lists!$L$2:$L$258, K1444) &gt; 0,"cross.bred","pure.bred.exotic")),"NA")</f>
        <v>NA</v>
      </c>
      <c r="M1444" t="str">
        <f>IF(J1444="Sheep",IF(COUNTIF(lists!$H$2:$H$258, K1444) &gt; 0,"indigenous",IF(COUNTIF(lists!$G$2:$G$258, K1444) &gt; 0,"cross.bred","not found")),"NA")</f>
        <v>not found</v>
      </c>
      <c r="N1444" t="str">
        <f>IF(J1444="Goat",IF(COUNTIF(lists!$J$2:$J$258, K1444) &gt; 0,"indigenous",IF(COUNTIF(lists!$I$2:$I$258, K1444) &gt; 0,"cross.bred","not found")),"NA")</f>
        <v>NA</v>
      </c>
      <c r="O1444" s="9" t="s">
        <v>109</v>
      </c>
      <c r="P1444" s="9" t="s">
        <v>106</v>
      </c>
      <c r="Q1444" s="9" t="s">
        <v>3810</v>
      </c>
      <c r="S1444" s="9">
        <v>214</v>
      </c>
      <c r="T1444" s="9" t="s">
        <v>106</v>
      </c>
      <c r="U1444" s="9">
        <v>180</v>
      </c>
      <c r="V1444" s="9">
        <v>909</v>
      </c>
      <c r="W1444" s="9" t="s">
        <v>106</v>
      </c>
      <c r="X1444" s="9">
        <v>387</v>
      </c>
      <c r="Y1444" s="9" t="s">
        <v>106</v>
      </c>
      <c r="Z1444" s="37"/>
      <c r="AA1444" s="37"/>
      <c r="AB1444" s="37"/>
      <c r="AE1444">
        <v>0</v>
      </c>
    </row>
    <row r="1445" spans="1:31" hidden="1">
      <c r="A1445" s="9" t="s">
        <v>1474</v>
      </c>
      <c r="B1445" s="9" t="s">
        <v>1477</v>
      </c>
      <c r="C1445" s="9" t="s">
        <v>105</v>
      </c>
      <c r="D1445" s="9">
        <v>1.2629999999999999</v>
      </c>
      <c r="E1445" s="9">
        <v>122</v>
      </c>
      <c r="F1445" s="9">
        <v>15.7</v>
      </c>
      <c r="G1445" s="9">
        <v>271</v>
      </c>
      <c r="H1445" s="9" t="s">
        <v>106</v>
      </c>
      <c r="I1445" s="9">
        <v>24</v>
      </c>
      <c r="J1445" s="9" t="s">
        <v>107</v>
      </c>
      <c r="K1445" s="9" t="s">
        <v>1402</v>
      </c>
      <c r="L1445" t="str">
        <f>IF(OR(J1445="Cattle",J1445="Zebu Cattle"),IF(COUNTIF(lists!$M$2:$M$258, K1445) &gt; 0,"bos.indicus",IF(COUNTIF(lists!$L$2:$L$258, K1445) &gt; 0,"cross.bred","pure.bred.exotic")),"NA")</f>
        <v>NA</v>
      </c>
      <c r="M1445" t="str">
        <f>IF(J1445="Sheep",IF(COUNTIF(lists!$H$2:$H$258, K1445) &gt; 0,"indigenous",IF(COUNTIF(lists!$G$2:$G$258, K1445) &gt; 0,"cross.bred","not found")),"NA")</f>
        <v>not found</v>
      </c>
      <c r="N1445" t="str">
        <f>IF(J1445="Goat",IF(COUNTIF(lists!$J$2:$J$258, K1445) &gt; 0,"indigenous",IF(COUNTIF(lists!$I$2:$I$258, K1445) &gt; 0,"cross.bred","not found")),"NA")</f>
        <v>NA</v>
      </c>
      <c r="O1445" s="9" t="s">
        <v>109</v>
      </c>
      <c r="P1445" s="9" t="s">
        <v>106</v>
      </c>
      <c r="Q1445" s="9" t="s">
        <v>3810</v>
      </c>
      <c r="S1445" s="9">
        <v>196</v>
      </c>
      <c r="T1445" s="9" t="s">
        <v>106</v>
      </c>
      <c r="U1445" s="9">
        <v>172</v>
      </c>
      <c r="V1445" s="9">
        <v>909</v>
      </c>
      <c r="W1445" s="9" t="s">
        <v>106</v>
      </c>
      <c r="X1445" s="9">
        <v>377</v>
      </c>
      <c r="Y1445" s="9" t="s">
        <v>106</v>
      </c>
      <c r="Z1445" s="37"/>
      <c r="AA1445" s="37"/>
      <c r="AB1445" s="37"/>
      <c r="AE1445">
        <v>0</v>
      </c>
    </row>
    <row r="1446" spans="1:31" hidden="1">
      <c r="A1446" s="9" t="s">
        <v>1474</v>
      </c>
      <c r="B1446" s="9" t="s">
        <v>1478</v>
      </c>
      <c r="C1446" s="9" t="s">
        <v>105</v>
      </c>
      <c r="D1446" s="9">
        <v>1.2010000000000001</v>
      </c>
      <c r="E1446" s="9">
        <v>122</v>
      </c>
      <c r="F1446" s="9">
        <v>15.7</v>
      </c>
      <c r="G1446" s="9">
        <v>269</v>
      </c>
      <c r="H1446" s="9" t="s">
        <v>106</v>
      </c>
      <c r="I1446" s="9">
        <v>24</v>
      </c>
      <c r="J1446" s="9" t="s">
        <v>107</v>
      </c>
      <c r="K1446" s="9" t="s">
        <v>1402</v>
      </c>
      <c r="L1446" t="str">
        <f>IF(OR(J1446="Cattle",J1446="Zebu Cattle"),IF(COUNTIF(lists!$M$2:$M$258, K1446) &gt; 0,"bos.indicus",IF(COUNTIF(lists!$L$2:$L$258, K1446) &gt; 0,"cross.bred","pure.bred.exotic")),"NA")</f>
        <v>NA</v>
      </c>
      <c r="M1446" t="str">
        <f>IF(J1446="Sheep",IF(COUNTIF(lists!$H$2:$H$258, K1446) &gt; 0,"indigenous",IF(COUNTIF(lists!$G$2:$G$258, K1446) &gt; 0,"cross.bred","not found")),"NA")</f>
        <v>not found</v>
      </c>
      <c r="N1446" t="str">
        <f>IF(J1446="Goat",IF(COUNTIF(lists!$J$2:$J$258, K1446) &gt; 0,"indigenous",IF(COUNTIF(lists!$I$2:$I$258, K1446) &gt; 0,"cross.bred","not found")),"NA")</f>
        <v>NA</v>
      </c>
      <c r="O1446" s="9" t="s">
        <v>109</v>
      </c>
      <c r="P1446" s="9" t="s">
        <v>106</v>
      </c>
      <c r="Q1446" s="9" t="s">
        <v>3810</v>
      </c>
      <c r="S1446" s="9">
        <v>204</v>
      </c>
      <c r="T1446" s="9" t="s">
        <v>106</v>
      </c>
      <c r="U1446" s="9">
        <v>183</v>
      </c>
      <c r="V1446" s="9">
        <v>908</v>
      </c>
      <c r="W1446" s="9" t="s">
        <v>106</v>
      </c>
      <c r="X1446" s="9">
        <v>408</v>
      </c>
      <c r="Y1446" s="9" t="s">
        <v>106</v>
      </c>
      <c r="Z1446" s="37"/>
      <c r="AA1446" s="37"/>
      <c r="AB1446" s="37"/>
      <c r="AE1446">
        <v>0</v>
      </c>
    </row>
    <row r="1447" spans="1:31" hidden="1">
      <c r="A1447" s="9" t="s">
        <v>1474</v>
      </c>
      <c r="B1447" s="9" t="s">
        <v>1479</v>
      </c>
      <c r="C1447" s="9" t="s">
        <v>105</v>
      </c>
      <c r="D1447" s="9">
        <v>1.4259999999999999</v>
      </c>
      <c r="E1447" s="9">
        <v>122</v>
      </c>
      <c r="F1447" s="9">
        <v>15.7</v>
      </c>
      <c r="G1447" s="9">
        <v>285</v>
      </c>
      <c r="H1447" s="9" t="s">
        <v>106</v>
      </c>
      <c r="I1447" s="9">
        <v>24</v>
      </c>
      <c r="J1447" s="9" t="s">
        <v>107</v>
      </c>
      <c r="K1447" s="9" t="s">
        <v>1402</v>
      </c>
      <c r="L1447" t="str">
        <f>IF(OR(J1447="Cattle",J1447="Zebu Cattle"),IF(COUNTIF(lists!$M$2:$M$258, K1447) &gt; 0,"bos.indicus",IF(COUNTIF(lists!$L$2:$L$258, K1447) &gt; 0,"cross.bred","pure.bred.exotic")),"NA")</f>
        <v>NA</v>
      </c>
      <c r="M1447" t="str">
        <f>IF(J1447="Sheep",IF(COUNTIF(lists!$H$2:$H$258, K1447) &gt; 0,"indigenous",IF(COUNTIF(lists!$G$2:$G$258, K1447) &gt; 0,"cross.bred","not found")),"NA")</f>
        <v>not found</v>
      </c>
      <c r="N1447" t="str">
        <f>IF(J1447="Goat",IF(COUNTIF(lists!$J$2:$J$258, K1447) &gt; 0,"indigenous",IF(COUNTIF(lists!$I$2:$I$258, K1447) &gt; 0,"cross.bred","not found")),"NA")</f>
        <v>NA</v>
      </c>
      <c r="O1447" s="9" t="s">
        <v>109</v>
      </c>
      <c r="P1447" s="9" t="s">
        <v>106</v>
      </c>
      <c r="Q1447" s="9" t="s">
        <v>3810</v>
      </c>
      <c r="S1447" s="9">
        <v>199</v>
      </c>
      <c r="T1447" s="9" t="s">
        <v>106</v>
      </c>
      <c r="U1447" s="9">
        <v>185</v>
      </c>
      <c r="V1447" s="9">
        <v>905</v>
      </c>
      <c r="W1447" s="9" t="s">
        <v>106</v>
      </c>
      <c r="X1447" s="9">
        <v>355</v>
      </c>
      <c r="Y1447" s="9" t="s">
        <v>106</v>
      </c>
      <c r="Z1447" s="37"/>
      <c r="AA1447" s="37"/>
      <c r="AB1447" s="37"/>
      <c r="AE1447">
        <v>0</v>
      </c>
    </row>
    <row r="1448" spans="1:31" hidden="1">
      <c r="A1448" s="9" t="s">
        <v>1474</v>
      </c>
      <c r="B1448" s="9" t="s">
        <v>1480</v>
      </c>
      <c r="C1448" s="9" t="s">
        <v>105</v>
      </c>
      <c r="D1448" s="9">
        <v>1.1519999999999999</v>
      </c>
      <c r="E1448" s="9">
        <v>134</v>
      </c>
      <c r="F1448" s="9">
        <v>15.7</v>
      </c>
      <c r="G1448" s="9">
        <v>265</v>
      </c>
      <c r="H1448" s="9" t="s">
        <v>106</v>
      </c>
      <c r="I1448" s="9">
        <v>24</v>
      </c>
      <c r="J1448" s="9" t="s">
        <v>107</v>
      </c>
      <c r="K1448" s="9" t="s">
        <v>1402</v>
      </c>
      <c r="L1448" t="str">
        <f>IF(OR(J1448="Cattle",J1448="Zebu Cattle"),IF(COUNTIF(lists!$M$2:$M$258, K1448) &gt; 0,"bos.indicus",IF(COUNTIF(lists!$L$2:$L$258, K1448) &gt; 0,"cross.bred","pure.bred.exotic")),"NA")</f>
        <v>NA</v>
      </c>
      <c r="M1448" t="str">
        <f>IF(J1448="Sheep",IF(COUNTIF(lists!$H$2:$H$258, K1448) &gt; 0,"indigenous",IF(COUNTIF(lists!$G$2:$G$258, K1448) &gt; 0,"cross.bred","not found")),"NA")</f>
        <v>not found</v>
      </c>
      <c r="N1448" t="str">
        <f>IF(J1448="Goat",IF(COUNTIF(lists!$J$2:$J$258, K1448) &gt; 0,"indigenous",IF(COUNTIF(lists!$I$2:$I$258, K1448) &gt; 0,"cross.bred","not found")),"NA")</f>
        <v>NA</v>
      </c>
      <c r="O1448" s="9" t="s">
        <v>109</v>
      </c>
      <c r="P1448" s="9" t="s">
        <v>106</v>
      </c>
      <c r="Q1448" s="9" t="s">
        <v>3810</v>
      </c>
      <c r="S1448" s="9">
        <v>191</v>
      </c>
      <c r="T1448" s="9" t="s">
        <v>106</v>
      </c>
      <c r="U1448" s="9">
        <v>187</v>
      </c>
      <c r="V1448" s="9">
        <v>908</v>
      </c>
      <c r="W1448" s="9" t="s">
        <v>106</v>
      </c>
      <c r="X1448" s="9">
        <v>420</v>
      </c>
      <c r="Y1448" s="9" t="s">
        <v>106</v>
      </c>
      <c r="Z1448" s="37"/>
      <c r="AA1448" s="37"/>
      <c r="AB1448" s="37"/>
      <c r="AE1448">
        <v>0</v>
      </c>
    </row>
    <row r="1449" spans="1:31" hidden="1">
      <c r="A1449" s="9" t="s">
        <v>1474</v>
      </c>
      <c r="B1449" s="9" t="s">
        <v>1481</v>
      </c>
      <c r="C1449" s="9" t="s">
        <v>105</v>
      </c>
      <c r="D1449" s="9">
        <v>1.2010000000000001</v>
      </c>
      <c r="E1449" s="9">
        <v>134</v>
      </c>
      <c r="F1449" s="9">
        <v>15.7</v>
      </c>
      <c r="G1449" s="9">
        <v>269</v>
      </c>
      <c r="H1449" s="9" t="s">
        <v>106</v>
      </c>
      <c r="I1449" s="9">
        <v>24</v>
      </c>
      <c r="J1449" s="9" t="s">
        <v>107</v>
      </c>
      <c r="K1449" s="9" t="s">
        <v>1402</v>
      </c>
      <c r="L1449" t="str">
        <f>IF(OR(J1449="Cattle",J1449="Zebu Cattle"),IF(COUNTIF(lists!$M$2:$M$258, K1449) &gt; 0,"bos.indicus",IF(COUNTIF(lists!$L$2:$L$258, K1449) &gt; 0,"cross.bred","pure.bred.exotic")),"NA")</f>
        <v>NA</v>
      </c>
      <c r="M1449" t="str">
        <f>IF(J1449="Sheep",IF(COUNTIF(lists!$H$2:$H$258, K1449) &gt; 0,"indigenous",IF(COUNTIF(lists!$G$2:$G$258, K1449) &gt; 0,"cross.bred","not found")),"NA")</f>
        <v>not found</v>
      </c>
      <c r="N1449" t="str">
        <f>IF(J1449="Goat",IF(COUNTIF(lists!$J$2:$J$258, K1449) &gt; 0,"indigenous",IF(COUNTIF(lists!$I$2:$I$258, K1449) &gt; 0,"cross.bred","not found")),"NA")</f>
        <v>NA</v>
      </c>
      <c r="O1449" s="9" t="s">
        <v>109</v>
      </c>
      <c r="P1449" s="9" t="s">
        <v>106</v>
      </c>
      <c r="Q1449" s="9" t="s">
        <v>3810</v>
      </c>
      <c r="S1449" s="9">
        <v>191</v>
      </c>
      <c r="T1449" s="9" t="s">
        <v>106</v>
      </c>
      <c r="U1449" s="9">
        <v>187</v>
      </c>
      <c r="V1449" s="9">
        <v>908</v>
      </c>
      <c r="W1449" s="9" t="s">
        <v>106</v>
      </c>
      <c r="X1449" s="9">
        <v>420</v>
      </c>
      <c r="Y1449" s="9" t="s">
        <v>106</v>
      </c>
      <c r="Z1449" s="37"/>
      <c r="AA1449" s="37"/>
      <c r="AB1449" s="37"/>
      <c r="AE1449">
        <v>0</v>
      </c>
    </row>
    <row r="1450" spans="1:31" hidden="1">
      <c r="A1450" s="9" t="s">
        <v>1502</v>
      </c>
      <c r="B1450" s="9" t="s">
        <v>1503</v>
      </c>
      <c r="C1450" s="9" t="s">
        <v>105</v>
      </c>
      <c r="D1450" s="9">
        <v>1.345</v>
      </c>
      <c r="E1450" s="9">
        <v>46</v>
      </c>
      <c r="F1450" s="9">
        <v>33.9</v>
      </c>
      <c r="G1450" s="9">
        <v>116</v>
      </c>
      <c r="H1450" s="9" t="s">
        <v>106</v>
      </c>
      <c r="I1450" s="9">
        <v>28</v>
      </c>
      <c r="J1450" s="9" t="s">
        <v>107</v>
      </c>
      <c r="K1450" s="9" t="s">
        <v>193</v>
      </c>
      <c r="L1450" t="str">
        <f>IF(OR(J1450="Cattle",J1450="Zebu Cattle"),IF(COUNTIF(lists!$M$2:$M$258, K1450) &gt; 0,"bos.indicus",IF(COUNTIF(lists!$L$2:$L$258, K1450) &gt; 0,"cross.bred","pure.bred.exotic")),"NA")</f>
        <v>NA</v>
      </c>
      <c r="M1450" t="str">
        <f>IF(J1450="Sheep",IF(COUNTIF(lists!$H$2:$H$258, K1450) &gt; 0,"indigenous",IF(COUNTIF(lists!$G$2:$G$258, K1450) &gt; 0,"cross.bred","not found")),"NA")</f>
        <v>not found</v>
      </c>
      <c r="N1450" t="str">
        <f>IF(J1450="Goat",IF(COUNTIF(lists!$J$2:$J$258, K1450) &gt; 0,"indigenous",IF(COUNTIF(lists!$I$2:$I$258, K1450) &gt; 0,"cross.bred","not found")),"NA")</f>
        <v>NA</v>
      </c>
      <c r="O1450" s="9" t="s">
        <v>109</v>
      </c>
      <c r="P1450" s="9" t="s">
        <v>106</v>
      </c>
      <c r="Q1450" s="9" t="s">
        <v>3810</v>
      </c>
      <c r="S1450" s="9">
        <v>178</v>
      </c>
      <c r="T1450" s="9" t="s">
        <v>106</v>
      </c>
      <c r="U1450" s="9">
        <v>177</v>
      </c>
      <c r="V1450" s="9">
        <v>905</v>
      </c>
      <c r="W1450" s="9">
        <v>24</v>
      </c>
      <c r="X1450" s="9">
        <v>363</v>
      </c>
      <c r="Y1450" s="9" t="s">
        <v>106</v>
      </c>
      <c r="Z1450" s="37"/>
      <c r="AA1450" s="37"/>
      <c r="AB1450" s="37"/>
      <c r="AE1450">
        <v>0</v>
      </c>
    </row>
    <row r="1451" spans="1:31" hidden="1">
      <c r="A1451" s="9" t="s">
        <v>1502</v>
      </c>
      <c r="B1451" s="9" t="s">
        <v>1504</v>
      </c>
      <c r="C1451" s="9" t="s">
        <v>105</v>
      </c>
      <c r="D1451" s="9">
        <v>1.3169999999999999</v>
      </c>
      <c r="E1451" s="9">
        <v>61</v>
      </c>
      <c r="F1451" s="9">
        <v>33.9</v>
      </c>
      <c r="G1451" s="9">
        <v>96</v>
      </c>
      <c r="H1451" s="9" t="s">
        <v>106</v>
      </c>
      <c r="I1451" s="9">
        <v>28</v>
      </c>
      <c r="J1451" s="9" t="s">
        <v>107</v>
      </c>
      <c r="K1451" s="9" t="s">
        <v>193</v>
      </c>
      <c r="L1451" t="str">
        <f>IF(OR(J1451="Cattle",J1451="Zebu Cattle"),IF(COUNTIF(lists!$M$2:$M$258, K1451) &gt; 0,"bos.indicus",IF(COUNTIF(lists!$L$2:$L$258, K1451) &gt; 0,"cross.bred","pure.bred.exotic")),"NA")</f>
        <v>NA</v>
      </c>
      <c r="M1451" t="str">
        <f>IF(J1451="Sheep",IF(COUNTIF(lists!$H$2:$H$258, K1451) &gt; 0,"indigenous",IF(COUNTIF(lists!$G$2:$G$258, K1451) &gt; 0,"cross.bred","not found")),"NA")</f>
        <v>not found</v>
      </c>
      <c r="N1451" t="str">
        <f>IF(J1451="Goat",IF(COUNTIF(lists!$J$2:$J$258, K1451) &gt; 0,"indigenous",IF(COUNTIF(lists!$I$2:$I$258, K1451) &gt; 0,"cross.bred","not found")),"NA")</f>
        <v>NA</v>
      </c>
      <c r="O1451" s="9" t="s">
        <v>109</v>
      </c>
      <c r="P1451" s="9" t="s">
        <v>106</v>
      </c>
      <c r="Q1451" s="9" t="s">
        <v>3810</v>
      </c>
      <c r="S1451" s="9">
        <v>159</v>
      </c>
      <c r="T1451" s="9" t="s">
        <v>106</v>
      </c>
      <c r="U1451" s="9">
        <v>177</v>
      </c>
      <c r="V1451" s="9">
        <v>902</v>
      </c>
      <c r="W1451" s="9">
        <v>22</v>
      </c>
      <c r="X1451" s="9">
        <v>313</v>
      </c>
      <c r="Y1451" s="9" t="s">
        <v>106</v>
      </c>
      <c r="Z1451" s="37"/>
      <c r="AA1451" s="37"/>
      <c r="AB1451" s="37"/>
      <c r="AE1451">
        <v>0</v>
      </c>
    </row>
    <row r="1452" spans="1:31" hidden="1">
      <c r="A1452" s="9" t="s">
        <v>1502</v>
      </c>
      <c r="B1452" s="9" t="s">
        <v>1505</v>
      </c>
      <c r="C1452" s="9" t="s">
        <v>105</v>
      </c>
      <c r="D1452" s="9">
        <v>1.3680000000000001</v>
      </c>
      <c r="E1452" s="9">
        <v>69</v>
      </c>
      <c r="F1452" s="9">
        <v>33.9</v>
      </c>
      <c r="G1452" s="9">
        <v>118</v>
      </c>
      <c r="H1452" s="9" t="s">
        <v>106</v>
      </c>
      <c r="I1452" s="9">
        <v>28</v>
      </c>
      <c r="J1452" s="9" t="s">
        <v>107</v>
      </c>
      <c r="K1452" s="9" t="s">
        <v>193</v>
      </c>
      <c r="L1452" t="str">
        <f>IF(OR(J1452="Cattle",J1452="Zebu Cattle"),IF(COUNTIF(lists!$M$2:$M$258, K1452) &gt; 0,"bos.indicus",IF(COUNTIF(lists!$L$2:$L$258, K1452) &gt; 0,"cross.bred","pure.bred.exotic")),"NA")</f>
        <v>NA</v>
      </c>
      <c r="M1452" t="str">
        <f>IF(J1452="Sheep",IF(COUNTIF(lists!$H$2:$H$258, K1452) &gt; 0,"indigenous",IF(COUNTIF(lists!$G$2:$G$258, K1452) &gt; 0,"cross.bred","not found")),"NA")</f>
        <v>not found</v>
      </c>
      <c r="N1452" t="str">
        <f>IF(J1452="Goat",IF(COUNTIF(lists!$J$2:$J$258, K1452) &gt; 0,"indigenous",IF(COUNTIF(lists!$I$2:$I$258, K1452) &gt; 0,"cross.bred","not found")),"NA")</f>
        <v>NA</v>
      </c>
      <c r="O1452" s="9" t="s">
        <v>109</v>
      </c>
      <c r="P1452" s="9" t="s">
        <v>106</v>
      </c>
      <c r="Q1452" s="9" t="s">
        <v>3810</v>
      </c>
      <c r="S1452" s="9">
        <v>214</v>
      </c>
      <c r="T1452" s="9" t="s">
        <v>106</v>
      </c>
      <c r="U1452" s="9">
        <v>171</v>
      </c>
      <c r="V1452" s="9">
        <v>913</v>
      </c>
      <c r="W1452" s="9">
        <v>24</v>
      </c>
      <c r="X1452" s="9">
        <v>413</v>
      </c>
      <c r="Y1452" s="9" t="s">
        <v>106</v>
      </c>
      <c r="Z1452" s="37"/>
      <c r="AA1452" s="37"/>
      <c r="AB1452" s="37"/>
      <c r="AE1452">
        <v>0</v>
      </c>
    </row>
    <row r="1453" spans="1:31" hidden="1">
      <c r="A1453" s="9" t="s">
        <v>1586</v>
      </c>
      <c r="B1453" s="9" t="s">
        <v>455</v>
      </c>
      <c r="C1453" s="9" t="s">
        <v>105</v>
      </c>
      <c r="D1453" s="9">
        <v>0.52700000000000002</v>
      </c>
      <c r="E1453" s="9">
        <v>38</v>
      </c>
      <c r="F1453" s="9">
        <v>18.600000000000001</v>
      </c>
      <c r="G1453" s="9">
        <v>4.7619047619047601</v>
      </c>
      <c r="H1453" s="9" t="s">
        <v>106</v>
      </c>
      <c r="I1453" s="9">
        <v>25</v>
      </c>
      <c r="J1453" s="9" t="s">
        <v>107</v>
      </c>
      <c r="K1453" s="9" t="s">
        <v>1112</v>
      </c>
      <c r="L1453" t="str">
        <f>IF(OR(J1453="Cattle",J1453="Zebu Cattle"),IF(COUNTIF(lists!$M$2:$M$258, K1453) &gt; 0,"bos.indicus",IF(COUNTIF(lists!$L$2:$L$258, K1453) &gt; 0,"cross.bred","pure.bred.exotic")),"NA")</f>
        <v>NA</v>
      </c>
      <c r="M1453" t="str">
        <f>IF(J1453="Sheep",IF(COUNTIF(lists!$H$2:$H$258, K1453) &gt; 0,"indigenous",IF(COUNTIF(lists!$G$2:$G$258, K1453) &gt; 0,"cross.bred","not found")),"NA")</f>
        <v>not found</v>
      </c>
      <c r="N1453" t="str">
        <f>IF(J1453="Goat",IF(COUNTIF(lists!$J$2:$J$258, K1453) &gt; 0,"indigenous",IF(COUNTIF(lists!$I$2:$I$258, K1453) &gt; 0,"cross.bred","not found")),"NA")</f>
        <v>NA</v>
      </c>
      <c r="O1453" s="9" t="s">
        <v>109</v>
      </c>
      <c r="P1453" s="9" t="s">
        <v>106</v>
      </c>
      <c r="Q1453" s="9" t="s">
        <v>3804</v>
      </c>
      <c r="S1453" s="9" t="s">
        <v>106</v>
      </c>
      <c r="T1453" s="9" t="s">
        <v>106</v>
      </c>
      <c r="U1453" s="9" t="s">
        <v>106</v>
      </c>
      <c r="V1453" s="9" t="s">
        <v>106</v>
      </c>
      <c r="W1453" s="9" t="s">
        <v>106</v>
      </c>
      <c r="X1453" s="9" t="s">
        <v>106</v>
      </c>
      <c r="Y1453" s="9" t="s">
        <v>106</v>
      </c>
      <c r="Z1453" s="37"/>
      <c r="AA1453" s="37"/>
      <c r="AB1453" s="37"/>
      <c r="AE1453">
        <v>0</v>
      </c>
    </row>
    <row r="1454" spans="1:31" hidden="1">
      <c r="A1454" s="9" t="s">
        <v>1586</v>
      </c>
      <c r="B1454" s="9" t="s">
        <v>1587</v>
      </c>
      <c r="C1454" s="9" t="s">
        <v>105</v>
      </c>
      <c r="D1454" s="9">
        <v>0.66900000000000004</v>
      </c>
      <c r="E1454" s="9">
        <v>38</v>
      </c>
      <c r="F1454" s="9">
        <v>18.600000000000001</v>
      </c>
      <c r="G1454" s="9">
        <v>15.2380952380952</v>
      </c>
      <c r="H1454" s="9" t="s">
        <v>106</v>
      </c>
      <c r="I1454" s="9">
        <v>25</v>
      </c>
      <c r="J1454" s="9" t="s">
        <v>107</v>
      </c>
      <c r="K1454" s="9" t="s">
        <v>1112</v>
      </c>
      <c r="L1454" t="str">
        <f>IF(OR(J1454="Cattle",J1454="Zebu Cattle"),IF(COUNTIF(lists!$M$2:$M$258, K1454) &gt; 0,"bos.indicus",IF(COUNTIF(lists!$L$2:$L$258, K1454) &gt; 0,"cross.bred","pure.bred.exotic")),"NA")</f>
        <v>NA</v>
      </c>
      <c r="M1454" t="str">
        <f>IF(J1454="Sheep",IF(COUNTIF(lists!$H$2:$H$258, K1454) &gt; 0,"indigenous",IF(COUNTIF(lists!$G$2:$G$258, K1454) &gt; 0,"cross.bred","not found")),"NA")</f>
        <v>not found</v>
      </c>
      <c r="N1454" t="str">
        <f>IF(J1454="Goat",IF(COUNTIF(lists!$J$2:$J$258, K1454) &gt; 0,"indigenous",IF(COUNTIF(lists!$I$2:$I$258, K1454) &gt; 0,"cross.bred","not found")),"NA")</f>
        <v>NA</v>
      </c>
      <c r="O1454" s="9" t="s">
        <v>109</v>
      </c>
      <c r="P1454" s="9" t="s">
        <v>106</v>
      </c>
      <c r="Q1454" s="9" t="s">
        <v>3804</v>
      </c>
      <c r="S1454" s="9" t="s">
        <v>106</v>
      </c>
      <c r="T1454" s="9" t="s">
        <v>106</v>
      </c>
      <c r="U1454" s="9" t="s">
        <v>106</v>
      </c>
      <c r="V1454" s="9" t="s">
        <v>106</v>
      </c>
      <c r="W1454" s="9" t="s">
        <v>106</v>
      </c>
      <c r="X1454" s="9" t="s">
        <v>106</v>
      </c>
      <c r="Y1454" s="9" t="s">
        <v>106</v>
      </c>
      <c r="Z1454" s="37"/>
      <c r="AA1454" s="37"/>
      <c r="AB1454" s="37"/>
      <c r="AE1454">
        <v>0</v>
      </c>
    </row>
    <row r="1455" spans="1:31" hidden="1">
      <c r="A1455" s="9" t="s">
        <v>1586</v>
      </c>
      <c r="B1455" s="9" t="s">
        <v>1588</v>
      </c>
      <c r="C1455" s="9" t="s">
        <v>105</v>
      </c>
      <c r="D1455" s="9">
        <v>0.61699999999999999</v>
      </c>
      <c r="E1455" s="9">
        <v>38</v>
      </c>
      <c r="F1455" s="9">
        <v>18.600000000000001</v>
      </c>
      <c r="G1455" s="9">
        <v>27.619047619047599</v>
      </c>
      <c r="H1455" s="9" t="s">
        <v>106</v>
      </c>
      <c r="I1455" s="9">
        <v>25</v>
      </c>
      <c r="J1455" s="9" t="s">
        <v>107</v>
      </c>
      <c r="K1455" s="9" t="s">
        <v>1112</v>
      </c>
      <c r="L1455" t="str">
        <f>IF(OR(J1455="Cattle",J1455="Zebu Cattle"),IF(COUNTIF(lists!$M$2:$M$258, K1455) &gt; 0,"bos.indicus",IF(COUNTIF(lists!$L$2:$L$258, K1455) &gt; 0,"cross.bred","pure.bred.exotic")),"NA")</f>
        <v>NA</v>
      </c>
      <c r="M1455" t="str">
        <f>IF(J1455="Sheep",IF(COUNTIF(lists!$H$2:$H$258, K1455) &gt; 0,"indigenous",IF(COUNTIF(lists!$G$2:$G$258, K1455) &gt; 0,"cross.bred","not found")),"NA")</f>
        <v>not found</v>
      </c>
      <c r="N1455" t="str">
        <f>IF(J1455="Goat",IF(COUNTIF(lists!$J$2:$J$258, K1455) &gt; 0,"indigenous",IF(COUNTIF(lists!$I$2:$I$258, K1455) &gt; 0,"cross.bred","not found")),"NA")</f>
        <v>NA</v>
      </c>
      <c r="O1455" s="9" t="s">
        <v>109</v>
      </c>
      <c r="P1455" s="9" t="s">
        <v>106</v>
      </c>
      <c r="Q1455" s="9" t="s">
        <v>3804</v>
      </c>
      <c r="S1455" s="9" t="s">
        <v>106</v>
      </c>
      <c r="T1455" s="9" t="s">
        <v>106</v>
      </c>
      <c r="U1455" s="9" t="s">
        <v>106</v>
      </c>
      <c r="V1455" s="9" t="s">
        <v>106</v>
      </c>
      <c r="W1455" s="9" t="s">
        <v>106</v>
      </c>
      <c r="X1455" s="9" t="s">
        <v>106</v>
      </c>
      <c r="Y1455" s="9" t="s">
        <v>106</v>
      </c>
      <c r="Z1455" s="37"/>
      <c r="AA1455" s="37"/>
      <c r="AB1455" s="37"/>
      <c r="AE1455">
        <v>0</v>
      </c>
    </row>
    <row r="1456" spans="1:31" hidden="1">
      <c r="A1456" s="9" t="s">
        <v>1586</v>
      </c>
      <c r="B1456" s="9" t="s">
        <v>1589</v>
      </c>
      <c r="C1456" s="9" t="s">
        <v>105</v>
      </c>
      <c r="D1456" s="9">
        <v>0.74099999999999999</v>
      </c>
      <c r="E1456" s="9">
        <v>38</v>
      </c>
      <c r="F1456" s="9">
        <v>18.600000000000001</v>
      </c>
      <c r="G1456" s="9">
        <v>30.476190476190499</v>
      </c>
      <c r="H1456" s="9" t="s">
        <v>106</v>
      </c>
      <c r="I1456" s="9">
        <v>25</v>
      </c>
      <c r="J1456" s="9" t="s">
        <v>107</v>
      </c>
      <c r="K1456" s="9" t="s">
        <v>1112</v>
      </c>
      <c r="L1456" t="str">
        <f>IF(OR(J1456="Cattle",J1456="Zebu Cattle"),IF(COUNTIF(lists!$M$2:$M$258, K1456) &gt; 0,"bos.indicus",IF(COUNTIF(lists!$L$2:$L$258, K1456) &gt; 0,"cross.bred","pure.bred.exotic")),"NA")</f>
        <v>NA</v>
      </c>
      <c r="M1456" t="str">
        <f>IF(J1456="Sheep",IF(COUNTIF(lists!$H$2:$H$258, K1456) &gt; 0,"indigenous",IF(COUNTIF(lists!$G$2:$G$258, K1456) &gt; 0,"cross.bred","not found")),"NA")</f>
        <v>not found</v>
      </c>
      <c r="N1456" t="str">
        <f>IF(J1456="Goat",IF(COUNTIF(lists!$J$2:$J$258, K1456) &gt; 0,"indigenous",IF(COUNTIF(lists!$I$2:$I$258, K1456) &gt; 0,"cross.bred","not found")),"NA")</f>
        <v>NA</v>
      </c>
      <c r="O1456" s="9" t="s">
        <v>109</v>
      </c>
      <c r="P1456" s="9" t="s">
        <v>106</v>
      </c>
      <c r="Q1456" s="9" t="s">
        <v>3804</v>
      </c>
      <c r="S1456" s="9" t="s">
        <v>106</v>
      </c>
      <c r="T1456" s="9" t="s">
        <v>106</v>
      </c>
      <c r="U1456" s="9" t="s">
        <v>106</v>
      </c>
      <c r="V1456" s="9" t="s">
        <v>106</v>
      </c>
      <c r="W1456" s="9" t="s">
        <v>106</v>
      </c>
      <c r="X1456" s="9" t="s">
        <v>106</v>
      </c>
      <c r="Y1456" s="9" t="s">
        <v>106</v>
      </c>
      <c r="Z1456" s="37"/>
      <c r="AA1456" s="37"/>
      <c r="AB1456" s="37"/>
      <c r="AE1456">
        <v>0</v>
      </c>
    </row>
    <row r="1457" spans="1:31" hidden="1">
      <c r="A1457" s="9" t="s">
        <v>1586</v>
      </c>
      <c r="B1457" s="9" t="s">
        <v>1590</v>
      </c>
      <c r="C1457" s="9" t="s">
        <v>105</v>
      </c>
      <c r="D1457" s="9">
        <v>0.56699999999999995</v>
      </c>
      <c r="E1457" s="9">
        <v>38</v>
      </c>
      <c r="F1457" s="9">
        <v>18.600000000000001</v>
      </c>
      <c r="G1457" s="9">
        <v>8.5714285714285694</v>
      </c>
      <c r="H1457" s="9" t="s">
        <v>106</v>
      </c>
      <c r="I1457" s="9">
        <v>25</v>
      </c>
      <c r="J1457" s="9" t="s">
        <v>107</v>
      </c>
      <c r="K1457" s="9" t="s">
        <v>1112</v>
      </c>
      <c r="L1457" t="str">
        <f>IF(OR(J1457="Cattle",J1457="Zebu Cattle"),IF(COUNTIF(lists!$M$2:$M$258, K1457) &gt; 0,"bos.indicus",IF(COUNTIF(lists!$L$2:$L$258, K1457) &gt; 0,"cross.bred","pure.bred.exotic")),"NA")</f>
        <v>NA</v>
      </c>
      <c r="M1457" t="str">
        <f>IF(J1457="Sheep",IF(COUNTIF(lists!$H$2:$H$258, K1457) &gt; 0,"indigenous",IF(COUNTIF(lists!$G$2:$G$258, K1457) &gt; 0,"cross.bred","not found")),"NA")</f>
        <v>not found</v>
      </c>
      <c r="N1457" t="str">
        <f>IF(J1457="Goat",IF(COUNTIF(lists!$J$2:$J$258, K1457) &gt; 0,"indigenous",IF(COUNTIF(lists!$I$2:$I$258, K1457) &gt; 0,"cross.bred","not found")),"NA")</f>
        <v>NA</v>
      </c>
      <c r="O1457" s="9" t="s">
        <v>109</v>
      </c>
      <c r="P1457" s="9" t="s">
        <v>106</v>
      </c>
      <c r="Q1457" s="9" t="s">
        <v>3804</v>
      </c>
      <c r="S1457" s="9" t="s">
        <v>106</v>
      </c>
      <c r="T1457" s="9" t="s">
        <v>106</v>
      </c>
      <c r="U1457" s="9" t="s">
        <v>106</v>
      </c>
      <c r="V1457" s="9" t="s">
        <v>106</v>
      </c>
      <c r="W1457" s="9" t="s">
        <v>106</v>
      </c>
      <c r="X1457" s="9" t="s">
        <v>106</v>
      </c>
      <c r="Y1457" s="9" t="s">
        <v>106</v>
      </c>
      <c r="Z1457" s="37"/>
      <c r="AA1457" s="37"/>
      <c r="AB1457" s="37"/>
      <c r="AE1457">
        <v>0</v>
      </c>
    </row>
    <row r="1458" spans="1:31" hidden="1">
      <c r="A1458" s="9" t="s">
        <v>1591</v>
      </c>
      <c r="B1458" s="9" t="s">
        <v>1592</v>
      </c>
      <c r="C1458" s="9" t="s">
        <v>105</v>
      </c>
      <c r="D1458" s="9">
        <v>0.73070000000000002</v>
      </c>
      <c r="E1458" s="9">
        <v>12.2</v>
      </c>
      <c r="F1458" s="9">
        <v>17.559999999999999</v>
      </c>
      <c r="G1458" s="9">
        <v>60.952380952380999</v>
      </c>
      <c r="H1458" s="9" t="s">
        <v>106</v>
      </c>
      <c r="I1458" s="9">
        <v>25</v>
      </c>
      <c r="J1458" s="9" t="s">
        <v>107</v>
      </c>
      <c r="K1458" s="9" t="s">
        <v>1347</v>
      </c>
      <c r="L1458" t="str">
        <f>IF(OR(J1458="Cattle",J1458="Zebu Cattle"),IF(COUNTIF(lists!$M$2:$M$258, K1458) &gt; 0,"bos.indicus",IF(COUNTIF(lists!$L$2:$L$258, K1458) &gt; 0,"cross.bred","pure.bred.exotic")),"NA")</f>
        <v>NA</v>
      </c>
      <c r="M1458" t="str">
        <f>IF(J1458="Sheep",IF(COUNTIF(lists!$H$2:$H$258, K1458) &gt; 0,"indigenous",IF(COUNTIF(lists!$G$2:$G$258, K1458) &gt; 0,"cross.bred","not found")),"NA")</f>
        <v>not found</v>
      </c>
      <c r="N1458" t="str">
        <f>IF(J1458="Goat",IF(COUNTIF(lists!$J$2:$J$258, K1458) &gt; 0,"indigenous",IF(COUNTIF(lists!$I$2:$I$258, K1458) &gt; 0,"cross.bred","not found")),"NA")</f>
        <v>NA</v>
      </c>
      <c r="O1458" s="9" t="s">
        <v>109</v>
      </c>
      <c r="P1458" s="9" t="s">
        <v>106</v>
      </c>
      <c r="Q1458" s="9" t="s">
        <v>3804</v>
      </c>
      <c r="S1458" s="9" t="s">
        <v>106</v>
      </c>
      <c r="T1458" s="9" t="s">
        <v>106</v>
      </c>
      <c r="U1458" s="9" t="s">
        <v>106</v>
      </c>
      <c r="V1458" s="9" t="s">
        <v>106</v>
      </c>
      <c r="W1458" s="9" t="s">
        <v>106</v>
      </c>
      <c r="X1458" s="9" t="s">
        <v>106</v>
      </c>
      <c r="Y1458" s="9" t="s">
        <v>106</v>
      </c>
      <c r="Z1458" s="37"/>
      <c r="AA1458" s="37"/>
      <c r="AB1458" s="37"/>
      <c r="AE1458">
        <v>0</v>
      </c>
    </row>
    <row r="1459" spans="1:31" hidden="1">
      <c r="A1459" s="9" t="s">
        <v>1591</v>
      </c>
      <c r="B1459" s="9" t="s">
        <v>1593</v>
      </c>
      <c r="C1459" s="9" t="s">
        <v>105</v>
      </c>
      <c r="D1459" s="9">
        <v>0.74770000000000003</v>
      </c>
      <c r="E1459" s="9">
        <v>12.2</v>
      </c>
      <c r="F1459" s="9">
        <v>17.079999999999998</v>
      </c>
      <c r="G1459" s="9">
        <v>77.619047619047606</v>
      </c>
      <c r="H1459" s="9" t="s">
        <v>106</v>
      </c>
      <c r="I1459" s="9">
        <v>25</v>
      </c>
      <c r="J1459" s="9" t="s">
        <v>107</v>
      </c>
      <c r="K1459" s="9" t="s">
        <v>1347</v>
      </c>
      <c r="L1459" t="str">
        <f>IF(OR(J1459="Cattle",J1459="Zebu Cattle"),IF(COUNTIF(lists!$M$2:$M$258, K1459) &gt; 0,"bos.indicus",IF(COUNTIF(lists!$L$2:$L$258, K1459) &gt; 0,"cross.bred","pure.bred.exotic")),"NA")</f>
        <v>NA</v>
      </c>
      <c r="M1459" t="str">
        <f>IF(J1459="Sheep",IF(COUNTIF(lists!$H$2:$H$258, K1459) &gt; 0,"indigenous",IF(COUNTIF(lists!$G$2:$G$258, K1459) &gt; 0,"cross.bred","not found")),"NA")</f>
        <v>not found</v>
      </c>
      <c r="N1459" t="str">
        <f>IF(J1459="Goat",IF(COUNTIF(lists!$J$2:$J$258, K1459) &gt; 0,"indigenous",IF(COUNTIF(lists!$I$2:$I$258, K1459) &gt; 0,"cross.bred","not found")),"NA")</f>
        <v>NA</v>
      </c>
      <c r="O1459" s="9" t="s">
        <v>109</v>
      </c>
      <c r="P1459" s="9" t="s">
        <v>106</v>
      </c>
      <c r="Q1459" s="9" t="s">
        <v>3804</v>
      </c>
      <c r="S1459" s="9" t="s">
        <v>106</v>
      </c>
      <c r="T1459" s="9" t="s">
        <v>106</v>
      </c>
      <c r="U1459" s="9" t="s">
        <v>106</v>
      </c>
      <c r="V1459" s="9" t="s">
        <v>106</v>
      </c>
      <c r="W1459" s="9" t="s">
        <v>106</v>
      </c>
      <c r="X1459" s="9" t="s">
        <v>106</v>
      </c>
      <c r="Y1459" s="9" t="s">
        <v>106</v>
      </c>
      <c r="Z1459" s="37"/>
      <c r="AA1459" s="37"/>
      <c r="AB1459" s="37"/>
      <c r="AE1459">
        <v>0</v>
      </c>
    </row>
    <row r="1460" spans="1:31" hidden="1">
      <c r="A1460" s="9" t="s">
        <v>1591</v>
      </c>
      <c r="B1460" s="9" t="s">
        <v>1594</v>
      </c>
      <c r="C1460" s="9" t="s">
        <v>105</v>
      </c>
      <c r="D1460" s="9">
        <v>0.78310000000000002</v>
      </c>
      <c r="E1460" s="9">
        <v>12.2</v>
      </c>
      <c r="F1460" s="9">
        <v>17.059999999999999</v>
      </c>
      <c r="G1460" s="9">
        <v>82.619047619047606</v>
      </c>
      <c r="H1460" s="9" t="s">
        <v>106</v>
      </c>
      <c r="I1460" s="9">
        <v>25</v>
      </c>
      <c r="J1460" s="9" t="s">
        <v>107</v>
      </c>
      <c r="K1460" s="9" t="s">
        <v>1347</v>
      </c>
      <c r="L1460" t="str">
        <f>IF(OR(J1460="Cattle",J1460="Zebu Cattle"),IF(COUNTIF(lists!$M$2:$M$258, K1460) &gt; 0,"bos.indicus",IF(COUNTIF(lists!$L$2:$L$258, K1460) &gt; 0,"cross.bred","pure.bred.exotic")),"NA")</f>
        <v>NA</v>
      </c>
      <c r="M1460" t="str">
        <f>IF(J1460="Sheep",IF(COUNTIF(lists!$H$2:$H$258, K1460) &gt; 0,"indigenous",IF(COUNTIF(lists!$G$2:$G$258, K1460) &gt; 0,"cross.bred","not found")),"NA")</f>
        <v>not found</v>
      </c>
      <c r="N1460" t="str">
        <f>IF(J1460="Goat",IF(COUNTIF(lists!$J$2:$J$258, K1460) &gt; 0,"indigenous",IF(COUNTIF(lists!$I$2:$I$258, K1460) &gt; 0,"cross.bred","not found")),"NA")</f>
        <v>NA</v>
      </c>
      <c r="O1460" s="9" t="s">
        <v>109</v>
      </c>
      <c r="P1460" s="9" t="s">
        <v>106</v>
      </c>
      <c r="Q1460" s="9" t="s">
        <v>3804</v>
      </c>
      <c r="S1460" s="9" t="s">
        <v>106</v>
      </c>
      <c r="T1460" s="9" t="s">
        <v>106</v>
      </c>
      <c r="U1460" s="9" t="s">
        <v>106</v>
      </c>
      <c r="V1460" s="9" t="s">
        <v>106</v>
      </c>
      <c r="W1460" s="9" t="s">
        <v>106</v>
      </c>
      <c r="X1460" s="9" t="s">
        <v>106</v>
      </c>
      <c r="Y1460" s="9" t="s">
        <v>106</v>
      </c>
      <c r="Z1460" s="37"/>
      <c r="AA1460" s="37"/>
      <c r="AB1460" s="37"/>
      <c r="AE1460">
        <v>0</v>
      </c>
    </row>
    <row r="1461" spans="1:31" hidden="1">
      <c r="A1461" s="9" t="s">
        <v>1591</v>
      </c>
      <c r="B1461" s="9" t="s">
        <v>1224</v>
      </c>
      <c r="C1461" s="9" t="s">
        <v>105</v>
      </c>
      <c r="D1461" s="9">
        <v>0.58729999999999905</v>
      </c>
      <c r="E1461" s="9">
        <v>12.31</v>
      </c>
      <c r="F1461" s="9">
        <v>17.04</v>
      </c>
      <c r="G1461" s="9">
        <v>7.1428571428571601</v>
      </c>
      <c r="H1461" s="9" t="s">
        <v>106</v>
      </c>
      <c r="I1461" s="9">
        <v>25</v>
      </c>
      <c r="J1461" s="9" t="s">
        <v>107</v>
      </c>
      <c r="K1461" s="9" t="s">
        <v>1347</v>
      </c>
      <c r="L1461" t="str">
        <f>IF(OR(J1461="Cattle",J1461="Zebu Cattle"),IF(COUNTIF(lists!$M$2:$M$258, K1461) &gt; 0,"bos.indicus",IF(COUNTIF(lists!$L$2:$L$258, K1461) &gt; 0,"cross.bred","pure.bred.exotic")),"NA")</f>
        <v>NA</v>
      </c>
      <c r="M1461" t="str">
        <f>IF(J1461="Sheep",IF(COUNTIF(lists!$H$2:$H$258, K1461) &gt; 0,"indigenous",IF(COUNTIF(lists!$G$2:$G$258, K1461) &gt; 0,"cross.bred","not found")),"NA")</f>
        <v>not found</v>
      </c>
      <c r="N1461" t="str">
        <f>IF(J1461="Goat",IF(COUNTIF(lists!$J$2:$J$258, K1461) &gt; 0,"indigenous",IF(COUNTIF(lists!$I$2:$I$258, K1461) &gt; 0,"cross.bred","not found")),"NA")</f>
        <v>NA</v>
      </c>
      <c r="O1461" s="9" t="s">
        <v>109</v>
      </c>
      <c r="P1461" s="9" t="s">
        <v>106</v>
      </c>
      <c r="Q1461" s="9" t="s">
        <v>3804</v>
      </c>
      <c r="S1461" s="9" t="s">
        <v>106</v>
      </c>
      <c r="T1461" s="9" t="s">
        <v>106</v>
      </c>
      <c r="U1461" s="9" t="s">
        <v>106</v>
      </c>
      <c r="V1461" s="9" t="s">
        <v>106</v>
      </c>
      <c r="W1461" s="9" t="s">
        <v>106</v>
      </c>
      <c r="X1461" s="9" t="s">
        <v>106</v>
      </c>
      <c r="Y1461" s="9" t="s">
        <v>106</v>
      </c>
      <c r="Z1461" s="37"/>
      <c r="AA1461" s="37"/>
      <c r="AB1461" s="37"/>
      <c r="AE1461">
        <v>0</v>
      </c>
    </row>
    <row r="1462" spans="1:31" hidden="1">
      <c r="A1462" s="9" t="s">
        <v>1591</v>
      </c>
      <c r="B1462" s="9" t="s">
        <v>1595</v>
      </c>
      <c r="C1462" s="9" t="s">
        <v>105</v>
      </c>
      <c r="D1462" s="9">
        <v>0.68410000000000004</v>
      </c>
      <c r="E1462" s="9">
        <v>12.2</v>
      </c>
      <c r="F1462" s="9">
        <v>17.440000000000001</v>
      </c>
      <c r="G1462" s="9">
        <v>36.190476190476197</v>
      </c>
      <c r="H1462" s="9" t="s">
        <v>106</v>
      </c>
      <c r="I1462" s="9">
        <v>25</v>
      </c>
      <c r="J1462" s="9" t="s">
        <v>107</v>
      </c>
      <c r="K1462" s="9" t="s">
        <v>1347</v>
      </c>
      <c r="L1462" t="str">
        <f>IF(OR(J1462="Cattle",J1462="Zebu Cattle"),IF(COUNTIF(lists!$M$2:$M$258, K1462) &gt; 0,"bos.indicus",IF(COUNTIF(lists!$L$2:$L$258, K1462) &gt; 0,"cross.bred","pure.bred.exotic")),"NA")</f>
        <v>NA</v>
      </c>
      <c r="M1462" t="str">
        <f>IF(J1462="Sheep",IF(COUNTIF(lists!$H$2:$H$258, K1462) &gt; 0,"indigenous",IF(COUNTIF(lists!$G$2:$G$258, K1462) &gt; 0,"cross.bred","not found")),"NA")</f>
        <v>not found</v>
      </c>
      <c r="N1462" t="str">
        <f>IF(J1462="Goat",IF(COUNTIF(lists!$J$2:$J$258, K1462) &gt; 0,"indigenous",IF(COUNTIF(lists!$I$2:$I$258, K1462) &gt; 0,"cross.bred","not found")),"NA")</f>
        <v>NA</v>
      </c>
      <c r="O1462" s="9" t="s">
        <v>109</v>
      </c>
      <c r="P1462" s="9" t="s">
        <v>106</v>
      </c>
      <c r="Q1462" s="9" t="s">
        <v>3804</v>
      </c>
      <c r="S1462" s="9" t="s">
        <v>106</v>
      </c>
      <c r="T1462" s="9" t="s">
        <v>106</v>
      </c>
      <c r="U1462" s="9" t="s">
        <v>106</v>
      </c>
      <c r="V1462" s="9" t="s">
        <v>106</v>
      </c>
      <c r="W1462" s="9" t="s">
        <v>106</v>
      </c>
      <c r="X1462" s="9" t="s">
        <v>106</v>
      </c>
      <c r="Y1462" s="9" t="s">
        <v>106</v>
      </c>
      <c r="Z1462" s="37"/>
      <c r="AA1462" s="37"/>
      <c r="AB1462" s="37"/>
      <c r="AE1462">
        <v>0</v>
      </c>
    </row>
    <row r="1463" spans="1:31" hidden="1">
      <c r="A1463" s="9" t="s">
        <v>1596</v>
      </c>
      <c r="B1463" s="9" t="s">
        <v>1597</v>
      </c>
      <c r="C1463" s="9" t="s">
        <v>105</v>
      </c>
      <c r="D1463" s="9">
        <v>0.60985999999999996</v>
      </c>
      <c r="E1463" s="9">
        <v>4.2110000000000003</v>
      </c>
      <c r="F1463" s="9">
        <v>16.899999999999999</v>
      </c>
      <c r="G1463" s="9">
        <v>53.33</v>
      </c>
      <c r="H1463" s="9" t="s">
        <v>106</v>
      </c>
      <c r="I1463" s="9">
        <v>20</v>
      </c>
      <c r="J1463" s="9" t="s">
        <v>107</v>
      </c>
      <c r="K1463" s="9" t="s">
        <v>1598</v>
      </c>
      <c r="L1463" t="str">
        <f>IF(OR(J1463="Cattle",J1463="Zebu Cattle"),IF(COUNTIF(lists!$M$2:$M$258, K1463) &gt; 0,"bos.indicus",IF(COUNTIF(lists!$L$2:$L$258, K1463) &gt; 0,"cross.bred","pure.bred.exotic")),"NA")</f>
        <v>NA</v>
      </c>
      <c r="M1463" t="str">
        <f>IF(J1463="Sheep",IF(COUNTIF(lists!$H$2:$H$258, K1463) &gt; 0,"indigenous",IF(COUNTIF(lists!$G$2:$G$258, K1463) &gt; 0,"cross.bred","not found")),"NA")</f>
        <v>not found</v>
      </c>
      <c r="N1463" t="str">
        <f>IF(J1463="Goat",IF(COUNTIF(lists!$J$2:$J$258, K1463) &gt; 0,"indigenous",IF(COUNTIF(lists!$I$2:$I$258, K1463) &gt; 0,"cross.bred","not found")),"NA")</f>
        <v>NA</v>
      </c>
      <c r="O1463" s="9" t="s">
        <v>180</v>
      </c>
      <c r="P1463" s="9" t="s">
        <v>106</v>
      </c>
      <c r="Q1463" s="9" t="s">
        <v>3804</v>
      </c>
      <c r="S1463" s="9">
        <v>237</v>
      </c>
      <c r="T1463" s="9" t="s">
        <v>106</v>
      </c>
      <c r="U1463" s="9">
        <v>259</v>
      </c>
      <c r="V1463" s="9">
        <v>898</v>
      </c>
      <c r="W1463" s="9" t="s">
        <v>106</v>
      </c>
      <c r="X1463" s="9">
        <v>403</v>
      </c>
      <c r="Y1463" s="9">
        <v>55.74</v>
      </c>
      <c r="Z1463" s="37"/>
      <c r="AA1463" s="37"/>
      <c r="AB1463" s="37"/>
      <c r="AE1463">
        <v>0</v>
      </c>
    </row>
    <row r="1464" spans="1:31" hidden="1">
      <c r="A1464" s="9" t="s">
        <v>1596</v>
      </c>
      <c r="B1464" s="9" t="s">
        <v>1599</v>
      </c>
      <c r="C1464" s="9" t="s">
        <v>105</v>
      </c>
      <c r="D1464" s="9">
        <v>0.63542999999999905</v>
      </c>
      <c r="E1464" s="9">
        <v>4.2110000000000003</v>
      </c>
      <c r="F1464" s="9">
        <v>16.899999999999999</v>
      </c>
      <c r="G1464" s="9">
        <v>53.33</v>
      </c>
      <c r="H1464" s="9" t="s">
        <v>106</v>
      </c>
      <c r="I1464" s="9">
        <v>20</v>
      </c>
      <c r="J1464" s="9" t="s">
        <v>107</v>
      </c>
      <c r="K1464" s="9" t="s">
        <v>1598</v>
      </c>
      <c r="L1464" t="str">
        <f>IF(OR(J1464="Cattle",J1464="Zebu Cattle"),IF(COUNTIF(lists!$M$2:$M$258, K1464) &gt; 0,"bos.indicus",IF(COUNTIF(lists!$L$2:$L$258, K1464) &gt; 0,"cross.bred","pure.bred.exotic")),"NA")</f>
        <v>NA</v>
      </c>
      <c r="M1464" t="str">
        <f>IF(J1464="Sheep",IF(COUNTIF(lists!$H$2:$H$258, K1464) &gt; 0,"indigenous",IF(COUNTIF(lists!$G$2:$G$258, K1464) &gt; 0,"cross.bred","not found")),"NA")</f>
        <v>not found</v>
      </c>
      <c r="N1464" t="str">
        <f>IF(J1464="Goat",IF(COUNTIF(lists!$J$2:$J$258, K1464) &gt; 0,"indigenous",IF(COUNTIF(lists!$I$2:$I$258, K1464) &gt; 0,"cross.bred","not found")),"NA")</f>
        <v>NA</v>
      </c>
      <c r="O1464" s="9" t="s">
        <v>180</v>
      </c>
      <c r="P1464" s="9" t="s">
        <v>106</v>
      </c>
      <c r="Q1464" s="9" t="s">
        <v>3804</v>
      </c>
      <c r="S1464" s="9">
        <v>243</v>
      </c>
      <c r="T1464" s="9" t="s">
        <v>106</v>
      </c>
      <c r="U1464" s="9">
        <v>252</v>
      </c>
      <c r="V1464" s="9">
        <v>896</v>
      </c>
      <c r="W1464" s="9" t="s">
        <v>106</v>
      </c>
      <c r="X1464" s="9">
        <v>413</v>
      </c>
      <c r="Y1464" s="9">
        <v>55.17</v>
      </c>
      <c r="Z1464" s="37"/>
      <c r="AA1464" s="37"/>
      <c r="AB1464" s="37"/>
      <c r="AE1464">
        <v>0</v>
      </c>
    </row>
    <row r="1465" spans="1:31" hidden="1">
      <c r="A1465" s="9" t="s">
        <v>1596</v>
      </c>
      <c r="B1465" s="9" t="s">
        <v>1600</v>
      </c>
      <c r="C1465" s="9" t="s">
        <v>105</v>
      </c>
      <c r="D1465" s="9">
        <v>0.65764</v>
      </c>
      <c r="E1465" s="9">
        <v>4.2110000000000003</v>
      </c>
      <c r="F1465" s="9">
        <v>16.899999999999999</v>
      </c>
      <c r="G1465" s="9">
        <v>58.88</v>
      </c>
      <c r="H1465" s="9" t="s">
        <v>106</v>
      </c>
      <c r="I1465" s="9">
        <v>20</v>
      </c>
      <c r="J1465" s="9" t="s">
        <v>107</v>
      </c>
      <c r="K1465" s="9" t="s">
        <v>1598</v>
      </c>
      <c r="L1465" t="str">
        <f>IF(OR(J1465="Cattle",J1465="Zebu Cattle"),IF(COUNTIF(lists!$M$2:$M$258, K1465) &gt; 0,"bos.indicus",IF(COUNTIF(lists!$L$2:$L$258, K1465) &gt; 0,"cross.bred","pure.bred.exotic")),"NA")</f>
        <v>NA</v>
      </c>
      <c r="M1465" t="str">
        <f>IF(J1465="Sheep",IF(COUNTIF(lists!$H$2:$H$258, K1465) &gt; 0,"indigenous",IF(COUNTIF(lists!$G$2:$G$258, K1465) &gt; 0,"cross.bred","not found")),"NA")</f>
        <v>not found</v>
      </c>
      <c r="N1465" t="str">
        <f>IF(J1465="Goat",IF(COUNTIF(lists!$J$2:$J$258, K1465) &gt; 0,"indigenous",IF(COUNTIF(lists!$I$2:$I$258, K1465) &gt; 0,"cross.bred","not found")),"NA")</f>
        <v>NA</v>
      </c>
      <c r="O1465" s="9" t="s">
        <v>180</v>
      </c>
      <c r="P1465" s="9" t="s">
        <v>106</v>
      </c>
      <c r="Q1465" s="9" t="s">
        <v>3804</v>
      </c>
      <c r="S1465" s="9">
        <v>278</v>
      </c>
      <c r="T1465" s="9" t="s">
        <v>106</v>
      </c>
      <c r="U1465" s="9">
        <v>299</v>
      </c>
      <c r="V1465" s="9">
        <v>902</v>
      </c>
      <c r="W1465" s="9" t="s">
        <v>106</v>
      </c>
      <c r="X1465" s="9">
        <v>388</v>
      </c>
      <c r="Y1465" s="9">
        <v>55.41</v>
      </c>
      <c r="Z1465" s="37"/>
      <c r="AA1465" s="37"/>
      <c r="AB1465" s="37"/>
      <c r="AE1465">
        <v>0</v>
      </c>
    </row>
    <row r="1466" spans="1:31" hidden="1">
      <c r="A1466" s="9" t="s">
        <v>1596</v>
      </c>
      <c r="B1466" s="9" t="s">
        <v>1601</v>
      </c>
      <c r="C1466" s="9" t="s">
        <v>105</v>
      </c>
      <c r="D1466" s="9">
        <v>0.59362000000000004</v>
      </c>
      <c r="E1466" s="9">
        <v>4.2110000000000003</v>
      </c>
      <c r="F1466" s="9">
        <v>16.899999999999999</v>
      </c>
      <c r="G1466" s="9">
        <v>53.33</v>
      </c>
      <c r="H1466" s="9" t="s">
        <v>106</v>
      </c>
      <c r="I1466" s="9">
        <v>20</v>
      </c>
      <c r="J1466" s="9" t="s">
        <v>107</v>
      </c>
      <c r="K1466" s="9" t="s">
        <v>1598</v>
      </c>
      <c r="L1466" t="str">
        <f>IF(OR(J1466="Cattle",J1466="Zebu Cattle"),IF(COUNTIF(lists!$M$2:$M$258, K1466) &gt; 0,"bos.indicus",IF(COUNTIF(lists!$L$2:$L$258, K1466) &gt; 0,"cross.bred","pure.bred.exotic")),"NA")</f>
        <v>NA</v>
      </c>
      <c r="M1466" t="str">
        <f>IF(J1466="Sheep",IF(COUNTIF(lists!$H$2:$H$258, K1466) &gt; 0,"indigenous",IF(COUNTIF(lists!$G$2:$G$258, K1466) &gt; 0,"cross.bred","not found")),"NA")</f>
        <v>not found</v>
      </c>
      <c r="N1466" t="str">
        <f>IF(J1466="Goat",IF(COUNTIF(lists!$J$2:$J$258, K1466) &gt; 0,"indigenous",IF(COUNTIF(lists!$I$2:$I$258, K1466) &gt; 0,"cross.bred","not found")),"NA")</f>
        <v>NA</v>
      </c>
      <c r="O1466" s="9" t="s">
        <v>180</v>
      </c>
      <c r="P1466" s="9" t="s">
        <v>106</v>
      </c>
      <c r="Q1466" s="9" t="s">
        <v>3804</v>
      </c>
      <c r="S1466" s="9">
        <v>230</v>
      </c>
      <c r="T1466" s="9" t="s">
        <v>106</v>
      </c>
      <c r="U1466" s="9">
        <v>27</v>
      </c>
      <c r="V1466" s="9">
        <v>900</v>
      </c>
      <c r="W1466" s="9" t="s">
        <v>106</v>
      </c>
      <c r="X1466" s="9">
        <v>391</v>
      </c>
      <c r="Y1466" s="9">
        <v>51.78</v>
      </c>
      <c r="Z1466" s="37"/>
      <c r="AA1466" s="37"/>
      <c r="AB1466" s="37"/>
      <c r="AE1466">
        <v>0</v>
      </c>
    </row>
    <row r="1467" spans="1:31" hidden="1">
      <c r="A1467" s="9" t="s">
        <v>1602</v>
      </c>
      <c r="B1467" s="9" t="s">
        <v>1603</v>
      </c>
      <c r="C1467" s="9" t="s">
        <v>105</v>
      </c>
      <c r="D1467" s="9">
        <v>0.41399999999999998</v>
      </c>
      <c r="E1467" s="9">
        <v>12.9</v>
      </c>
      <c r="F1467" s="9">
        <v>16.399999999999999</v>
      </c>
      <c r="G1467" s="9">
        <v>-22</v>
      </c>
      <c r="H1467" s="9" t="s">
        <v>106</v>
      </c>
      <c r="I1467" s="9">
        <v>25</v>
      </c>
      <c r="J1467" s="9" t="s">
        <v>107</v>
      </c>
      <c r="K1467" s="9" t="s">
        <v>620</v>
      </c>
      <c r="L1467" t="str">
        <f>IF(OR(J1467="Cattle",J1467="Zebu Cattle"),IF(COUNTIF(lists!$M$2:$M$258, K1467) &gt; 0,"bos.indicus",IF(COUNTIF(lists!$L$2:$L$258, K1467) &gt; 0,"cross.bred","pure.bred.exotic")),"NA")</f>
        <v>NA</v>
      </c>
      <c r="M1467" t="str">
        <f>IF(J1467="Sheep",IF(COUNTIF(lists!$H$2:$H$258, K1467) &gt; 0,"indigenous",IF(COUNTIF(lists!$G$2:$G$258, K1467) &gt; 0,"cross.bred","not found")),"NA")</f>
        <v>not found</v>
      </c>
      <c r="N1467" t="str">
        <f>IF(J1467="Goat",IF(COUNTIF(lists!$J$2:$J$258, K1467) &gt; 0,"indigenous",IF(COUNTIF(lists!$I$2:$I$258, K1467) &gt; 0,"cross.bred","not found")),"NA")</f>
        <v>NA</v>
      </c>
      <c r="O1467" s="9" t="s">
        <v>109</v>
      </c>
      <c r="P1467" s="9" t="s">
        <v>106</v>
      </c>
      <c r="Q1467" s="9" t="s">
        <v>3804</v>
      </c>
      <c r="S1467" s="9" t="s">
        <v>106</v>
      </c>
      <c r="T1467" s="9" t="s">
        <v>106</v>
      </c>
      <c r="U1467" s="9" t="s">
        <v>106</v>
      </c>
      <c r="V1467" s="9" t="s">
        <v>106</v>
      </c>
      <c r="W1467" s="9" t="s">
        <v>106</v>
      </c>
      <c r="X1467" s="9" t="s">
        <v>106</v>
      </c>
      <c r="Y1467" s="9">
        <v>0.57999999999999996</v>
      </c>
      <c r="Z1467" s="37"/>
      <c r="AA1467" s="37"/>
      <c r="AB1467" s="37"/>
      <c r="AE1467">
        <v>0</v>
      </c>
    </row>
    <row r="1468" spans="1:31" hidden="1">
      <c r="A1468" s="9" t="s">
        <v>1602</v>
      </c>
      <c r="B1468" s="9" t="s">
        <v>1604</v>
      </c>
      <c r="C1468" s="9" t="s">
        <v>105</v>
      </c>
      <c r="D1468" s="9">
        <v>0.5</v>
      </c>
      <c r="E1468" s="9">
        <v>15.68</v>
      </c>
      <c r="F1468" s="9">
        <v>16.100000000000001</v>
      </c>
      <c r="G1468" s="9">
        <v>16.399999999999999</v>
      </c>
      <c r="H1468" s="9" t="s">
        <v>106</v>
      </c>
      <c r="I1468" s="9">
        <v>25</v>
      </c>
      <c r="J1468" s="9" t="s">
        <v>107</v>
      </c>
      <c r="K1468" s="9" t="s">
        <v>620</v>
      </c>
      <c r="L1468" t="str">
        <f>IF(OR(J1468="Cattle",J1468="Zebu Cattle"),IF(COUNTIF(lists!$M$2:$M$258, K1468) &gt; 0,"bos.indicus",IF(COUNTIF(lists!$L$2:$L$258, K1468) &gt; 0,"cross.bred","pure.bred.exotic")),"NA")</f>
        <v>NA</v>
      </c>
      <c r="M1468" t="str">
        <f>IF(J1468="Sheep",IF(COUNTIF(lists!$H$2:$H$258, K1468) &gt; 0,"indigenous",IF(COUNTIF(lists!$G$2:$G$258, K1468) &gt; 0,"cross.bred","not found")),"NA")</f>
        <v>not found</v>
      </c>
      <c r="N1468" t="str">
        <f>IF(J1468="Goat",IF(COUNTIF(lists!$J$2:$J$258, K1468) &gt; 0,"indigenous",IF(COUNTIF(lists!$I$2:$I$258, K1468) &gt; 0,"cross.bred","not found")),"NA")</f>
        <v>NA</v>
      </c>
      <c r="O1468" s="9" t="s">
        <v>109</v>
      </c>
      <c r="P1468" s="9" t="s">
        <v>106</v>
      </c>
      <c r="Q1468" s="9" t="s">
        <v>3804</v>
      </c>
      <c r="S1468" s="9" t="s">
        <v>106</v>
      </c>
      <c r="T1468" s="9" t="s">
        <v>106</v>
      </c>
      <c r="U1468" s="9" t="s">
        <v>106</v>
      </c>
      <c r="V1468" s="9" t="s">
        <v>106</v>
      </c>
      <c r="W1468" s="9" t="s">
        <v>106</v>
      </c>
      <c r="X1468" s="9" t="s">
        <v>106</v>
      </c>
      <c r="Y1468" s="9">
        <v>0.67</v>
      </c>
      <c r="Z1468" s="37"/>
      <c r="AA1468" s="37"/>
      <c r="AB1468" s="37"/>
      <c r="AE1468">
        <v>0</v>
      </c>
    </row>
    <row r="1469" spans="1:31" hidden="1">
      <c r="A1469" s="9" t="s">
        <v>1602</v>
      </c>
      <c r="B1469" s="9" t="s">
        <v>1605</v>
      </c>
      <c r="C1469" s="9" t="s">
        <v>105</v>
      </c>
      <c r="D1469" s="9">
        <v>0.51500000000000001</v>
      </c>
      <c r="E1469" s="9">
        <v>15.68</v>
      </c>
      <c r="F1469" s="9">
        <v>16.2</v>
      </c>
      <c r="G1469" s="9">
        <v>21.8</v>
      </c>
      <c r="H1469" s="9" t="s">
        <v>106</v>
      </c>
      <c r="I1469" s="9">
        <v>25</v>
      </c>
      <c r="J1469" s="9" t="s">
        <v>107</v>
      </c>
      <c r="K1469" s="9" t="s">
        <v>620</v>
      </c>
      <c r="L1469" t="str">
        <f>IF(OR(J1469="Cattle",J1469="Zebu Cattle"),IF(COUNTIF(lists!$M$2:$M$258, K1469) &gt; 0,"bos.indicus",IF(COUNTIF(lists!$L$2:$L$258, K1469) &gt; 0,"cross.bred","pure.bred.exotic")),"NA")</f>
        <v>NA</v>
      </c>
      <c r="M1469" t="str">
        <f>IF(J1469="Sheep",IF(COUNTIF(lists!$H$2:$H$258, K1469) &gt; 0,"indigenous",IF(COUNTIF(lists!$G$2:$G$258, K1469) &gt; 0,"cross.bred","not found")),"NA")</f>
        <v>not found</v>
      </c>
      <c r="N1469" t="str">
        <f>IF(J1469="Goat",IF(COUNTIF(lists!$J$2:$J$258, K1469) &gt; 0,"indigenous",IF(COUNTIF(lists!$I$2:$I$258, K1469) &gt; 0,"cross.bred","not found")),"NA")</f>
        <v>NA</v>
      </c>
      <c r="O1469" s="9" t="s">
        <v>109</v>
      </c>
      <c r="P1469" s="9" t="s">
        <v>106</v>
      </c>
      <c r="Q1469" s="9" t="s">
        <v>3804</v>
      </c>
      <c r="S1469" s="9" t="s">
        <v>106</v>
      </c>
      <c r="T1469" s="9" t="s">
        <v>106</v>
      </c>
      <c r="U1469" s="9" t="s">
        <v>106</v>
      </c>
      <c r="V1469" s="9" t="s">
        <v>106</v>
      </c>
      <c r="W1469" s="9" t="s">
        <v>106</v>
      </c>
      <c r="X1469" s="9" t="s">
        <v>106</v>
      </c>
      <c r="Y1469" s="9">
        <v>0.74</v>
      </c>
      <c r="Z1469" s="37"/>
      <c r="AA1469" s="37"/>
      <c r="AB1469" s="37"/>
      <c r="AE1469">
        <v>0</v>
      </c>
    </row>
    <row r="1470" spans="1:31" hidden="1">
      <c r="A1470" s="9" t="s">
        <v>1602</v>
      </c>
      <c r="B1470" s="9" t="s">
        <v>1606</v>
      </c>
      <c r="C1470" s="9" t="s">
        <v>105</v>
      </c>
      <c r="D1470" s="9">
        <v>0.55700000000000005</v>
      </c>
      <c r="E1470" s="9">
        <v>15.68</v>
      </c>
      <c r="F1470" s="9">
        <v>16.3</v>
      </c>
      <c r="G1470" s="9">
        <v>25.3</v>
      </c>
      <c r="H1470" s="9" t="s">
        <v>106</v>
      </c>
      <c r="I1470" s="9">
        <v>25</v>
      </c>
      <c r="J1470" s="9" t="s">
        <v>107</v>
      </c>
      <c r="K1470" s="9" t="s">
        <v>620</v>
      </c>
      <c r="L1470" t="str">
        <f>IF(OR(J1470="Cattle",J1470="Zebu Cattle"),IF(COUNTIF(lists!$M$2:$M$258, K1470) &gt; 0,"bos.indicus",IF(COUNTIF(lists!$L$2:$L$258, K1470) &gt; 0,"cross.bred","pure.bred.exotic")),"NA")</f>
        <v>NA</v>
      </c>
      <c r="M1470" t="str">
        <f>IF(J1470="Sheep",IF(COUNTIF(lists!$H$2:$H$258, K1470) &gt; 0,"indigenous",IF(COUNTIF(lists!$G$2:$G$258, K1470) &gt; 0,"cross.bred","not found")),"NA")</f>
        <v>not found</v>
      </c>
      <c r="N1470" t="str">
        <f>IF(J1470="Goat",IF(COUNTIF(lists!$J$2:$J$258, K1470) &gt; 0,"indigenous",IF(COUNTIF(lists!$I$2:$I$258, K1470) &gt; 0,"cross.bred","not found")),"NA")</f>
        <v>NA</v>
      </c>
      <c r="O1470" s="9" t="s">
        <v>109</v>
      </c>
      <c r="P1470" s="9" t="s">
        <v>106</v>
      </c>
      <c r="Q1470" s="9" t="s">
        <v>3804</v>
      </c>
      <c r="S1470" s="9" t="s">
        <v>106</v>
      </c>
      <c r="T1470" s="9" t="s">
        <v>106</v>
      </c>
      <c r="U1470" s="9" t="s">
        <v>106</v>
      </c>
      <c r="V1470" s="9" t="s">
        <v>106</v>
      </c>
      <c r="W1470" s="9" t="s">
        <v>106</v>
      </c>
      <c r="X1470" s="9" t="s">
        <v>106</v>
      </c>
      <c r="Y1470" s="9">
        <v>0.7</v>
      </c>
      <c r="Z1470" s="37"/>
      <c r="AA1470" s="37"/>
      <c r="AB1470" s="37"/>
      <c r="AE1470">
        <v>0</v>
      </c>
    </row>
    <row r="1471" spans="1:31" hidden="1">
      <c r="A1471" s="9" t="s">
        <v>1602</v>
      </c>
      <c r="B1471" s="9" t="s">
        <v>1607</v>
      </c>
      <c r="C1471" s="9" t="s">
        <v>105</v>
      </c>
      <c r="D1471" s="9">
        <v>0.51400000000000001</v>
      </c>
      <c r="E1471" s="9">
        <v>15.68</v>
      </c>
      <c r="F1471" s="9">
        <v>16.2</v>
      </c>
      <c r="G1471" s="9">
        <v>19.599999999999898</v>
      </c>
      <c r="H1471" s="9" t="s">
        <v>106</v>
      </c>
      <c r="I1471" s="9">
        <v>25</v>
      </c>
      <c r="J1471" s="9" t="s">
        <v>107</v>
      </c>
      <c r="K1471" s="9" t="s">
        <v>620</v>
      </c>
      <c r="L1471" t="str">
        <f>IF(OR(J1471="Cattle",J1471="Zebu Cattle"),IF(COUNTIF(lists!$M$2:$M$258, K1471) &gt; 0,"bos.indicus",IF(COUNTIF(lists!$L$2:$L$258, K1471) &gt; 0,"cross.bred","pure.bred.exotic")),"NA")</f>
        <v>NA</v>
      </c>
      <c r="M1471" t="str">
        <f>IF(J1471="Sheep",IF(COUNTIF(lists!$H$2:$H$258, K1471) &gt; 0,"indigenous",IF(COUNTIF(lists!$G$2:$G$258, K1471) &gt; 0,"cross.bred","not found")),"NA")</f>
        <v>not found</v>
      </c>
      <c r="N1471" t="str">
        <f>IF(J1471="Goat",IF(COUNTIF(lists!$J$2:$J$258, K1471) &gt; 0,"indigenous",IF(COUNTIF(lists!$I$2:$I$258, K1471) &gt; 0,"cross.bred","not found")),"NA")</f>
        <v>NA</v>
      </c>
      <c r="O1471" s="9" t="s">
        <v>109</v>
      </c>
      <c r="P1471" s="9" t="s">
        <v>106</v>
      </c>
      <c r="Q1471" s="9" t="s">
        <v>3804</v>
      </c>
      <c r="S1471" s="9" t="s">
        <v>106</v>
      </c>
      <c r="T1471" s="9" t="s">
        <v>106</v>
      </c>
      <c r="U1471" s="9" t="s">
        <v>106</v>
      </c>
      <c r="V1471" s="9" t="s">
        <v>106</v>
      </c>
      <c r="W1471" s="9" t="s">
        <v>106</v>
      </c>
      <c r="X1471" s="9" t="s">
        <v>106</v>
      </c>
      <c r="Y1471" s="9">
        <v>0.68</v>
      </c>
      <c r="Z1471" s="37"/>
      <c r="AA1471" s="37"/>
      <c r="AB1471" s="37"/>
      <c r="AE1471">
        <v>0</v>
      </c>
    </row>
    <row r="1472" spans="1:31" hidden="1">
      <c r="A1472" s="9" t="s">
        <v>1608</v>
      </c>
      <c r="B1472" s="9" t="s">
        <v>1609</v>
      </c>
      <c r="C1472" s="9" t="s">
        <v>105</v>
      </c>
      <c r="D1472" s="9">
        <v>0.78700000000000003</v>
      </c>
      <c r="E1472" s="9">
        <v>13.5</v>
      </c>
      <c r="F1472" s="9">
        <v>17.524999999999999</v>
      </c>
      <c r="G1472" s="9">
        <v>53.3</v>
      </c>
      <c r="H1472" s="9" t="s">
        <v>106</v>
      </c>
      <c r="I1472" s="9">
        <v>48</v>
      </c>
      <c r="J1472" s="9" t="s">
        <v>107</v>
      </c>
      <c r="K1472" s="9" t="s">
        <v>186</v>
      </c>
      <c r="L1472" t="str">
        <f>IF(OR(J1472="Cattle",J1472="Zebu Cattle"),IF(COUNTIF(lists!$M$2:$M$258, K1472) &gt; 0,"bos.indicus",IF(COUNTIF(lists!$L$2:$L$258, K1472) &gt; 0,"cross.bred","pure.bred.exotic")),"NA")</f>
        <v>NA</v>
      </c>
      <c r="M1472" t="str">
        <f>IF(J1472="Sheep",IF(COUNTIF(lists!$H$2:$H$258, K1472) &gt; 0,"indigenous",IF(COUNTIF(lists!$G$2:$G$258, K1472) &gt; 0,"cross.bred","not found")),"NA")</f>
        <v>not found</v>
      </c>
      <c r="N1472" t="str">
        <f>IF(J1472="Goat",IF(COUNTIF(lists!$J$2:$J$258, K1472) &gt; 0,"indigenous",IF(COUNTIF(lists!$I$2:$I$258, K1472) &gt; 0,"cross.bred","not found")),"NA")</f>
        <v>NA</v>
      </c>
      <c r="O1472" s="9" t="s">
        <v>109</v>
      </c>
      <c r="P1472" s="9" t="s">
        <v>106</v>
      </c>
      <c r="Q1472" s="9" t="s">
        <v>3804</v>
      </c>
      <c r="S1472" s="9" t="s">
        <v>106</v>
      </c>
      <c r="T1472" s="9" t="s">
        <v>106</v>
      </c>
      <c r="U1472" s="9" t="s">
        <v>106</v>
      </c>
      <c r="V1472" s="9" t="s">
        <v>106</v>
      </c>
      <c r="W1472" s="9" t="s">
        <v>106</v>
      </c>
      <c r="X1472" s="9" t="s">
        <v>106</v>
      </c>
      <c r="Y1472" s="9" t="s">
        <v>106</v>
      </c>
      <c r="Z1472" s="37"/>
      <c r="AA1472" s="37"/>
      <c r="AB1472" s="37"/>
      <c r="AE1472">
        <v>0</v>
      </c>
    </row>
    <row r="1473" spans="1:31" hidden="1">
      <c r="A1473" s="9" t="s">
        <v>1618</v>
      </c>
      <c r="B1473" s="9" t="s">
        <v>1619</v>
      </c>
      <c r="C1473" s="9" t="s">
        <v>105</v>
      </c>
      <c r="D1473" s="9">
        <v>1.17</v>
      </c>
      <c r="E1473" s="9">
        <v>0.61</v>
      </c>
      <c r="F1473" s="9">
        <v>23.759</v>
      </c>
      <c r="G1473" s="9">
        <v>180</v>
      </c>
      <c r="H1473" s="9" t="s">
        <v>106</v>
      </c>
      <c r="I1473" s="9">
        <v>20</v>
      </c>
      <c r="J1473" s="9" t="s">
        <v>107</v>
      </c>
      <c r="K1473" s="9" t="s">
        <v>1620</v>
      </c>
      <c r="L1473" t="str">
        <f>IF(OR(J1473="Cattle",J1473="Zebu Cattle"),IF(COUNTIF(lists!$M$2:$M$258, K1473) &gt; 0,"bos.indicus",IF(COUNTIF(lists!$L$2:$L$258, K1473) &gt; 0,"cross.bred","pure.bred.exotic")),"NA")</f>
        <v>NA</v>
      </c>
      <c r="M1473" t="str">
        <f>IF(J1473="Sheep",IF(COUNTIF(lists!$H$2:$H$258, K1473) &gt; 0,"indigenous",IF(COUNTIF(lists!$G$2:$G$258, K1473) &gt; 0,"cross.bred","not found")),"NA")</f>
        <v>not found</v>
      </c>
      <c r="N1473" t="str">
        <f>IF(J1473="Goat",IF(COUNTIF(lists!$J$2:$J$258, K1473) &gt; 0,"indigenous",IF(COUNTIF(lists!$I$2:$I$258, K1473) &gt; 0,"cross.bred","not found")),"NA")</f>
        <v>NA</v>
      </c>
      <c r="O1473" s="9" t="s">
        <v>135</v>
      </c>
      <c r="P1473" s="9" t="s">
        <v>106</v>
      </c>
      <c r="Q1473" s="9" t="s">
        <v>3805</v>
      </c>
      <c r="S1473" s="9">
        <v>126</v>
      </c>
      <c r="T1473" s="9">
        <v>67.099999999999994</v>
      </c>
      <c r="U1473" s="9">
        <v>160</v>
      </c>
      <c r="V1473" s="9" t="s">
        <v>106</v>
      </c>
      <c r="W1473" s="9" t="s">
        <v>106</v>
      </c>
      <c r="X1473" s="9">
        <v>215</v>
      </c>
      <c r="Y1473" s="9" t="s">
        <v>106</v>
      </c>
      <c r="Z1473" s="37"/>
      <c r="AA1473" s="37"/>
      <c r="AB1473" s="37"/>
      <c r="AE1473">
        <v>0</v>
      </c>
    </row>
    <row r="1474" spans="1:31" hidden="1">
      <c r="A1474" s="9" t="s">
        <v>1618</v>
      </c>
      <c r="B1474" s="9" t="s">
        <v>1621</v>
      </c>
      <c r="C1474" s="9" t="s">
        <v>105</v>
      </c>
      <c r="D1474" s="9">
        <v>1.1499999999999999</v>
      </c>
      <c r="E1474" s="9">
        <v>0.61</v>
      </c>
      <c r="F1474" s="9">
        <v>23.492999999999999</v>
      </c>
      <c r="G1474" s="9">
        <v>170</v>
      </c>
      <c r="H1474" s="9" t="s">
        <v>106</v>
      </c>
      <c r="I1474" s="9">
        <v>20</v>
      </c>
      <c r="J1474" s="9" t="s">
        <v>107</v>
      </c>
      <c r="K1474" s="9" t="s">
        <v>1620</v>
      </c>
      <c r="L1474" t="str">
        <f>IF(OR(J1474="Cattle",J1474="Zebu Cattle"),IF(COUNTIF(lists!$M$2:$M$258, K1474) &gt; 0,"bos.indicus",IF(COUNTIF(lists!$L$2:$L$258, K1474) &gt; 0,"cross.bred","pure.bred.exotic")),"NA")</f>
        <v>NA</v>
      </c>
      <c r="M1474" t="str">
        <f>IF(J1474="Sheep",IF(COUNTIF(lists!$H$2:$H$258, K1474) &gt; 0,"indigenous",IF(COUNTIF(lists!$G$2:$G$258, K1474) &gt; 0,"cross.bred","not found")),"NA")</f>
        <v>not found</v>
      </c>
      <c r="N1474" t="str">
        <f>IF(J1474="Goat",IF(COUNTIF(lists!$J$2:$J$258, K1474) &gt; 0,"indigenous",IF(COUNTIF(lists!$I$2:$I$258, K1474) &gt; 0,"cross.bred","not found")),"NA")</f>
        <v>NA</v>
      </c>
      <c r="O1474" s="9" t="s">
        <v>135</v>
      </c>
      <c r="P1474" s="9" t="s">
        <v>106</v>
      </c>
      <c r="Q1474" s="9" t="s">
        <v>3805</v>
      </c>
      <c r="S1474" s="9">
        <v>133</v>
      </c>
      <c r="T1474" s="9">
        <v>71.599999999999994</v>
      </c>
      <c r="U1474" s="9">
        <v>160</v>
      </c>
      <c r="V1474" s="9" t="s">
        <v>106</v>
      </c>
      <c r="W1474" s="9" t="s">
        <v>106</v>
      </c>
      <c r="X1474" s="9">
        <v>222</v>
      </c>
      <c r="Y1474" s="9" t="s">
        <v>106</v>
      </c>
      <c r="Z1474" s="37"/>
      <c r="AA1474" s="37"/>
      <c r="AB1474" s="37"/>
      <c r="AE1474">
        <v>0</v>
      </c>
    </row>
    <row r="1475" spans="1:31" hidden="1">
      <c r="A1475" s="9" t="s">
        <v>1618</v>
      </c>
      <c r="B1475" s="9" t="s">
        <v>1622</v>
      </c>
      <c r="C1475" s="9" t="s">
        <v>105</v>
      </c>
      <c r="D1475" s="9">
        <v>1.21</v>
      </c>
      <c r="E1475" s="9">
        <v>0.61</v>
      </c>
      <c r="F1475" s="9">
        <v>23.626000000000001</v>
      </c>
      <c r="G1475" s="9">
        <v>200</v>
      </c>
      <c r="H1475" s="9" t="s">
        <v>106</v>
      </c>
      <c r="I1475" s="9">
        <v>20</v>
      </c>
      <c r="J1475" s="9" t="s">
        <v>107</v>
      </c>
      <c r="K1475" s="9" t="s">
        <v>1620</v>
      </c>
      <c r="L1475" t="str">
        <f>IF(OR(J1475="Cattle",J1475="Zebu Cattle"),IF(COUNTIF(lists!$M$2:$M$258, K1475) &gt; 0,"bos.indicus",IF(COUNTIF(lists!$L$2:$L$258, K1475) &gt; 0,"cross.bred","pure.bred.exotic")),"NA")</f>
        <v>NA</v>
      </c>
      <c r="M1475" t="str">
        <f>IF(J1475="Sheep",IF(COUNTIF(lists!$H$2:$H$258, K1475) &gt; 0,"indigenous",IF(COUNTIF(lists!$G$2:$G$258, K1475) &gt; 0,"cross.bred","not found")),"NA")</f>
        <v>not found</v>
      </c>
      <c r="N1475" t="str">
        <f>IF(J1475="Goat",IF(COUNTIF(lists!$J$2:$J$258, K1475) &gt; 0,"indigenous",IF(COUNTIF(lists!$I$2:$I$258, K1475) &gt; 0,"cross.bred","not found")),"NA")</f>
        <v>NA</v>
      </c>
      <c r="O1475" s="9" t="s">
        <v>135</v>
      </c>
      <c r="P1475" s="9" t="s">
        <v>106</v>
      </c>
      <c r="Q1475" s="9" t="s">
        <v>3805</v>
      </c>
      <c r="S1475" s="9">
        <v>128</v>
      </c>
      <c r="T1475" s="9">
        <v>68.2</v>
      </c>
      <c r="U1475" s="9">
        <v>161</v>
      </c>
      <c r="V1475" s="9" t="s">
        <v>106</v>
      </c>
      <c r="W1475" s="9" t="s">
        <v>106</v>
      </c>
      <c r="X1475" s="9">
        <v>216</v>
      </c>
      <c r="Y1475" s="9" t="s">
        <v>106</v>
      </c>
      <c r="Z1475" s="37"/>
      <c r="AA1475" s="37"/>
      <c r="AB1475" s="37"/>
      <c r="AE1475">
        <v>0</v>
      </c>
    </row>
    <row r="1476" spans="1:31" hidden="1">
      <c r="A1476" s="9" t="s">
        <v>1618</v>
      </c>
      <c r="B1476" s="9" t="s">
        <v>1623</v>
      </c>
      <c r="C1476" s="9" t="s">
        <v>105</v>
      </c>
      <c r="D1476" s="9">
        <v>1.19</v>
      </c>
      <c r="E1476" s="9">
        <v>0.61</v>
      </c>
      <c r="F1476" s="9">
        <v>21.696000000000002</v>
      </c>
      <c r="G1476" s="9">
        <v>200</v>
      </c>
      <c r="H1476" s="9" t="s">
        <v>106</v>
      </c>
      <c r="I1476" s="9">
        <v>20</v>
      </c>
      <c r="J1476" s="9" t="s">
        <v>107</v>
      </c>
      <c r="K1476" s="9" t="s">
        <v>1620</v>
      </c>
      <c r="L1476" t="str">
        <f>IF(OR(J1476="Cattle",J1476="Zebu Cattle"),IF(COUNTIF(lists!$M$2:$M$258, K1476) &gt; 0,"bos.indicus",IF(COUNTIF(lists!$L$2:$L$258, K1476) &gt; 0,"cross.bred","pure.bred.exotic")),"NA")</f>
        <v>NA</v>
      </c>
      <c r="M1476" t="str">
        <f>IF(J1476="Sheep",IF(COUNTIF(lists!$H$2:$H$258, K1476) &gt; 0,"indigenous",IF(COUNTIF(lists!$G$2:$G$258, K1476) &gt; 0,"cross.bred","not found")),"NA")</f>
        <v>not found</v>
      </c>
      <c r="N1476" t="str">
        <f>IF(J1476="Goat",IF(COUNTIF(lists!$J$2:$J$258, K1476) &gt; 0,"indigenous",IF(COUNTIF(lists!$I$2:$I$258, K1476) &gt; 0,"cross.bred","not found")),"NA")</f>
        <v>NA</v>
      </c>
      <c r="O1476" s="9" t="s">
        <v>135</v>
      </c>
      <c r="P1476" s="9" t="s">
        <v>106</v>
      </c>
      <c r="Q1476" s="9" t="s">
        <v>3805</v>
      </c>
      <c r="S1476" s="9">
        <v>129</v>
      </c>
      <c r="T1476" s="9">
        <v>69.099999999999994</v>
      </c>
      <c r="U1476" s="9">
        <v>160</v>
      </c>
      <c r="V1476" s="9" t="s">
        <v>106</v>
      </c>
      <c r="W1476" s="9" t="s">
        <v>106</v>
      </c>
      <c r="X1476" s="9">
        <v>219</v>
      </c>
      <c r="Y1476" s="9" t="s">
        <v>106</v>
      </c>
      <c r="Z1476" s="37"/>
      <c r="AA1476" s="37"/>
      <c r="AB1476" s="37"/>
      <c r="AE1476">
        <v>0</v>
      </c>
    </row>
    <row r="1477" spans="1:31" hidden="1">
      <c r="A1477" s="9" t="s">
        <v>1618</v>
      </c>
      <c r="B1477" s="9" t="s">
        <v>1624</v>
      </c>
      <c r="C1477" s="9" t="s">
        <v>105</v>
      </c>
      <c r="D1477" s="9">
        <v>1.1499999999999999</v>
      </c>
      <c r="E1477" s="9">
        <v>0.7</v>
      </c>
      <c r="F1477" s="9">
        <v>22.994</v>
      </c>
      <c r="G1477" s="9">
        <v>180</v>
      </c>
      <c r="H1477" s="9" t="s">
        <v>106</v>
      </c>
      <c r="I1477" s="9">
        <v>20</v>
      </c>
      <c r="J1477" s="9" t="s">
        <v>107</v>
      </c>
      <c r="K1477" s="9" t="s">
        <v>1620</v>
      </c>
      <c r="L1477" t="str">
        <f>IF(OR(J1477="Cattle",J1477="Zebu Cattle"),IF(COUNTIF(lists!$M$2:$M$258, K1477) &gt; 0,"bos.indicus",IF(COUNTIF(lists!$L$2:$L$258, K1477) &gt; 0,"cross.bred","pure.bred.exotic")),"NA")</f>
        <v>NA</v>
      </c>
      <c r="M1477" t="str">
        <f>IF(J1477="Sheep",IF(COUNTIF(lists!$H$2:$H$258, K1477) &gt; 0,"indigenous",IF(COUNTIF(lists!$G$2:$G$258, K1477) &gt; 0,"cross.bred","not found")),"NA")</f>
        <v>not found</v>
      </c>
      <c r="N1477" t="str">
        <f>IF(J1477="Goat",IF(COUNTIF(lists!$J$2:$J$258, K1477) &gt; 0,"indigenous",IF(COUNTIF(lists!$I$2:$I$258, K1477) &gt; 0,"cross.bred","not found")),"NA")</f>
        <v>NA</v>
      </c>
      <c r="O1477" s="9" t="s">
        <v>135</v>
      </c>
      <c r="P1477" s="9" t="s">
        <v>106</v>
      </c>
      <c r="Q1477" s="9" t="s">
        <v>3805</v>
      </c>
      <c r="S1477" s="9">
        <v>131</v>
      </c>
      <c r="T1477" s="9">
        <v>70.2</v>
      </c>
      <c r="U1477" s="9">
        <v>160</v>
      </c>
      <c r="V1477" s="9" t="s">
        <v>106</v>
      </c>
      <c r="W1477" s="9" t="s">
        <v>106</v>
      </c>
      <c r="X1477" s="9">
        <v>219</v>
      </c>
      <c r="Y1477" s="9" t="s">
        <v>106</v>
      </c>
      <c r="Z1477" s="37"/>
      <c r="AA1477" s="37"/>
      <c r="AB1477" s="37"/>
      <c r="AE1477">
        <v>0</v>
      </c>
    </row>
    <row r="1478" spans="1:31" hidden="1">
      <c r="A1478" s="9" t="s">
        <v>1625</v>
      </c>
      <c r="B1478" s="9" t="s">
        <v>1626</v>
      </c>
      <c r="C1478" s="9" t="s">
        <v>105</v>
      </c>
      <c r="D1478" s="9">
        <v>1.57</v>
      </c>
      <c r="E1478" s="9">
        <v>52</v>
      </c>
      <c r="F1478" s="9">
        <v>27.45</v>
      </c>
      <c r="G1478" s="9">
        <v>200</v>
      </c>
      <c r="H1478" s="9" t="s">
        <v>106</v>
      </c>
      <c r="I1478" s="9">
        <v>40</v>
      </c>
      <c r="J1478" s="9" t="s">
        <v>107</v>
      </c>
      <c r="K1478" s="9" t="s">
        <v>709</v>
      </c>
      <c r="L1478" t="str">
        <f>IF(OR(J1478="Cattle",J1478="Zebu Cattle"),IF(COUNTIF(lists!$M$2:$M$258, K1478) &gt; 0,"bos.indicus",IF(COUNTIF(lists!$L$2:$L$258, K1478) &gt; 0,"cross.bred","pure.bred.exotic")),"NA")</f>
        <v>NA</v>
      </c>
      <c r="M1478" t="str">
        <f>IF(J1478="Sheep",IF(COUNTIF(lists!$H$2:$H$258, K1478) &gt; 0,"indigenous",IF(COUNTIF(lists!$G$2:$G$258, K1478) &gt; 0,"cross.bred","not found")),"NA")</f>
        <v>not found</v>
      </c>
      <c r="N1478" t="str">
        <f>IF(J1478="Goat",IF(COUNTIF(lists!$J$2:$J$258, K1478) &gt; 0,"indigenous",IF(COUNTIF(lists!$I$2:$I$258, K1478) &gt; 0,"cross.bred","not found")),"NA")</f>
        <v>NA</v>
      </c>
      <c r="O1478" s="9" t="s">
        <v>109</v>
      </c>
      <c r="P1478" s="9" t="s">
        <v>106</v>
      </c>
      <c r="Q1478" s="9" t="s">
        <v>3804</v>
      </c>
      <c r="S1478" s="9">
        <v>121.6</v>
      </c>
      <c r="T1478" s="9" t="s">
        <v>106</v>
      </c>
      <c r="U1478" s="9">
        <v>159</v>
      </c>
      <c r="V1478" s="9" t="s">
        <v>106</v>
      </c>
      <c r="W1478" s="9">
        <v>32.799999999999997</v>
      </c>
      <c r="X1478" s="9">
        <v>242</v>
      </c>
      <c r="Y1478" s="9" t="s">
        <v>106</v>
      </c>
      <c r="Z1478" s="37"/>
      <c r="AA1478" s="37"/>
      <c r="AB1478" s="37"/>
      <c r="AE1478">
        <v>0</v>
      </c>
    </row>
    <row r="1479" spans="1:31" hidden="1">
      <c r="A1479" s="9" t="s">
        <v>1625</v>
      </c>
      <c r="B1479" s="9" t="s">
        <v>1627</v>
      </c>
      <c r="C1479" s="9" t="s">
        <v>105</v>
      </c>
      <c r="D1479" s="9">
        <v>1.1100000000000001</v>
      </c>
      <c r="E1479" s="9">
        <v>49</v>
      </c>
      <c r="F1479" s="9">
        <v>26.95</v>
      </c>
      <c r="G1479" s="9">
        <v>240</v>
      </c>
      <c r="H1479" s="9" t="s">
        <v>106</v>
      </c>
      <c r="I1479" s="9">
        <v>40</v>
      </c>
      <c r="J1479" s="9" t="s">
        <v>107</v>
      </c>
      <c r="K1479" s="9" t="s">
        <v>709</v>
      </c>
      <c r="L1479" t="str">
        <f>IF(OR(J1479="Cattle",J1479="Zebu Cattle"),IF(COUNTIF(lists!$M$2:$M$258, K1479) &gt; 0,"bos.indicus",IF(COUNTIF(lists!$L$2:$L$258, K1479) &gt; 0,"cross.bred","pure.bred.exotic")),"NA")</f>
        <v>NA</v>
      </c>
      <c r="M1479" t="str">
        <f>IF(J1479="Sheep",IF(COUNTIF(lists!$H$2:$H$258, K1479) &gt; 0,"indigenous",IF(COUNTIF(lists!$G$2:$G$258, K1479) &gt; 0,"cross.bred","not found")),"NA")</f>
        <v>not found</v>
      </c>
      <c r="N1479" t="str">
        <f>IF(J1479="Goat",IF(COUNTIF(lists!$J$2:$J$258, K1479) &gt; 0,"indigenous",IF(COUNTIF(lists!$I$2:$I$258, K1479) &gt; 0,"cross.bred","not found")),"NA")</f>
        <v>NA</v>
      </c>
      <c r="O1479" s="9" t="s">
        <v>109</v>
      </c>
      <c r="P1479" s="9" t="s">
        <v>106</v>
      </c>
      <c r="Q1479" s="9" t="s">
        <v>3804</v>
      </c>
      <c r="S1479" s="9">
        <v>184.6</v>
      </c>
      <c r="T1479" s="9" t="s">
        <v>106</v>
      </c>
      <c r="U1479" s="9">
        <v>154.5</v>
      </c>
      <c r="V1479" s="9" t="s">
        <v>106</v>
      </c>
      <c r="W1479" s="9">
        <v>31.2</v>
      </c>
      <c r="X1479" s="9">
        <v>316.7</v>
      </c>
      <c r="Y1479" s="9" t="s">
        <v>106</v>
      </c>
      <c r="Z1479" s="37"/>
      <c r="AA1479" s="37"/>
      <c r="AB1479" s="37"/>
      <c r="AE1479">
        <v>0</v>
      </c>
    </row>
    <row r="1480" spans="1:31" hidden="1">
      <c r="A1480" s="9" t="s">
        <v>1625</v>
      </c>
      <c r="B1480" s="9" t="s">
        <v>1628</v>
      </c>
      <c r="C1480" s="9" t="s">
        <v>105</v>
      </c>
      <c r="D1480" s="9">
        <v>0.91</v>
      </c>
      <c r="E1480" s="9">
        <v>62</v>
      </c>
      <c r="F1480" s="9">
        <v>25.7</v>
      </c>
      <c r="G1480" s="9">
        <v>200</v>
      </c>
      <c r="H1480" s="9" t="s">
        <v>106</v>
      </c>
      <c r="I1480" s="9">
        <v>40</v>
      </c>
      <c r="J1480" s="9" t="s">
        <v>107</v>
      </c>
      <c r="K1480" s="9" t="s">
        <v>709</v>
      </c>
      <c r="L1480" t="str">
        <f>IF(OR(J1480="Cattle",J1480="Zebu Cattle"),IF(COUNTIF(lists!$M$2:$M$258, K1480) &gt; 0,"bos.indicus",IF(COUNTIF(lists!$L$2:$L$258, K1480) &gt; 0,"cross.bred","pure.bred.exotic")),"NA")</f>
        <v>NA</v>
      </c>
      <c r="M1480" t="str">
        <f>IF(J1480="Sheep",IF(COUNTIF(lists!$H$2:$H$258, K1480) &gt; 0,"indigenous",IF(COUNTIF(lists!$G$2:$G$258, K1480) &gt; 0,"cross.bred","not found")),"NA")</f>
        <v>not found</v>
      </c>
      <c r="N1480" t="str">
        <f>IF(J1480="Goat",IF(COUNTIF(lists!$J$2:$J$258, K1480) &gt; 0,"indigenous",IF(COUNTIF(lists!$I$2:$I$258, K1480) &gt; 0,"cross.bred","not found")),"NA")</f>
        <v>NA</v>
      </c>
      <c r="O1480" s="9" t="s">
        <v>109</v>
      </c>
      <c r="P1480" s="9" t="s">
        <v>106</v>
      </c>
      <c r="Q1480" s="9" t="s">
        <v>3804</v>
      </c>
      <c r="S1480" s="9">
        <v>204.1</v>
      </c>
      <c r="T1480" s="9" t="s">
        <v>106</v>
      </c>
      <c r="U1480" s="9">
        <v>153.30000000000001</v>
      </c>
      <c r="V1480" s="9" t="s">
        <v>106</v>
      </c>
      <c r="W1480" s="9">
        <v>36.799999999999997</v>
      </c>
      <c r="X1480" s="9">
        <v>341.8</v>
      </c>
      <c r="Y1480" s="9" t="s">
        <v>106</v>
      </c>
      <c r="Z1480" s="37"/>
      <c r="AA1480" s="37"/>
      <c r="AB1480" s="37"/>
      <c r="AE1480">
        <v>0</v>
      </c>
    </row>
    <row r="1481" spans="1:31" hidden="1">
      <c r="A1481" s="9" t="s">
        <v>1625</v>
      </c>
      <c r="B1481" s="9" t="s">
        <v>455</v>
      </c>
      <c r="C1481" s="9" t="s">
        <v>105</v>
      </c>
      <c r="D1481" s="9">
        <v>1.37</v>
      </c>
      <c r="E1481" s="9">
        <v>63</v>
      </c>
      <c r="F1481" s="9">
        <v>26.25</v>
      </c>
      <c r="G1481" s="9">
        <v>230</v>
      </c>
      <c r="H1481" s="9" t="s">
        <v>106</v>
      </c>
      <c r="I1481" s="9">
        <v>40</v>
      </c>
      <c r="J1481" s="9" t="s">
        <v>107</v>
      </c>
      <c r="K1481" s="9" t="s">
        <v>709</v>
      </c>
      <c r="L1481" t="str">
        <f>IF(OR(J1481="Cattle",J1481="Zebu Cattle"),IF(COUNTIF(lists!$M$2:$M$258, K1481) &gt; 0,"bos.indicus",IF(COUNTIF(lists!$L$2:$L$258, K1481) &gt; 0,"cross.bred","pure.bred.exotic")),"NA")</f>
        <v>NA</v>
      </c>
      <c r="M1481" t="str">
        <f>IF(J1481="Sheep",IF(COUNTIF(lists!$H$2:$H$258, K1481) &gt; 0,"indigenous",IF(COUNTIF(lists!$G$2:$G$258, K1481) &gt; 0,"cross.bred","not found")),"NA")</f>
        <v>not found</v>
      </c>
      <c r="N1481" t="str">
        <f>IF(J1481="Goat",IF(COUNTIF(lists!$J$2:$J$258, K1481) &gt; 0,"indigenous",IF(COUNTIF(lists!$I$2:$I$258, K1481) &gt; 0,"cross.bred","not found")),"NA")</f>
        <v>NA</v>
      </c>
      <c r="O1481" s="9" t="s">
        <v>109</v>
      </c>
      <c r="P1481" s="9" t="s">
        <v>106</v>
      </c>
      <c r="Q1481" s="9" t="s">
        <v>3804</v>
      </c>
      <c r="S1481" s="9">
        <v>204.1</v>
      </c>
      <c r="T1481" s="9" t="s">
        <v>106</v>
      </c>
      <c r="U1481" s="9">
        <v>165.2</v>
      </c>
      <c r="V1481" s="9" t="s">
        <v>106</v>
      </c>
      <c r="W1481" s="9">
        <v>19.2</v>
      </c>
      <c r="X1481" s="9">
        <v>421.7</v>
      </c>
      <c r="Y1481" s="9" t="s">
        <v>106</v>
      </c>
      <c r="Z1481" s="37"/>
      <c r="AA1481" s="37"/>
      <c r="AB1481" s="37"/>
      <c r="AE1481">
        <v>0</v>
      </c>
    </row>
    <row r="1482" spans="1:31" hidden="1">
      <c r="A1482" s="9" t="s">
        <v>1649</v>
      </c>
      <c r="B1482" s="9" t="s">
        <v>1650</v>
      </c>
      <c r="C1482" s="9" t="s">
        <v>105</v>
      </c>
      <c r="D1482" s="9">
        <v>0.72799999999999998</v>
      </c>
      <c r="E1482" s="9">
        <v>6.3</v>
      </c>
      <c r="F1482" s="9">
        <v>18.3</v>
      </c>
      <c r="G1482" s="9">
        <v>76.400000000000006</v>
      </c>
      <c r="H1482" s="9" t="s">
        <v>106</v>
      </c>
      <c r="I1482" s="9">
        <v>25</v>
      </c>
      <c r="J1482" s="9" t="s">
        <v>107</v>
      </c>
      <c r="K1482" s="9" t="s">
        <v>620</v>
      </c>
      <c r="L1482" t="str">
        <f>IF(OR(J1482="Cattle",J1482="Zebu Cattle"),IF(COUNTIF(lists!$M$2:$M$258, K1482) &gt; 0,"bos.indicus",IF(COUNTIF(lists!$L$2:$L$258, K1482) &gt; 0,"cross.bred","pure.bred.exotic")),"NA")</f>
        <v>NA</v>
      </c>
      <c r="M1482" t="str">
        <f>IF(J1482="Sheep",IF(COUNTIF(lists!$H$2:$H$258, K1482) &gt; 0,"indigenous",IF(COUNTIF(lists!$G$2:$G$258, K1482) &gt; 0,"cross.bred","not found")),"NA")</f>
        <v>not found</v>
      </c>
      <c r="N1482" t="str">
        <f>IF(J1482="Goat",IF(COUNTIF(lists!$J$2:$J$258, K1482) &gt; 0,"indigenous",IF(COUNTIF(lists!$I$2:$I$258, K1482) &gt; 0,"cross.bred","not found")),"NA")</f>
        <v>NA</v>
      </c>
      <c r="O1482" s="9" t="s">
        <v>109</v>
      </c>
      <c r="P1482" s="9" t="s">
        <v>106</v>
      </c>
      <c r="Q1482" s="9" t="s">
        <v>3804</v>
      </c>
      <c r="S1482" s="9">
        <v>318</v>
      </c>
      <c r="T1482" s="9">
        <v>121</v>
      </c>
      <c r="U1482" s="9">
        <v>54</v>
      </c>
      <c r="V1482" s="9">
        <v>935</v>
      </c>
      <c r="W1482" s="9" t="s">
        <v>106</v>
      </c>
      <c r="X1482" s="9">
        <v>673</v>
      </c>
      <c r="Y1482" s="9">
        <v>0.81</v>
      </c>
      <c r="Z1482" s="37"/>
      <c r="AA1482" s="37"/>
      <c r="AB1482" s="37"/>
      <c r="AE1482">
        <v>0</v>
      </c>
    </row>
    <row r="1483" spans="1:31" hidden="1">
      <c r="A1483" s="9" t="s">
        <v>1649</v>
      </c>
      <c r="B1483" s="9" t="s">
        <v>1651</v>
      </c>
      <c r="C1483" s="9" t="s">
        <v>105</v>
      </c>
      <c r="D1483" s="9">
        <v>0.65</v>
      </c>
      <c r="E1483" s="9">
        <v>6.3</v>
      </c>
      <c r="F1483" s="9">
        <v>19.5</v>
      </c>
      <c r="G1483" s="9">
        <v>52.2</v>
      </c>
      <c r="H1483" s="9" t="s">
        <v>106</v>
      </c>
      <c r="I1483" s="9">
        <v>25</v>
      </c>
      <c r="J1483" s="9" t="s">
        <v>107</v>
      </c>
      <c r="K1483" s="9" t="s">
        <v>620</v>
      </c>
      <c r="L1483" t="str">
        <f>IF(OR(J1483="Cattle",J1483="Zebu Cattle"),IF(COUNTIF(lists!$M$2:$M$258, K1483) &gt; 0,"bos.indicus",IF(COUNTIF(lists!$L$2:$L$258, K1483) &gt; 0,"cross.bred","pure.bred.exotic")),"NA")</f>
        <v>NA</v>
      </c>
      <c r="M1483" t="str">
        <f>IF(J1483="Sheep",IF(COUNTIF(lists!$H$2:$H$258, K1483) &gt; 0,"indigenous",IF(COUNTIF(lists!$G$2:$G$258, K1483) &gt; 0,"cross.bred","not found")),"NA")</f>
        <v>not found</v>
      </c>
      <c r="N1483" t="str">
        <f>IF(J1483="Goat",IF(COUNTIF(lists!$J$2:$J$258, K1483) &gt; 0,"indigenous",IF(COUNTIF(lists!$I$2:$I$258, K1483) &gt; 0,"cross.bred","not found")),"NA")</f>
        <v>NA</v>
      </c>
      <c r="O1483" s="9" t="s">
        <v>109</v>
      </c>
      <c r="P1483" s="9" t="s">
        <v>106</v>
      </c>
      <c r="Q1483" s="9" t="s">
        <v>3804</v>
      </c>
      <c r="S1483" s="9">
        <v>464</v>
      </c>
      <c r="T1483" s="9">
        <v>115</v>
      </c>
      <c r="U1483" s="9">
        <v>35</v>
      </c>
      <c r="V1483" s="9">
        <v>913</v>
      </c>
      <c r="W1483" s="9" t="s">
        <v>106</v>
      </c>
      <c r="X1483" s="9">
        <v>712</v>
      </c>
      <c r="Y1483" s="9">
        <v>0.66</v>
      </c>
      <c r="Z1483" s="37"/>
      <c r="AA1483" s="37"/>
      <c r="AB1483" s="37"/>
      <c r="AE1483">
        <v>0</v>
      </c>
    </row>
    <row r="1484" spans="1:31" hidden="1">
      <c r="A1484" s="9" t="s">
        <v>1649</v>
      </c>
      <c r="B1484" s="9" t="s">
        <v>1652</v>
      </c>
      <c r="C1484" s="9" t="s">
        <v>105</v>
      </c>
      <c r="D1484" s="9">
        <v>0.71599999999999997</v>
      </c>
      <c r="E1484" s="9">
        <v>6.3</v>
      </c>
      <c r="F1484" s="9">
        <v>18.899999999999999</v>
      </c>
      <c r="G1484" s="9">
        <v>74.400000000000006</v>
      </c>
      <c r="H1484" s="9" t="s">
        <v>106</v>
      </c>
      <c r="I1484" s="9">
        <v>25</v>
      </c>
      <c r="J1484" s="9" t="s">
        <v>107</v>
      </c>
      <c r="K1484" s="9" t="s">
        <v>620</v>
      </c>
      <c r="L1484" t="str">
        <f>IF(OR(J1484="Cattle",J1484="Zebu Cattle"),IF(COUNTIF(lists!$M$2:$M$258, K1484) &gt; 0,"bos.indicus",IF(COUNTIF(lists!$L$2:$L$258, K1484) &gt; 0,"cross.bred","pure.bred.exotic")),"NA")</f>
        <v>NA</v>
      </c>
      <c r="M1484" t="str">
        <f>IF(J1484="Sheep",IF(COUNTIF(lists!$H$2:$H$258, K1484) &gt; 0,"indigenous",IF(COUNTIF(lists!$G$2:$G$258, K1484) &gt; 0,"cross.bred","not found")),"NA")</f>
        <v>not found</v>
      </c>
      <c r="N1484" t="str">
        <f>IF(J1484="Goat",IF(COUNTIF(lists!$J$2:$J$258, K1484) &gt; 0,"indigenous",IF(COUNTIF(lists!$I$2:$I$258, K1484) &gt; 0,"cross.bred","not found")),"NA")</f>
        <v>NA</v>
      </c>
      <c r="O1484" s="9" t="s">
        <v>109</v>
      </c>
      <c r="P1484" s="9" t="s">
        <v>106</v>
      </c>
      <c r="Q1484" s="9" t="s">
        <v>3804</v>
      </c>
      <c r="S1484" s="9">
        <v>415</v>
      </c>
      <c r="T1484" s="9">
        <v>119</v>
      </c>
      <c r="U1484" s="9">
        <v>57</v>
      </c>
      <c r="V1484" s="9">
        <v>928</v>
      </c>
      <c r="W1484" s="9" t="s">
        <v>106</v>
      </c>
      <c r="X1484" s="9">
        <v>689</v>
      </c>
      <c r="Y1484" s="9">
        <v>0.79</v>
      </c>
      <c r="Z1484" s="37"/>
      <c r="AA1484" s="37"/>
      <c r="AB1484" s="37"/>
      <c r="AE1484">
        <v>0</v>
      </c>
    </row>
    <row r="1485" spans="1:31" hidden="1">
      <c r="A1485" s="9" t="s">
        <v>1649</v>
      </c>
      <c r="B1485" s="9" t="s">
        <v>1653</v>
      </c>
      <c r="C1485" s="9" t="s">
        <v>105</v>
      </c>
      <c r="D1485" s="9">
        <v>0.68200000000000005</v>
      </c>
      <c r="E1485" s="9">
        <v>6.3</v>
      </c>
      <c r="F1485" s="9">
        <v>19</v>
      </c>
      <c r="G1485" s="9">
        <v>70</v>
      </c>
      <c r="H1485" s="9" t="s">
        <v>106</v>
      </c>
      <c r="I1485" s="9">
        <v>25</v>
      </c>
      <c r="J1485" s="9" t="s">
        <v>107</v>
      </c>
      <c r="K1485" s="9" t="s">
        <v>620</v>
      </c>
      <c r="L1485" t="str">
        <f>IF(OR(J1485="Cattle",J1485="Zebu Cattle"),IF(COUNTIF(lists!$M$2:$M$258, K1485) &gt; 0,"bos.indicus",IF(COUNTIF(lists!$L$2:$L$258, K1485) &gt; 0,"cross.bred","pure.bred.exotic")),"NA")</f>
        <v>NA</v>
      </c>
      <c r="M1485" t="str">
        <f>IF(J1485="Sheep",IF(COUNTIF(lists!$H$2:$H$258, K1485) &gt; 0,"indigenous",IF(COUNTIF(lists!$G$2:$G$258, K1485) &gt; 0,"cross.bred","not found")),"NA")</f>
        <v>not found</v>
      </c>
      <c r="N1485" t="str">
        <f>IF(J1485="Goat",IF(COUNTIF(lists!$J$2:$J$258, K1485) &gt; 0,"indigenous",IF(COUNTIF(lists!$I$2:$I$258, K1485) &gt; 0,"cross.bred","not found")),"NA")</f>
        <v>NA</v>
      </c>
      <c r="O1485" s="9" t="s">
        <v>109</v>
      </c>
      <c r="P1485" s="9" t="s">
        <v>106</v>
      </c>
      <c r="Q1485" s="9" t="s">
        <v>3804</v>
      </c>
      <c r="S1485" s="9">
        <v>415</v>
      </c>
      <c r="T1485" s="9">
        <v>123</v>
      </c>
      <c r="U1485" s="9">
        <v>53</v>
      </c>
      <c r="V1485" s="9">
        <v>925</v>
      </c>
      <c r="W1485" s="9" t="s">
        <v>106</v>
      </c>
      <c r="X1485" s="9">
        <v>677</v>
      </c>
      <c r="Y1485" s="9">
        <v>0.74</v>
      </c>
      <c r="Z1485" s="37"/>
      <c r="AA1485" s="37"/>
      <c r="AB1485" s="37"/>
      <c r="AE1485">
        <v>0</v>
      </c>
    </row>
    <row r="1486" spans="1:31" hidden="1">
      <c r="A1486" s="9" t="s">
        <v>1649</v>
      </c>
      <c r="B1486" s="9" t="s">
        <v>1654</v>
      </c>
      <c r="C1486" s="9" t="s">
        <v>105</v>
      </c>
      <c r="D1486" s="9">
        <v>0.67500000000000004</v>
      </c>
      <c r="E1486" s="9">
        <v>6.3</v>
      </c>
      <c r="F1486" s="9">
        <v>19.100000000000001</v>
      </c>
      <c r="G1486" s="9">
        <v>59.9</v>
      </c>
      <c r="H1486" s="9" t="s">
        <v>106</v>
      </c>
      <c r="I1486" s="9">
        <v>25</v>
      </c>
      <c r="J1486" s="9" t="s">
        <v>107</v>
      </c>
      <c r="K1486" s="9" t="s">
        <v>620</v>
      </c>
      <c r="L1486" t="str">
        <f>IF(OR(J1486="Cattle",J1486="Zebu Cattle"),IF(COUNTIF(lists!$M$2:$M$258, K1486) &gt; 0,"bos.indicus",IF(COUNTIF(lists!$L$2:$L$258, K1486) &gt; 0,"cross.bred","pure.bred.exotic")),"NA")</f>
        <v>NA</v>
      </c>
      <c r="M1486" t="str">
        <f>IF(J1486="Sheep",IF(COUNTIF(lists!$H$2:$H$258, K1486) &gt; 0,"indigenous",IF(COUNTIF(lists!$G$2:$G$258, K1486) &gt; 0,"cross.bred","not found")),"NA")</f>
        <v>not found</v>
      </c>
      <c r="N1486" t="str">
        <f>IF(J1486="Goat",IF(COUNTIF(lists!$J$2:$J$258, K1486) &gt; 0,"indigenous",IF(COUNTIF(lists!$I$2:$I$258, K1486) &gt; 0,"cross.bred","not found")),"NA")</f>
        <v>NA</v>
      </c>
      <c r="O1486" s="9" t="s">
        <v>109</v>
      </c>
      <c r="P1486" s="9" t="s">
        <v>106</v>
      </c>
      <c r="Q1486" s="9" t="s">
        <v>3804</v>
      </c>
      <c r="S1486" s="9">
        <v>426</v>
      </c>
      <c r="T1486" s="9">
        <v>117</v>
      </c>
      <c r="U1486" s="9">
        <v>45</v>
      </c>
      <c r="V1486" s="9">
        <v>921</v>
      </c>
      <c r="W1486" s="9" t="s">
        <v>106</v>
      </c>
      <c r="X1486" s="9">
        <v>695</v>
      </c>
      <c r="Y1486" s="9">
        <v>0.71</v>
      </c>
      <c r="Z1486" s="37"/>
      <c r="AA1486" s="37"/>
      <c r="AB1486" s="37"/>
      <c r="AE1486">
        <v>0</v>
      </c>
    </row>
    <row r="1487" spans="1:31" hidden="1">
      <c r="A1487" s="9" t="s">
        <v>1660</v>
      </c>
      <c r="B1487" s="9" t="s">
        <v>1661</v>
      </c>
      <c r="C1487" s="9" t="s">
        <v>105</v>
      </c>
      <c r="D1487" s="9">
        <v>0.59550000000000003</v>
      </c>
      <c r="E1487" s="9" t="s">
        <v>106</v>
      </c>
      <c r="F1487" s="9">
        <v>15.62</v>
      </c>
      <c r="G1487" s="9">
        <v>41.38</v>
      </c>
      <c r="H1487" s="9" t="s">
        <v>106</v>
      </c>
      <c r="I1487" s="9">
        <v>25</v>
      </c>
      <c r="J1487" s="9" t="s">
        <v>107</v>
      </c>
      <c r="K1487" s="9" t="s">
        <v>1662</v>
      </c>
      <c r="L1487" t="str">
        <f>IF(OR(J1487="Cattle",J1487="Zebu Cattle"),IF(COUNTIF(lists!$M$2:$M$258, K1487) &gt; 0,"bos.indicus",IF(COUNTIF(lists!$L$2:$L$258, K1487) &gt; 0,"cross.bred","pure.bred.exotic")),"NA")</f>
        <v>NA</v>
      </c>
      <c r="M1487" t="str">
        <f>IF(J1487="Sheep",IF(COUNTIF(lists!$H$2:$H$258, K1487) &gt; 0,"indigenous",IF(COUNTIF(lists!$G$2:$G$258, K1487) &gt; 0,"cross.bred","not found")),"NA")</f>
        <v>not found</v>
      </c>
      <c r="N1487" t="str">
        <f>IF(J1487="Goat",IF(COUNTIF(lists!$J$2:$J$258, K1487) &gt; 0,"indigenous",IF(COUNTIF(lists!$I$2:$I$258, K1487) &gt; 0,"cross.bred","not found")),"NA")</f>
        <v>NA</v>
      </c>
      <c r="O1487" s="9" t="s">
        <v>109</v>
      </c>
      <c r="P1487" s="9" t="s">
        <v>106</v>
      </c>
      <c r="Q1487" s="9" t="s">
        <v>3804</v>
      </c>
      <c r="S1487" s="9">
        <v>125</v>
      </c>
      <c r="T1487" s="9">
        <v>36</v>
      </c>
      <c r="U1487" s="9">
        <v>159</v>
      </c>
      <c r="V1487" s="9">
        <v>902</v>
      </c>
      <c r="W1487" s="9">
        <v>46</v>
      </c>
      <c r="X1487" s="9">
        <v>232</v>
      </c>
      <c r="Y1487" s="9" t="s">
        <v>106</v>
      </c>
      <c r="Z1487" s="37"/>
      <c r="AA1487" s="37"/>
      <c r="AB1487" s="37"/>
      <c r="AE1487">
        <v>0</v>
      </c>
    </row>
    <row r="1488" spans="1:31" hidden="1">
      <c r="A1488" s="9" t="s">
        <v>1660</v>
      </c>
      <c r="B1488" s="9" t="s">
        <v>1663</v>
      </c>
      <c r="C1488" s="9" t="s">
        <v>105</v>
      </c>
      <c r="D1488" s="9">
        <v>0.59638000000000002</v>
      </c>
      <c r="E1488" s="9" t="s">
        <v>106</v>
      </c>
      <c r="F1488" s="9">
        <v>15</v>
      </c>
      <c r="G1488" s="9">
        <v>43.55</v>
      </c>
      <c r="H1488" s="9" t="s">
        <v>106</v>
      </c>
      <c r="I1488" s="9">
        <v>25</v>
      </c>
      <c r="J1488" s="9" t="s">
        <v>107</v>
      </c>
      <c r="K1488" s="9" t="s">
        <v>1662</v>
      </c>
      <c r="L1488" t="str">
        <f>IF(OR(J1488="Cattle",J1488="Zebu Cattle"),IF(COUNTIF(lists!$M$2:$M$258, K1488) &gt; 0,"bos.indicus",IF(COUNTIF(lists!$L$2:$L$258, K1488) &gt; 0,"cross.bred","pure.bred.exotic")),"NA")</f>
        <v>NA</v>
      </c>
      <c r="M1488" t="str">
        <f>IF(J1488="Sheep",IF(COUNTIF(lists!$H$2:$H$258, K1488) &gt; 0,"indigenous",IF(COUNTIF(lists!$G$2:$G$258, K1488) &gt; 0,"cross.bred","not found")),"NA")</f>
        <v>not found</v>
      </c>
      <c r="N1488" t="str">
        <f>IF(J1488="Goat",IF(COUNTIF(lists!$J$2:$J$258, K1488) &gt; 0,"indigenous",IF(COUNTIF(lists!$I$2:$I$258, K1488) &gt; 0,"cross.bred","not found")),"NA")</f>
        <v>NA</v>
      </c>
      <c r="O1488" s="9" t="s">
        <v>109</v>
      </c>
      <c r="P1488" s="9" t="s">
        <v>106</v>
      </c>
      <c r="Q1488" s="9" t="s">
        <v>3804</v>
      </c>
      <c r="S1488" s="9">
        <v>133</v>
      </c>
      <c r="T1488" s="9">
        <v>64</v>
      </c>
      <c r="U1488" s="9">
        <v>158</v>
      </c>
      <c r="V1488" s="9">
        <v>919</v>
      </c>
      <c r="W1488" s="9">
        <v>49</v>
      </c>
      <c r="X1488" s="9">
        <v>242</v>
      </c>
      <c r="Y1488" s="9" t="s">
        <v>106</v>
      </c>
      <c r="Z1488" s="37"/>
      <c r="AA1488" s="37"/>
      <c r="AB1488" s="37"/>
      <c r="AE1488">
        <v>0</v>
      </c>
    </row>
    <row r="1489" spans="1:31" hidden="1">
      <c r="A1489" s="9" t="s">
        <v>1660</v>
      </c>
      <c r="B1489" s="9" t="s">
        <v>1664</v>
      </c>
      <c r="C1489" s="9" t="s">
        <v>105</v>
      </c>
      <c r="D1489" s="9">
        <v>0.59887999999999997</v>
      </c>
      <c r="E1489" s="9" t="s">
        <v>106</v>
      </c>
      <c r="F1489" s="9">
        <v>13.83</v>
      </c>
      <c r="G1489" s="9">
        <v>37.03</v>
      </c>
      <c r="H1489" s="9" t="s">
        <v>106</v>
      </c>
      <c r="I1489" s="9">
        <v>25</v>
      </c>
      <c r="J1489" s="9" t="s">
        <v>107</v>
      </c>
      <c r="K1489" s="9" t="s">
        <v>1662</v>
      </c>
      <c r="L1489" t="str">
        <f>IF(OR(J1489="Cattle",J1489="Zebu Cattle"),IF(COUNTIF(lists!$M$2:$M$258, K1489) &gt; 0,"bos.indicus",IF(COUNTIF(lists!$L$2:$L$258, K1489) &gt; 0,"cross.bred","pure.bred.exotic")),"NA")</f>
        <v>NA</v>
      </c>
      <c r="M1489" t="str">
        <f>IF(J1489="Sheep",IF(COUNTIF(lists!$H$2:$H$258, K1489) &gt; 0,"indigenous",IF(COUNTIF(lists!$G$2:$G$258, K1489) &gt; 0,"cross.bred","not found")),"NA")</f>
        <v>not found</v>
      </c>
      <c r="N1489" t="str">
        <f>IF(J1489="Goat",IF(COUNTIF(lists!$J$2:$J$258, K1489) &gt; 0,"indigenous",IF(COUNTIF(lists!$I$2:$I$258, K1489) &gt; 0,"cross.bred","not found")),"NA")</f>
        <v>NA</v>
      </c>
      <c r="O1489" s="9" t="s">
        <v>109</v>
      </c>
      <c r="P1489" s="9" t="s">
        <v>106</v>
      </c>
      <c r="Q1489" s="9" t="s">
        <v>3804</v>
      </c>
      <c r="S1489" s="9">
        <v>139</v>
      </c>
      <c r="T1489" s="9">
        <v>67</v>
      </c>
      <c r="U1489" s="9">
        <v>157</v>
      </c>
      <c r="V1489" s="9">
        <v>903</v>
      </c>
      <c r="W1489" s="9">
        <v>48</v>
      </c>
      <c r="X1489" s="9">
        <v>252</v>
      </c>
      <c r="Y1489" s="9" t="s">
        <v>106</v>
      </c>
      <c r="Z1489" s="37"/>
      <c r="AA1489" s="37"/>
      <c r="AB1489" s="37"/>
      <c r="AE1489">
        <v>0</v>
      </c>
    </row>
    <row r="1490" spans="1:31" hidden="1">
      <c r="A1490" s="9" t="s">
        <v>1660</v>
      </c>
      <c r="B1490" s="9" t="s">
        <v>1665</v>
      </c>
      <c r="C1490" s="9" t="s">
        <v>105</v>
      </c>
      <c r="D1490" s="9">
        <v>0.58987999999999996</v>
      </c>
      <c r="E1490" s="9" t="s">
        <v>106</v>
      </c>
      <c r="F1490" s="9">
        <v>13.6</v>
      </c>
      <c r="G1490" s="9">
        <v>38.22</v>
      </c>
      <c r="H1490" s="9" t="s">
        <v>106</v>
      </c>
      <c r="I1490" s="9">
        <v>25</v>
      </c>
      <c r="J1490" s="9" t="s">
        <v>107</v>
      </c>
      <c r="K1490" s="9" t="s">
        <v>1662</v>
      </c>
      <c r="L1490" t="str">
        <f>IF(OR(J1490="Cattle",J1490="Zebu Cattle"),IF(COUNTIF(lists!$M$2:$M$258, K1490) &gt; 0,"bos.indicus",IF(COUNTIF(lists!$L$2:$L$258, K1490) &gt; 0,"cross.bred","pure.bred.exotic")),"NA")</f>
        <v>NA</v>
      </c>
      <c r="M1490" t="str">
        <f>IF(J1490="Sheep",IF(COUNTIF(lists!$H$2:$H$258, K1490) &gt; 0,"indigenous",IF(COUNTIF(lists!$G$2:$G$258, K1490) &gt; 0,"cross.bred","not found")),"NA")</f>
        <v>not found</v>
      </c>
      <c r="N1490" t="str">
        <f>IF(J1490="Goat",IF(COUNTIF(lists!$J$2:$J$258, K1490) &gt; 0,"indigenous",IF(COUNTIF(lists!$I$2:$I$258, K1490) &gt; 0,"cross.bred","not found")),"NA")</f>
        <v>NA</v>
      </c>
      <c r="O1490" s="9" t="s">
        <v>109</v>
      </c>
      <c r="P1490" s="9" t="s">
        <v>106</v>
      </c>
      <c r="Q1490" s="9" t="s">
        <v>3804</v>
      </c>
      <c r="S1490" s="9">
        <v>137</v>
      </c>
      <c r="T1490" s="9">
        <v>73</v>
      </c>
      <c r="U1490" s="9">
        <v>164</v>
      </c>
      <c r="V1490" s="9">
        <v>899</v>
      </c>
      <c r="W1490" s="9">
        <v>46</v>
      </c>
      <c r="X1490" s="9">
        <v>253</v>
      </c>
      <c r="Y1490" s="9" t="s">
        <v>106</v>
      </c>
      <c r="Z1490" s="37"/>
      <c r="AA1490" s="37"/>
      <c r="AB1490" s="37"/>
      <c r="AE1490">
        <v>0</v>
      </c>
    </row>
    <row r="1491" spans="1:31" hidden="1">
      <c r="A1491" s="9" t="s">
        <v>1660</v>
      </c>
      <c r="B1491" s="9" t="s">
        <v>1666</v>
      </c>
      <c r="C1491" s="9" t="s">
        <v>105</v>
      </c>
      <c r="D1491" s="9">
        <v>0.59297</v>
      </c>
      <c r="E1491" s="9" t="s">
        <v>106</v>
      </c>
      <c r="F1491" s="9">
        <v>15.3</v>
      </c>
      <c r="G1491" s="9">
        <v>39.33</v>
      </c>
      <c r="H1491" s="9" t="s">
        <v>106</v>
      </c>
      <c r="I1491" s="9">
        <v>25</v>
      </c>
      <c r="J1491" s="9" t="s">
        <v>107</v>
      </c>
      <c r="K1491" s="9" t="s">
        <v>1662</v>
      </c>
      <c r="L1491" t="str">
        <f>IF(OR(J1491="Cattle",J1491="Zebu Cattle"),IF(COUNTIF(lists!$M$2:$M$258, K1491) &gt; 0,"bos.indicus",IF(COUNTIF(lists!$L$2:$L$258, K1491) &gt; 0,"cross.bred","pure.bred.exotic")),"NA")</f>
        <v>NA</v>
      </c>
      <c r="M1491" t="str">
        <f>IF(J1491="Sheep",IF(COUNTIF(lists!$H$2:$H$258, K1491) &gt; 0,"indigenous",IF(COUNTIF(lists!$G$2:$G$258, K1491) &gt; 0,"cross.bred","not found")),"NA")</f>
        <v>not found</v>
      </c>
      <c r="N1491" t="str">
        <f>IF(J1491="Goat",IF(COUNTIF(lists!$J$2:$J$258, K1491) &gt; 0,"indigenous",IF(COUNTIF(lists!$I$2:$I$258, K1491) &gt; 0,"cross.bred","not found")),"NA")</f>
        <v>NA</v>
      </c>
      <c r="O1491" s="9" t="s">
        <v>109</v>
      </c>
      <c r="P1491" s="9" t="s">
        <v>106</v>
      </c>
      <c r="Q1491" s="9" t="s">
        <v>3804</v>
      </c>
      <c r="S1491" s="9">
        <v>117</v>
      </c>
      <c r="T1491" s="9">
        <v>41</v>
      </c>
      <c r="U1491" s="9">
        <v>153</v>
      </c>
      <c r="V1491" s="9">
        <v>917</v>
      </c>
      <c r="W1491" s="9">
        <v>48</v>
      </c>
      <c r="X1491" s="9">
        <v>212</v>
      </c>
      <c r="Y1491" s="9" t="s">
        <v>106</v>
      </c>
      <c r="Z1491" s="37"/>
      <c r="AA1491" s="37"/>
      <c r="AB1491" s="37"/>
      <c r="AE1491">
        <v>0</v>
      </c>
    </row>
    <row r="1492" spans="1:31" hidden="1">
      <c r="A1492" s="9" t="s">
        <v>1667</v>
      </c>
      <c r="B1492" s="9" t="s">
        <v>455</v>
      </c>
      <c r="C1492" s="9" t="s">
        <v>105</v>
      </c>
      <c r="D1492" s="9">
        <v>0.50509999999999999</v>
      </c>
      <c r="E1492" s="9">
        <v>7.07</v>
      </c>
      <c r="F1492" s="9">
        <v>20.2</v>
      </c>
      <c r="G1492" s="9">
        <v>-9.1999999999999993</v>
      </c>
      <c r="H1492" s="9" t="s">
        <v>106</v>
      </c>
      <c r="I1492" s="9">
        <v>20</v>
      </c>
      <c r="J1492" s="9" t="s">
        <v>107</v>
      </c>
      <c r="K1492" s="9" t="s">
        <v>542</v>
      </c>
      <c r="L1492" t="str">
        <f>IF(OR(J1492="Cattle",J1492="Zebu Cattle"),IF(COUNTIF(lists!$M$2:$M$258, K1492) &gt; 0,"bos.indicus",IF(COUNTIF(lists!$L$2:$L$258, K1492) &gt; 0,"cross.bred","pure.bred.exotic")),"NA")</f>
        <v>NA</v>
      </c>
      <c r="M1492" t="str">
        <f>IF(J1492="Sheep",IF(COUNTIF(lists!$H$2:$H$258, K1492) &gt; 0,"indigenous",IF(COUNTIF(lists!$G$2:$G$258, K1492) &gt; 0,"cross.bred","not found")),"NA")</f>
        <v>not found</v>
      </c>
      <c r="N1492" t="str">
        <f>IF(J1492="Goat",IF(COUNTIF(lists!$J$2:$J$258, K1492) &gt; 0,"indigenous",IF(COUNTIF(lists!$I$2:$I$258, K1492) &gt; 0,"cross.bred","not found")),"NA")</f>
        <v>NA</v>
      </c>
      <c r="O1492" s="9" t="s">
        <v>109</v>
      </c>
      <c r="P1492" s="9" t="s">
        <v>106</v>
      </c>
      <c r="Q1492" s="9" t="s">
        <v>3804</v>
      </c>
      <c r="S1492" s="9" t="s">
        <v>106</v>
      </c>
      <c r="T1492" s="9" t="s">
        <v>106</v>
      </c>
      <c r="U1492" s="9" t="s">
        <v>106</v>
      </c>
      <c r="V1492" s="9" t="s">
        <v>106</v>
      </c>
      <c r="W1492" s="9" t="s">
        <v>106</v>
      </c>
      <c r="X1492" s="9" t="s">
        <v>106</v>
      </c>
      <c r="Y1492" s="9">
        <v>67</v>
      </c>
      <c r="Z1492" s="37"/>
      <c r="AA1492" s="37"/>
      <c r="AB1492" s="37"/>
      <c r="AE1492">
        <v>0</v>
      </c>
    </row>
    <row r="1493" spans="1:31" hidden="1">
      <c r="A1493" s="9" t="s">
        <v>1667</v>
      </c>
      <c r="B1493" s="9" t="s">
        <v>130</v>
      </c>
      <c r="C1493" s="9" t="s">
        <v>105</v>
      </c>
      <c r="D1493" s="9">
        <v>0.68840000000000001</v>
      </c>
      <c r="E1493" s="9">
        <v>7.07</v>
      </c>
      <c r="F1493" s="9">
        <v>20.100000000000001</v>
      </c>
      <c r="G1493" s="9">
        <v>33.299999999999997</v>
      </c>
      <c r="H1493" s="9" t="s">
        <v>106</v>
      </c>
      <c r="I1493" s="9">
        <v>20</v>
      </c>
      <c r="J1493" s="9" t="s">
        <v>107</v>
      </c>
      <c r="K1493" s="9" t="s">
        <v>542</v>
      </c>
      <c r="L1493" t="str">
        <f>IF(OR(J1493="Cattle",J1493="Zebu Cattle"),IF(COUNTIF(lists!$M$2:$M$258, K1493) &gt; 0,"bos.indicus",IF(COUNTIF(lists!$L$2:$L$258, K1493) &gt; 0,"cross.bred","pure.bred.exotic")),"NA")</f>
        <v>NA</v>
      </c>
      <c r="M1493" t="str">
        <f>IF(J1493="Sheep",IF(COUNTIF(lists!$H$2:$H$258, K1493) &gt; 0,"indigenous",IF(COUNTIF(lists!$G$2:$G$258, K1493) &gt; 0,"cross.bred","not found")),"NA")</f>
        <v>not found</v>
      </c>
      <c r="N1493" t="str">
        <f>IF(J1493="Goat",IF(COUNTIF(lists!$J$2:$J$258, K1493) &gt; 0,"indigenous",IF(COUNTIF(lists!$I$2:$I$258, K1493) &gt; 0,"cross.bred","not found")),"NA")</f>
        <v>NA</v>
      </c>
      <c r="O1493" s="9" t="s">
        <v>109</v>
      </c>
      <c r="P1493" s="9" t="s">
        <v>106</v>
      </c>
      <c r="Q1493" s="9" t="s">
        <v>3804</v>
      </c>
      <c r="S1493" s="9" t="s">
        <v>106</v>
      </c>
      <c r="T1493" s="9" t="s">
        <v>106</v>
      </c>
      <c r="U1493" s="9" t="s">
        <v>106</v>
      </c>
      <c r="V1493" s="9" t="s">
        <v>106</v>
      </c>
      <c r="W1493" s="9" t="s">
        <v>106</v>
      </c>
      <c r="X1493" s="9" t="s">
        <v>106</v>
      </c>
      <c r="Y1493" s="9">
        <v>66</v>
      </c>
      <c r="Z1493" s="37"/>
      <c r="AA1493" s="37"/>
      <c r="AB1493" s="37"/>
      <c r="AE1493">
        <v>0</v>
      </c>
    </row>
    <row r="1494" spans="1:31" hidden="1">
      <c r="A1494" s="9" t="s">
        <v>1667</v>
      </c>
      <c r="B1494" s="9" t="s">
        <v>131</v>
      </c>
      <c r="C1494" s="9" t="s">
        <v>105</v>
      </c>
      <c r="D1494" s="9">
        <v>0.84409999999999996</v>
      </c>
      <c r="E1494" s="9">
        <v>7.07</v>
      </c>
      <c r="F1494" s="9">
        <v>20.5</v>
      </c>
      <c r="G1494" s="9">
        <v>48</v>
      </c>
      <c r="H1494" s="9" t="s">
        <v>106</v>
      </c>
      <c r="I1494" s="9">
        <v>20</v>
      </c>
      <c r="J1494" s="9" t="s">
        <v>107</v>
      </c>
      <c r="K1494" s="9" t="s">
        <v>542</v>
      </c>
      <c r="L1494" t="str">
        <f>IF(OR(J1494="Cattle",J1494="Zebu Cattle"),IF(COUNTIF(lists!$M$2:$M$258, K1494) &gt; 0,"bos.indicus",IF(COUNTIF(lists!$L$2:$L$258, K1494) &gt; 0,"cross.bred","pure.bred.exotic")),"NA")</f>
        <v>NA</v>
      </c>
      <c r="M1494" t="str">
        <f>IF(J1494="Sheep",IF(COUNTIF(lists!$H$2:$H$258, K1494) &gt; 0,"indigenous",IF(COUNTIF(lists!$G$2:$G$258, K1494) &gt; 0,"cross.bred","not found")),"NA")</f>
        <v>not found</v>
      </c>
      <c r="N1494" t="str">
        <f>IF(J1494="Goat",IF(COUNTIF(lists!$J$2:$J$258, K1494) &gt; 0,"indigenous",IF(COUNTIF(lists!$I$2:$I$258, K1494) &gt; 0,"cross.bred","not found")),"NA")</f>
        <v>NA</v>
      </c>
      <c r="O1494" s="9" t="s">
        <v>109</v>
      </c>
      <c r="P1494" s="9" t="s">
        <v>106</v>
      </c>
      <c r="Q1494" s="9" t="s">
        <v>3804</v>
      </c>
      <c r="S1494" s="9" t="s">
        <v>106</v>
      </c>
      <c r="T1494" s="9" t="s">
        <v>106</v>
      </c>
      <c r="U1494" s="9" t="s">
        <v>106</v>
      </c>
      <c r="V1494" s="9" t="s">
        <v>106</v>
      </c>
      <c r="W1494" s="9" t="s">
        <v>106</v>
      </c>
      <c r="X1494" s="9" t="s">
        <v>106</v>
      </c>
      <c r="Y1494" s="9">
        <v>65</v>
      </c>
      <c r="Z1494" s="37"/>
      <c r="AA1494" s="37"/>
      <c r="AB1494" s="37"/>
      <c r="AE1494">
        <v>0</v>
      </c>
    </row>
    <row r="1495" spans="1:31" hidden="1">
      <c r="A1495" s="9" t="s">
        <v>1667</v>
      </c>
      <c r="B1495" s="9" t="s">
        <v>132</v>
      </c>
      <c r="C1495" s="9" t="s">
        <v>105</v>
      </c>
      <c r="D1495" s="9">
        <v>0.96689999999999998</v>
      </c>
      <c r="E1495" s="9">
        <v>7.07</v>
      </c>
      <c r="F1495" s="9">
        <v>21.3</v>
      </c>
      <c r="G1495" s="9">
        <v>80.8</v>
      </c>
      <c r="H1495" s="9" t="s">
        <v>106</v>
      </c>
      <c r="I1495" s="9">
        <v>20</v>
      </c>
      <c r="J1495" s="9" t="s">
        <v>107</v>
      </c>
      <c r="K1495" s="9" t="s">
        <v>542</v>
      </c>
      <c r="L1495" t="str">
        <f>IF(OR(J1495="Cattle",J1495="Zebu Cattle"),IF(COUNTIF(lists!$M$2:$M$258, K1495) &gt; 0,"bos.indicus",IF(COUNTIF(lists!$L$2:$L$258, K1495) &gt; 0,"cross.bred","pure.bred.exotic")),"NA")</f>
        <v>NA</v>
      </c>
      <c r="M1495" t="str">
        <f>IF(J1495="Sheep",IF(COUNTIF(lists!$H$2:$H$258, K1495) &gt; 0,"indigenous",IF(COUNTIF(lists!$G$2:$G$258, K1495) &gt; 0,"cross.bred","not found")),"NA")</f>
        <v>not found</v>
      </c>
      <c r="N1495" t="str">
        <f>IF(J1495="Goat",IF(COUNTIF(lists!$J$2:$J$258, K1495) &gt; 0,"indigenous",IF(COUNTIF(lists!$I$2:$I$258, K1495) &gt; 0,"cross.bred","not found")),"NA")</f>
        <v>NA</v>
      </c>
      <c r="O1495" s="9" t="s">
        <v>109</v>
      </c>
      <c r="P1495" s="9" t="s">
        <v>106</v>
      </c>
      <c r="Q1495" s="9" t="s">
        <v>3804</v>
      </c>
      <c r="S1495" s="9" t="s">
        <v>106</v>
      </c>
      <c r="T1495" s="9" t="s">
        <v>106</v>
      </c>
      <c r="U1495" s="9" t="s">
        <v>106</v>
      </c>
      <c r="V1495" s="9" t="s">
        <v>106</v>
      </c>
      <c r="W1495" s="9" t="s">
        <v>106</v>
      </c>
      <c r="X1495" s="9" t="s">
        <v>106</v>
      </c>
      <c r="Y1495" s="9">
        <v>63</v>
      </c>
      <c r="Z1495" s="37"/>
      <c r="AA1495" s="37"/>
      <c r="AB1495" s="37"/>
      <c r="AE1495">
        <v>0</v>
      </c>
    </row>
    <row r="1496" spans="1:31" hidden="1">
      <c r="A1496" s="9" t="s">
        <v>1672</v>
      </c>
      <c r="B1496" s="9" t="s">
        <v>1673</v>
      </c>
      <c r="C1496" s="9" t="s">
        <v>105</v>
      </c>
      <c r="D1496" s="9">
        <v>0.67446302797872004</v>
      </c>
      <c r="E1496" s="9" t="s">
        <v>106</v>
      </c>
      <c r="F1496" s="9">
        <v>33.35</v>
      </c>
      <c r="G1496" s="9">
        <v>-22</v>
      </c>
      <c r="H1496" s="9" t="s">
        <v>106</v>
      </c>
      <c r="I1496" s="9">
        <v>30</v>
      </c>
      <c r="J1496" s="9" t="s">
        <v>107</v>
      </c>
      <c r="K1496" s="9" t="s">
        <v>460</v>
      </c>
      <c r="L1496" t="str">
        <f>IF(OR(J1496="Cattle",J1496="Zebu Cattle"),IF(COUNTIF(lists!$M$2:$M$258, K1496) &gt; 0,"bos.indicus",IF(COUNTIF(lists!$L$2:$L$258, K1496) &gt; 0,"cross.bred","pure.bred.exotic")),"NA")</f>
        <v>NA</v>
      </c>
      <c r="M1496" t="str">
        <f>IF(J1496="Sheep",IF(COUNTIF(lists!$H$2:$H$258, K1496) &gt; 0,"indigenous",IF(COUNTIF(lists!$G$2:$G$258, K1496) &gt; 0,"cross.bred","not found")),"NA")</f>
        <v>not found</v>
      </c>
      <c r="N1496" t="str">
        <f>IF(J1496="Goat",IF(COUNTIF(lists!$J$2:$J$258, K1496) &gt; 0,"indigenous",IF(COUNTIF(lists!$I$2:$I$258, K1496) &gt; 0,"cross.bred","not found")),"NA")</f>
        <v>NA</v>
      </c>
      <c r="O1496" s="9" t="s">
        <v>109</v>
      </c>
      <c r="P1496" s="9" t="s">
        <v>106</v>
      </c>
      <c r="Q1496" s="9" t="s">
        <v>3805</v>
      </c>
      <c r="S1496" s="9" t="s">
        <v>106</v>
      </c>
      <c r="T1496" s="9" t="s">
        <v>106</v>
      </c>
      <c r="U1496" s="9" t="s">
        <v>106</v>
      </c>
      <c r="V1496" s="9" t="s">
        <v>106</v>
      </c>
      <c r="W1496" s="9" t="s">
        <v>106</v>
      </c>
      <c r="X1496" s="9" t="s">
        <v>106</v>
      </c>
      <c r="Y1496" s="9" t="s">
        <v>106</v>
      </c>
      <c r="Z1496" s="37"/>
      <c r="AA1496" s="37"/>
      <c r="AB1496" s="37"/>
      <c r="AE1496">
        <v>0</v>
      </c>
    </row>
    <row r="1497" spans="1:31" hidden="1">
      <c r="A1497" s="9" t="s">
        <v>1672</v>
      </c>
      <c r="B1497" s="9" t="s">
        <v>1674</v>
      </c>
      <c r="C1497" s="9" t="s">
        <v>105</v>
      </c>
      <c r="D1497" s="9">
        <v>0.62226480170093901</v>
      </c>
      <c r="E1497" s="9" t="s">
        <v>106</v>
      </c>
      <c r="F1497" s="9">
        <v>32.42</v>
      </c>
      <c r="G1497" s="9">
        <v>-72</v>
      </c>
      <c r="H1497" s="9" t="s">
        <v>106</v>
      </c>
      <c r="I1497" s="9">
        <v>30</v>
      </c>
      <c r="J1497" s="9" t="s">
        <v>107</v>
      </c>
      <c r="K1497" s="9" t="s">
        <v>460</v>
      </c>
      <c r="L1497" t="str">
        <f>IF(OR(J1497="Cattle",J1497="Zebu Cattle"),IF(COUNTIF(lists!$M$2:$M$258, K1497) &gt; 0,"bos.indicus",IF(COUNTIF(lists!$L$2:$L$258, K1497) &gt; 0,"cross.bred","pure.bred.exotic")),"NA")</f>
        <v>NA</v>
      </c>
      <c r="M1497" t="str">
        <f>IF(J1497="Sheep",IF(COUNTIF(lists!$H$2:$H$258, K1497) &gt; 0,"indigenous",IF(COUNTIF(lists!$G$2:$G$258, K1497) &gt; 0,"cross.bred","not found")),"NA")</f>
        <v>not found</v>
      </c>
      <c r="N1497" t="str">
        <f>IF(J1497="Goat",IF(COUNTIF(lists!$J$2:$J$258, K1497) &gt; 0,"indigenous",IF(COUNTIF(lists!$I$2:$I$258, K1497) &gt; 0,"cross.bred","not found")),"NA")</f>
        <v>NA</v>
      </c>
      <c r="O1497" s="9" t="s">
        <v>109</v>
      </c>
      <c r="P1497" s="9" t="s">
        <v>106</v>
      </c>
      <c r="Q1497" s="9" t="s">
        <v>3805</v>
      </c>
      <c r="S1497" s="9" t="s">
        <v>106</v>
      </c>
      <c r="T1497" s="9" t="s">
        <v>106</v>
      </c>
      <c r="U1497" s="9" t="s">
        <v>106</v>
      </c>
      <c r="V1497" s="9" t="s">
        <v>106</v>
      </c>
      <c r="W1497" s="9" t="s">
        <v>106</v>
      </c>
      <c r="X1497" s="9" t="s">
        <v>106</v>
      </c>
      <c r="Y1497" s="9" t="s">
        <v>106</v>
      </c>
      <c r="Z1497" s="37"/>
      <c r="AA1497" s="37"/>
      <c r="AB1497" s="37"/>
      <c r="AE1497">
        <v>0</v>
      </c>
    </row>
    <row r="1498" spans="1:31" hidden="1">
      <c r="A1498" s="9" t="s">
        <v>1672</v>
      </c>
      <c r="B1498" s="9" t="s">
        <v>1675</v>
      </c>
      <c r="C1498" s="9" t="s">
        <v>105</v>
      </c>
      <c r="D1498" s="9">
        <v>0.64851849204435297</v>
      </c>
      <c r="E1498" s="9" t="s">
        <v>106</v>
      </c>
      <c r="F1498" s="9">
        <v>32.090000000000003</v>
      </c>
      <c r="G1498" s="9">
        <v>-25</v>
      </c>
      <c r="H1498" s="9" t="s">
        <v>106</v>
      </c>
      <c r="I1498" s="9">
        <v>30</v>
      </c>
      <c r="J1498" s="9" t="s">
        <v>107</v>
      </c>
      <c r="K1498" s="9" t="s">
        <v>460</v>
      </c>
      <c r="L1498" t="str">
        <f>IF(OR(J1498="Cattle",J1498="Zebu Cattle"),IF(COUNTIF(lists!$M$2:$M$258, K1498) &gt; 0,"bos.indicus",IF(COUNTIF(lists!$L$2:$L$258, K1498) &gt; 0,"cross.bred","pure.bred.exotic")),"NA")</f>
        <v>NA</v>
      </c>
      <c r="M1498" t="str">
        <f>IF(J1498="Sheep",IF(COUNTIF(lists!$H$2:$H$258, K1498) &gt; 0,"indigenous",IF(COUNTIF(lists!$G$2:$G$258, K1498) &gt; 0,"cross.bred","not found")),"NA")</f>
        <v>not found</v>
      </c>
      <c r="N1498" t="str">
        <f>IF(J1498="Goat",IF(COUNTIF(lists!$J$2:$J$258, K1498) &gt; 0,"indigenous",IF(COUNTIF(lists!$I$2:$I$258, K1498) &gt; 0,"cross.bred","not found")),"NA")</f>
        <v>NA</v>
      </c>
      <c r="O1498" s="9" t="s">
        <v>109</v>
      </c>
      <c r="P1498" s="9" t="s">
        <v>106</v>
      </c>
      <c r="Q1498" s="9" t="s">
        <v>3805</v>
      </c>
      <c r="S1498" s="9" t="s">
        <v>106</v>
      </c>
      <c r="T1498" s="9" t="s">
        <v>106</v>
      </c>
      <c r="U1498" s="9" t="s">
        <v>106</v>
      </c>
      <c r="V1498" s="9" t="s">
        <v>106</v>
      </c>
      <c r="W1498" s="9" t="s">
        <v>106</v>
      </c>
      <c r="X1498" s="9" t="s">
        <v>106</v>
      </c>
      <c r="Y1498" s="9" t="s">
        <v>106</v>
      </c>
      <c r="Z1498" s="37"/>
      <c r="AA1498" s="37"/>
      <c r="AB1498" s="37"/>
      <c r="AE1498">
        <v>0</v>
      </c>
    </row>
    <row r="1499" spans="1:31" hidden="1">
      <c r="A1499" s="9" t="s">
        <v>1672</v>
      </c>
      <c r="B1499" s="9" t="s">
        <v>1676</v>
      </c>
      <c r="C1499" s="9" t="s">
        <v>105</v>
      </c>
      <c r="D1499" s="9">
        <v>0.75382573660498897</v>
      </c>
      <c r="E1499" s="9" t="s">
        <v>106</v>
      </c>
      <c r="F1499" s="9">
        <v>32.96</v>
      </c>
      <c r="G1499" s="9">
        <v>3.6</v>
      </c>
      <c r="H1499" s="9" t="s">
        <v>106</v>
      </c>
      <c r="I1499" s="9">
        <v>30</v>
      </c>
      <c r="J1499" s="9" t="s">
        <v>107</v>
      </c>
      <c r="K1499" s="9" t="s">
        <v>460</v>
      </c>
      <c r="L1499" t="str">
        <f>IF(OR(J1499="Cattle",J1499="Zebu Cattle"),IF(COUNTIF(lists!$M$2:$M$258, K1499) &gt; 0,"bos.indicus",IF(COUNTIF(lists!$L$2:$L$258, K1499) &gt; 0,"cross.bred","pure.bred.exotic")),"NA")</f>
        <v>NA</v>
      </c>
      <c r="M1499" t="str">
        <f>IF(J1499="Sheep",IF(COUNTIF(lists!$H$2:$H$258, K1499) &gt; 0,"indigenous",IF(COUNTIF(lists!$G$2:$G$258, K1499) &gt; 0,"cross.bred","not found")),"NA")</f>
        <v>not found</v>
      </c>
      <c r="N1499" t="str">
        <f>IF(J1499="Goat",IF(COUNTIF(lists!$J$2:$J$258, K1499) &gt; 0,"indigenous",IF(COUNTIF(lists!$I$2:$I$258, K1499) &gt; 0,"cross.bred","not found")),"NA")</f>
        <v>NA</v>
      </c>
      <c r="O1499" s="9" t="s">
        <v>109</v>
      </c>
      <c r="P1499" s="9" t="s">
        <v>106</v>
      </c>
      <c r="Q1499" s="9" t="s">
        <v>3805</v>
      </c>
      <c r="S1499" s="9" t="s">
        <v>106</v>
      </c>
      <c r="T1499" s="9" t="s">
        <v>106</v>
      </c>
      <c r="U1499" s="9" t="s">
        <v>106</v>
      </c>
      <c r="V1499" s="9" t="s">
        <v>106</v>
      </c>
      <c r="W1499" s="9" t="s">
        <v>106</v>
      </c>
      <c r="X1499" s="9" t="s">
        <v>106</v>
      </c>
      <c r="Y1499" s="9" t="s">
        <v>106</v>
      </c>
      <c r="Z1499" s="37"/>
      <c r="AA1499" s="37"/>
      <c r="AB1499" s="37"/>
      <c r="AE1499">
        <v>0</v>
      </c>
    </row>
    <row r="1500" spans="1:31" hidden="1">
      <c r="A1500" s="9" t="s">
        <v>1672</v>
      </c>
      <c r="B1500" s="9" t="s">
        <v>1677</v>
      </c>
      <c r="C1500" s="9" t="s">
        <v>105</v>
      </c>
      <c r="D1500" s="9">
        <v>0.57983198649988499</v>
      </c>
      <c r="E1500" s="9" t="s">
        <v>106</v>
      </c>
      <c r="F1500" s="9">
        <v>33.76</v>
      </c>
      <c r="G1500" s="9">
        <v>-75.599999999999994</v>
      </c>
      <c r="H1500" s="9" t="s">
        <v>106</v>
      </c>
      <c r="I1500" s="9">
        <v>30</v>
      </c>
      <c r="J1500" s="9" t="s">
        <v>107</v>
      </c>
      <c r="K1500" s="9" t="s">
        <v>460</v>
      </c>
      <c r="L1500" t="str">
        <f>IF(OR(J1500="Cattle",J1500="Zebu Cattle"),IF(COUNTIF(lists!$M$2:$M$258, K1500) &gt; 0,"bos.indicus",IF(COUNTIF(lists!$L$2:$L$258, K1500) &gt; 0,"cross.bred","pure.bred.exotic")),"NA")</f>
        <v>NA</v>
      </c>
      <c r="M1500" t="str">
        <f>IF(J1500="Sheep",IF(COUNTIF(lists!$H$2:$H$258, K1500) &gt; 0,"indigenous",IF(COUNTIF(lists!$G$2:$G$258, K1500) &gt; 0,"cross.bred","not found")),"NA")</f>
        <v>not found</v>
      </c>
      <c r="N1500" t="str">
        <f>IF(J1500="Goat",IF(COUNTIF(lists!$J$2:$J$258, K1500) &gt; 0,"indigenous",IF(COUNTIF(lists!$I$2:$I$258, K1500) &gt; 0,"cross.bred","not found")),"NA")</f>
        <v>NA</v>
      </c>
      <c r="O1500" s="9" t="s">
        <v>109</v>
      </c>
      <c r="P1500" s="9" t="s">
        <v>106</v>
      </c>
      <c r="Q1500" s="9" t="s">
        <v>3805</v>
      </c>
      <c r="S1500" s="9" t="s">
        <v>106</v>
      </c>
      <c r="T1500" s="9" t="s">
        <v>106</v>
      </c>
      <c r="U1500" s="9" t="s">
        <v>106</v>
      </c>
      <c r="V1500" s="9" t="s">
        <v>106</v>
      </c>
      <c r="W1500" s="9" t="s">
        <v>106</v>
      </c>
      <c r="X1500" s="9" t="s">
        <v>106</v>
      </c>
      <c r="Y1500" s="9" t="s">
        <v>106</v>
      </c>
      <c r="Z1500" s="37"/>
      <c r="AA1500" s="37"/>
      <c r="AB1500" s="37"/>
      <c r="AE1500">
        <v>0</v>
      </c>
    </row>
    <row r="1501" spans="1:31" hidden="1">
      <c r="A1501" s="9" t="s">
        <v>1678</v>
      </c>
      <c r="B1501" s="9" t="s">
        <v>650</v>
      </c>
      <c r="C1501" s="9" t="s">
        <v>105</v>
      </c>
      <c r="D1501" s="9">
        <v>0.52900000000000003</v>
      </c>
      <c r="E1501" s="9">
        <v>50.3</v>
      </c>
      <c r="F1501" s="9">
        <v>27</v>
      </c>
      <c r="G1501" s="9">
        <v>-19</v>
      </c>
      <c r="H1501" s="9" t="s">
        <v>106</v>
      </c>
      <c r="I1501" s="9">
        <v>36</v>
      </c>
      <c r="J1501" s="9" t="s">
        <v>107</v>
      </c>
      <c r="K1501" s="9" t="s">
        <v>1679</v>
      </c>
      <c r="L1501" t="str">
        <f>IF(OR(J1501="Cattle",J1501="Zebu Cattle"),IF(COUNTIF(lists!$M$2:$M$258, K1501) &gt; 0,"bos.indicus",IF(COUNTIF(lists!$L$2:$L$258, K1501) &gt; 0,"cross.bred","pure.bred.exotic")),"NA")</f>
        <v>NA</v>
      </c>
      <c r="M1501" t="str">
        <f>IF(J1501="Sheep",IF(COUNTIF(lists!$H$2:$H$258, K1501) &gt; 0,"indigenous",IF(COUNTIF(lists!$G$2:$G$258, K1501) &gt; 0,"cross.bred","not found")),"NA")</f>
        <v>not found</v>
      </c>
      <c r="N1501" t="str">
        <f>IF(J1501="Goat",IF(COUNTIF(lists!$J$2:$J$258, K1501) &gt; 0,"indigenous",IF(COUNTIF(lists!$I$2:$I$258, K1501) &gt; 0,"cross.bred","not found")),"NA")</f>
        <v>NA</v>
      </c>
      <c r="O1501" s="9" t="s">
        <v>109</v>
      </c>
      <c r="P1501" s="9" t="s">
        <v>106</v>
      </c>
      <c r="Q1501" s="9" t="s">
        <v>3804</v>
      </c>
      <c r="S1501" s="9" t="s">
        <v>106</v>
      </c>
      <c r="T1501" s="9" t="s">
        <v>106</v>
      </c>
      <c r="U1501" s="9" t="s">
        <v>106</v>
      </c>
      <c r="V1501" s="9" t="s">
        <v>106</v>
      </c>
      <c r="W1501" s="9" t="s">
        <v>106</v>
      </c>
      <c r="X1501" s="9" t="s">
        <v>106</v>
      </c>
      <c r="Y1501" s="9">
        <v>0.52</v>
      </c>
      <c r="Z1501" s="37"/>
      <c r="AA1501" s="37"/>
      <c r="AB1501" s="37"/>
      <c r="AE1501">
        <v>0</v>
      </c>
    </row>
    <row r="1502" spans="1:31" hidden="1">
      <c r="A1502" s="9" t="s">
        <v>1678</v>
      </c>
      <c r="B1502" s="9" t="s">
        <v>1680</v>
      </c>
      <c r="C1502" s="9" t="s">
        <v>105</v>
      </c>
      <c r="D1502" s="9">
        <v>0.68500000000000005</v>
      </c>
      <c r="E1502" s="9">
        <v>50.3</v>
      </c>
      <c r="F1502" s="9">
        <v>27</v>
      </c>
      <c r="G1502" s="9">
        <v>12</v>
      </c>
      <c r="H1502" s="9" t="s">
        <v>106</v>
      </c>
      <c r="I1502" s="9">
        <v>36</v>
      </c>
      <c r="J1502" s="9" t="s">
        <v>107</v>
      </c>
      <c r="K1502" s="9" t="s">
        <v>1679</v>
      </c>
      <c r="L1502" t="str">
        <f>IF(OR(J1502="Cattle",J1502="Zebu Cattle"),IF(COUNTIF(lists!$M$2:$M$258, K1502) &gt; 0,"bos.indicus",IF(COUNTIF(lists!$L$2:$L$258, K1502) &gt; 0,"cross.bred","pure.bred.exotic")),"NA")</f>
        <v>NA</v>
      </c>
      <c r="M1502" t="str">
        <f>IF(J1502="Sheep",IF(COUNTIF(lists!$H$2:$H$258, K1502) &gt; 0,"indigenous",IF(COUNTIF(lists!$G$2:$G$258, K1502) &gt; 0,"cross.bred","not found")),"NA")</f>
        <v>not found</v>
      </c>
      <c r="N1502" t="str">
        <f>IF(J1502="Goat",IF(COUNTIF(lists!$J$2:$J$258, K1502) &gt; 0,"indigenous",IF(COUNTIF(lists!$I$2:$I$258, K1502) &gt; 0,"cross.bred","not found")),"NA")</f>
        <v>NA</v>
      </c>
      <c r="O1502" s="9" t="s">
        <v>109</v>
      </c>
      <c r="P1502" s="9" t="s">
        <v>106</v>
      </c>
      <c r="Q1502" s="9" t="s">
        <v>3804</v>
      </c>
      <c r="S1502" s="9" t="s">
        <v>106</v>
      </c>
      <c r="T1502" s="9" t="s">
        <v>106</v>
      </c>
      <c r="U1502" s="9" t="s">
        <v>106</v>
      </c>
      <c r="V1502" s="9" t="s">
        <v>106</v>
      </c>
      <c r="W1502" s="9" t="s">
        <v>106</v>
      </c>
      <c r="X1502" s="9" t="s">
        <v>106</v>
      </c>
      <c r="Y1502" s="9">
        <v>0.64</v>
      </c>
      <c r="Z1502" s="37"/>
      <c r="AA1502" s="37"/>
      <c r="AB1502" s="37"/>
      <c r="AE1502">
        <v>0</v>
      </c>
    </row>
    <row r="1503" spans="1:31" hidden="1">
      <c r="A1503" s="9" t="s">
        <v>1678</v>
      </c>
      <c r="B1503" s="9" t="s">
        <v>1681</v>
      </c>
      <c r="C1503" s="9" t="s">
        <v>105</v>
      </c>
      <c r="D1503" s="9">
        <v>0.77600000000000002</v>
      </c>
      <c r="E1503" s="9">
        <v>50.3</v>
      </c>
      <c r="F1503" s="9">
        <v>27</v>
      </c>
      <c r="G1503" s="9">
        <v>35</v>
      </c>
      <c r="H1503" s="9" t="s">
        <v>106</v>
      </c>
      <c r="I1503" s="9">
        <v>36</v>
      </c>
      <c r="J1503" s="9" t="s">
        <v>107</v>
      </c>
      <c r="K1503" s="9" t="s">
        <v>1679</v>
      </c>
      <c r="L1503" t="str">
        <f>IF(OR(J1503="Cattle",J1503="Zebu Cattle"),IF(COUNTIF(lists!$M$2:$M$258, K1503) &gt; 0,"bos.indicus",IF(COUNTIF(lists!$L$2:$L$258, K1503) &gt; 0,"cross.bred","pure.bred.exotic")),"NA")</f>
        <v>NA</v>
      </c>
      <c r="M1503" t="str">
        <f>IF(J1503="Sheep",IF(COUNTIF(lists!$H$2:$H$258, K1503) &gt; 0,"indigenous",IF(COUNTIF(lists!$G$2:$G$258, K1503) &gt; 0,"cross.bred","not found")),"NA")</f>
        <v>not found</v>
      </c>
      <c r="N1503" t="str">
        <f>IF(J1503="Goat",IF(COUNTIF(lists!$J$2:$J$258, K1503) &gt; 0,"indigenous",IF(COUNTIF(lists!$I$2:$I$258, K1503) &gt; 0,"cross.bred","not found")),"NA")</f>
        <v>NA</v>
      </c>
      <c r="O1503" s="9" t="s">
        <v>109</v>
      </c>
      <c r="P1503" s="9" t="s">
        <v>106</v>
      </c>
      <c r="Q1503" s="9" t="s">
        <v>3804</v>
      </c>
      <c r="S1503" s="9" t="s">
        <v>106</v>
      </c>
      <c r="T1503" s="9" t="s">
        <v>106</v>
      </c>
      <c r="U1503" s="9" t="s">
        <v>106</v>
      </c>
      <c r="V1503" s="9" t="s">
        <v>106</v>
      </c>
      <c r="W1503" s="9" t="s">
        <v>106</v>
      </c>
      <c r="X1503" s="9" t="s">
        <v>106</v>
      </c>
      <c r="Y1503" s="9">
        <v>0.65</v>
      </c>
      <c r="Z1503" s="37"/>
      <c r="AA1503" s="37"/>
      <c r="AB1503" s="37"/>
      <c r="AE1503">
        <v>0</v>
      </c>
    </row>
    <row r="1504" spans="1:31" hidden="1">
      <c r="A1504" s="9" t="s">
        <v>1678</v>
      </c>
      <c r="B1504" s="9" t="s">
        <v>1682</v>
      </c>
      <c r="C1504" s="9" t="s">
        <v>105</v>
      </c>
      <c r="D1504" s="9">
        <v>0.95499999999999996</v>
      </c>
      <c r="E1504" s="9">
        <v>50.3</v>
      </c>
      <c r="F1504" s="9">
        <v>27</v>
      </c>
      <c r="G1504" s="9">
        <v>41</v>
      </c>
      <c r="H1504" s="9" t="s">
        <v>106</v>
      </c>
      <c r="I1504" s="9">
        <v>36</v>
      </c>
      <c r="J1504" s="9" t="s">
        <v>107</v>
      </c>
      <c r="K1504" s="9" t="s">
        <v>1679</v>
      </c>
      <c r="L1504" t="str">
        <f>IF(OR(J1504="Cattle",J1504="Zebu Cattle"),IF(COUNTIF(lists!$M$2:$M$258, K1504) &gt; 0,"bos.indicus",IF(COUNTIF(lists!$L$2:$L$258, K1504) &gt; 0,"cross.bred","pure.bred.exotic")),"NA")</f>
        <v>NA</v>
      </c>
      <c r="M1504" t="str">
        <f>IF(J1504="Sheep",IF(COUNTIF(lists!$H$2:$H$258, K1504) &gt; 0,"indigenous",IF(COUNTIF(lists!$G$2:$G$258, K1504) &gt; 0,"cross.bred","not found")),"NA")</f>
        <v>not found</v>
      </c>
      <c r="N1504" t="str">
        <f>IF(J1504="Goat",IF(COUNTIF(lists!$J$2:$J$258, K1504) &gt; 0,"indigenous",IF(COUNTIF(lists!$I$2:$I$258, K1504) &gt; 0,"cross.bred","not found")),"NA")</f>
        <v>NA</v>
      </c>
      <c r="O1504" s="9" t="s">
        <v>109</v>
      </c>
      <c r="P1504" s="9" t="s">
        <v>106</v>
      </c>
      <c r="Q1504" s="9" t="s">
        <v>3804</v>
      </c>
      <c r="S1504" s="9" t="s">
        <v>106</v>
      </c>
      <c r="T1504" s="9" t="s">
        <v>106</v>
      </c>
      <c r="U1504" s="9" t="s">
        <v>106</v>
      </c>
      <c r="V1504" s="9" t="s">
        <v>106</v>
      </c>
      <c r="W1504" s="9" t="s">
        <v>106</v>
      </c>
      <c r="X1504" s="9" t="s">
        <v>106</v>
      </c>
      <c r="Y1504" s="9">
        <v>0.66</v>
      </c>
      <c r="Z1504" s="37"/>
      <c r="AA1504" s="37"/>
      <c r="AB1504" s="37"/>
      <c r="AE1504">
        <v>0</v>
      </c>
    </row>
    <row r="1505" spans="1:31" hidden="1">
      <c r="A1505" s="9" t="s">
        <v>1678</v>
      </c>
      <c r="B1505" s="9" t="s">
        <v>1683</v>
      </c>
      <c r="C1505" s="9" t="s">
        <v>105</v>
      </c>
      <c r="D1505" s="9">
        <v>0.97599999999999998</v>
      </c>
      <c r="E1505" s="9">
        <v>50.3</v>
      </c>
      <c r="F1505" s="9">
        <v>27</v>
      </c>
      <c r="G1505" s="9">
        <v>68</v>
      </c>
      <c r="H1505" s="9" t="s">
        <v>106</v>
      </c>
      <c r="I1505" s="9">
        <v>36</v>
      </c>
      <c r="J1505" s="9" t="s">
        <v>107</v>
      </c>
      <c r="K1505" s="9" t="s">
        <v>1679</v>
      </c>
      <c r="L1505" t="str">
        <f>IF(OR(J1505="Cattle",J1505="Zebu Cattle"),IF(COUNTIF(lists!$M$2:$M$258, K1505) &gt; 0,"bos.indicus",IF(COUNTIF(lists!$L$2:$L$258, K1505) &gt; 0,"cross.bred","pure.bred.exotic")),"NA")</f>
        <v>NA</v>
      </c>
      <c r="M1505" t="str">
        <f>IF(J1505="Sheep",IF(COUNTIF(lists!$H$2:$H$258, K1505) &gt; 0,"indigenous",IF(COUNTIF(lists!$G$2:$G$258, K1505) &gt; 0,"cross.bred","not found")),"NA")</f>
        <v>not found</v>
      </c>
      <c r="N1505" t="str">
        <f>IF(J1505="Goat",IF(COUNTIF(lists!$J$2:$J$258, K1505) &gt; 0,"indigenous",IF(COUNTIF(lists!$I$2:$I$258, K1505) &gt; 0,"cross.bred","not found")),"NA")</f>
        <v>NA</v>
      </c>
      <c r="O1505" s="9" t="s">
        <v>109</v>
      </c>
      <c r="P1505" s="9" t="s">
        <v>106</v>
      </c>
      <c r="Q1505" s="9" t="s">
        <v>3804</v>
      </c>
      <c r="S1505" s="9" t="s">
        <v>106</v>
      </c>
      <c r="T1505" s="9" t="s">
        <v>106</v>
      </c>
      <c r="U1505" s="9" t="s">
        <v>106</v>
      </c>
      <c r="V1505" s="9" t="s">
        <v>106</v>
      </c>
      <c r="W1505" s="9" t="s">
        <v>106</v>
      </c>
      <c r="X1505" s="9" t="s">
        <v>106</v>
      </c>
      <c r="Y1505" s="9">
        <v>0.63</v>
      </c>
      <c r="Z1505" s="37"/>
      <c r="AA1505" s="37"/>
      <c r="AB1505" s="37"/>
      <c r="AE1505">
        <v>0</v>
      </c>
    </row>
    <row r="1506" spans="1:31" hidden="1">
      <c r="A1506" s="9" t="s">
        <v>1678</v>
      </c>
      <c r="B1506" s="9" t="s">
        <v>1684</v>
      </c>
      <c r="C1506" s="9" t="s">
        <v>105</v>
      </c>
      <c r="D1506" s="9">
        <v>1.0900000000000001</v>
      </c>
      <c r="E1506" s="9">
        <v>50.3</v>
      </c>
      <c r="F1506" s="9">
        <v>27</v>
      </c>
      <c r="G1506" s="9">
        <v>81</v>
      </c>
      <c r="H1506" s="9" t="s">
        <v>106</v>
      </c>
      <c r="I1506" s="9">
        <v>36</v>
      </c>
      <c r="J1506" s="9" t="s">
        <v>107</v>
      </c>
      <c r="K1506" s="9" t="s">
        <v>1679</v>
      </c>
      <c r="L1506" t="str">
        <f>IF(OR(J1506="Cattle",J1506="Zebu Cattle"),IF(COUNTIF(lists!$M$2:$M$258, K1506) &gt; 0,"bos.indicus",IF(COUNTIF(lists!$L$2:$L$258, K1506) &gt; 0,"cross.bred","pure.bred.exotic")),"NA")</f>
        <v>NA</v>
      </c>
      <c r="M1506" t="str">
        <f>IF(J1506="Sheep",IF(COUNTIF(lists!$H$2:$H$258, K1506) &gt; 0,"indigenous",IF(COUNTIF(lists!$G$2:$G$258, K1506) &gt; 0,"cross.bred","not found")),"NA")</f>
        <v>not found</v>
      </c>
      <c r="N1506" t="str">
        <f>IF(J1506="Goat",IF(COUNTIF(lists!$J$2:$J$258, K1506) &gt; 0,"indigenous",IF(COUNTIF(lists!$I$2:$I$258, K1506) &gt; 0,"cross.bred","not found")),"NA")</f>
        <v>NA</v>
      </c>
      <c r="O1506" s="9" t="s">
        <v>109</v>
      </c>
      <c r="P1506" s="9" t="s">
        <v>106</v>
      </c>
      <c r="Q1506" s="9" t="s">
        <v>3804</v>
      </c>
      <c r="S1506" s="9" t="s">
        <v>106</v>
      </c>
      <c r="T1506" s="9" t="s">
        <v>106</v>
      </c>
      <c r="U1506" s="9" t="s">
        <v>106</v>
      </c>
      <c r="V1506" s="9" t="s">
        <v>106</v>
      </c>
      <c r="W1506" s="9" t="s">
        <v>106</v>
      </c>
      <c r="X1506" s="9" t="s">
        <v>106</v>
      </c>
      <c r="Y1506" s="9">
        <v>0.63</v>
      </c>
      <c r="Z1506" s="37"/>
      <c r="AA1506" s="37"/>
      <c r="AB1506" s="37"/>
      <c r="AE1506">
        <v>0</v>
      </c>
    </row>
    <row r="1507" spans="1:31" hidden="1">
      <c r="A1507" s="9" t="s">
        <v>1688</v>
      </c>
      <c r="B1507" s="9" t="s">
        <v>1689</v>
      </c>
      <c r="C1507" s="9" t="s">
        <v>105</v>
      </c>
      <c r="D1507" s="9">
        <v>0.30602087870144801</v>
      </c>
      <c r="E1507" s="9">
        <v>0.6</v>
      </c>
      <c r="F1507" s="9">
        <v>23.8</v>
      </c>
      <c r="G1507" s="9">
        <v>-30</v>
      </c>
      <c r="H1507" s="9" t="s">
        <v>106</v>
      </c>
      <c r="I1507" s="9">
        <v>40</v>
      </c>
      <c r="J1507" s="9" t="s">
        <v>107</v>
      </c>
      <c r="K1507" s="9" t="s">
        <v>419</v>
      </c>
      <c r="L1507" t="str">
        <f>IF(OR(J1507="Cattle",J1507="Zebu Cattle"),IF(COUNTIF(lists!$M$2:$M$258, K1507) &gt; 0,"bos.indicus",IF(COUNTIF(lists!$L$2:$L$258, K1507) &gt; 0,"cross.bred","pure.bred.exotic")),"NA")</f>
        <v>NA</v>
      </c>
      <c r="M1507" t="str">
        <f>IF(J1507="Sheep",IF(COUNTIF(lists!$H$2:$H$258, K1507) &gt; 0,"indigenous",IF(COUNTIF(lists!$G$2:$G$258, K1507) &gt; 0,"cross.bred","not found")),"NA")</f>
        <v>not found</v>
      </c>
      <c r="N1507" t="str">
        <f>IF(J1507="Goat",IF(COUNTIF(lists!$J$2:$J$258, K1507) &gt; 0,"indigenous",IF(COUNTIF(lists!$I$2:$I$258, K1507) &gt; 0,"cross.bred","not found")),"NA")</f>
        <v>NA</v>
      </c>
      <c r="O1507" s="9" t="s">
        <v>109</v>
      </c>
      <c r="P1507" s="9" t="s">
        <v>106</v>
      </c>
      <c r="Q1507" s="9" t="s">
        <v>3804</v>
      </c>
      <c r="S1507" s="9" t="s">
        <v>106</v>
      </c>
      <c r="T1507" s="9" t="s">
        <v>106</v>
      </c>
      <c r="U1507" s="9" t="s">
        <v>106</v>
      </c>
      <c r="V1507" s="9" t="s">
        <v>106</v>
      </c>
      <c r="W1507" s="9" t="s">
        <v>106</v>
      </c>
      <c r="X1507" s="9" t="s">
        <v>106</v>
      </c>
      <c r="Y1507" s="9" t="s">
        <v>106</v>
      </c>
      <c r="Z1507" s="37"/>
      <c r="AA1507" s="37"/>
      <c r="AB1507" s="37"/>
      <c r="AE1507">
        <v>0</v>
      </c>
    </row>
    <row r="1508" spans="1:31" hidden="1">
      <c r="A1508" s="9" t="s">
        <v>1688</v>
      </c>
      <c r="B1508" s="9" t="s">
        <v>1690</v>
      </c>
      <c r="C1508" s="9" t="s">
        <v>105</v>
      </c>
      <c r="D1508" s="9">
        <v>0.34804487260763201</v>
      </c>
      <c r="E1508" s="9">
        <v>0.6</v>
      </c>
      <c r="F1508" s="9">
        <v>23.8</v>
      </c>
      <c r="G1508" s="9">
        <v>-30</v>
      </c>
      <c r="H1508" s="9" t="s">
        <v>106</v>
      </c>
      <c r="I1508" s="9">
        <v>40</v>
      </c>
      <c r="J1508" s="9" t="s">
        <v>107</v>
      </c>
      <c r="K1508" s="9" t="s">
        <v>419</v>
      </c>
      <c r="L1508" t="str">
        <f>IF(OR(J1508="Cattle",J1508="Zebu Cattle"),IF(COUNTIF(lists!$M$2:$M$258, K1508) &gt; 0,"bos.indicus",IF(COUNTIF(lists!$L$2:$L$258, K1508) &gt; 0,"cross.bred","pure.bred.exotic")),"NA")</f>
        <v>NA</v>
      </c>
      <c r="M1508" t="str">
        <f>IF(J1508="Sheep",IF(COUNTIF(lists!$H$2:$H$258, K1508) &gt; 0,"indigenous",IF(COUNTIF(lists!$G$2:$G$258, K1508) &gt; 0,"cross.bred","not found")),"NA")</f>
        <v>not found</v>
      </c>
      <c r="N1508" t="str">
        <f>IF(J1508="Goat",IF(COUNTIF(lists!$J$2:$J$258, K1508) &gt; 0,"indigenous",IF(COUNTIF(lists!$I$2:$I$258, K1508) &gt; 0,"cross.bred","not found")),"NA")</f>
        <v>NA</v>
      </c>
      <c r="O1508" s="9" t="s">
        <v>109</v>
      </c>
      <c r="P1508" s="9" t="s">
        <v>106</v>
      </c>
      <c r="Q1508" s="9" t="s">
        <v>3804</v>
      </c>
      <c r="S1508" s="9" t="s">
        <v>106</v>
      </c>
      <c r="T1508" s="9" t="s">
        <v>106</v>
      </c>
      <c r="U1508" s="9" t="s">
        <v>106</v>
      </c>
      <c r="V1508" s="9" t="s">
        <v>106</v>
      </c>
      <c r="W1508" s="9" t="s">
        <v>106</v>
      </c>
      <c r="X1508" s="9" t="s">
        <v>106</v>
      </c>
      <c r="Y1508" s="9" t="s">
        <v>106</v>
      </c>
      <c r="Z1508" s="37"/>
      <c r="AA1508" s="37"/>
      <c r="AB1508" s="37"/>
      <c r="AE1508">
        <v>0</v>
      </c>
    </row>
    <row r="1509" spans="1:31" hidden="1">
      <c r="A1509" s="9" t="s">
        <v>1688</v>
      </c>
      <c r="B1509" s="9" t="s">
        <v>1691</v>
      </c>
      <c r="C1509" s="9" t="s">
        <v>105</v>
      </c>
      <c r="D1509" s="9">
        <v>0.40838701770369201</v>
      </c>
      <c r="E1509" s="9">
        <v>0.6</v>
      </c>
      <c r="F1509" s="9">
        <v>23.8</v>
      </c>
      <c r="G1509" s="9">
        <v>-28</v>
      </c>
      <c r="H1509" s="9" t="s">
        <v>106</v>
      </c>
      <c r="I1509" s="9">
        <v>40</v>
      </c>
      <c r="J1509" s="9" t="s">
        <v>107</v>
      </c>
      <c r="K1509" s="9" t="s">
        <v>419</v>
      </c>
      <c r="L1509" t="str">
        <f>IF(OR(J1509="Cattle",J1509="Zebu Cattle"),IF(COUNTIF(lists!$M$2:$M$258, K1509) &gt; 0,"bos.indicus",IF(COUNTIF(lists!$L$2:$L$258, K1509) &gt; 0,"cross.bred","pure.bred.exotic")),"NA")</f>
        <v>NA</v>
      </c>
      <c r="M1509" t="str">
        <f>IF(J1509="Sheep",IF(COUNTIF(lists!$H$2:$H$258, K1509) &gt; 0,"indigenous",IF(COUNTIF(lists!$G$2:$G$258, K1509) &gt; 0,"cross.bred","not found")),"NA")</f>
        <v>not found</v>
      </c>
      <c r="N1509" t="str">
        <f>IF(J1509="Goat",IF(COUNTIF(lists!$J$2:$J$258, K1509) &gt; 0,"indigenous",IF(COUNTIF(lists!$I$2:$I$258, K1509) &gt; 0,"cross.bred","not found")),"NA")</f>
        <v>NA</v>
      </c>
      <c r="O1509" s="9" t="s">
        <v>109</v>
      </c>
      <c r="P1509" s="9" t="s">
        <v>106</v>
      </c>
      <c r="Q1509" s="9" t="s">
        <v>3804</v>
      </c>
      <c r="S1509" s="9" t="s">
        <v>106</v>
      </c>
      <c r="T1509" s="9" t="s">
        <v>106</v>
      </c>
      <c r="U1509" s="9" t="s">
        <v>106</v>
      </c>
      <c r="V1509" s="9" t="s">
        <v>106</v>
      </c>
      <c r="W1509" s="9" t="s">
        <v>106</v>
      </c>
      <c r="X1509" s="9" t="s">
        <v>106</v>
      </c>
      <c r="Y1509" s="9" t="s">
        <v>106</v>
      </c>
      <c r="Z1509" s="37"/>
      <c r="AA1509" s="37"/>
      <c r="AB1509" s="37"/>
      <c r="AE1509">
        <v>0</v>
      </c>
    </row>
    <row r="1510" spans="1:31" hidden="1">
      <c r="A1510" s="9" t="s">
        <v>1688</v>
      </c>
      <c r="B1510" s="9" t="s">
        <v>1692</v>
      </c>
      <c r="C1510" s="9" t="s">
        <v>105</v>
      </c>
      <c r="D1510" s="9">
        <v>0.35774271735521301</v>
      </c>
      <c r="E1510" s="9">
        <v>0.6</v>
      </c>
      <c r="F1510" s="9">
        <v>23.8</v>
      </c>
      <c r="G1510" s="9">
        <v>-39</v>
      </c>
      <c r="H1510" s="9" t="s">
        <v>106</v>
      </c>
      <c r="I1510" s="9">
        <v>40</v>
      </c>
      <c r="J1510" s="9" t="s">
        <v>107</v>
      </c>
      <c r="K1510" s="9" t="s">
        <v>419</v>
      </c>
      <c r="L1510" t="str">
        <f>IF(OR(J1510="Cattle",J1510="Zebu Cattle"),IF(COUNTIF(lists!$M$2:$M$258, K1510) &gt; 0,"bos.indicus",IF(COUNTIF(lists!$L$2:$L$258, K1510) &gt; 0,"cross.bred","pure.bred.exotic")),"NA")</f>
        <v>NA</v>
      </c>
      <c r="M1510" t="str">
        <f>IF(J1510="Sheep",IF(COUNTIF(lists!$H$2:$H$258, K1510) &gt; 0,"indigenous",IF(COUNTIF(lists!$G$2:$G$258, K1510) &gt; 0,"cross.bred","not found")),"NA")</f>
        <v>not found</v>
      </c>
      <c r="N1510" t="str">
        <f>IF(J1510="Goat",IF(COUNTIF(lists!$J$2:$J$258, K1510) &gt; 0,"indigenous",IF(COUNTIF(lists!$I$2:$I$258, K1510) &gt; 0,"cross.bred","not found")),"NA")</f>
        <v>NA</v>
      </c>
      <c r="O1510" s="9" t="s">
        <v>109</v>
      </c>
      <c r="P1510" s="9" t="s">
        <v>106</v>
      </c>
      <c r="Q1510" s="9" t="s">
        <v>3804</v>
      </c>
      <c r="S1510" s="9" t="s">
        <v>106</v>
      </c>
      <c r="T1510" s="9" t="s">
        <v>106</v>
      </c>
      <c r="U1510" s="9" t="s">
        <v>106</v>
      </c>
      <c r="V1510" s="9" t="s">
        <v>106</v>
      </c>
      <c r="W1510" s="9" t="s">
        <v>106</v>
      </c>
      <c r="X1510" s="9" t="s">
        <v>106</v>
      </c>
      <c r="Y1510" s="9" t="s">
        <v>106</v>
      </c>
      <c r="Z1510" s="37"/>
      <c r="AA1510" s="37"/>
      <c r="AB1510" s="37"/>
      <c r="AE1510">
        <v>0</v>
      </c>
    </row>
    <row r="1511" spans="1:31" hidden="1">
      <c r="A1511" s="9" t="s">
        <v>1693</v>
      </c>
      <c r="B1511" s="9" t="s">
        <v>129</v>
      </c>
      <c r="C1511" s="9" t="s">
        <v>105</v>
      </c>
      <c r="D1511" s="9">
        <v>0.50106612097262104</v>
      </c>
      <c r="E1511" s="9">
        <v>2</v>
      </c>
      <c r="F1511" s="9">
        <v>18.100000000000001</v>
      </c>
      <c r="G1511" s="9">
        <v>-34.9</v>
      </c>
      <c r="H1511" s="9" t="s">
        <v>106</v>
      </c>
      <c r="I1511" s="9">
        <v>24</v>
      </c>
      <c r="J1511" s="9" t="s">
        <v>107</v>
      </c>
      <c r="K1511" s="9" t="s">
        <v>704</v>
      </c>
      <c r="L1511" t="str">
        <f>IF(OR(J1511="Cattle",J1511="Zebu Cattle"),IF(COUNTIF(lists!$M$2:$M$258, K1511) &gt; 0,"bos.indicus",IF(COUNTIF(lists!$L$2:$L$258, K1511) &gt; 0,"cross.bred","pure.bred.exotic")),"NA")</f>
        <v>NA</v>
      </c>
      <c r="M1511" t="str">
        <f>IF(J1511="Sheep",IF(COUNTIF(lists!$H$2:$H$258, K1511) &gt; 0,"indigenous",IF(COUNTIF(lists!$G$2:$G$258, K1511) &gt; 0,"cross.bred","not found")),"NA")</f>
        <v>not found</v>
      </c>
      <c r="N1511" t="str">
        <f>IF(J1511="Goat",IF(COUNTIF(lists!$J$2:$J$258, K1511) &gt; 0,"indigenous",IF(COUNTIF(lists!$I$2:$I$258, K1511) &gt; 0,"cross.bred","not found")),"NA")</f>
        <v>NA</v>
      </c>
      <c r="O1511" s="9" t="s">
        <v>109</v>
      </c>
      <c r="P1511" s="9" t="s">
        <v>106</v>
      </c>
      <c r="Q1511" s="9" t="s">
        <v>3806</v>
      </c>
      <c r="S1511" s="9" t="s">
        <v>106</v>
      </c>
      <c r="T1511" s="9" t="s">
        <v>106</v>
      </c>
      <c r="U1511" s="9" t="s">
        <v>106</v>
      </c>
      <c r="V1511" s="9" t="s">
        <v>106</v>
      </c>
      <c r="W1511" s="9" t="s">
        <v>106</v>
      </c>
      <c r="X1511" s="9" t="s">
        <v>106</v>
      </c>
      <c r="Y1511" s="9" t="s">
        <v>106</v>
      </c>
      <c r="Z1511" s="37"/>
      <c r="AA1511" s="37"/>
      <c r="AB1511" s="37"/>
      <c r="AE1511">
        <v>0</v>
      </c>
    </row>
    <row r="1512" spans="1:31" hidden="1">
      <c r="A1512" s="9" t="s">
        <v>1693</v>
      </c>
      <c r="B1512" s="9" t="s">
        <v>130</v>
      </c>
      <c r="C1512" s="9" t="s">
        <v>105</v>
      </c>
      <c r="D1512" s="9">
        <v>0.63741618691025803</v>
      </c>
      <c r="E1512" s="9">
        <v>3.9</v>
      </c>
      <c r="F1512" s="9">
        <v>18.8</v>
      </c>
      <c r="G1512" s="9">
        <v>66.7</v>
      </c>
      <c r="H1512" s="9" t="s">
        <v>106</v>
      </c>
      <c r="I1512" s="9">
        <v>24</v>
      </c>
      <c r="J1512" s="9" t="s">
        <v>107</v>
      </c>
      <c r="K1512" s="9" t="s">
        <v>704</v>
      </c>
      <c r="L1512" t="str">
        <f>IF(OR(J1512="Cattle",J1512="Zebu Cattle"),IF(COUNTIF(lists!$M$2:$M$258, K1512) &gt; 0,"bos.indicus",IF(COUNTIF(lists!$L$2:$L$258, K1512) &gt; 0,"cross.bred","pure.bred.exotic")),"NA")</f>
        <v>NA</v>
      </c>
      <c r="M1512" t="str">
        <f>IF(J1512="Sheep",IF(COUNTIF(lists!$H$2:$H$258, K1512) &gt; 0,"indigenous",IF(COUNTIF(lists!$G$2:$G$258, K1512) &gt; 0,"cross.bred","not found")),"NA")</f>
        <v>not found</v>
      </c>
      <c r="N1512" t="str">
        <f>IF(J1512="Goat",IF(COUNTIF(lists!$J$2:$J$258, K1512) &gt; 0,"indigenous",IF(COUNTIF(lists!$I$2:$I$258, K1512) &gt; 0,"cross.bred","not found")),"NA")</f>
        <v>NA</v>
      </c>
      <c r="O1512" s="9" t="s">
        <v>109</v>
      </c>
      <c r="P1512" s="9" t="s">
        <v>106</v>
      </c>
      <c r="Q1512" s="9" t="s">
        <v>3806</v>
      </c>
      <c r="S1512" s="9" t="s">
        <v>106</v>
      </c>
      <c r="T1512" s="9" t="s">
        <v>106</v>
      </c>
      <c r="U1512" s="9" t="s">
        <v>106</v>
      </c>
      <c r="V1512" s="9" t="s">
        <v>106</v>
      </c>
      <c r="W1512" s="9" t="s">
        <v>106</v>
      </c>
      <c r="X1512" s="9" t="s">
        <v>106</v>
      </c>
      <c r="Y1512" s="9" t="s">
        <v>106</v>
      </c>
      <c r="Z1512" s="37"/>
      <c r="AA1512" s="37"/>
      <c r="AB1512" s="37"/>
      <c r="AE1512">
        <v>0</v>
      </c>
    </row>
    <row r="1513" spans="1:31" hidden="1">
      <c r="A1513" s="9" t="s">
        <v>1693</v>
      </c>
      <c r="B1513" s="9" t="s">
        <v>131</v>
      </c>
      <c r="C1513" s="9" t="s">
        <v>105</v>
      </c>
      <c r="D1513" s="9">
        <v>0.49657068385359998</v>
      </c>
      <c r="E1513" s="9">
        <v>3.9</v>
      </c>
      <c r="F1513" s="9">
        <v>18.8</v>
      </c>
      <c r="G1513" s="9">
        <v>20.5</v>
      </c>
      <c r="H1513" s="9" t="s">
        <v>106</v>
      </c>
      <c r="I1513" s="9">
        <v>24</v>
      </c>
      <c r="J1513" s="9" t="s">
        <v>107</v>
      </c>
      <c r="K1513" s="9" t="s">
        <v>704</v>
      </c>
      <c r="L1513" t="str">
        <f>IF(OR(J1513="Cattle",J1513="Zebu Cattle"),IF(COUNTIF(lists!$M$2:$M$258, K1513) &gt; 0,"bos.indicus",IF(COUNTIF(lists!$L$2:$L$258, K1513) &gt; 0,"cross.bred","pure.bred.exotic")),"NA")</f>
        <v>NA</v>
      </c>
      <c r="M1513" t="str">
        <f>IF(J1513="Sheep",IF(COUNTIF(lists!$H$2:$H$258, K1513) &gt; 0,"indigenous",IF(COUNTIF(lists!$G$2:$G$258, K1513) &gt; 0,"cross.bred","not found")),"NA")</f>
        <v>not found</v>
      </c>
      <c r="N1513" t="str">
        <f>IF(J1513="Goat",IF(COUNTIF(lists!$J$2:$J$258, K1513) &gt; 0,"indigenous",IF(COUNTIF(lists!$I$2:$I$258, K1513) &gt; 0,"cross.bred","not found")),"NA")</f>
        <v>NA</v>
      </c>
      <c r="O1513" s="9" t="s">
        <v>109</v>
      </c>
      <c r="P1513" s="9" t="s">
        <v>106</v>
      </c>
      <c r="Q1513" s="9" t="s">
        <v>3806</v>
      </c>
      <c r="S1513" s="9" t="s">
        <v>106</v>
      </c>
      <c r="T1513" s="9" t="s">
        <v>106</v>
      </c>
      <c r="U1513" s="9" t="s">
        <v>106</v>
      </c>
      <c r="V1513" s="9" t="s">
        <v>106</v>
      </c>
      <c r="W1513" s="9" t="s">
        <v>106</v>
      </c>
      <c r="X1513" s="9" t="s">
        <v>106</v>
      </c>
      <c r="Y1513" s="9" t="s">
        <v>106</v>
      </c>
      <c r="Z1513" s="37"/>
      <c r="AA1513" s="37"/>
      <c r="AB1513" s="37"/>
      <c r="AE1513">
        <v>0</v>
      </c>
    </row>
    <row r="1514" spans="1:31" hidden="1">
      <c r="A1514" s="9" t="s">
        <v>1694</v>
      </c>
      <c r="B1514" s="9" t="s">
        <v>1695</v>
      </c>
      <c r="C1514" s="9" t="s">
        <v>105</v>
      </c>
      <c r="D1514" s="9">
        <v>1.0149999999999999</v>
      </c>
      <c r="E1514" s="9" t="s">
        <v>106</v>
      </c>
      <c r="F1514" s="9">
        <v>25.9</v>
      </c>
      <c r="G1514" s="9">
        <v>45.9</v>
      </c>
      <c r="H1514" s="9" t="s">
        <v>106</v>
      </c>
      <c r="I1514" s="9">
        <v>12</v>
      </c>
      <c r="J1514" s="9" t="s">
        <v>107</v>
      </c>
      <c r="K1514" s="9" t="s">
        <v>336</v>
      </c>
      <c r="L1514" t="str">
        <f>IF(OR(J1514="Cattle",J1514="Zebu Cattle"),IF(COUNTIF(lists!$M$2:$M$258, K1514) &gt; 0,"bos.indicus",IF(COUNTIF(lists!$L$2:$L$258, K1514) &gt; 0,"cross.bred","pure.bred.exotic")),"NA")</f>
        <v>NA</v>
      </c>
      <c r="M1514" t="str">
        <f>IF(J1514="Sheep",IF(COUNTIF(lists!$H$2:$H$258, K1514) &gt; 0,"indigenous",IF(COUNTIF(lists!$G$2:$G$258, K1514) &gt; 0,"cross.bred","not found")),"NA")</f>
        <v>not found</v>
      </c>
      <c r="N1514" t="str">
        <f>IF(J1514="Goat",IF(COUNTIF(lists!$J$2:$J$258, K1514) &gt; 0,"indigenous",IF(COUNTIF(lists!$I$2:$I$258, K1514) &gt; 0,"cross.bred","not found")),"NA")</f>
        <v>NA</v>
      </c>
      <c r="O1514" s="9" t="s">
        <v>109</v>
      </c>
      <c r="P1514" s="9" t="s">
        <v>106</v>
      </c>
      <c r="Q1514" s="9" t="s">
        <v>3806</v>
      </c>
      <c r="S1514" s="9" t="s">
        <v>106</v>
      </c>
      <c r="T1514" s="9" t="s">
        <v>106</v>
      </c>
      <c r="U1514" s="9" t="s">
        <v>106</v>
      </c>
      <c r="V1514" s="9" t="s">
        <v>106</v>
      </c>
      <c r="W1514" s="9" t="s">
        <v>106</v>
      </c>
      <c r="X1514" s="9" t="s">
        <v>106</v>
      </c>
      <c r="Y1514" s="9" t="s">
        <v>106</v>
      </c>
      <c r="Z1514" s="37"/>
      <c r="AA1514" s="37"/>
      <c r="AB1514" s="37"/>
      <c r="AE1514">
        <v>0</v>
      </c>
    </row>
    <row r="1515" spans="1:31" hidden="1">
      <c r="A1515" s="9" t="s">
        <v>1694</v>
      </c>
      <c r="B1515" s="9" t="s">
        <v>1696</v>
      </c>
      <c r="C1515" s="9" t="s">
        <v>105</v>
      </c>
      <c r="D1515" s="9">
        <v>0.90600000000000003</v>
      </c>
      <c r="E1515" s="9" t="s">
        <v>106</v>
      </c>
      <c r="F1515" s="9">
        <v>19.3</v>
      </c>
      <c r="G1515" s="9">
        <v>31.299999999999901</v>
      </c>
      <c r="H1515" s="9" t="s">
        <v>106</v>
      </c>
      <c r="I1515" s="9">
        <v>12</v>
      </c>
      <c r="J1515" s="9" t="s">
        <v>107</v>
      </c>
      <c r="K1515" s="9" t="s">
        <v>336</v>
      </c>
      <c r="L1515" t="str">
        <f>IF(OR(J1515="Cattle",J1515="Zebu Cattle"),IF(COUNTIF(lists!$M$2:$M$258, K1515) &gt; 0,"bos.indicus",IF(COUNTIF(lists!$L$2:$L$258, K1515) &gt; 0,"cross.bred","pure.bred.exotic")),"NA")</f>
        <v>NA</v>
      </c>
      <c r="M1515" t="str">
        <f>IF(J1515="Sheep",IF(COUNTIF(lists!$H$2:$H$258, K1515) &gt; 0,"indigenous",IF(COUNTIF(lists!$G$2:$G$258, K1515) &gt; 0,"cross.bred","not found")),"NA")</f>
        <v>not found</v>
      </c>
      <c r="N1515" t="str">
        <f>IF(J1515="Goat",IF(COUNTIF(lists!$J$2:$J$258, K1515) &gt; 0,"indigenous",IF(COUNTIF(lists!$I$2:$I$258, K1515) &gt; 0,"cross.bred","not found")),"NA")</f>
        <v>NA</v>
      </c>
      <c r="O1515" s="9" t="s">
        <v>109</v>
      </c>
      <c r="P1515" s="9" t="s">
        <v>106</v>
      </c>
      <c r="Q1515" s="9" t="s">
        <v>3806</v>
      </c>
      <c r="S1515" s="9" t="s">
        <v>106</v>
      </c>
      <c r="T1515" s="9" t="s">
        <v>106</v>
      </c>
      <c r="U1515" s="9" t="s">
        <v>106</v>
      </c>
      <c r="V1515" s="9" t="s">
        <v>106</v>
      </c>
      <c r="W1515" s="9" t="s">
        <v>106</v>
      </c>
      <c r="X1515" s="9" t="s">
        <v>106</v>
      </c>
      <c r="Y1515" s="9" t="s">
        <v>106</v>
      </c>
      <c r="Z1515" s="37"/>
      <c r="AA1515" s="37"/>
      <c r="AB1515" s="37"/>
      <c r="AE1515">
        <v>0</v>
      </c>
    </row>
    <row r="1516" spans="1:31" hidden="1">
      <c r="A1516" s="9" t="s">
        <v>1719</v>
      </c>
      <c r="B1516" s="9" t="s">
        <v>151</v>
      </c>
      <c r="C1516" s="9" t="s">
        <v>105</v>
      </c>
      <c r="D1516" s="9">
        <v>1.0168999999999999</v>
      </c>
      <c r="E1516" s="9">
        <v>50.82</v>
      </c>
      <c r="F1516" s="9">
        <v>24.4</v>
      </c>
      <c r="G1516" s="9">
        <v>96.9</v>
      </c>
      <c r="H1516" s="9" t="s">
        <v>106</v>
      </c>
      <c r="I1516" s="9">
        <v>30</v>
      </c>
      <c r="J1516" s="9" t="s">
        <v>107</v>
      </c>
      <c r="K1516" s="9" t="s">
        <v>1016</v>
      </c>
      <c r="L1516" t="str">
        <f>IF(OR(J1516="Cattle",J1516="Zebu Cattle"),IF(COUNTIF(lists!$M$2:$M$258, K1516) &gt; 0,"bos.indicus",IF(COUNTIF(lists!$L$2:$L$258, K1516) &gt; 0,"cross.bred","pure.bred.exotic")),"NA")</f>
        <v>NA</v>
      </c>
      <c r="M1516" t="str">
        <f>IF(J1516="Sheep",IF(COUNTIF(lists!$H$2:$H$258, K1516) &gt; 0,"indigenous",IF(COUNTIF(lists!$G$2:$G$258, K1516) &gt; 0,"cross.bred","not found")),"NA")</f>
        <v>not found</v>
      </c>
      <c r="N1516" t="str">
        <f>IF(J1516="Goat",IF(COUNTIF(lists!$J$2:$J$258, K1516) &gt; 0,"indigenous",IF(COUNTIF(lists!$I$2:$I$258, K1516) &gt; 0,"cross.bred","not found")),"NA")</f>
        <v>NA</v>
      </c>
      <c r="O1516" s="9" t="s">
        <v>109</v>
      </c>
      <c r="P1516" s="9" t="s">
        <v>106</v>
      </c>
      <c r="Q1516" s="9" t="s">
        <v>3806</v>
      </c>
      <c r="S1516" s="9" t="s">
        <v>106</v>
      </c>
      <c r="T1516" s="9" t="s">
        <v>106</v>
      </c>
      <c r="U1516" s="9" t="s">
        <v>106</v>
      </c>
      <c r="V1516" s="9" t="s">
        <v>106</v>
      </c>
      <c r="W1516" s="9" t="s">
        <v>106</v>
      </c>
      <c r="X1516" s="9" t="s">
        <v>106</v>
      </c>
      <c r="Y1516" s="9">
        <v>572</v>
      </c>
      <c r="Z1516" s="37"/>
      <c r="AA1516" s="37"/>
      <c r="AB1516" s="37"/>
      <c r="AE1516">
        <v>0</v>
      </c>
    </row>
    <row r="1517" spans="1:31" hidden="1">
      <c r="A1517" s="9" t="s">
        <v>1719</v>
      </c>
      <c r="B1517" s="9" t="s">
        <v>154</v>
      </c>
      <c r="C1517" s="9" t="s">
        <v>105</v>
      </c>
      <c r="D1517" s="9">
        <v>1.0869</v>
      </c>
      <c r="E1517" s="9">
        <v>50.82</v>
      </c>
      <c r="F1517" s="9">
        <v>24.5</v>
      </c>
      <c r="G1517" s="9">
        <v>113.9</v>
      </c>
      <c r="H1517" s="9" t="s">
        <v>106</v>
      </c>
      <c r="I1517" s="9">
        <v>30</v>
      </c>
      <c r="J1517" s="9" t="s">
        <v>107</v>
      </c>
      <c r="K1517" s="9" t="s">
        <v>1016</v>
      </c>
      <c r="L1517" t="str">
        <f>IF(OR(J1517="Cattle",J1517="Zebu Cattle"),IF(COUNTIF(lists!$M$2:$M$258, K1517) &gt; 0,"bos.indicus",IF(COUNTIF(lists!$L$2:$L$258, K1517) &gt; 0,"cross.bred","pure.bred.exotic")),"NA")</f>
        <v>NA</v>
      </c>
      <c r="M1517" t="str">
        <f>IF(J1517="Sheep",IF(COUNTIF(lists!$H$2:$H$258, K1517) &gt; 0,"indigenous",IF(COUNTIF(lists!$G$2:$G$258, K1517) &gt; 0,"cross.bred","not found")),"NA")</f>
        <v>not found</v>
      </c>
      <c r="N1517" t="str">
        <f>IF(J1517="Goat",IF(COUNTIF(lists!$J$2:$J$258, K1517) &gt; 0,"indigenous",IF(COUNTIF(lists!$I$2:$I$258, K1517) &gt; 0,"cross.bred","not found")),"NA")</f>
        <v>NA</v>
      </c>
      <c r="O1517" s="9" t="s">
        <v>109</v>
      </c>
      <c r="P1517" s="9" t="s">
        <v>106</v>
      </c>
      <c r="Q1517" s="9" t="s">
        <v>3806</v>
      </c>
      <c r="S1517" s="9" t="s">
        <v>106</v>
      </c>
      <c r="T1517" s="9" t="s">
        <v>106</v>
      </c>
      <c r="U1517" s="9" t="s">
        <v>106</v>
      </c>
      <c r="V1517" s="9" t="s">
        <v>106</v>
      </c>
      <c r="W1517" s="9" t="s">
        <v>106</v>
      </c>
      <c r="X1517" s="9" t="s">
        <v>106</v>
      </c>
      <c r="Y1517" s="9">
        <v>511</v>
      </c>
      <c r="Z1517" s="37"/>
      <c r="AA1517" s="37"/>
      <c r="AB1517" s="37"/>
      <c r="AE1517">
        <v>0</v>
      </c>
    </row>
    <row r="1518" spans="1:31" hidden="1">
      <c r="A1518" s="9" t="s">
        <v>1719</v>
      </c>
      <c r="B1518" s="9" t="s">
        <v>155</v>
      </c>
      <c r="C1518" s="9" t="s">
        <v>105</v>
      </c>
      <c r="D1518" s="9">
        <v>1.1694</v>
      </c>
      <c r="E1518" s="9">
        <v>50.82</v>
      </c>
      <c r="F1518" s="9">
        <v>24.6</v>
      </c>
      <c r="G1518" s="9">
        <v>114.1</v>
      </c>
      <c r="H1518" s="9" t="s">
        <v>106</v>
      </c>
      <c r="I1518" s="9">
        <v>30</v>
      </c>
      <c r="J1518" s="9" t="s">
        <v>107</v>
      </c>
      <c r="K1518" s="9" t="s">
        <v>1016</v>
      </c>
      <c r="L1518" t="str">
        <f>IF(OR(J1518="Cattle",J1518="Zebu Cattle"),IF(COUNTIF(lists!$M$2:$M$258, K1518) &gt; 0,"bos.indicus",IF(COUNTIF(lists!$L$2:$L$258, K1518) &gt; 0,"cross.bred","pure.bred.exotic")),"NA")</f>
        <v>NA</v>
      </c>
      <c r="M1518" t="str">
        <f>IF(J1518="Sheep",IF(COUNTIF(lists!$H$2:$H$258, K1518) &gt; 0,"indigenous",IF(COUNTIF(lists!$G$2:$G$258, K1518) &gt; 0,"cross.bred","not found")),"NA")</f>
        <v>not found</v>
      </c>
      <c r="N1518" t="str">
        <f>IF(J1518="Goat",IF(COUNTIF(lists!$J$2:$J$258, K1518) &gt; 0,"indigenous",IF(COUNTIF(lists!$I$2:$I$258, K1518) &gt; 0,"cross.bred","not found")),"NA")</f>
        <v>NA</v>
      </c>
      <c r="O1518" s="9" t="s">
        <v>109</v>
      </c>
      <c r="P1518" s="9" t="s">
        <v>106</v>
      </c>
      <c r="Q1518" s="9" t="s">
        <v>3806</v>
      </c>
      <c r="S1518" s="9" t="s">
        <v>106</v>
      </c>
      <c r="T1518" s="9" t="s">
        <v>106</v>
      </c>
      <c r="U1518" s="9" t="s">
        <v>106</v>
      </c>
      <c r="V1518" s="9" t="s">
        <v>106</v>
      </c>
      <c r="W1518" s="9" t="s">
        <v>106</v>
      </c>
      <c r="X1518" s="9" t="s">
        <v>106</v>
      </c>
      <c r="Y1518" s="9">
        <v>468</v>
      </c>
      <c r="Z1518" s="37"/>
      <c r="AA1518" s="37"/>
      <c r="AB1518" s="37"/>
      <c r="AE1518">
        <v>0</v>
      </c>
    </row>
    <row r="1519" spans="1:31" hidden="1">
      <c r="A1519" s="9" t="s">
        <v>1719</v>
      </c>
      <c r="B1519" s="9" t="s">
        <v>156</v>
      </c>
      <c r="C1519" s="9" t="s">
        <v>105</v>
      </c>
      <c r="D1519" s="9">
        <v>1.23759999999999</v>
      </c>
      <c r="E1519" s="9">
        <v>50.82</v>
      </c>
      <c r="F1519" s="9">
        <v>23.3</v>
      </c>
      <c r="G1519" s="9">
        <v>131.5</v>
      </c>
      <c r="H1519" s="9" t="s">
        <v>106</v>
      </c>
      <c r="I1519" s="9">
        <v>30</v>
      </c>
      <c r="J1519" s="9" t="s">
        <v>107</v>
      </c>
      <c r="K1519" s="9" t="s">
        <v>1016</v>
      </c>
      <c r="L1519" t="str">
        <f>IF(OR(J1519="Cattle",J1519="Zebu Cattle"),IF(COUNTIF(lists!$M$2:$M$258, K1519) &gt; 0,"bos.indicus",IF(COUNTIF(lists!$L$2:$L$258, K1519) &gt; 0,"cross.bred","pure.bred.exotic")),"NA")</f>
        <v>NA</v>
      </c>
      <c r="M1519" t="str">
        <f>IF(J1519="Sheep",IF(COUNTIF(lists!$H$2:$H$258, K1519) &gt; 0,"indigenous",IF(COUNTIF(lists!$G$2:$G$258, K1519) &gt; 0,"cross.bred","not found")),"NA")</f>
        <v>not found</v>
      </c>
      <c r="N1519" t="str">
        <f>IF(J1519="Goat",IF(COUNTIF(lists!$J$2:$J$258, K1519) &gt; 0,"indigenous",IF(COUNTIF(lists!$I$2:$I$258, K1519) &gt; 0,"cross.bred","not found")),"NA")</f>
        <v>NA</v>
      </c>
      <c r="O1519" s="9" t="s">
        <v>109</v>
      </c>
      <c r="P1519" s="9" t="s">
        <v>106</v>
      </c>
      <c r="Q1519" s="9" t="s">
        <v>3806</v>
      </c>
      <c r="S1519" s="9" t="s">
        <v>106</v>
      </c>
      <c r="T1519" s="9" t="s">
        <v>106</v>
      </c>
      <c r="U1519" s="9" t="s">
        <v>106</v>
      </c>
      <c r="V1519" s="9" t="s">
        <v>106</v>
      </c>
      <c r="W1519" s="9" t="s">
        <v>106</v>
      </c>
      <c r="X1519" s="9" t="s">
        <v>106</v>
      </c>
      <c r="Y1519" s="9">
        <v>573</v>
      </c>
      <c r="Z1519" s="37"/>
      <c r="AA1519" s="37"/>
      <c r="AB1519" s="37"/>
      <c r="AE1519">
        <v>0</v>
      </c>
    </row>
    <row r="1520" spans="1:31" hidden="1">
      <c r="A1520" s="9" t="s">
        <v>1719</v>
      </c>
      <c r="B1520" s="9" t="s">
        <v>157</v>
      </c>
      <c r="C1520" s="9" t="s">
        <v>105</v>
      </c>
      <c r="D1520" s="9">
        <v>1.2141999999999999</v>
      </c>
      <c r="E1520" s="9">
        <v>50.82</v>
      </c>
      <c r="F1520" s="9">
        <v>23.4</v>
      </c>
      <c r="G1520" s="9">
        <v>123.3</v>
      </c>
      <c r="H1520" s="9" t="s">
        <v>106</v>
      </c>
      <c r="I1520" s="9">
        <v>30</v>
      </c>
      <c r="J1520" s="9" t="s">
        <v>107</v>
      </c>
      <c r="K1520" s="9" t="s">
        <v>1016</v>
      </c>
      <c r="L1520" t="str">
        <f>IF(OR(J1520="Cattle",J1520="Zebu Cattle"),IF(COUNTIF(lists!$M$2:$M$258, K1520) &gt; 0,"bos.indicus",IF(COUNTIF(lists!$L$2:$L$258, K1520) &gt; 0,"cross.bred","pure.bred.exotic")),"NA")</f>
        <v>NA</v>
      </c>
      <c r="M1520" t="str">
        <f>IF(J1520="Sheep",IF(COUNTIF(lists!$H$2:$H$258, K1520) &gt; 0,"indigenous",IF(COUNTIF(lists!$G$2:$G$258, K1520) &gt; 0,"cross.bred","not found")),"NA")</f>
        <v>not found</v>
      </c>
      <c r="N1520" t="str">
        <f>IF(J1520="Goat",IF(COUNTIF(lists!$J$2:$J$258, K1520) &gt; 0,"indigenous",IF(COUNTIF(lists!$I$2:$I$258, K1520) &gt; 0,"cross.bred","not found")),"NA")</f>
        <v>NA</v>
      </c>
      <c r="O1520" s="9" t="s">
        <v>109</v>
      </c>
      <c r="P1520" s="9" t="s">
        <v>106</v>
      </c>
      <c r="Q1520" s="9" t="s">
        <v>3806</v>
      </c>
      <c r="S1520" s="9" t="s">
        <v>106</v>
      </c>
      <c r="T1520" s="9" t="s">
        <v>106</v>
      </c>
      <c r="U1520" s="9" t="s">
        <v>106</v>
      </c>
      <c r="V1520" s="9" t="s">
        <v>106</v>
      </c>
      <c r="W1520" s="9" t="s">
        <v>106</v>
      </c>
      <c r="X1520" s="9" t="s">
        <v>106</v>
      </c>
      <c r="Y1520" s="9">
        <v>506</v>
      </c>
      <c r="Z1520" s="37"/>
      <c r="AA1520" s="37"/>
      <c r="AB1520" s="37"/>
      <c r="AE1520">
        <v>0</v>
      </c>
    </row>
    <row r="1521" spans="1:31" hidden="1">
      <c r="A1521" s="9" t="s">
        <v>1720</v>
      </c>
      <c r="B1521" s="9" t="s">
        <v>1721</v>
      </c>
      <c r="C1521" s="9" t="s">
        <v>105</v>
      </c>
      <c r="D1521" s="9">
        <v>0.96</v>
      </c>
      <c r="E1521" s="9">
        <v>108.9</v>
      </c>
      <c r="F1521" s="9">
        <v>24.7</v>
      </c>
      <c r="G1521" s="9">
        <v>190</v>
      </c>
      <c r="H1521" s="9" t="s">
        <v>106</v>
      </c>
      <c r="I1521" s="9">
        <v>40</v>
      </c>
      <c r="J1521" s="9" t="s">
        <v>107</v>
      </c>
      <c r="K1521" s="9" t="s">
        <v>1402</v>
      </c>
      <c r="L1521" t="str">
        <f>IF(OR(J1521="Cattle",J1521="Zebu Cattle"),IF(COUNTIF(lists!$M$2:$M$258, K1521) &gt; 0,"bos.indicus",IF(COUNTIF(lists!$L$2:$L$258, K1521) &gt; 0,"cross.bred","pure.bred.exotic")),"NA")</f>
        <v>NA</v>
      </c>
      <c r="M1521" t="str">
        <f>IF(J1521="Sheep",IF(COUNTIF(lists!$H$2:$H$258, K1521) &gt; 0,"indigenous",IF(COUNTIF(lists!$G$2:$G$258, K1521) &gt; 0,"cross.bred","not found")),"NA")</f>
        <v>not found</v>
      </c>
      <c r="N1521" t="str">
        <f>IF(J1521="Goat",IF(COUNTIF(lists!$J$2:$J$258, K1521) &gt; 0,"indigenous",IF(COUNTIF(lists!$I$2:$I$258, K1521) &gt; 0,"cross.bred","not found")),"NA")</f>
        <v>NA</v>
      </c>
      <c r="O1521" s="9" t="s">
        <v>109</v>
      </c>
      <c r="P1521" s="9" t="s">
        <v>106</v>
      </c>
      <c r="Q1521" s="9" t="s">
        <v>3804</v>
      </c>
      <c r="S1521" s="9">
        <v>116</v>
      </c>
      <c r="T1521" s="9" t="s">
        <v>106</v>
      </c>
      <c r="U1521" s="9">
        <v>155</v>
      </c>
      <c r="V1521" s="9">
        <v>909</v>
      </c>
      <c r="W1521" s="9">
        <v>38</v>
      </c>
      <c r="X1521" s="9">
        <v>290</v>
      </c>
      <c r="Y1521" s="9" t="s">
        <v>106</v>
      </c>
      <c r="Z1521" s="37"/>
      <c r="AA1521" s="37"/>
      <c r="AB1521" s="37"/>
      <c r="AE1521">
        <v>0</v>
      </c>
    </row>
    <row r="1522" spans="1:31" hidden="1">
      <c r="A1522" s="9" t="s">
        <v>1720</v>
      </c>
      <c r="B1522" s="9" t="s">
        <v>1722</v>
      </c>
      <c r="C1522" s="9" t="s">
        <v>105</v>
      </c>
      <c r="D1522" s="9">
        <v>1.05</v>
      </c>
      <c r="E1522" s="9">
        <v>108.9</v>
      </c>
      <c r="F1522" s="9">
        <v>24.3</v>
      </c>
      <c r="G1522" s="9">
        <v>146</v>
      </c>
      <c r="H1522" s="9" t="s">
        <v>106</v>
      </c>
      <c r="I1522" s="9">
        <v>40</v>
      </c>
      <c r="J1522" s="9" t="s">
        <v>107</v>
      </c>
      <c r="K1522" s="9" t="s">
        <v>1402</v>
      </c>
      <c r="L1522" t="str">
        <f>IF(OR(J1522="Cattle",J1522="Zebu Cattle"),IF(COUNTIF(lists!$M$2:$M$258, K1522) &gt; 0,"bos.indicus",IF(COUNTIF(lists!$L$2:$L$258, K1522) &gt; 0,"cross.bred","pure.bred.exotic")),"NA")</f>
        <v>NA</v>
      </c>
      <c r="M1522" t="str">
        <f>IF(J1522="Sheep",IF(COUNTIF(lists!$H$2:$H$258, K1522) &gt; 0,"indigenous",IF(COUNTIF(lists!$G$2:$G$258, K1522) &gt; 0,"cross.bred","not found")),"NA")</f>
        <v>not found</v>
      </c>
      <c r="N1522" t="str">
        <f>IF(J1522="Goat",IF(COUNTIF(lists!$J$2:$J$258, K1522) &gt; 0,"indigenous",IF(COUNTIF(lists!$I$2:$I$258, K1522) &gt; 0,"cross.bred","not found")),"NA")</f>
        <v>NA</v>
      </c>
      <c r="O1522" s="9" t="s">
        <v>109</v>
      </c>
      <c r="P1522" s="9" t="s">
        <v>106</v>
      </c>
      <c r="Q1522" s="9" t="s">
        <v>3804</v>
      </c>
      <c r="S1522" s="9">
        <v>150</v>
      </c>
      <c r="T1522" s="9" t="s">
        <v>106</v>
      </c>
      <c r="U1522" s="9">
        <v>177</v>
      </c>
      <c r="V1522" s="9">
        <v>878</v>
      </c>
      <c r="W1522" s="9">
        <v>54</v>
      </c>
      <c r="X1522" s="9">
        <v>351</v>
      </c>
      <c r="Y1522" s="9">
        <v>56.8</v>
      </c>
      <c r="Z1522" s="37"/>
      <c r="AA1522" s="37"/>
      <c r="AB1522" s="37"/>
      <c r="AE1522">
        <v>0</v>
      </c>
    </row>
    <row r="1523" spans="1:31" hidden="1">
      <c r="A1523" s="9" t="s">
        <v>1720</v>
      </c>
      <c r="B1523" s="9" t="s">
        <v>1723</v>
      </c>
      <c r="C1523" s="9" t="s">
        <v>105</v>
      </c>
      <c r="D1523" s="9">
        <v>1.1830000000000001</v>
      </c>
      <c r="E1523" s="9">
        <v>108.9</v>
      </c>
      <c r="F1523" s="9">
        <v>25.2</v>
      </c>
      <c r="G1523" s="9">
        <v>215</v>
      </c>
      <c r="H1523" s="9" t="s">
        <v>106</v>
      </c>
      <c r="I1523" s="9">
        <v>40</v>
      </c>
      <c r="J1523" s="9" t="s">
        <v>107</v>
      </c>
      <c r="K1523" s="9" t="s">
        <v>1402</v>
      </c>
      <c r="L1523" t="str">
        <f>IF(OR(J1523="Cattle",J1523="Zebu Cattle"),IF(COUNTIF(lists!$M$2:$M$258, K1523) &gt; 0,"bos.indicus",IF(COUNTIF(lists!$L$2:$L$258, K1523) &gt; 0,"cross.bred","pure.bred.exotic")),"NA")</f>
        <v>NA</v>
      </c>
      <c r="M1523" t="str">
        <f>IF(J1523="Sheep",IF(COUNTIF(lists!$H$2:$H$258, K1523) &gt; 0,"indigenous",IF(COUNTIF(lists!$G$2:$G$258, K1523) &gt; 0,"cross.bred","not found")),"NA")</f>
        <v>not found</v>
      </c>
      <c r="N1523" t="str">
        <f>IF(J1523="Goat",IF(COUNTIF(lists!$J$2:$J$258, K1523) &gt; 0,"indigenous",IF(COUNTIF(lists!$I$2:$I$258, K1523) &gt; 0,"cross.bred","not found")),"NA")</f>
        <v>NA</v>
      </c>
      <c r="O1523" s="9" t="s">
        <v>109</v>
      </c>
      <c r="P1523" s="9" t="s">
        <v>106</v>
      </c>
      <c r="Q1523" s="9" t="s">
        <v>3804</v>
      </c>
      <c r="S1523" s="9">
        <v>129</v>
      </c>
      <c r="T1523" s="9" t="s">
        <v>106</v>
      </c>
      <c r="U1523" s="9">
        <v>167</v>
      </c>
      <c r="V1523" s="9">
        <v>890</v>
      </c>
      <c r="W1523" s="9">
        <v>43</v>
      </c>
      <c r="X1523" s="9">
        <v>308</v>
      </c>
      <c r="Y1523" s="9">
        <v>47.6</v>
      </c>
      <c r="Z1523" s="37"/>
      <c r="AA1523" s="37"/>
      <c r="AB1523" s="37"/>
      <c r="AE1523">
        <v>0</v>
      </c>
    </row>
    <row r="1524" spans="1:31" hidden="1">
      <c r="A1524" s="9" t="s">
        <v>1720</v>
      </c>
      <c r="B1524" s="9" t="s">
        <v>1724</v>
      </c>
      <c r="C1524" s="9" t="s">
        <v>105</v>
      </c>
      <c r="D1524" s="9">
        <v>1.3440000000000001</v>
      </c>
      <c r="E1524" s="9">
        <v>108.9</v>
      </c>
      <c r="F1524" s="9">
        <v>25.3</v>
      </c>
      <c r="G1524" s="9">
        <v>226</v>
      </c>
      <c r="H1524" s="9" t="s">
        <v>106</v>
      </c>
      <c r="I1524" s="9">
        <v>40</v>
      </c>
      <c r="J1524" s="9" t="s">
        <v>107</v>
      </c>
      <c r="K1524" s="9" t="s">
        <v>1402</v>
      </c>
      <c r="L1524" t="str">
        <f>IF(OR(J1524="Cattle",J1524="Zebu Cattle"),IF(COUNTIF(lists!$M$2:$M$258, K1524) &gt; 0,"bos.indicus",IF(COUNTIF(lists!$L$2:$L$258, K1524) &gt; 0,"cross.bred","pure.bred.exotic")),"NA")</f>
        <v>NA</v>
      </c>
      <c r="M1524" t="str">
        <f>IF(J1524="Sheep",IF(COUNTIF(lists!$H$2:$H$258, K1524) &gt; 0,"indigenous",IF(COUNTIF(lists!$G$2:$G$258, K1524) &gt; 0,"cross.bred","not found")),"NA")</f>
        <v>not found</v>
      </c>
      <c r="N1524" t="str">
        <f>IF(J1524="Goat",IF(COUNTIF(lists!$J$2:$J$258, K1524) &gt; 0,"indigenous",IF(COUNTIF(lists!$I$2:$I$258, K1524) &gt; 0,"cross.bred","not found")),"NA")</f>
        <v>NA</v>
      </c>
      <c r="O1524" s="9" t="s">
        <v>109</v>
      </c>
      <c r="P1524" s="9" t="s">
        <v>106</v>
      </c>
      <c r="Q1524" s="9" t="s">
        <v>3804</v>
      </c>
      <c r="S1524" s="9">
        <v>123</v>
      </c>
      <c r="T1524" s="9" t="s">
        <v>106</v>
      </c>
      <c r="U1524" s="9">
        <v>169</v>
      </c>
      <c r="V1524" s="9">
        <v>896</v>
      </c>
      <c r="W1524" s="9">
        <v>45</v>
      </c>
      <c r="X1524" s="9">
        <v>312</v>
      </c>
      <c r="Y1524" s="9">
        <v>50.3</v>
      </c>
      <c r="Z1524" s="37"/>
      <c r="AA1524" s="37"/>
      <c r="AB1524" s="37"/>
      <c r="AE1524">
        <v>0</v>
      </c>
    </row>
    <row r="1525" spans="1:31" hidden="1">
      <c r="A1525" s="9" t="s">
        <v>1720</v>
      </c>
      <c r="B1525" s="9" t="s">
        <v>1725</v>
      </c>
      <c r="C1525" s="9" t="s">
        <v>105</v>
      </c>
      <c r="D1525" s="9">
        <v>0.877</v>
      </c>
      <c r="E1525" s="9">
        <v>108.9</v>
      </c>
      <c r="F1525" s="9">
        <v>26.1</v>
      </c>
      <c r="G1525" s="9">
        <v>109</v>
      </c>
      <c r="H1525" s="9" t="s">
        <v>106</v>
      </c>
      <c r="I1525" s="9">
        <v>40</v>
      </c>
      <c r="J1525" s="9" t="s">
        <v>107</v>
      </c>
      <c r="K1525" s="9" t="s">
        <v>1402</v>
      </c>
      <c r="L1525" t="str">
        <f>IF(OR(J1525="Cattle",J1525="Zebu Cattle"),IF(COUNTIF(lists!$M$2:$M$258, K1525) &gt; 0,"bos.indicus",IF(COUNTIF(lists!$L$2:$L$258, K1525) &gt; 0,"cross.bred","pure.bred.exotic")),"NA")</f>
        <v>NA</v>
      </c>
      <c r="M1525" t="str">
        <f>IF(J1525="Sheep",IF(COUNTIF(lists!$H$2:$H$258, K1525) &gt; 0,"indigenous",IF(COUNTIF(lists!$G$2:$G$258, K1525) &gt; 0,"cross.bred","not found")),"NA")</f>
        <v>not found</v>
      </c>
      <c r="N1525" t="str">
        <f>IF(J1525="Goat",IF(COUNTIF(lists!$J$2:$J$258, K1525) &gt; 0,"indigenous",IF(COUNTIF(lists!$I$2:$I$258, K1525) &gt; 0,"cross.bred","not found")),"NA")</f>
        <v>NA</v>
      </c>
      <c r="O1525" s="9" t="s">
        <v>109</v>
      </c>
      <c r="P1525" s="9" t="s">
        <v>106</v>
      </c>
      <c r="Q1525" s="9" t="s">
        <v>3804</v>
      </c>
      <c r="S1525" s="9">
        <v>126</v>
      </c>
      <c r="T1525" s="9" t="s">
        <v>106</v>
      </c>
      <c r="U1525" s="9">
        <v>172</v>
      </c>
      <c r="V1525" s="9">
        <v>896</v>
      </c>
      <c r="W1525" s="9">
        <v>49</v>
      </c>
      <c r="X1525" s="9">
        <v>318</v>
      </c>
      <c r="Y1525" s="9">
        <v>45.8</v>
      </c>
      <c r="Z1525" s="37"/>
      <c r="AA1525" s="37"/>
      <c r="AB1525" s="37"/>
      <c r="AE1525">
        <v>0</v>
      </c>
    </row>
    <row r="1526" spans="1:31" hidden="1">
      <c r="A1526" s="9" t="s">
        <v>1726</v>
      </c>
      <c r="B1526" s="9" t="s">
        <v>455</v>
      </c>
      <c r="C1526" s="9" t="s">
        <v>105</v>
      </c>
      <c r="D1526" s="9">
        <v>1.4924999999999999</v>
      </c>
      <c r="E1526" s="9">
        <v>0.28999999999999998</v>
      </c>
      <c r="F1526" s="9">
        <v>24.7</v>
      </c>
      <c r="G1526" s="9">
        <v>245</v>
      </c>
      <c r="H1526" s="9" t="s">
        <v>106</v>
      </c>
      <c r="I1526" s="9">
        <v>40</v>
      </c>
      <c r="J1526" s="9" t="s">
        <v>107</v>
      </c>
      <c r="K1526" s="9" t="s">
        <v>895</v>
      </c>
      <c r="L1526" t="str">
        <f>IF(OR(J1526="Cattle",J1526="Zebu Cattle"),IF(COUNTIF(lists!$M$2:$M$258, K1526) &gt; 0,"bos.indicus",IF(COUNTIF(lists!$L$2:$L$258, K1526) &gt; 0,"cross.bred","pure.bred.exotic")),"NA")</f>
        <v>NA</v>
      </c>
      <c r="M1526" t="str">
        <f>IF(J1526="Sheep",IF(COUNTIF(lists!$H$2:$H$258, K1526) &gt; 0,"indigenous",IF(COUNTIF(lists!$G$2:$G$258, K1526) &gt; 0,"cross.bred","not found")),"NA")</f>
        <v>not found</v>
      </c>
      <c r="N1526" t="str">
        <f>IF(J1526="Goat",IF(COUNTIF(lists!$J$2:$J$258, K1526) &gt; 0,"indigenous",IF(COUNTIF(lists!$I$2:$I$258, K1526) &gt; 0,"cross.bred","not found")),"NA")</f>
        <v>NA</v>
      </c>
      <c r="O1526" s="9" t="s">
        <v>109</v>
      </c>
      <c r="P1526" s="9" t="s">
        <v>106</v>
      </c>
      <c r="Q1526" s="9" t="s">
        <v>3804</v>
      </c>
      <c r="S1526" s="9" t="s">
        <v>106</v>
      </c>
      <c r="T1526" s="9" t="s">
        <v>106</v>
      </c>
      <c r="U1526" s="9">
        <v>126</v>
      </c>
      <c r="V1526" s="9">
        <v>803.9</v>
      </c>
      <c r="W1526" s="9" t="s">
        <v>106</v>
      </c>
      <c r="X1526" s="9" t="s">
        <v>106</v>
      </c>
      <c r="Y1526" s="9" t="s">
        <v>106</v>
      </c>
      <c r="Z1526" s="37"/>
      <c r="AA1526" s="37"/>
      <c r="AB1526" s="37"/>
      <c r="AE1526">
        <v>0</v>
      </c>
    </row>
    <row r="1527" spans="1:31" hidden="1">
      <c r="A1527" s="9" t="s">
        <v>1726</v>
      </c>
      <c r="B1527" s="9" t="s">
        <v>1727</v>
      </c>
      <c r="C1527" s="9" t="s">
        <v>105</v>
      </c>
      <c r="D1527" s="9">
        <v>1.2812999999999899</v>
      </c>
      <c r="E1527" s="9">
        <v>0.28999999999999998</v>
      </c>
      <c r="F1527" s="9">
        <v>24.6</v>
      </c>
      <c r="G1527" s="9">
        <v>181.3</v>
      </c>
      <c r="H1527" s="9" t="s">
        <v>106</v>
      </c>
      <c r="I1527" s="9">
        <v>40</v>
      </c>
      <c r="J1527" s="9" t="s">
        <v>107</v>
      </c>
      <c r="K1527" s="9" t="s">
        <v>895</v>
      </c>
      <c r="L1527" t="str">
        <f>IF(OR(J1527="Cattle",J1527="Zebu Cattle"),IF(COUNTIF(lists!$M$2:$M$258, K1527) &gt; 0,"bos.indicus",IF(COUNTIF(lists!$L$2:$L$258, K1527) &gt; 0,"cross.bred","pure.bred.exotic")),"NA")</f>
        <v>NA</v>
      </c>
      <c r="M1527" t="str">
        <f>IF(J1527="Sheep",IF(COUNTIF(lists!$H$2:$H$258, K1527) &gt; 0,"indigenous",IF(COUNTIF(lists!$G$2:$G$258, K1527) &gt; 0,"cross.bred","not found")),"NA")</f>
        <v>not found</v>
      </c>
      <c r="N1527" t="str">
        <f>IF(J1527="Goat",IF(COUNTIF(lists!$J$2:$J$258, K1527) &gt; 0,"indigenous",IF(COUNTIF(lists!$I$2:$I$258, K1527) &gt; 0,"cross.bred","not found")),"NA")</f>
        <v>NA</v>
      </c>
      <c r="O1527" s="9" t="s">
        <v>109</v>
      </c>
      <c r="P1527" s="9" t="s">
        <v>106</v>
      </c>
      <c r="Q1527" s="9" t="s">
        <v>3804</v>
      </c>
      <c r="S1527" s="9" t="s">
        <v>106</v>
      </c>
      <c r="T1527" s="9" t="s">
        <v>106</v>
      </c>
      <c r="U1527" s="9">
        <v>134</v>
      </c>
      <c r="V1527" s="9">
        <v>469</v>
      </c>
      <c r="W1527" s="9">
        <v>6.8</v>
      </c>
      <c r="X1527" s="9" t="s">
        <v>106</v>
      </c>
      <c r="Y1527" s="9" t="s">
        <v>106</v>
      </c>
      <c r="Z1527" s="37"/>
      <c r="AA1527" s="37"/>
      <c r="AB1527" s="37"/>
      <c r="AE1527">
        <v>0</v>
      </c>
    </row>
    <row r="1528" spans="1:31" hidden="1">
      <c r="A1528" s="9" t="s">
        <v>1726</v>
      </c>
      <c r="B1528" s="9" t="s">
        <v>1728</v>
      </c>
      <c r="C1528" s="9" t="s">
        <v>105</v>
      </c>
      <c r="D1528" s="9">
        <v>1.0363</v>
      </c>
      <c r="E1528" s="9">
        <v>0.28999999999999998</v>
      </c>
      <c r="F1528" s="9">
        <v>24.1</v>
      </c>
      <c r="G1528" s="9">
        <v>101.3</v>
      </c>
      <c r="H1528" s="9" t="s">
        <v>106</v>
      </c>
      <c r="I1528" s="9">
        <v>40</v>
      </c>
      <c r="J1528" s="9" t="s">
        <v>107</v>
      </c>
      <c r="K1528" s="9" t="s">
        <v>895</v>
      </c>
      <c r="L1528" t="str">
        <f>IF(OR(J1528="Cattle",J1528="Zebu Cattle"),IF(COUNTIF(lists!$M$2:$M$258, K1528) &gt; 0,"bos.indicus",IF(COUNTIF(lists!$L$2:$L$258, K1528) &gt; 0,"cross.bred","pure.bred.exotic")),"NA")</f>
        <v>NA</v>
      </c>
      <c r="M1528" t="str">
        <f>IF(J1528="Sheep",IF(COUNTIF(lists!$H$2:$H$258, K1528) &gt; 0,"indigenous",IF(COUNTIF(lists!$G$2:$G$258, K1528) &gt; 0,"cross.bred","not found")),"NA")</f>
        <v>not found</v>
      </c>
      <c r="N1528" t="str">
        <f>IF(J1528="Goat",IF(COUNTIF(lists!$J$2:$J$258, K1528) &gt; 0,"indigenous",IF(COUNTIF(lists!$I$2:$I$258, K1528) &gt; 0,"cross.bred","not found")),"NA")</f>
        <v>NA</v>
      </c>
      <c r="O1528" s="9" t="s">
        <v>109</v>
      </c>
      <c r="P1528" s="9" t="s">
        <v>106</v>
      </c>
      <c r="Q1528" s="9" t="s">
        <v>3804</v>
      </c>
      <c r="S1528" s="9" t="s">
        <v>106</v>
      </c>
      <c r="T1528" s="9" t="s">
        <v>106</v>
      </c>
      <c r="U1528" s="9">
        <v>106</v>
      </c>
      <c r="V1528" s="9">
        <v>752.2</v>
      </c>
      <c r="W1528" s="9" t="s">
        <v>106</v>
      </c>
      <c r="X1528" s="9" t="s">
        <v>106</v>
      </c>
      <c r="Y1528" s="9" t="s">
        <v>106</v>
      </c>
      <c r="Z1528" s="37"/>
      <c r="AA1528" s="37"/>
      <c r="AB1528" s="37"/>
      <c r="AE1528">
        <v>0</v>
      </c>
    </row>
    <row r="1529" spans="1:31" hidden="1">
      <c r="A1529" s="9" t="s">
        <v>1735</v>
      </c>
      <c r="B1529" s="9" t="s">
        <v>1736</v>
      </c>
      <c r="C1529" s="9" t="s">
        <v>105</v>
      </c>
      <c r="D1529" s="9">
        <v>0.32670868189972602</v>
      </c>
      <c r="E1529" s="9">
        <v>1.74</v>
      </c>
      <c r="F1529" s="9">
        <v>14.1</v>
      </c>
      <c r="G1529" s="9">
        <v>2560</v>
      </c>
      <c r="H1529" s="9" t="s">
        <v>106</v>
      </c>
      <c r="I1529" s="9">
        <v>9</v>
      </c>
      <c r="J1529" s="9" t="s">
        <v>107</v>
      </c>
      <c r="K1529" s="9" t="s">
        <v>180</v>
      </c>
      <c r="L1529" t="str">
        <f>IF(OR(J1529="Cattle",J1529="Zebu Cattle"),IF(COUNTIF(lists!$M$2:$M$258, K1529) &gt; 0,"bos.indicus",IF(COUNTIF(lists!$L$2:$L$258, K1529) &gt; 0,"cross.bred","pure.bred.exotic")),"NA")</f>
        <v>NA</v>
      </c>
      <c r="M1529" t="str">
        <f>IF(J1529="Sheep",IF(COUNTIF(lists!$H$2:$H$258, K1529) &gt; 0,"indigenous",IF(COUNTIF(lists!$G$2:$G$258, K1529) &gt; 0,"cross.bred","not found")),"NA")</f>
        <v>not found</v>
      </c>
      <c r="N1529" t="str">
        <f>IF(J1529="Goat",IF(COUNTIF(lists!$J$2:$J$258, K1529) &gt; 0,"indigenous",IF(COUNTIF(lists!$I$2:$I$258, K1529) &gt; 0,"cross.bred","not found")),"NA")</f>
        <v>NA</v>
      </c>
      <c r="O1529" s="9" t="s">
        <v>180</v>
      </c>
      <c r="P1529" s="9" t="s">
        <v>106</v>
      </c>
      <c r="Q1529" s="9" t="s">
        <v>3813</v>
      </c>
      <c r="S1529" s="9" t="s">
        <v>106</v>
      </c>
      <c r="T1529" s="9" t="s">
        <v>106</v>
      </c>
      <c r="U1529" s="9" t="s">
        <v>106</v>
      </c>
      <c r="V1529" s="9" t="s">
        <v>106</v>
      </c>
      <c r="W1529" s="9" t="s">
        <v>106</v>
      </c>
      <c r="X1529" s="9" t="s">
        <v>106</v>
      </c>
      <c r="Y1529" s="9" t="s">
        <v>106</v>
      </c>
      <c r="Z1529" s="37"/>
      <c r="AA1529" s="37"/>
      <c r="AB1529" s="37"/>
      <c r="AE1529">
        <v>0</v>
      </c>
    </row>
    <row r="1530" spans="1:31" hidden="1">
      <c r="A1530" s="9" t="s">
        <v>1735</v>
      </c>
      <c r="B1530" s="9" t="s">
        <v>1737</v>
      </c>
      <c r="C1530" s="9" t="s">
        <v>105</v>
      </c>
      <c r="D1530" s="9">
        <v>0.36844934333586499</v>
      </c>
      <c r="E1530" s="9">
        <v>2.52</v>
      </c>
      <c r="F1530" s="9">
        <v>15.1</v>
      </c>
      <c r="G1530" s="9">
        <v>1363</v>
      </c>
      <c r="H1530" s="9" t="s">
        <v>106</v>
      </c>
      <c r="I1530" s="9">
        <v>9</v>
      </c>
      <c r="J1530" s="9" t="s">
        <v>107</v>
      </c>
      <c r="K1530" s="9" t="s">
        <v>180</v>
      </c>
      <c r="L1530" t="str">
        <f>IF(OR(J1530="Cattle",J1530="Zebu Cattle"),IF(COUNTIF(lists!$M$2:$M$258, K1530) &gt; 0,"bos.indicus",IF(COUNTIF(lists!$L$2:$L$258, K1530) &gt; 0,"cross.bred","pure.bred.exotic")),"NA")</f>
        <v>NA</v>
      </c>
      <c r="M1530" t="str">
        <f>IF(J1530="Sheep",IF(COUNTIF(lists!$H$2:$H$258, K1530) &gt; 0,"indigenous",IF(COUNTIF(lists!$G$2:$G$258, K1530) &gt; 0,"cross.bred","not found")),"NA")</f>
        <v>not found</v>
      </c>
      <c r="N1530" t="str">
        <f>IF(J1530="Goat",IF(COUNTIF(lists!$J$2:$J$258, K1530) &gt; 0,"indigenous",IF(COUNTIF(lists!$I$2:$I$258, K1530) &gt; 0,"cross.bred","not found")),"NA")</f>
        <v>NA</v>
      </c>
      <c r="O1530" s="9" t="s">
        <v>180</v>
      </c>
      <c r="P1530" s="9" t="s">
        <v>106</v>
      </c>
      <c r="Q1530" s="9" t="s">
        <v>3813</v>
      </c>
      <c r="S1530" s="9" t="s">
        <v>106</v>
      </c>
      <c r="T1530" s="9" t="s">
        <v>106</v>
      </c>
      <c r="U1530" s="9" t="s">
        <v>106</v>
      </c>
      <c r="V1530" s="9" t="s">
        <v>106</v>
      </c>
      <c r="W1530" s="9" t="s">
        <v>106</v>
      </c>
      <c r="X1530" s="9" t="s">
        <v>106</v>
      </c>
      <c r="Y1530" s="9" t="s">
        <v>106</v>
      </c>
      <c r="Z1530" s="37"/>
      <c r="AA1530" s="37"/>
      <c r="AB1530" s="37"/>
      <c r="AE1530">
        <v>0</v>
      </c>
    </row>
    <row r="1531" spans="1:31" hidden="1">
      <c r="A1531" s="9" t="s">
        <v>1735</v>
      </c>
      <c r="B1531" s="9" t="s">
        <v>1738</v>
      </c>
      <c r="C1531" s="9" t="s">
        <v>105</v>
      </c>
      <c r="D1531" s="9">
        <v>0.296875595133826</v>
      </c>
      <c r="E1531" s="9">
        <v>1.74</v>
      </c>
      <c r="F1531" s="9">
        <v>14.1</v>
      </c>
      <c r="G1531" s="9">
        <v>2011</v>
      </c>
      <c r="H1531" s="9" t="s">
        <v>106</v>
      </c>
      <c r="I1531" s="9">
        <v>9</v>
      </c>
      <c r="J1531" s="9" t="s">
        <v>107</v>
      </c>
      <c r="K1531" s="9" t="s">
        <v>180</v>
      </c>
      <c r="L1531" t="str">
        <f>IF(OR(J1531="Cattle",J1531="Zebu Cattle"),IF(COUNTIF(lists!$M$2:$M$258, K1531) &gt; 0,"bos.indicus",IF(COUNTIF(lists!$L$2:$L$258, K1531) &gt; 0,"cross.bred","pure.bred.exotic")),"NA")</f>
        <v>NA</v>
      </c>
      <c r="M1531" t="str">
        <f>IF(J1531="Sheep",IF(COUNTIF(lists!$H$2:$H$258, K1531) &gt; 0,"indigenous",IF(COUNTIF(lists!$G$2:$G$258, K1531) &gt; 0,"cross.bred","not found")),"NA")</f>
        <v>not found</v>
      </c>
      <c r="N1531" t="str">
        <f>IF(J1531="Goat",IF(COUNTIF(lists!$J$2:$J$258, K1531) &gt; 0,"indigenous",IF(COUNTIF(lists!$I$2:$I$258, K1531) &gt; 0,"cross.bred","not found")),"NA")</f>
        <v>NA</v>
      </c>
      <c r="O1531" s="9" t="s">
        <v>180</v>
      </c>
      <c r="P1531" s="9" t="s">
        <v>106</v>
      </c>
      <c r="Q1531" s="9" t="s">
        <v>3813</v>
      </c>
      <c r="S1531" s="9" t="s">
        <v>106</v>
      </c>
      <c r="T1531" s="9" t="s">
        <v>106</v>
      </c>
      <c r="U1531" s="9" t="s">
        <v>106</v>
      </c>
      <c r="V1531" s="9" t="s">
        <v>106</v>
      </c>
      <c r="W1531" s="9" t="s">
        <v>106</v>
      </c>
      <c r="X1531" s="9" t="s">
        <v>106</v>
      </c>
      <c r="Y1531" s="9" t="s">
        <v>106</v>
      </c>
      <c r="Z1531" s="37"/>
      <c r="AA1531" s="37"/>
      <c r="AB1531" s="37"/>
      <c r="AE1531">
        <v>0</v>
      </c>
    </row>
    <row r="1532" spans="1:31" hidden="1">
      <c r="A1532" s="9" t="s">
        <v>1735</v>
      </c>
      <c r="B1532" s="9" t="s">
        <v>1739</v>
      </c>
      <c r="C1532" s="9" t="s">
        <v>105</v>
      </c>
      <c r="D1532" s="9">
        <v>0.32402094018933703</v>
      </c>
      <c r="E1532" s="9">
        <v>2.52</v>
      </c>
      <c r="F1532" s="9">
        <v>15.1</v>
      </c>
      <c r="G1532" s="9">
        <v>972</v>
      </c>
      <c r="H1532" s="9" t="s">
        <v>106</v>
      </c>
      <c r="I1532" s="9">
        <v>9</v>
      </c>
      <c r="J1532" s="9" t="s">
        <v>107</v>
      </c>
      <c r="K1532" s="9" t="s">
        <v>180</v>
      </c>
      <c r="L1532" t="str">
        <f>IF(OR(J1532="Cattle",J1532="Zebu Cattle"),IF(COUNTIF(lists!$M$2:$M$258, K1532) &gt; 0,"bos.indicus",IF(COUNTIF(lists!$L$2:$L$258, K1532) &gt; 0,"cross.bred","pure.bred.exotic")),"NA")</f>
        <v>NA</v>
      </c>
      <c r="M1532" t="str">
        <f>IF(J1532="Sheep",IF(COUNTIF(lists!$H$2:$H$258, K1532) &gt; 0,"indigenous",IF(COUNTIF(lists!$G$2:$G$258, K1532) &gt; 0,"cross.bred","not found")),"NA")</f>
        <v>not found</v>
      </c>
      <c r="N1532" t="str">
        <f>IF(J1532="Goat",IF(COUNTIF(lists!$J$2:$J$258, K1532) &gt; 0,"indigenous",IF(COUNTIF(lists!$I$2:$I$258, K1532) &gt; 0,"cross.bred","not found")),"NA")</f>
        <v>NA</v>
      </c>
      <c r="O1532" s="9" t="s">
        <v>180</v>
      </c>
      <c r="P1532" s="9" t="s">
        <v>106</v>
      </c>
      <c r="Q1532" s="9" t="s">
        <v>3813</v>
      </c>
      <c r="S1532" s="9" t="s">
        <v>106</v>
      </c>
      <c r="T1532" s="9" t="s">
        <v>106</v>
      </c>
      <c r="U1532" s="9" t="s">
        <v>106</v>
      </c>
      <c r="V1532" s="9" t="s">
        <v>106</v>
      </c>
      <c r="W1532" s="9" t="s">
        <v>106</v>
      </c>
      <c r="X1532" s="9" t="s">
        <v>106</v>
      </c>
      <c r="Y1532" s="9" t="s">
        <v>106</v>
      </c>
      <c r="Z1532" s="37"/>
      <c r="AA1532" s="37"/>
      <c r="AB1532" s="37"/>
      <c r="AE1532">
        <v>0</v>
      </c>
    </row>
    <row r="1533" spans="1:31" hidden="1">
      <c r="A1533" s="9" t="s">
        <v>1735</v>
      </c>
      <c r="B1533" s="9" t="s">
        <v>1740</v>
      </c>
      <c r="C1533" s="9" t="s">
        <v>105</v>
      </c>
      <c r="D1533" s="9">
        <v>0.22047378756262101</v>
      </c>
      <c r="E1533" s="9">
        <v>1.4</v>
      </c>
      <c r="F1533" s="9">
        <v>14.1</v>
      </c>
      <c r="G1533" s="9">
        <v>1330</v>
      </c>
      <c r="H1533" s="9" t="s">
        <v>106</v>
      </c>
      <c r="I1533" s="9">
        <v>9</v>
      </c>
      <c r="J1533" s="9" t="s">
        <v>107</v>
      </c>
      <c r="K1533" s="9" t="s">
        <v>180</v>
      </c>
      <c r="L1533" t="str">
        <f>IF(OR(J1533="Cattle",J1533="Zebu Cattle"),IF(COUNTIF(lists!$M$2:$M$258, K1533) &gt; 0,"bos.indicus",IF(COUNTIF(lists!$L$2:$L$258, K1533) &gt; 0,"cross.bred","pure.bred.exotic")),"NA")</f>
        <v>NA</v>
      </c>
      <c r="M1533" t="str">
        <f>IF(J1533="Sheep",IF(COUNTIF(lists!$H$2:$H$258, K1533) &gt; 0,"indigenous",IF(COUNTIF(lists!$G$2:$G$258, K1533) &gt; 0,"cross.bred","not found")),"NA")</f>
        <v>not found</v>
      </c>
      <c r="N1533" t="str">
        <f>IF(J1533="Goat",IF(COUNTIF(lists!$J$2:$J$258, K1533) &gt; 0,"indigenous",IF(COUNTIF(lists!$I$2:$I$258, K1533) &gt; 0,"cross.bred","not found")),"NA")</f>
        <v>NA</v>
      </c>
      <c r="O1533" s="9" t="s">
        <v>180</v>
      </c>
      <c r="P1533" s="9" t="s">
        <v>106</v>
      </c>
      <c r="Q1533" s="9" t="s">
        <v>3813</v>
      </c>
      <c r="S1533" s="9" t="s">
        <v>106</v>
      </c>
      <c r="T1533" s="9" t="s">
        <v>106</v>
      </c>
      <c r="U1533" s="9" t="s">
        <v>106</v>
      </c>
      <c r="V1533" s="9" t="s">
        <v>106</v>
      </c>
      <c r="W1533" s="9" t="s">
        <v>106</v>
      </c>
      <c r="X1533" s="9" t="s">
        <v>106</v>
      </c>
      <c r="Y1533" s="9" t="s">
        <v>106</v>
      </c>
      <c r="Z1533" s="37"/>
      <c r="AA1533" s="37"/>
      <c r="AB1533" s="37"/>
      <c r="AE1533">
        <v>0</v>
      </c>
    </row>
    <row r="1534" spans="1:31" hidden="1">
      <c r="A1534" s="9" t="s">
        <v>1735</v>
      </c>
      <c r="B1534" s="9" t="s">
        <v>1741</v>
      </c>
      <c r="C1534" s="9" t="s">
        <v>105</v>
      </c>
      <c r="D1534" s="9">
        <v>0.25354830071553303</v>
      </c>
      <c r="E1534" s="9">
        <v>2.3199999999999998</v>
      </c>
      <c r="F1534" s="9">
        <v>15.1</v>
      </c>
      <c r="G1534" s="9">
        <v>363</v>
      </c>
      <c r="H1534" s="9" t="s">
        <v>106</v>
      </c>
      <c r="I1534" s="9">
        <v>9</v>
      </c>
      <c r="J1534" s="9" t="s">
        <v>107</v>
      </c>
      <c r="K1534" s="9" t="s">
        <v>180</v>
      </c>
      <c r="L1534" t="str">
        <f>IF(OR(J1534="Cattle",J1534="Zebu Cattle"),IF(COUNTIF(lists!$M$2:$M$258, K1534) &gt; 0,"bos.indicus",IF(COUNTIF(lists!$L$2:$L$258, K1534) &gt; 0,"cross.bred","pure.bred.exotic")),"NA")</f>
        <v>NA</v>
      </c>
      <c r="M1534" t="str">
        <f>IF(J1534="Sheep",IF(COUNTIF(lists!$H$2:$H$258, K1534) &gt; 0,"indigenous",IF(COUNTIF(lists!$G$2:$G$258, K1534) &gt; 0,"cross.bred","not found")),"NA")</f>
        <v>not found</v>
      </c>
      <c r="N1534" t="str">
        <f>IF(J1534="Goat",IF(COUNTIF(lists!$J$2:$J$258, K1534) &gt; 0,"indigenous",IF(COUNTIF(lists!$I$2:$I$258, K1534) &gt; 0,"cross.bred","not found")),"NA")</f>
        <v>NA</v>
      </c>
      <c r="O1534" s="9" t="s">
        <v>180</v>
      </c>
      <c r="P1534" s="9" t="s">
        <v>106</v>
      </c>
      <c r="Q1534" s="9" t="s">
        <v>3813</v>
      </c>
      <c r="S1534" s="9" t="s">
        <v>106</v>
      </c>
      <c r="T1534" s="9" t="s">
        <v>106</v>
      </c>
      <c r="U1534" s="9" t="s">
        <v>106</v>
      </c>
      <c r="V1534" s="9" t="s">
        <v>106</v>
      </c>
      <c r="W1534" s="9" t="s">
        <v>106</v>
      </c>
      <c r="X1534" s="9" t="s">
        <v>106</v>
      </c>
      <c r="Y1534" s="9" t="s">
        <v>106</v>
      </c>
      <c r="Z1534" s="37"/>
      <c r="AA1534" s="37"/>
      <c r="AB1534" s="37"/>
      <c r="AE1534">
        <v>0</v>
      </c>
    </row>
    <row r="1535" spans="1:31" hidden="1">
      <c r="A1535" s="9" t="s">
        <v>1742</v>
      </c>
      <c r="B1535" s="9" t="s">
        <v>1743</v>
      </c>
      <c r="C1535" s="9" t="s">
        <v>105</v>
      </c>
      <c r="D1535" s="9">
        <v>0.53859999999999997</v>
      </c>
      <c r="E1535" s="9">
        <v>15.1</v>
      </c>
      <c r="F1535" s="9">
        <v>15.6</v>
      </c>
      <c r="G1535" s="9">
        <v>13</v>
      </c>
      <c r="H1535" s="9" t="s">
        <v>106</v>
      </c>
      <c r="I1535" s="9">
        <v>44</v>
      </c>
      <c r="J1535" s="9" t="s">
        <v>107</v>
      </c>
      <c r="K1535" s="9" t="s">
        <v>1032</v>
      </c>
      <c r="L1535" t="str">
        <f>IF(OR(J1535="Cattle",J1535="Zebu Cattle"),IF(COUNTIF(lists!$M$2:$M$258, K1535) &gt; 0,"bos.indicus",IF(COUNTIF(lists!$L$2:$L$258, K1535) &gt; 0,"cross.bred","pure.bred.exotic")),"NA")</f>
        <v>NA</v>
      </c>
      <c r="M1535" t="str">
        <f>IF(J1535="Sheep",IF(COUNTIF(lists!$H$2:$H$258, K1535) &gt; 0,"indigenous",IF(COUNTIF(lists!$G$2:$G$258, K1535) &gt; 0,"cross.bred","not found")),"NA")</f>
        <v>not found</v>
      </c>
      <c r="N1535" t="str">
        <f>IF(J1535="Goat",IF(COUNTIF(lists!$J$2:$J$258, K1535) &gt; 0,"indigenous",IF(COUNTIF(lists!$I$2:$I$258, K1535) &gt; 0,"cross.bred","not found")),"NA")</f>
        <v>NA</v>
      </c>
      <c r="O1535" s="9" t="s">
        <v>109</v>
      </c>
      <c r="P1535" s="9" t="s">
        <v>106</v>
      </c>
      <c r="Q1535" s="9" t="s">
        <v>3804</v>
      </c>
      <c r="S1535" s="9" t="s">
        <v>106</v>
      </c>
      <c r="T1535" s="9" t="s">
        <v>106</v>
      </c>
      <c r="U1535" s="9" t="s">
        <v>106</v>
      </c>
      <c r="V1535" s="9" t="s">
        <v>106</v>
      </c>
      <c r="W1535" s="9" t="s">
        <v>106</v>
      </c>
      <c r="X1535" s="9" t="s">
        <v>106</v>
      </c>
      <c r="Y1535" s="9" t="s">
        <v>106</v>
      </c>
      <c r="Z1535" s="37"/>
      <c r="AA1535" s="37"/>
      <c r="AB1535" s="37"/>
      <c r="AE1535">
        <v>0</v>
      </c>
    </row>
    <row r="1536" spans="1:31" hidden="1">
      <c r="A1536" s="9" t="s">
        <v>1742</v>
      </c>
      <c r="B1536" s="9" t="s">
        <v>1744</v>
      </c>
      <c r="C1536" s="9" t="s">
        <v>105</v>
      </c>
      <c r="D1536" s="9">
        <v>0.62250000000000005</v>
      </c>
      <c r="E1536" s="9">
        <v>15.1</v>
      </c>
      <c r="F1536" s="9">
        <v>15.9</v>
      </c>
      <c r="G1536" s="9">
        <v>27.8</v>
      </c>
      <c r="H1536" s="9" t="s">
        <v>106</v>
      </c>
      <c r="I1536" s="9">
        <v>44</v>
      </c>
      <c r="J1536" s="9" t="s">
        <v>107</v>
      </c>
      <c r="K1536" s="9" t="s">
        <v>1032</v>
      </c>
      <c r="L1536" t="str">
        <f>IF(OR(J1536="Cattle",J1536="Zebu Cattle"),IF(COUNTIF(lists!$M$2:$M$258, K1536) &gt; 0,"bos.indicus",IF(COUNTIF(lists!$L$2:$L$258, K1536) &gt; 0,"cross.bred","pure.bred.exotic")),"NA")</f>
        <v>NA</v>
      </c>
      <c r="M1536" t="str">
        <f>IF(J1536="Sheep",IF(COUNTIF(lists!$H$2:$H$258, K1536) &gt; 0,"indigenous",IF(COUNTIF(lists!$G$2:$G$258, K1536) &gt; 0,"cross.bred","not found")),"NA")</f>
        <v>not found</v>
      </c>
      <c r="N1536" t="str">
        <f>IF(J1536="Goat",IF(COUNTIF(lists!$J$2:$J$258, K1536) &gt; 0,"indigenous",IF(COUNTIF(lists!$I$2:$I$258, K1536) &gt; 0,"cross.bred","not found")),"NA")</f>
        <v>NA</v>
      </c>
      <c r="O1536" s="9" t="s">
        <v>109</v>
      </c>
      <c r="P1536" s="9" t="s">
        <v>106</v>
      </c>
      <c r="Q1536" s="9" t="s">
        <v>3804</v>
      </c>
      <c r="S1536" s="9">
        <v>158.1</v>
      </c>
      <c r="T1536" s="9">
        <v>88.8</v>
      </c>
      <c r="U1536" s="9">
        <v>216.2</v>
      </c>
      <c r="V1536" s="9">
        <v>918.8</v>
      </c>
      <c r="W1536" s="9" t="s">
        <v>106</v>
      </c>
      <c r="X1536" s="9">
        <v>298.2</v>
      </c>
      <c r="Y1536" s="9" t="s">
        <v>106</v>
      </c>
      <c r="Z1536" s="37"/>
      <c r="AA1536" s="37"/>
      <c r="AB1536" s="37"/>
      <c r="AE1536">
        <v>0</v>
      </c>
    </row>
    <row r="1537" spans="1:31" hidden="1">
      <c r="A1537" s="9" t="s">
        <v>1742</v>
      </c>
      <c r="B1537" s="9" t="s">
        <v>1745</v>
      </c>
      <c r="C1537" s="9" t="s">
        <v>105</v>
      </c>
      <c r="D1537" s="9">
        <v>0.60419999999999996</v>
      </c>
      <c r="E1537" s="9">
        <v>15.1</v>
      </c>
      <c r="F1537" s="9">
        <v>15.6</v>
      </c>
      <c r="G1537" s="9">
        <v>33.4</v>
      </c>
      <c r="H1537" s="9" t="s">
        <v>106</v>
      </c>
      <c r="I1537" s="9">
        <v>44</v>
      </c>
      <c r="J1537" s="9" t="s">
        <v>107</v>
      </c>
      <c r="K1537" s="9" t="s">
        <v>1032</v>
      </c>
      <c r="L1537" t="str">
        <f>IF(OR(J1537="Cattle",J1537="Zebu Cattle"),IF(COUNTIF(lists!$M$2:$M$258, K1537) &gt; 0,"bos.indicus",IF(COUNTIF(lists!$L$2:$L$258, K1537) &gt; 0,"cross.bred","pure.bred.exotic")),"NA")</f>
        <v>NA</v>
      </c>
      <c r="M1537" t="str">
        <f>IF(J1537="Sheep",IF(COUNTIF(lists!$H$2:$H$258, K1537) &gt; 0,"indigenous",IF(COUNTIF(lists!$G$2:$G$258, K1537) &gt; 0,"cross.bred","not found")),"NA")</f>
        <v>not found</v>
      </c>
      <c r="N1537" t="str">
        <f>IF(J1537="Goat",IF(COUNTIF(lists!$J$2:$J$258, K1537) &gt; 0,"indigenous",IF(COUNTIF(lists!$I$2:$I$258, K1537) &gt; 0,"cross.bred","not found")),"NA")</f>
        <v>NA</v>
      </c>
      <c r="O1537" s="9" t="s">
        <v>109</v>
      </c>
      <c r="P1537" s="9" t="s">
        <v>106</v>
      </c>
      <c r="Q1537" s="9" t="s">
        <v>3804</v>
      </c>
      <c r="S1537" s="9">
        <v>134.1</v>
      </c>
      <c r="T1537" s="9">
        <v>115.3</v>
      </c>
      <c r="U1537" s="9">
        <v>231.2</v>
      </c>
      <c r="V1537" s="9">
        <v>917.8</v>
      </c>
      <c r="W1537" s="9" t="s">
        <v>106</v>
      </c>
      <c r="X1537" s="9">
        <v>204.4</v>
      </c>
      <c r="Y1537" s="9" t="s">
        <v>106</v>
      </c>
      <c r="Z1537" s="37"/>
      <c r="AA1537" s="37"/>
      <c r="AB1537" s="37"/>
      <c r="AE1537">
        <v>0</v>
      </c>
    </row>
    <row r="1538" spans="1:31" hidden="1">
      <c r="A1538" s="9" t="s">
        <v>1742</v>
      </c>
      <c r="B1538" s="9" t="s">
        <v>1746</v>
      </c>
      <c r="C1538" s="9" t="s">
        <v>105</v>
      </c>
      <c r="D1538" s="9">
        <v>0.61299999999999999</v>
      </c>
      <c r="E1538" s="9">
        <v>15.1</v>
      </c>
      <c r="F1538" s="9">
        <v>15.6</v>
      </c>
      <c r="G1538" s="9">
        <v>35.700000000000003</v>
      </c>
      <c r="H1538" s="9" t="s">
        <v>106</v>
      </c>
      <c r="I1538" s="9">
        <v>44</v>
      </c>
      <c r="J1538" s="9" t="s">
        <v>107</v>
      </c>
      <c r="K1538" s="9" t="s">
        <v>1032</v>
      </c>
      <c r="L1538" t="str">
        <f>IF(OR(J1538="Cattle",J1538="Zebu Cattle"),IF(COUNTIF(lists!$M$2:$M$258, K1538) &gt; 0,"bos.indicus",IF(COUNTIF(lists!$L$2:$L$258, K1538) &gt; 0,"cross.bred","pure.bred.exotic")),"NA")</f>
        <v>NA</v>
      </c>
      <c r="M1538" t="str">
        <f>IF(J1538="Sheep",IF(COUNTIF(lists!$H$2:$H$258, K1538) &gt; 0,"indigenous",IF(COUNTIF(lists!$G$2:$G$258, K1538) &gt; 0,"cross.bred","not found")),"NA")</f>
        <v>not found</v>
      </c>
      <c r="N1538" t="str">
        <f>IF(J1538="Goat",IF(COUNTIF(lists!$J$2:$J$258, K1538) &gt; 0,"indigenous",IF(COUNTIF(lists!$I$2:$I$258, K1538) &gt; 0,"cross.bred","not found")),"NA")</f>
        <v>NA</v>
      </c>
      <c r="O1538" s="9" t="s">
        <v>109</v>
      </c>
      <c r="P1538" s="9" t="s">
        <v>106</v>
      </c>
      <c r="Q1538" s="9" t="s">
        <v>3804</v>
      </c>
      <c r="S1538" s="9">
        <v>139.69999999999999</v>
      </c>
      <c r="T1538" s="9">
        <v>113.8</v>
      </c>
      <c r="U1538" s="9">
        <v>220.6</v>
      </c>
      <c r="V1538" s="9">
        <v>911.4</v>
      </c>
      <c r="W1538" s="9" t="s">
        <v>106</v>
      </c>
      <c r="X1538" s="9">
        <v>200.3</v>
      </c>
      <c r="Y1538" s="9" t="s">
        <v>106</v>
      </c>
      <c r="Z1538" s="37"/>
      <c r="AA1538" s="37"/>
      <c r="AB1538" s="37"/>
      <c r="AE1538">
        <v>0</v>
      </c>
    </row>
    <row r="1539" spans="1:31" hidden="1">
      <c r="A1539" s="9" t="s">
        <v>1742</v>
      </c>
      <c r="B1539" s="9" t="s">
        <v>1747</v>
      </c>
      <c r="C1539" s="9" t="s">
        <v>105</v>
      </c>
      <c r="D1539" s="9">
        <v>0.61550000000000005</v>
      </c>
      <c r="E1539" s="9">
        <v>15.1</v>
      </c>
      <c r="F1539" s="9">
        <v>15.7</v>
      </c>
      <c r="G1539" s="9">
        <v>33.700000000000003</v>
      </c>
      <c r="H1539" s="9" t="s">
        <v>106</v>
      </c>
      <c r="I1539" s="9">
        <v>44</v>
      </c>
      <c r="J1539" s="9" t="s">
        <v>107</v>
      </c>
      <c r="K1539" s="9" t="s">
        <v>1032</v>
      </c>
      <c r="L1539" t="str">
        <f>IF(OR(J1539="Cattle",J1539="Zebu Cattle"),IF(COUNTIF(lists!$M$2:$M$258, K1539) &gt; 0,"bos.indicus",IF(COUNTIF(lists!$L$2:$L$258, K1539) &gt; 0,"cross.bred","pure.bred.exotic")),"NA")</f>
        <v>NA</v>
      </c>
      <c r="M1539" t="str">
        <f>IF(J1539="Sheep",IF(COUNTIF(lists!$H$2:$H$258, K1539) &gt; 0,"indigenous",IF(COUNTIF(lists!$G$2:$G$258, K1539) &gt; 0,"cross.bred","not found")),"NA")</f>
        <v>not found</v>
      </c>
      <c r="N1539" t="str">
        <f>IF(J1539="Goat",IF(COUNTIF(lists!$J$2:$J$258, K1539) &gt; 0,"indigenous",IF(COUNTIF(lists!$I$2:$I$258, K1539) &gt; 0,"cross.bred","not found")),"NA")</f>
        <v>NA</v>
      </c>
      <c r="O1539" s="9" t="s">
        <v>109</v>
      </c>
      <c r="P1539" s="9" t="s">
        <v>106</v>
      </c>
      <c r="Q1539" s="9" t="s">
        <v>3804</v>
      </c>
      <c r="S1539" s="9">
        <v>141.6</v>
      </c>
      <c r="T1539" s="9">
        <v>106</v>
      </c>
      <c r="U1539" s="9">
        <v>233.1</v>
      </c>
      <c r="V1539" s="9">
        <v>916.6</v>
      </c>
      <c r="W1539" s="9" t="s">
        <v>106</v>
      </c>
      <c r="X1539" s="9">
        <v>246.2</v>
      </c>
      <c r="Y1539" s="9" t="s">
        <v>106</v>
      </c>
      <c r="Z1539" s="37"/>
      <c r="AA1539" s="37"/>
      <c r="AB1539" s="37"/>
      <c r="AE1539">
        <v>0</v>
      </c>
    </row>
    <row r="1540" spans="1:31" hidden="1">
      <c r="A1540" s="9" t="s">
        <v>1742</v>
      </c>
      <c r="B1540" s="9" t="s">
        <v>1748</v>
      </c>
      <c r="C1540" s="9" t="s">
        <v>105</v>
      </c>
      <c r="D1540" s="9">
        <v>0.65349999999999997</v>
      </c>
      <c r="E1540" s="9">
        <v>15.1</v>
      </c>
      <c r="F1540" s="9">
        <v>15.8</v>
      </c>
      <c r="G1540" s="9">
        <v>40.700000000000003</v>
      </c>
      <c r="H1540" s="9" t="s">
        <v>106</v>
      </c>
      <c r="I1540" s="9">
        <v>44</v>
      </c>
      <c r="J1540" s="9" t="s">
        <v>107</v>
      </c>
      <c r="K1540" s="9" t="s">
        <v>1032</v>
      </c>
      <c r="L1540" t="str">
        <f>IF(OR(J1540="Cattle",J1540="Zebu Cattle"),IF(COUNTIF(lists!$M$2:$M$258, K1540) &gt; 0,"bos.indicus",IF(COUNTIF(lists!$L$2:$L$258, K1540) &gt; 0,"cross.bred","pure.bred.exotic")),"NA")</f>
        <v>NA</v>
      </c>
      <c r="M1540" t="str">
        <f>IF(J1540="Sheep",IF(COUNTIF(lists!$H$2:$H$258, K1540) &gt; 0,"indigenous",IF(COUNTIF(lists!$G$2:$G$258, K1540) &gt; 0,"cross.bred","not found")),"NA")</f>
        <v>not found</v>
      </c>
      <c r="N1540" t="str">
        <f>IF(J1540="Goat",IF(COUNTIF(lists!$J$2:$J$258, K1540) &gt; 0,"indigenous",IF(COUNTIF(lists!$I$2:$I$258, K1540) &gt; 0,"cross.bred","not found")),"NA")</f>
        <v>NA</v>
      </c>
      <c r="O1540" s="9" t="s">
        <v>109</v>
      </c>
      <c r="P1540" s="9" t="s">
        <v>106</v>
      </c>
      <c r="Q1540" s="9" t="s">
        <v>3804</v>
      </c>
      <c r="S1540" s="9">
        <v>140.9</v>
      </c>
      <c r="T1540" s="9">
        <v>103.4</v>
      </c>
      <c r="U1540" s="9">
        <v>230</v>
      </c>
      <c r="V1540" s="9">
        <v>918.4</v>
      </c>
      <c r="W1540" s="9" t="s">
        <v>106</v>
      </c>
      <c r="X1540" s="9">
        <v>244.9</v>
      </c>
      <c r="Y1540" s="9" t="s">
        <v>106</v>
      </c>
      <c r="Z1540" s="37"/>
      <c r="AA1540" s="37"/>
      <c r="AB1540" s="37"/>
      <c r="AE1540">
        <v>0</v>
      </c>
    </row>
    <row r="1541" spans="1:31" hidden="1">
      <c r="A1541" s="9" t="s">
        <v>1742</v>
      </c>
      <c r="B1541" s="9" t="s">
        <v>1749</v>
      </c>
      <c r="C1541" s="9" t="s">
        <v>105</v>
      </c>
      <c r="D1541" s="9">
        <v>0.62949999999999995</v>
      </c>
      <c r="E1541" s="9">
        <v>15.1</v>
      </c>
      <c r="F1541" s="9">
        <v>15.6</v>
      </c>
      <c r="G1541" s="9">
        <v>38.4</v>
      </c>
      <c r="H1541" s="9" t="s">
        <v>106</v>
      </c>
      <c r="I1541" s="9">
        <v>44</v>
      </c>
      <c r="J1541" s="9" t="s">
        <v>107</v>
      </c>
      <c r="K1541" s="9" t="s">
        <v>1032</v>
      </c>
      <c r="L1541" t="str">
        <f>IF(OR(J1541="Cattle",J1541="Zebu Cattle"),IF(COUNTIF(lists!$M$2:$M$258, K1541) &gt; 0,"bos.indicus",IF(COUNTIF(lists!$L$2:$L$258, K1541) &gt; 0,"cross.bred","pure.bred.exotic")),"NA")</f>
        <v>NA</v>
      </c>
      <c r="M1541" t="str">
        <f>IF(J1541="Sheep",IF(COUNTIF(lists!$H$2:$H$258, K1541) &gt; 0,"indigenous",IF(COUNTIF(lists!$G$2:$G$258, K1541) &gt; 0,"cross.bred","not found")),"NA")</f>
        <v>not found</v>
      </c>
      <c r="N1541" t="str">
        <f>IF(J1541="Goat",IF(COUNTIF(lists!$J$2:$J$258, K1541) &gt; 0,"indigenous",IF(COUNTIF(lists!$I$2:$I$258, K1541) &gt; 0,"cross.bred","not found")),"NA")</f>
        <v>NA</v>
      </c>
      <c r="O1541" s="9" t="s">
        <v>109</v>
      </c>
      <c r="P1541" s="9" t="s">
        <v>106</v>
      </c>
      <c r="Q1541" s="9" t="s">
        <v>3804</v>
      </c>
      <c r="S1541" s="9">
        <v>146.5</v>
      </c>
      <c r="T1541" s="9">
        <v>102</v>
      </c>
      <c r="U1541" s="9">
        <v>222.5</v>
      </c>
      <c r="V1541" s="9">
        <v>912.6</v>
      </c>
      <c r="W1541" s="9" t="s">
        <v>106</v>
      </c>
      <c r="X1541" s="9">
        <v>237.5</v>
      </c>
      <c r="Y1541" s="9" t="s">
        <v>106</v>
      </c>
      <c r="Z1541" s="37"/>
      <c r="AA1541" s="37"/>
      <c r="AB1541" s="37"/>
      <c r="AE1541">
        <v>0</v>
      </c>
    </row>
    <row r="1542" spans="1:31" hidden="1">
      <c r="A1542" s="9" t="s">
        <v>1742</v>
      </c>
      <c r="B1542" s="9" t="s">
        <v>1750</v>
      </c>
      <c r="C1542" s="9" t="s">
        <v>105</v>
      </c>
      <c r="D1542" s="9">
        <v>0.62050000000000005</v>
      </c>
      <c r="E1542" s="9">
        <v>15.1</v>
      </c>
      <c r="F1542" s="9">
        <v>15.5</v>
      </c>
      <c r="G1542" s="9">
        <v>34.700000000000003</v>
      </c>
      <c r="H1542" s="9" t="s">
        <v>106</v>
      </c>
      <c r="I1542" s="9">
        <v>44</v>
      </c>
      <c r="J1542" s="9" t="s">
        <v>107</v>
      </c>
      <c r="K1542" s="9" t="s">
        <v>1032</v>
      </c>
      <c r="L1542" t="str">
        <f>IF(OR(J1542="Cattle",J1542="Zebu Cattle"),IF(COUNTIF(lists!$M$2:$M$258, K1542) &gt; 0,"bos.indicus",IF(COUNTIF(lists!$L$2:$L$258, K1542) &gt; 0,"cross.bred","pure.bred.exotic")),"NA")</f>
        <v>NA</v>
      </c>
      <c r="M1542" t="str">
        <f>IF(J1542="Sheep",IF(COUNTIF(lists!$H$2:$H$258, K1542) &gt; 0,"indigenous",IF(COUNTIF(lists!$G$2:$G$258, K1542) &gt; 0,"cross.bred","not found")),"NA")</f>
        <v>not found</v>
      </c>
      <c r="N1542" t="str">
        <f>IF(J1542="Goat",IF(COUNTIF(lists!$J$2:$J$258, K1542) &gt; 0,"indigenous",IF(COUNTIF(lists!$I$2:$I$258, K1542) &gt; 0,"cross.bred","not found")),"NA")</f>
        <v>NA</v>
      </c>
      <c r="O1542" s="9" t="s">
        <v>109</v>
      </c>
      <c r="P1542" s="9" t="s">
        <v>106</v>
      </c>
      <c r="Q1542" s="9" t="s">
        <v>3804</v>
      </c>
      <c r="S1542" s="9">
        <v>145.9</v>
      </c>
      <c r="T1542" s="9">
        <v>102.2</v>
      </c>
      <c r="U1542" s="9">
        <v>218.1</v>
      </c>
      <c r="V1542" s="9">
        <v>914.8</v>
      </c>
      <c r="W1542" s="9" t="s">
        <v>106</v>
      </c>
      <c r="X1542" s="9">
        <v>236.8</v>
      </c>
      <c r="Y1542" s="9" t="s">
        <v>106</v>
      </c>
      <c r="Z1542" s="37"/>
      <c r="AA1542" s="37"/>
      <c r="AB1542" s="37"/>
      <c r="AE1542">
        <v>0</v>
      </c>
    </row>
    <row r="1543" spans="1:31" hidden="1">
      <c r="A1543" s="9" t="s">
        <v>1742</v>
      </c>
      <c r="B1543" s="9" t="s">
        <v>1751</v>
      </c>
      <c r="C1543" s="9" t="s">
        <v>105</v>
      </c>
      <c r="D1543" s="9">
        <v>0.57050000000000001</v>
      </c>
      <c r="E1543" s="9">
        <v>15.1</v>
      </c>
      <c r="F1543" s="9">
        <v>15.6</v>
      </c>
      <c r="G1543" s="9">
        <v>29.2</v>
      </c>
      <c r="H1543" s="9" t="s">
        <v>106</v>
      </c>
      <c r="I1543" s="9">
        <v>44</v>
      </c>
      <c r="J1543" s="9" t="s">
        <v>107</v>
      </c>
      <c r="K1543" s="9" t="s">
        <v>1032</v>
      </c>
      <c r="L1543" t="str">
        <f>IF(OR(J1543="Cattle",J1543="Zebu Cattle"),IF(COUNTIF(lists!$M$2:$M$258, K1543) &gt; 0,"bos.indicus",IF(COUNTIF(lists!$L$2:$L$258, K1543) &gt; 0,"cross.bred","pure.bred.exotic")),"NA")</f>
        <v>NA</v>
      </c>
      <c r="M1543" t="str">
        <f>IF(J1543="Sheep",IF(COUNTIF(lists!$H$2:$H$258, K1543) &gt; 0,"indigenous",IF(COUNTIF(lists!$G$2:$G$258, K1543) &gt; 0,"cross.bred","not found")),"NA")</f>
        <v>not found</v>
      </c>
      <c r="N1543" t="str">
        <f>IF(J1543="Goat",IF(COUNTIF(lists!$J$2:$J$258, K1543) &gt; 0,"indigenous",IF(COUNTIF(lists!$I$2:$I$258, K1543) &gt; 0,"cross.bred","not found")),"NA")</f>
        <v>NA</v>
      </c>
      <c r="O1543" s="9" t="s">
        <v>109</v>
      </c>
      <c r="P1543" s="9" t="s">
        <v>106</v>
      </c>
      <c r="Q1543" s="9" t="s">
        <v>3804</v>
      </c>
      <c r="S1543" s="9">
        <v>127</v>
      </c>
      <c r="T1543" s="9">
        <v>59.9</v>
      </c>
      <c r="U1543" s="9">
        <v>165</v>
      </c>
      <c r="V1543" s="9">
        <v>873.1</v>
      </c>
      <c r="W1543" s="9" t="s">
        <v>106</v>
      </c>
      <c r="X1543" s="9">
        <v>469</v>
      </c>
      <c r="Y1543" s="9" t="s">
        <v>106</v>
      </c>
      <c r="Z1543" s="37"/>
      <c r="AA1543" s="37"/>
      <c r="AB1543" s="37"/>
      <c r="AE1543">
        <v>0</v>
      </c>
    </row>
    <row r="1544" spans="1:31" hidden="1">
      <c r="A1544" s="9" t="s">
        <v>1752</v>
      </c>
      <c r="B1544" s="9" t="s">
        <v>1753</v>
      </c>
      <c r="C1544" s="9" t="s">
        <v>105</v>
      </c>
      <c r="D1544" s="9">
        <v>0.56859999999999999</v>
      </c>
      <c r="E1544" s="9">
        <v>12.9</v>
      </c>
      <c r="F1544" s="9">
        <v>14.72</v>
      </c>
      <c r="G1544" s="9">
        <v>20.024999999999999</v>
      </c>
      <c r="H1544" s="9" t="s">
        <v>106</v>
      </c>
      <c r="I1544" s="9">
        <v>70</v>
      </c>
      <c r="J1544" s="9" t="s">
        <v>107</v>
      </c>
      <c r="K1544" s="9" t="s">
        <v>1032</v>
      </c>
      <c r="L1544" t="str">
        <f>IF(OR(J1544="Cattle",J1544="Zebu Cattle"),IF(COUNTIF(lists!$M$2:$M$258, K1544) &gt; 0,"bos.indicus",IF(COUNTIF(lists!$L$2:$L$258, K1544) &gt; 0,"cross.bred","pure.bred.exotic")),"NA")</f>
        <v>NA</v>
      </c>
      <c r="M1544" t="str">
        <f>IF(J1544="Sheep",IF(COUNTIF(lists!$H$2:$H$258, K1544) &gt; 0,"indigenous",IF(COUNTIF(lists!$G$2:$G$258, K1544) &gt; 0,"cross.bred","not found")),"NA")</f>
        <v>not found</v>
      </c>
      <c r="N1544" t="str">
        <f>IF(J1544="Goat",IF(COUNTIF(lists!$J$2:$J$258, K1544) &gt; 0,"indigenous",IF(COUNTIF(lists!$I$2:$I$258, K1544) &gt; 0,"cross.bred","not found")),"NA")</f>
        <v>NA</v>
      </c>
      <c r="O1544" s="9" t="s">
        <v>109</v>
      </c>
      <c r="P1544" s="9" t="s">
        <v>106</v>
      </c>
      <c r="Q1544" s="9" t="s">
        <v>3805</v>
      </c>
      <c r="S1544" s="9" t="s">
        <v>106</v>
      </c>
      <c r="T1544" s="9" t="s">
        <v>106</v>
      </c>
      <c r="U1544" s="9" t="s">
        <v>106</v>
      </c>
      <c r="V1544" s="9" t="s">
        <v>106</v>
      </c>
      <c r="W1544" s="9" t="s">
        <v>106</v>
      </c>
      <c r="X1544" s="9" t="s">
        <v>106</v>
      </c>
      <c r="Y1544" s="9" t="s">
        <v>106</v>
      </c>
      <c r="Z1544" s="37"/>
      <c r="AA1544" s="37"/>
      <c r="AB1544" s="37"/>
      <c r="AE1544">
        <v>0</v>
      </c>
    </row>
    <row r="1545" spans="1:31" hidden="1">
      <c r="A1545" s="9" t="s">
        <v>1752</v>
      </c>
      <c r="B1545" s="9" t="s">
        <v>1754</v>
      </c>
      <c r="C1545" s="9" t="s">
        <v>105</v>
      </c>
      <c r="D1545" s="9">
        <v>0.59909999999999997</v>
      </c>
      <c r="E1545" s="9">
        <v>12.9</v>
      </c>
      <c r="F1545" s="9">
        <v>14.75</v>
      </c>
      <c r="G1545" s="9">
        <v>19.71</v>
      </c>
      <c r="H1545" s="9" t="s">
        <v>106</v>
      </c>
      <c r="I1545" s="9">
        <v>70</v>
      </c>
      <c r="J1545" s="9" t="s">
        <v>107</v>
      </c>
      <c r="K1545" s="9" t="s">
        <v>1032</v>
      </c>
      <c r="L1545" t="str">
        <f>IF(OR(J1545="Cattle",J1545="Zebu Cattle"),IF(COUNTIF(lists!$M$2:$M$258, K1545) &gt; 0,"bos.indicus",IF(COUNTIF(lists!$L$2:$L$258, K1545) &gt; 0,"cross.bred","pure.bred.exotic")),"NA")</f>
        <v>NA</v>
      </c>
      <c r="M1545" t="str">
        <f>IF(J1545="Sheep",IF(COUNTIF(lists!$H$2:$H$258, K1545) &gt; 0,"indigenous",IF(COUNTIF(lists!$G$2:$G$258, K1545) &gt; 0,"cross.bred","not found")),"NA")</f>
        <v>not found</v>
      </c>
      <c r="N1545" t="str">
        <f>IF(J1545="Goat",IF(COUNTIF(lists!$J$2:$J$258, K1545) &gt; 0,"indigenous",IF(COUNTIF(lists!$I$2:$I$258, K1545) &gt; 0,"cross.bred","not found")),"NA")</f>
        <v>NA</v>
      </c>
      <c r="O1545" s="9" t="s">
        <v>109</v>
      </c>
      <c r="P1545" s="9" t="s">
        <v>106</v>
      </c>
      <c r="Q1545" s="9" t="s">
        <v>3805</v>
      </c>
      <c r="S1545" s="9" t="s">
        <v>106</v>
      </c>
      <c r="T1545" s="9" t="s">
        <v>106</v>
      </c>
      <c r="U1545" s="9" t="s">
        <v>106</v>
      </c>
      <c r="V1545" s="9" t="s">
        <v>106</v>
      </c>
      <c r="W1545" s="9" t="s">
        <v>106</v>
      </c>
      <c r="X1545" s="9" t="s">
        <v>106</v>
      </c>
      <c r="Y1545" s="9" t="s">
        <v>106</v>
      </c>
      <c r="Z1545" s="37"/>
      <c r="AA1545" s="37"/>
      <c r="AB1545" s="37"/>
      <c r="AE1545">
        <v>0</v>
      </c>
    </row>
    <row r="1546" spans="1:31" hidden="1">
      <c r="A1546" s="9" t="s">
        <v>1752</v>
      </c>
      <c r="B1546" s="9" t="s">
        <v>1755</v>
      </c>
      <c r="C1546" s="9" t="s">
        <v>105</v>
      </c>
      <c r="D1546" s="9">
        <v>0.60360000000000003</v>
      </c>
      <c r="E1546" s="9">
        <v>12.9</v>
      </c>
      <c r="F1546" s="9">
        <v>14.68</v>
      </c>
      <c r="G1546" s="9">
        <v>21.565000000000001</v>
      </c>
      <c r="H1546" s="9" t="s">
        <v>106</v>
      </c>
      <c r="I1546" s="9">
        <v>70</v>
      </c>
      <c r="J1546" s="9" t="s">
        <v>107</v>
      </c>
      <c r="K1546" s="9" t="s">
        <v>1032</v>
      </c>
      <c r="L1546" t="str">
        <f>IF(OR(J1546="Cattle",J1546="Zebu Cattle"),IF(COUNTIF(lists!$M$2:$M$258, K1546) &gt; 0,"bos.indicus",IF(COUNTIF(lists!$L$2:$L$258, K1546) &gt; 0,"cross.bred","pure.bred.exotic")),"NA")</f>
        <v>NA</v>
      </c>
      <c r="M1546" t="str">
        <f>IF(J1546="Sheep",IF(COUNTIF(lists!$H$2:$H$258, K1546) &gt; 0,"indigenous",IF(COUNTIF(lists!$G$2:$G$258, K1546) &gt; 0,"cross.bred","not found")),"NA")</f>
        <v>not found</v>
      </c>
      <c r="N1546" t="str">
        <f>IF(J1546="Goat",IF(COUNTIF(lists!$J$2:$J$258, K1546) &gt; 0,"indigenous",IF(COUNTIF(lists!$I$2:$I$258, K1546) &gt; 0,"cross.bred","not found")),"NA")</f>
        <v>NA</v>
      </c>
      <c r="O1546" s="9" t="s">
        <v>109</v>
      </c>
      <c r="P1546" s="9" t="s">
        <v>106</v>
      </c>
      <c r="Q1546" s="9" t="s">
        <v>3805</v>
      </c>
      <c r="S1546" s="9" t="s">
        <v>106</v>
      </c>
      <c r="T1546" s="9" t="s">
        <v>106</v>
      </c>
      <c r="U1546" s="9" t="s">
        <v>106</v>
      </c>
      <c r="V1546" s="9" t="s">
        <v>106</v>
      </c>
      <c r="W1546" s="9" t="s">
        <v>106</v>
      </c>
      <c r="X1546" s="9" t="s">
        <v>106</v>
      </c>
      <c r="Y1546" s="9" t="s">
        <v>106</v>
      </c>
      <c r="Z1546" s="37"/>
      <c r="AA1546" s="37"/>
      <c r="AB1546" s="37"/>
      <c r="AE1546">
        <v>0</v>
      </c>
    </row>
    <row r="1547" spans="1:31" hidden="1">
      <c r="A1547" s="9" t="s">
        <v>1752</v>
      </c>
      <c r="B1547" s="9" t="s">
        <v>1756</v>
      </c>
      <c r="C1547" s="9" t="s">
        <v>105</v>
      </c>
      <c r="D1547" s="9">
        <v>0.63379999999999903</v>
      </c>
      <c r="E1547" s="9">
        <v>12.9</v>
      </c>
      <c r="F1547" s="9">
        <v>14.73</v>
      </c>
      <c r="G1547" s="9">
        <v>23.13</v>
      </c>
      <c r="H1547" s="9" t="s">
        <v>106</v>
      </c>
      <c r="I1547" s="9">
        <v>70</v>
      </c>
      <c r="J1547" s="9" t="s">
        <v>107</v>
      </c>
      <c r="K1547" s="9" t="s">
        <v>1032</v>
      </c>
      <c r="L1547" t="str">
        <f>IF(OR(J1547="Cattle",J1547="Zebu Cattle"),IF(COUNTIF(lists!$M$2:$M$258, K1547) &gt; 0,"bos.indicus",IF(COUNTIF(lists!$L$2:$L$258, K1547) &gt; 0,"cross.bred","pure.bred.exotic")),"NA")</f>
        <v>NA</v>
      </c>
      <c r="M1547" t="str">
        <f>IF(J1547="Sheep",IF(COUNTIF(lists!$H$2:$H$258, K1547) &gt; 0,"indigenous",IF(COUNTIF(lists!$G$2:$G$258, K1547) &gt; 0,"cross.bred","not found")),"NA")</f>
        <v>not found</v>
      </c>
      <c r="N1547" t="str">
        <f>IF(J1547="Goat",IF(COUNTIF(lists!$J$2:$J$258, K1547) &gt; 0,"indigenous",IF(COUNTIF(lists!$I$2:$I$258, K1547) &gt; 0,"cross.bred","not found")),"NA")</f>
        <v>NA</v>
      </c>
      <c r="O1547" s="9" t="s">
        <v>109</v>
      </c>
      <c r="P1547" s="9" t="s">
        <v>106</v>
      </c>
      <c r="Q1547" s="9" t="s">
        <v>3805</v>
      </c>
      <c r="S1547" s="9" t="s">
        <v>106</v>
      </c>
      <c r="T1547" s="9" t="s">
        <v>106</v>
      </c>
      <c r="U1547" s="9" t="s">
        <v>106</v>
      </c>
      <c r="V1547" s="9" t="s">
        <v>106</v>
      </c>
      <c r="W1547" s="9" t="s">
        <v>106</v>
      </c>
      <c r="X1547" s="9" t="s">
        <v>106</v>
      </c>
      <c r="Y1547" s="9" t="s">
        <v>106</v>
      </c>
      <c r="Z1547" s="37"/>
      <c r="AA1547" s="37"/>
      <c r="AB1547" s="37"/>
      <c r="AE1547">
        <v>0</v>
      </c>
    </row>
    <row r="1548" spans="1:31" hidden="1">
      <c r="A1548" s="9" t="s">
        <v>1752</v>
      </c>
      <c r="B1548" s="9" t="s">
        <v>1757</v>
      </c>
      <c r="C1548" s="9" t="s">
        <v>105</v>
      </c>
      <c r="D1548" s="9">
        <v>0.57879999999999998</v>
      </c>
      <c r="E1548" s="9">
        <v>12.9</v>
      </c>
      <c r="F1548" s="9">
        <v>14.81</v>
      </c>
      <c r="G1548" s="9">
        <v>21.625</v>
      </c>
      <c r="H1548" s="9" t="s">
        <v>106</v>
      </c>
      <c r="I1548" s="9">
        <v>70</v>
      </c>
      <c r="J1548" s="9" t="s">
        <v>107</v>
      </c>
      <c r="K1548" s="9" t="s">
        <v>1032</v>
      </c>
      <c r="L1548" t="str">
        <f>IF(OR(J1548="Cattle",J1548="Zebu Cattle"),IF(COUNTIF(lists!$M$2:$M$258, K1548) &gt; 0,"bos.indicus",IF(COUNTIF(lists!$L$2:$L$258, K1548) &gt; 0,"cross.bred","pure.bred.exotic")),"NA")</f>
        <v>NA</v>
      </c>
      <c r="M1548" t="str">
        <f>IF(J1548="Sheep",IF(COUNTIF(lists!$H$2:$H$258, K1548) &gt; 0,"indigenous",IF(COUNTIF(lists!$G$2:$G$258, K1548) &gt; 0,"cross.bred","not found")),"NA")</f>
        <v>not found</v>
      </c>
      <c r="N1548" t="str">
        <f>IF(J1548="Goat",IF(COUNTIF(lists!$J$2:$J$258, K1548) &gt; 0,"indigenous",IF(COUNTIF(lists!$I$2:$I$258, K1548) &gt; 0,"cross.bred","not found")),"NA")</f>
        <v>NA</v>
      </c>
      <c r="O1548" s="9" t="s">
        <v>109</v>
      </c>
      <c r="P1548" s="9" t="s">
        <v>106</v>
      </c>
      <c r="Q1548" s="9" t="s">
        <v>3805</v>
      </c>
      <c r="S1548" s="9" t="s">
        <v>106</v>
      </c>
      <c r="T1548" s="9" t="s">
        <v>106</v>
      </c>
      <c r="U1548" s="9" t="s">
        <v>106</v>
      </c>
      <c r="V1548" s="9" t="s">
        <v>106</v>
      </c>
      <c r="W1548" s="9" t="s">
        <v>106</v>
      </c>
      <c r="X1548" s="9" t="s">
        <v>106</v>
      </c>
      <c r="Y1548" s="9" t="s">
        <v>106</v>
      </c>
      <c r="Z1548" s="37"/>
      <c r="AA1548" s="37"/>
      <c r="AB1548" s="37"/>
      <c r="AE1548">
        <v>0</v>
      </c>
    </row>
    <row r="1549" spans="1:31" hidden="1">
      <c r="A1549" s="9" t="s">
        <v>1752</v>
      </c>
      <c r="B1549" s="9" t="s">
        <v>1758</v>
      </c>
      <c r="C1549" s="9" t="s">
        <v>105</v>
      </c>
      <c r="D1549" s="9">
        <v>0.61279999999999901</v>
      </c>
      <c r="E1549" s="9">
        <v>12.9</v>
      </c>
      <c r="F1549" s="9">
        <v>14.8</v>
      </c>
      <c r="G1549" s="9">
        <v>22.02</v>
      </c>
      <c r="H1549" s="9" t="s">
        <v>106</v>
      </c>
      <c r="I1549" s="9">
        <v>70</v>
      </c>
      <c r="J1549" s="9" t="s">
        <v>107</v>
      </c>
      <c r="K1549" s="9" t="s">
        <v>1032</v>
      </c>
      <c r="L1549" t="str">
        <f>IF(OR(J1549="Cattle",J1549="Zebu Cattle"),IF(COUNTIF(lists!$M$2:$M$258, K1549) &gt; 0,"bos.indicus",IF(COUNTIF(lists!$L$2:$L$258, K1549) &gt; 0,"cross.bred","pure.bred.exotic")),"NA")</f>
        <v>NA</v>
      </c>
      <c r="M1549" t="str">
        <f>IF(J1549="Sheep",IF(COUNTIF(lists!$H$2:$H$258, K1549) &gt; 0,"indigenous",IF(COUNTIF(lists!$G$2:$G$258, K1549) &gt; 0,"cross.bred","not found")),"NA")</f>
        <v>not found</v>
      </c>
      <c r="N1549" t="str">
        <f>IF(J1549="Goat",IF(COUNTIF(lists!$J$2:$J$258, K1549) &gt; 0,"indigenous",IF(COUNTIF(lists!$I$2:$I$258, K1549) &gt; 0,"cross.bred","not found")),"NA")</f>
        <v>NA</v>
      </c>
      <c r="O1549" s="9" t="s">
        <v>109</v>
      </c>
      <c r="P1549" s="9" t="s">
        <v>106</v>
      </c>
      <c r="Q1549" s="9" t="s">
        <v>3805</v>
      </c>
      <c r="S1549" s="9" t="s">
        <v>106</v>
      </c>
      <c r="T1549" s="9" t="s">
        <v>106</v>
      </c>
      <c r="U1549" s="9" t="s">
        <v>106</v>
      </c>
      <c r="V1549" s="9" t="s">
        <v>106</v>
      </c>
      <c r="W1549" s="9" t="s">
        <v>106</v>
      </c>
      <c r="X1549" s="9" t="s">
        <v>106</v>
      </c>
      <c r="Y1549" s="9" t="s">
        <v>106</v>
      </c>
      <c r="Z1549" s="37"/>
      <c r="AA1549" s="37"/>
      <c r="AB1549" s="37"/>
      <c r="AE1549">
        <v>0</v>
      </c>
    </row>
    <row r="1550" spans="1:31" hidden="1">
      <c r="A1550" s="9" t="s">
        <v>1752</v>
      </c>
      <c r="B1550" s="9" t="s">
        <v>1759</v>
      </c>
      <c r="C1550" s="9" t="s">
        <v>105</v>
      </c>
      <c r="D1550" s="9">
        <v>0.63719999999999999</v>
      </c>
      <c r="E1550" s="9">
        <v>12.9</v>
      </c>
      <c r="F1550" s="9">
        <v>14.91</v>
      </c>
      <c r="G1550" s="9">
        <v>27.72</v>
      </c>
      <c r="H1550" s="9" t="s">
        <v>106</v>
      </c>
      <c r="I1550" s="9">
        <v>70</v>
      </c>
      <c r="J1550" s="9" t="s">
        <v>107</v>
      </c>
      <c r="K1550" s="9" t="s">
        <v>1032</v>
      </c>
      <c r="L1550" t="str">
        <f>IF(OR(J1550="Cattle",J1550="Zebu Cattle"),IF(COUNTIF(lists!$M$2:$M$258, K1550) &gt; 0,"bos.indicus",IF(COUNTIF(lists!$L$2:$L$258, K1550) &gt; 0,"cross.bred","pure.bred.exotic")),"NA")</f>
        <v>NA</v>
      </c>
      <c r="M1550" t="str">
        <f>IF(J1550="Sheep",IF(COUNTIF(lists!$H$2:$H$258, K1550) &gt; 0,"indigenous",IF(COUNTIF(lists!$G$2:$G$258, K1550) &gt; 0,"cross.bred","not found")),"NA")</f>
        <v>not found</v>
      </c>
      <c r="N1550" t="str">
        <f>IF(J1550="Goat",IF(COUNTIF(lists!$J$2:$J$258, K1550) &gt; 0,"indigenous",IF(COUNTIF(lists!$I$2:$I$258, K1550) &gt; 0,"cross.bred","not found")),"NA")</f>
        <v>NA</v>
      </c>
      <c r="O1550" s="9" t="s">
        <v>109</v>
      </c>
      <c r="P1550" s="9" t="s">
        <v>106</v>
      </c>
      <c r="Q1550" s="9" t="s">
        <v>3805</v>
      </c>
      <c r="S1550" s="9" t="s">
        <v>106</v>
      </c>
      <c r="T1550" s="9" t="s">
        <v>106</v>
      </c>
      <c r="U1550" s="9" t="s">
        <v>106</v>
      </c>
      <c r="V1550" s="9" t="s">
        <v>106</v>
      </c>
      <c r="W1550" s="9" t="s">
        <v>106</v>
      </c>
      <c r="X1550" s="9" t="s">
        <v>106</v>
      </c>
      <c r="Y1550" s="9" t="s">
        <v>106</v>
      </c>
      <c r="Z1550" s="37"/>
      <c r="AA1550" s="37"/>
      <c r="AB1550" s="37"/>
      <c r="AE1550">
        <v>0</v>
      </c>
    </row>
    <row r="1551" spans="1:31" hidden="1">
      <c r="A1551" s="9" t="s">
        <v>1762</v>
      </c>
      <c r="B1551" s="9" t="s">
        <v>1763</v>
      </c>
      <c r="C1551" s="9" t="s">
        <v>105</v>
      </c>
      <c r="D1551" s="9">
        <v>0.69729999999999903</v>
      </c>
      <c r="E1551" s="9">
        <v>16.559999999999999</v>
      </c>
      <c r="F1551" s="9">
        <v>19.399999999999999</v>
      </c>
      <c r="G1551" s="9">
        <v>37.9</v>
      </c>
      <c r="H1551" s="9" t="s">
        <v>106</v>
      </c>
      <c r="I1551" s="9">
        <v>25</v>
      </c>
      <c r="J1551" s="9" t="s">
        <v>107</v>
      </c>
      <c r="K1551" s="9" t="s">
        <v>152</v>
      </c>
      <c r="L1551" t="str">
        <f>IF(OR(J1551="Cattle",J1551="Zebu Cattle"),IF(COUNTIF(lists!$M$2:$M$258, K1551) &gt; 0,"bos.indicus",IF(COUNTIF(lists!$L$2:$L$258, K1551) &gt; 0,"cross.bred","pure.bred.exotic")),"NA")</f>
        <v>NA</v>
      </c>
      <c r="M1551" t="str">
        <f>IF(J1551="Sheep",IF(COUNTIF(lists!$H$2:$H$258, K1551) &gt; 0,"indigenous",IF(COUNTIF(lists!$G$2:$G$258, K1551) &gt; 0,"cross.bred","not found")),"NA")</f>
        <v>not found</v>
      </c>
      <c r="N1551" t="str">
        <f>IF(J1551="Goat",IF(COUNTIF(lists!$J$2:$J$258, K1551) &gt; 0,"indigenous",IF(COUNTIF(lists!$I$2:$I$258, K1551) &gt; 0,"cross.bred","not found")),"NA")</f>
        <v>NA</v>
      </c>
      <c r="O1551" s="9" t="s">
        <v>109</v>
      </c>
      <c r="P1551" s="9" t="s">
        <v>106</v>
      </c>
      <c r="Q1551" s="9" t="s">
        <v>3804</v>
      </c>
      <c r="S1551" s="9" t="s">
        <v>106</v>
      </c>
      <c r="T1551" s="9" t="s">
        <v>106</v>
      </c>
      <c r="U1551" s="9" t="s">
        <v>106</v>
      </c>
      <c r="V1551" s="9" t="s">
        <v>106</v>
      </c>
      <c r="W1551" s="9" t="s">
        <v>106</v>
      </c>
      <c r="X1551" s="9" t="s">
        <v>106</v>
      </c>
      <c r="Y1551" s="9">
        <v>55</v>
      </c>
      <c r="Z1551" s="37"/>
      <c r="AA1551" s="37"/>
      <c r="AB1551" s="37"/>
      <c r="AE1551">
        <v>0</v>
      </c>
    </row>
    <row r="1552" spans="1:31" hidden="1">
      <c r="A1552" s="9" t="s">
        <v>1762</v>
      </c>
      <c r="B1552" s="9" t="s">
        <v>1764</v>
      </c>
      <c r="C1552" s="9" t="s">
        <v>105</v>
      </c>
      <c r="D1552" s="9">
        <v>0.69029999999999903</v>
      </c>
      <c r="E1552" s="9">
        <v>16.559999999999999</v>
      </c>
      <c r="F1552" s="9">
        <v>19.2</v>
      </c>
      <c r="G1552" s="9">
        <v>45.6</v>
      </c>
      <c r="H1552" s="9" t="s">
        <v>106</v>
      </c>
      <c r="I1552" s="9">
        <v>25</v>
      </c>
      <c r="J1552" s="9" t="s">
        <v>107</v>
      </c>
      <c r="K1552" s="9" t="s">
        <v>152</v>
      </c>
      <c r="L1552" t="str">
        <f>IF(OR(J1552="Cattle",J1552="Zebu Cattle"),IF(COUNTIF(lists!$M$2:$M$258, K1552) &gt; 0,"bos.indicus",IF(COUNTIF(lists!$L$2:$L$258, K1552) &gt; 0,"cross.bred","pure.bred.exotic")),"NA")</f>
        <v>NA</v>
      </c>
      <c r="M1552" t="str">
        <f>IF(J1552="Sheep",IF(COUNTIF(lists!$H$2:$H$258, K1552) &gt; 0,"indigenous",IF(COUNTIF(lists!$G$2:$G$258, K1552) &gt; 0,"cross.bred","not found")),"NA")</f>
        <v>not found</v>
      </c>
      <c r="N1552" t="str">
        <f>IF(J1552="Goat",IF(COUNTIF(lists!$J$2:$J$258, K1552) &gt; 0,"indigenous",IF(COUNTIF(lists!$I$2:$I$258, K1552) &gt; 0,"cross.bred","not found")),"NA")</f>
        <v>NA</v>
      </c>
      <c r="O1552" s="9" t="s">
        <v>109</v>
      </c>
      <c r="P1552" s="9" t="s">
        <v>106</v>
      </c>
      <c r="Q1552" s="9" t="s">
        <v>3804</v>
      </c>
      <c r="S1552" s="9" t="s">
        <v>106</v>
      </c>
      <c r="T1552" s="9" t="s">
        <v>106</v>
      </c>
      <c r="U1552" s="9" t="s">
        <v>106</v>
      </c>
      <c r="V1552" s="9" t="s">
        <v>106</v>
      </c>
      <c r="W1552" s="9" t="s">
        <v>106</v>
      </c>
      <c r="X1552" s="9" t="s">
        <v>106</v>
      </c>
      <c r="Y1552" s="9">
        <v>59</v>
      </c>
      <c r="Z1552" s="37"/>
      <c r="AA1552" s="37"/>
      <c r="AB1552" s="37"/>
      <c r="AE1552">
        <v>0</v>
      </c>
    </row>
    <row r="1553" spans="1:31" hidden="1">
      <c r="A1553" s="9" t="s">
        <v>1762</v>
      </c>
      <c r="B1553" s="9" t="s">
        <v>455</v>
      </c>
      <c r="C1553" s="9" t="s">
        <v>105</v>
      </c>
      <c r="D1553" s="9">
        <v>0.61009999999999998</v>
      </c>
      <c r="E1553" s="9">
        <v>16.559999999999999</v>
      </c>
      <c r="F1553" s="9">
        <v>19.3</v>
      </c>
      <c r="G1553" s="9">
        <v>0.22</v>
      </c>
      <c r="H1553" s="9" t="s">
        <v>106</v>
      </c>
      <c r="I1553" s="9">
        <v>25</v>
      </c>
      <c r="J1553" s="9" t="s">
        <v>107</v>
      </c>
      <c r="K1553" s="9" t="s">
        <v>152</v>
      </c>
      <c r="L1553" t="str">
        <f>IF(OR(J1553="Cattle",J1553="Zebu Cattle"),IF(COUNTIF(lists!$M$2:$M$258, K1553) &gt; 0,"bos.indicus",IF(COUNTIF(lists!$L$2:$L$258, K1553) &gt; 0,"cross.bred","pure.bred.exotic")),"NA")</f>
        <v>NA</v>
      </c>
      <c r="M1553" t="str">
        <f>IF(J1553="Sheep",IF(COUNTIF(lists!$H$2:$H$258, K1553) &gt; 0,"indigenous",IF(COUNTIF(lists!$G$2:$G$258, K1553) &gt; 0,"cross.bred","not found")),"NA")</f>
        <v>not found</v>
      </c>
      <c r="N1553" t="str">
        <f>IF(J1553="Goat",IF(COUNTIF(lists!$J$2:$J$258, K1553) &gt; 0,"indigenous",IF(COUNTIF(lists!$I$2:$I$258, K1553) &gt; 0,"cross.bred","not found")),"NA")</f>
        <v>NA</v>
      </c>
      <c r="O1553" s="9" t="s">
        <v>109</v>
      </c>
      <c r="P1553" s="9" t="s">
        <v>106</v>
      </c>
      <c r="Q1553" s="9" t="s">
        <v>3804</v>
      </c>
      <c r="S1553" s="9">
        <v>468.4</v>
      </c>
      <c r="T1553" s="9">
        <v>102</v>
      </c>
      <c r="U1553" s="9">
        <v>70.2</v>
      </c>
      <c r="V1553" s="9">
        <v>920.9</v>
      </c>
      <c r="W1553" s="9" t="s">
        <v>106</v>
      </c>
      <c r="X1553" s="9">
        <v>739.7</v>
      </c>
      <c r="Y1553" s="9">
        <v>56</v>
      </c>
      <c r="Z1553" s="37"/>
      <c r="AA1553" s="37"/>
      <c r="AB1553" s="37"/>
      <c r="AE1553">
        <v>0</v>
      </c>
    </row>
    <row r="1554" spans="1:31" hidden="1">
      <c r="A1554" s="9" t="s">
        <v>1762</v>
      </c>
      <c r="B1554" s="9" t="s">
        <v>1765</v>
      </c>
      <c r="C1554" s="9" t="s">
        <v>105</v>
      </c>
      <c r="D1554" s="9">
        <v>0.70199999999999996</v>
      </c>
      <c r="E1554" s="9">
        <v>16.559999999999999</v>
      </c>
      <c r="F1554" s="9">
        <v>19</v>
      </c>
      <c r="G1554" s="9">
        <v>57.8</v>
      </c>
      <c r="H1554" s="9" t="s">
        <v>106</v>
      </c>
      <c r="I1554" s="9">
        <v>25</v>
      </c>
      <c r="J1554" s="9" t="s">
        <v>107</v>
      </c>
      <c r="K1554" s="9" t="s">
        <v>152</v>
      </c>
      <c r="L1554" t="str">
        <f>IF(OR(J1554="Cattle",J1554="Zebu Cattle"),IF(COUNTIF(lists!$M$2:$M$258, K1554) &gt; 0,"bos.indicus",IF(COUNTIF(lists!$L$2:$L$258, K1554) &gt; 0,"cross.bred","pure.bred.exotic")),"NA")</f>
        <v>NA</v>
      </c>
      <c r="M1554" t="str">
        <f>IF(J1554="Sheep",IF(COUNTIF(lists!$H$2:$H$258, K1554) &gt; 0,"indigenous",IF(COUNTIF(lists!$G$2:$G$258, K1554) &gt; 0,"cross.bred","not found")),"NA")</f>
        <v>not found</v>
      </c>
      <c r="N1554" t="str">
        <f>IF(J1554="Goat",IF(COUNTIF(lists!$J$2:$J$258, K1554) &gt; 0,"indigenous",IF(COUNTIF(lists!$I$2:$I$258, K1554) &gt; 0,"cross.bred","not found")),"NA")</f>
        <v>NA</v>
      </c>
      <c r="O1554" s="9" t="s">
        <v>109</v>
      </c>
      <c r="P1554" s="9" t="s">
        <v>106</v>
      </c>
      <c r="Q1554" s="9" t="s">
        <v>3804</v>
      </c>
      <c r="S1554" s="9">
        <v>305.7</v>
      </c>
      <c r="T1554" s="9">
        <v>98</v>
      </c>
      <c r="U1554" s="9">
        <v>312.60000000000002</v>
      </c>
      <c r="V1554" s="9">
        <v>948</v>
      </c>
      <c r="W1554" s="9" t="s">
        <v>106</v>
      </c>
      <c r="X1554" s="9">
        <v>362.7</v>
      </c>
      <c r="Y1554" s="9">
        <v>56</v>
      </c>
      <c r="Z1554" s="37"/>
      <c r="AA1554" s="37"/>
      <c r="AB1554" s="37"/>
      <c r="AE1554">
        <v>0</v>
      </c>
    </row>
    <row r="1555" spans="1:31" hidden="1">
      <c r="A1555" s="9" t="s">
        <v>1762</v>
      </c>
      <c r="B1555" s="9" t="s">
        <v>1766</v>
      </c>
      <c r="C1555" s="9" t="s">
        <v>105</v>
      </c>
      <c r="D1555" s="9">
        <v>0.72029999999999905</v>
      </c>
      <c r="E1555" s="9">
        <v>16.559999999999999</v>
      </c>
      <c r="F1555" s="9">
        <v>19.399999999999999</v>
      </c>
      <c r="G1555" s="9">
        <v>5.6</v>
      </c>
      <c r="H1555" s="9" t="s">
        <v>106</v>
      </c>
      <c r="I1555" s="9">
        <v>25</v>
      </c>
      <c r="J1555" s="9" t="s">
        <v>107</v>
      </c>
      <c r="K1555" s="9" t="s">
        <v>152</v>
      </c>
      <c r="L1555" t="str">
        <f>IF(OR(J1555="Cattle",J1555="Zebu Cattle"),IF(COUNTIF(lists!$M$2:$M$258, K1555) &gt; 0,"bos.indicus",IF(COUNTIF(lists!$L$2:$L$258, K1555) &gt; 0,"cross.bred","pure.bred.exotic")),"NA")</f>
        <v>NA</v>
      </c>
      <c r="M1555" t="str">
        <f>IF(J1555="Sheep",IF(COUNTIF(lists!$H$2:$H$258, K1555) &gt; 0,"indigenous",IF(COUNTIF(lists!$G$2:$G$258, K1555) &gt; 0,"cross.bred","not found")),"NA")</f>
        <v>not found</v>
      </c>
      <c r="N1555" t="str">
        <f>IF(J1555="Goat",IF(COUNTIF(lists!$J$2:$J$258, K1555) &gt; 0,"indigenous",IF(COUNTIF(lists!$I$2:$I$258, K1555) &gt; 0,"cross.bred","not found")),"NA")</f>
        <v>NA</v>
      </c>
      <c r="O1555" s="9" t="s">
        <v>109</v>
      </c>
      <c r="P1555" s="9" t="s">
        <v>106</v>
      </c>
      <c r="Q1555" s="9" t="s">
        <v>3804</v>
      </c>
      <c r="S1555" s="9">
        <v>186.7</v>
      </c>
      <c r="T1555" s="9">
        <v>165</v>
      </c>
      <c r="U1555" s="9">
        <v>110.3</v>
      </c>
      <c r="V1555" s="9">
        <v>939.1</v>
      </c>
      <c r="W1555" s="9" t="s">
        <v>106</v>
      </c>
      <c r="X1555" s="9">
        <v>407.4</v>
      </c>
      <c r="Y1555" s="9">
        <v>50</v>
      </c>
      <c r="Z1555" s="37"/>
      <c r="AA1555" s="37"/>
      <c r="AB1555" s="37"/>
      <c r="AE1555">
        <v>0</v>
      </c>
    </row>
    <row r="1556" spans="1:31" hidden="1">
      <c r="A1556" s="9" t="s">
        <v>1767</v>
      </c>
      <c r="B1556" s="9" t="s">
        <v>1768</v>
      </c>
      <c r="C1556" s="9" t="s">
        <v>105</v>
      </c>
      <c r="D1556" s="9">
        <v>0.70099999999999996</v>
      </c>
      <c r="E1556" s="9">
        <v>49.8</v>
      </c>
      <c r="F1556" s="9">
        <v>24.9</v>
      </c>
      <c r="G1556" s="9">
        <v>47.142857142857203</v>
      </c>
      <c r="H1556" s="9" t="s">
        <v>106</v>
      </c>
      <c r="I1556" s="9">
        <v>24</v>
      </c>
      <c r="J1556" s="9" t="s">
        <v>107</v>
      </c>
      <c r="K1556" s="9" t="s">
        <v>1310</v>
      </c>
      <c r="L1556" t="str">
        <f>IF(OR(J1556="Cattle",J1556="Zebu Cattle"),IF(COUNTIF(lists!$M$2:$M$258, K1556) &gt; 0,"bos.indicus",IF(COUNTIF(lists!$L$2:$L$258, K1556) &gt; 0,"cross.bred","pure.bred.exotic")),"NA")</f>
        <v>NA</v>
      </c>
      <c r="M1556" t="str">
        <f>IF(J1556="Sheep",IF(COUNTIF(lists!$H$2:$H$258, K1556) &gt; 0,"indigenous",IF(COUNTIF(lists!$G$2:$G$258, K1556) &gt; 0,"cross.bred","not found")),"NA")</f>
        <v>not found</v>
      </c>
      <c r="N1556" t="str">
        <f>IF(J1556="Goat",IF(COUNTIF(lists!$J$2:$J$258, K1556) &gt; 0,"indigenous",IF(COUNTIF(lists!$I$2:$I$258, K1556) &gt; 0,"cross.bred","not found")),"NA")</f>
        <v>NA</v>
      </c>
      <c r="O1556" s="9" t="s">
        <v>109</v>
      </c>
      <c r="P1556" s="9" t="s">
        <v>106</v>
      </c>
      <c r="Q1556" s="9" t="s">
        <v>3813</v>
      </c>
      <c r="S1556" s="9" t="s">
        <v>106</v>
      </c>
      <c r="T1556" s="9" t="s">
        <v>106</v>
      </c>
      <c r="U1556" s="9" t="s">
        <v>106</v>
      </c>
      <c r="V1556" s="9" t="s">
        <v>106</v>
      </c>
      <c r="W1556" s="9" t="s">
        <v>106</v>
      </c>
      <c r="X1556" s="9" t="s">
        <v>106</v>
      </c>
      <c r="Y1556" s="9">
        <v>519</v>
      </c>
      <c r="Z1556" s="37"/>
      <c r="AA1556" s="37"/>
      <c r="AB1556" s="37"/>
      <c r="AE1556">
        <v>0</v>
      </c>
    </row>
    <row r="1557" spans="1:31" hidden="1">
      <c r="A1557" s="9" t="s">
        <v>1767</v>
      </c>
      <c r="B1557" s="9" t="s">
        <v>1769</v>
      </c>
      <c r="C1557" s="9" t="s">
        <v>105</v>
      </c>
      <c r="D1557" s="9">
        <v>0.75900000000000001</v>
      </c>
      <c r="E1557" s="9">
        <v>49.8</v>
      </c>
      <c r="F1557" s="9">
        <v>24.7</v>
      </c>
      <c r="G1557" s="9">
        <v>47.142857142857203</v>
      </c>
      <c r="H1557" s="9" t="s">
        <v>106</v>
      </c>
      <c r="I1557" s="9">
        <v>24</v>
      </c>
      <c r="J1557" s="9" t="s">
        <v>107</v>
      </c>
      <c r="K1557" s="9" t="s">
        <v>1310</v>
      </c>
      <c r="L1557" t="str">
        <f>IF(OR(J1557="Cattle",J1557="Zebu Cattle"),IF(COUNTIF(lists!$M$2:$M$258, K1557) &gt; 0,"bos.indicus",IF(COUNTIF(lists!$L$2:$L$258, K1557) &gt; 0,"cross.bred","pure.bred.exotic")),"NA")</f>
        <v>NA</v>
      </c>
      <c r="M1557" t="str">
        <f>IF(J1557="Sheep",IF(COUNTIF(lists!$H$2:$H$258, K1557) &gt; 0,"indigenous",IF(COUNTIF(lists!$G$2:$G$258, K1557) &gt; 0,"cross.bred","not found")),"NA")</f>
        <v>not found</v>
      </c>
      <c r="N1557" t="str">
        <f>IF(J1557="Goat",IF(COUNTIF(lists!$J$2:$J$258, K1557) &gt; 0,"indigenous",IF(COUNTIF(lists!$I$2:$I$258, K1557) &gt; 0,"cross.bred","not found")),"NA")</f>
        <v>NA</v>
      </c>
      <c r="O1557" s="9" t="s">
        <v>109</v>
      </c>
      <c r="P1557" s="9" t="s">
        <v>106</v>
      </c>
      <c r="Q1557" s="9" t="s">
        <v>3813</v>
      </c>
      <c r="S1557" s="9" t="s">
        <v>106</v>
      </c>
      <c r="T1557" s="9" t="s">
        <v>106</v>
      </c>
      <c r="U1557" s="9" t="s">
        <v>106</v>
      </c>
      <c r="V1557" s="9" t="s">
        <v>106</v>
      </c>
      <c r="W1557" s="9" t="s">
        <v>106</v>
      </c>
      <c r="X1557" s="9" t="s">
        <v>106</v>
      </c>
      <c r="Y1557" s="9">
        <v>534</v>
      </c>
      <c r="Z1557" s="37"/>
      <c r="AA1557" s="37"/>
      <c r="AB1557" s="37"/>
      <c r="AE1557">
        <v>0</v>
      </c>
    </row>
    <row r="1558" spans="1:31" hidden="1">
      <c r="A1558" s="9" t="s">
        <v>1767</v>
      </c>
      <c r="B1558" s="9" t="s">
        <v>1770</v>
      </c>
      <c r="C1558" s="9" t="s">
        <v>105</v>
      </c>
      <c r="D1558" s="9">
        <v>0.84</v>
      </c>
      <c r="E1558" s="9">
        <v>49.8</v>
      </c>
      <c r="F1558" s="9">
        <v>24.6</v>
      </c>
      <c r="G1558" s="9">
        <v>61.428571428571402</v>
      </c>
      <c r="H1558" s="9" t="s">
        <v>106</v>
      </c>
      <c r="I1558" s="9">
        <v>24</v>
      </c>
      <c r="J1558" s="9" t="s">
        <v>107</v>
      </c>
      <c r="K1558" s="9" t="s">
        <v>1310</v>
      </c>
      <c r="L1558" t="str">
        <f>IF(OR(J1558="Cattle",J1558="Zebu Cattle"),IF(COUNTIF(lists!$M$2:$M$258, K1558) &gt; 0,"bos.indicus",IF(COUNTIF(lists!$L$2:$L$258, K1558) &gt; 0,"cross.bred","pure.bred.exotic")),"NA")</f>
        <v>NA</v>
      </c>
      <c r="M1558" t="str">
        <f>IF(J1558="Sheep",IF(COUNTIF(lists!$H$2:$H$258, K1558) &gt; 0,"indigenous",IF(COUNTIF(lists!$G$2:$G$258, K1558) &gt; 0,"cross.bred","not found")),"NA")</f>
        <v>not found</v>
      </c>
      <c r="N1558" t="str">
        <f>IF(J1558="Goat",IF(COUNTIF(lists!$J$2:$J$258, K1558) &gt; 0,"indigenous",IF(COUNTIF(lists!$I$2:$I$258, K1558) &gt; 0,"cross.bred","not found")),"NA")</f>
        <v>NA</v>
      </c>
      <c r="O1558" s="9" t="s">
        <v>109</v>
      </c>
      <c r="P1558" s="9" t="s">
        <v>106</v>
      </c>
      <c r="Q1558" s="9" t="s">
        <v>3813</v>
      </c>
      <c r="S1558" s="9" t="s">
        <v>106</v>
      </c>
      <c r="T1558" s="9" t="s">
        <v>106</v>
      </c>
      <c r="U1558" s="9" t="s">
        <v>106</v>
      </c>
      <c r="V1558" s="9" t="s">
        <v>106</v>
      </c>
      <c r="W1558" s="9" t="s">
        <v>106</v>
      </c>
      <c r="X1558" s="9" t="s">
        <v>106</v>
      </c>
      <c r="Y1558" s="9">
        <v>468</v>
      </c>
      <c r="Z1558" s="37"/>
      <c r="AA1558" s="37"/>
      <c r="AB1558" s="37"/>
      <c r="AE1558">
        <v>0</v>
      </c>
    </row>
    <row r="1559" spans="1:31" hidden="1">
      <c r="A1559" s="9" t="s">
        <v>1767</v>
      </c>
      <c r="B1559" s="9" t="s">
        <v>1771</v>
      </c>
      <c r="C1559" s="9" t="s">
        <v>105</v>
      </c>
      <c r="D1559" s="9">
        <v>0.82799999999999996</v>
      </c>
      <c r="E1559" s="9">
        <v>49.8</v>
      </c>
      <c r="F1559" s="9">
        <v>24.8</v>
      </c>
      <c r="G1559" s="9">
        <v>48.571428571428598</v>
      </c>
      <c r="H1559" s="9" t="s">
        <v>106</v>
      </c>
      <c r="I1559" s="9">
        <v>24</v>
      </c>
      <c r="J1559" s="9" t="s">
        <v>107</v>
      </c>
      <c r="K1559" s="9" t="s">
        <v>1310</v>
      </c>
      <c r="L1559" t="str">
        <f>IF(OR(J1559="Cattle",J1559="Zebu Cattle"),IF(COUNTIF(lists!$M$2:$M$258, K1559) &gt; 0,"bos.indicus",IF(COUNTIF(lists!$L$2:$L$258, K1559) &gt; 0,"cross.bred","pure.bred.exotic")),"NA")</f>
        <v>NA</v>
      </c>
      <c r="M1559" t="str">
        <f>IF(J1559="Sheep",IF(COUNTIF(lists!$H$2:$H$258, K1559) &gt; 0,"indigenous",IF(COUNTIF(lists!$G$2:$G$258, K1559) &gt; 0,"cross.bred","not found")),"NA")</f>
        <v>not found</v>
      </c>
      <c r="N1559" t="str">
        <f>IF(J1559="Goat",IF(COUNTIF(lists!$J$2:$J$258, K1559) &gt; 0,"indigenous",IF(COUNTIF(lists!$I$2:$I$258, K1559) &gt; 0,"cross.bred","not found")),"NA")</f>
        <v>NA</v>
      </c>
      <c r="O1559" s="9" t="s">
        <v>109</v>
      </c>
      <c r="P1559" s="9" t="s">
        <v>106</v>
      </c>
      <c r="Q1559" s="9" t="s">
        <v>3813</v>
      </c>
      <c r="S1559" s="9" t="s">
        <v>106</v>
      </c>
      <c r="T1559" s="9" t="s">
        <v>106</v>
      </c>
      <c r="U1559" s="9" t="s">
        <v>106</v>
      </c>
      <c r="V1559" s="9" t="s">
        <v>106</v>
      </c>
      <c r="W1559" s="9" t="s">
        <v>106</v>
      </c>
      <c r="X1559" s="9" t="s">
        <v>106</v>
      </c>
      <c r="Y1559" s="9">
        <v>466</v>
      </c>
      <c r="Z1559" s="37"/>
      <c r="AA1559" s="37"/>
      <c r="AB1559" s="37"/>
      <c r="AE1559">
        <v>0</v>
      </c>
    </row>
    <row r="1560" spans="1:31" hidden="1">
      <c r="A1560" s="9" t="s">
        <v>1772</v>
      </c>
      <c r="B1560" s="9" t="s">
        <v>1670</v>
      </c>
      <c r="C1560" s="9" t="s">
        <v>105</v>
      </c>
      <c r="D1560" s="9">
        <v>0.50800000000000001</v>
      </c>
      <c r="E1560" s="9">
        <v>30.5</v>
      </c>
      <c r="F1560" s="9">
        <v>17.84</v>
      </c>
      <c r="G1560" s="9">
        <v>-19.899999999999999</v>
      </c>
      <c r="H1560" s="9" t="s">
        <v>106</v>
      </c>
      <c r="I1560" s="9">
        <v>30</v>
      </c>
      <c r="J1560" s="9" t="s">
        <v>107</v>
      </c>
      <c r="K1560" s="9" t="s">
        <v>1032</v>
      </c>
      <c r="L1560" t="str">
        <f>IF(OR(J1560="Cattle",J1560="Zebu Cattle"),IF(COUNTIF(lists!$M$2:$M$258, K1560) &gt; 0,"bos.indicus",IF(COUNTIF(lists!$L$2:$L$258, K1560) &gt; 0,"cross.bred","pure.bred.exotic")),"NA")</f>
        <v>NA</v>
      </c>
      <c r="M1560" t="str">
        <f>IF(J1560="Sheep",IF(COUNTIF(lists!$H$2:$H$258, K1560) &gt; 0,"indigenous",IF(COUNTIF(lists!$G$2:$G$258, K1560) &gt; 0,"cross.bred","not found")),"NA")</f>
        <v>not found</v>
      </c>
      <c r="N1560" t="str">
        <f>IF(J1560="Goat",IF(COUNTIF(lists!$J$2:$J$258, K1560) &gt; 0,"indigenous",IF(COUNTIF(lists!$I$2:$I$258, K1560) &gt; 0,"cross.bred","not found")),"NA")</f>
        <v>NA</v>
      </c>
      <c r="O1560" s="9" t="s">
        <v>109</v>
      </c>
      <c r="P1560" s="9" t="s">
        <v>106</v>
      </c>
      <c r="Q1560" s="9" t="s">
        <v>3806</v>
      </c>
      <c r="S1560" s="9" t="s">
        <v>106</v>
      </c>
      <c r="T1560" s="9" t="s">
        <v>106</v>
      </c>
      <c r="U1560" s="9" t="s">
        <v>106</v>
      </c>
      <c r="V1560" s="9" t="s">
        <v>106</v>
      </c>
      <c r="W1560" s="9" t="s">
        <v>106</v>
      </c>
      <c r="X1560" s="9" t="s">
        <v>106</v>
      </c>
      <c r="Y1560" s="9">
        <v>544</v>
      </c>
      <c r="Z1560" s="37"/>
      <c r="AA1560" s="37"/>
      <c r="AB1560" s="37"/>
      <c r="AE1560">
        <v>0</v>
      </c>
    </row>
    <row r="1561" spans="1:31" hidden="1">
      <c r="A1561" s="9" t="s">
        <v>1772</v>
      </c>
      <c r="B1561" s="9" t="s">
        <v>1295</v>
      </c>
      <c r="C1561" s="9" t="s">
        <v>105</v>
      </c>
      <c r="D1561" s="9">
        <v>0.73299999999999998</v>
      </c>
      <c r="E1561" s="9">
        <v>30.5</v>
      </c>
      <c r="F1561" s="9">
        <v>17.86</v>
      </c>
      <c r="G1561" s="9">
        <v>62.9</v>
      </c>
      <c r="H1561" s="9" t="s">
        <v>106</v>
      </c>
      <c r="I1561" s="9">
        <v>30</v>
      </c>
      <c r="J1561" s="9" t="s">
        <v>107</v>
      </c>
      <c r="K1561" s="9" t="s">
        <v>1032</v>
      </c>
      <c r="L1561" t="str">
        <f>IF(OR(J1561="Cattle",J1561="Zebu Cattle"),IF(COUNTIF(lists!$M$2:$M$258, K1561) &gt; 0,"bos.indicus",IF(COUNTIF(lists!$L$2:$L$258, K1561) &gt; 0,"cross.bred","pure.bred.exotic")),"NA")</f>
        <v>NA</v>
      </c>
      <c r="M1561" t="str">
        <f>IF(J1561="Sheep",IF(COUNTIF(lists!$H$2:$H$258, K1561) &gt; 0,"indigenous",IF(COUNTIF(lists!$G$2:$G$258, K1561) &gt; 0,"cross.bred","not found")),"NA")</f>
        <v>not found</v>
      </c>
      <c r="N1561" t="str">
        <f>IF(J1561="Goat",IF(COUNTIF(lists!$J$2:$J$258, K1561) &gt; 0,"indigenous",IF(COUNTIF(lists!$I$2:$I$258, K1561) &gt; 0,"cross.bred","not found")),"NA")</f>
        <v>NA</v>
      </c>
      <c r="O1561" s="9" t="s">
        <v>109</v>
      </c>
      <c r="P1561" s="9" t="s">
        <v>106</v>
      </c>
      <c r="Q1561" s="9" t="s">
        <v>3806</v>
      </c>
      <c r="S1561" s="9" t="s">
        <v>106</v>
      </c>
      <c r="T1561" s="9" t="s">
        <v>106</v>
      </c>
      <c r="U1561" s="9" t="s">
        <v>106</v>
      </c>
      <c r="V1561" s="9" t="s">
        <v>106</v>
      </c>
      <c r="W1561" s="9" t="s">
        <v>106</v>
      </c>
      <c r="X1561" s="9" t="s">
        <v>106</v>
      </c>
      <c r="Y1561" s="9">
        <v>579</v>
      </c>
      <c r="Z1561" s="37"/>
      <c r="AA1561" s="37"/>
      <c r="AB1561" s="37"/>
      <c r="AE1561">
        <v>0</v>
      </c>
    </row>
    <row r="1562" spans="1:31" hidden="1">
      <c r="A1562" s="9" t="s">
        <v>1772</v>
      </c>
      <c r="B1562" s="9" t="s">
        <v>919</v>
      </c>
      <c r="C1562" s="9" t="s">
        <v>105</v>
      </c>
      <c r="D1562" s="9">
        <v>0.73699999999999999</v>
      </c>
      <c r="E1562" s="9">
        <v>30.5</v>
      </c>
      <c r="F1562" s="9">
        <v>17.84</v>
      </c>
      <c r="G1562" s="9">
        <v>37.799999999999997</v>
      </c>
      <c r="H1562" s="9" t="s">
        <v>106</v>
      </c>
      <c r="I1562" s="9">
        <v>30</v>
      </c>
      <c r="J1562" s="9" t="s">
        <v>107</v>
      </c>
      <c r="K1562" s="9" t="s">
        <v>1032</v>
      </c>
      <c r="L1562" t="str">
        <f>IF(OR(J1562="Cattle",J1562="Zebu Cattle"),IF(COUNTIF(lists!$M$2:$M$258, K1562) &gt; 0,"bos.indicus",IF(COUNTIF(lists!$L$2:$L$258, K1562) &gt; 0,"cross.bred","pure.bred.exotic")),"NA")</f>
        <v>NA</v>
      </c>
      <c r="M1562" t="str">
        <f>IF(J1562="Sheep",IF(COUNTIF(lists!$H$2:$H$258, K1562) &gt; 0,"indigenous",IF(COUNTIF(lists!$G$2:$G$258, K1562) &gt; 0,"cross.bred","not found")),"NA")</f>
        <v>not found</v>
      </c>
      <c r="N1562" t="str">
        <f>IF(J1562="Goat",IF(COUNTIF(lists!$J$2:$J$258, K1562) &gt; 0,"indigenous",IF(COUNTIF(lists!$I$2:$I$258, K1562) &gt; 0,"cross.bred","not found")),"NA")</f>
        <v>NA</v>
      </c>
      <c r="O1562" s="9" t="s">
        <v>109</v>
      </c>
      <c r="P1562" s="9" t="s">
        <v>106</v>
      </c>
      <c r="Q1562" s="9" t="s">
        <v>3806</v>
      </c>
      <c r="S1562" s="9" t="s">
        <v>106</v>
      </c>
      <c r="T1562" s="9" t="s">
        <v>106</v>
      </c>
      <c r="U1562" s="9" t="s">
        <v>106</v>
      </c>
      <c r="V1562" s="9" t="s">
        <v>106</v>
      </c>
      <c r="W1562" s="9" t="s">
        <v>106</v>
      </c>
      <c r="X1562" s="9" t="s">
        <v>106</v>
      </c>
      <c r="Y1562" s="9">
        <v>516</v>
      </c>
      <c r="Z1562" s="37"/>
      <c r="AA1562" s="37"/>
      <c r="AB1562" s="37"/>
      <c r="AE1562">
        <v>0</v>
      </c>
    </row>
    <row r="1563" spans="1:31" hidden="1">
      <c r="A1563" s="9" t="s">
        <v>1772</v>
      </c>
      <c r="B1563" s="9" t="s">
        <v>1773</v>
      </c>
      <c r="C1563" s="9" t="s">
        <v>105</v>
      </c>
      <c r="D1563" s="9">
        <v>0.74</v>
      </c>
      <c r="E1563" s="9">
        <v>30.5</v>
      </c>
      <c r="F1563" s="9">
        <v>17.75</v>
      </c>
      <c r="G1563" s="9">
        <v>32.6</v>
      </c>
      <c r="H1563" s="9" t="s">
        <v>106</v>
      </c>
      <c r="I1563" s="9">
        <v>30</v>
      </c>
      <c r="J1563" s="9" t="s">
        <v>107</v>
      </c>
      <c r="K1563" s="9" t="s">
        <v>1032</v>
      </c>
      <c r="L1563" t="str">
        <f>IF(OR(J1563="Cattle",J1563="Zebu Cattle"),IF(COUNTIF(lists!$M$2:$M$258, K1563) &gt; 0,"bos.indicus",IF(COUNTIF(lists!$L$2:$L$258, K1563) &gt; 0,"cross.bred","pure.bred.exotic")),"NA")</f>
        <v>NA</v>
      </c>
      <c r="M1563" t="str">
        <f>IF(J1563="Sheep",IF(COUNTIF(lists!$H$2:$H$258, K1563) &gt; 0,"indigenous",IF(COUNTIF(lists!$G$2:$G$258, K1563) &gt; 0,"cross.bred","not found")),"NA")</f>
        <v>not found</v>
      </c>
      <c r="N1563" t="str">
        <f>IF(J1563="Goat",IF(COUNTIF(lists!$J$2:$J$258, K1563) &gt; 0,"indigenous",IF(COUNTIF(lists!$I$2:$I$258, K1563) &gt; 0,"cross.bred","not found")),"NA")</f>
        <v>NA</v>
      </c>
      <c r="O1563" s="9" t="s">
        <v>109</v>
      </c>
      <c r="P1563" s="9" t="s">
        <v>106</v>
      </c>
      <c r="Q1563" s="9" t="s">
        <v>3806</v>
      </c>
      <c r="S1563" s="9" t="s">
        <v>106</v>
      </c>
      <c r="T1563" s="9" t="s">
        <v>106</v>
      </c>
      <c r="U1563" s="9" t="s">
        <v>106</v>
      </c>
      <c r="V1563" s="9" t="s">
        <v>106</v>
      </c>
      <c r="W1563" s="9" t="s">
        <v>106</v>
      </c>
      <c r="X1563" s="9" t="s">
        <v>106</v>
      </c>
      <c r="Y1563" s="9">
        <v>525</v>
      </c>
      <c r="Z1563" s="37"/>
      <c r="AA1563" s="37"/>
      <c r="AB1563" s="37"/>
      <c r="AE1563">
        <v>0</v>
      </c>
    </row>
    <row r="1564" spans="1:31" hidden="1">
      <c r="A1564" s="9" t="s">
        <v>1772</v>
      </c>
      <c r="B1564" s="9" t="s">
        <v>1774</v>
      </c>
      <c r="C1564" s="9" t="s">
        <v>105</v>
      </c>
      <c r="D1564" s="9">
        <v>0.73499999999999999</v>
      </c>
      <c r="E1564" s="9">
        <v>30.5</v>
      </c>
      <c r="F1564" s="9">
        <v>17.84</v>
      </c>
      <c r="G1564" s="9">
        <v>42.4</v>
      </c>
      <c r="H1564" s="9" t="s">
        <v>106</v>
      </c>
      <c r="I1564" s="9">
        <v>30</v>
      </c>
      <c r="J1564" s="9" t="s">
        <v>107</v>
      </c>
      <c r="K1564" s="9" t="s">
        <v>1032</v>
      </c>
      <c r="L1564" t="str">
        <f>IF(OR(J1564="Cattle",J1564="Zebu Cattle"),IF(COUNTIF(lists!$M$2:$M$258, K1564) &gt; 0,"bos.indicus",IF(COUNTIF(lists!$L$2:$L$258, K1564) &gt; 0,"cross.bred","pure.bred.exotic")),"NA")</f>
        <v>NA</v>
      </c>
      <c r="M1564" t="str">
        <f>IF(J1564="Sheep",IF(COUNTIF(lists!$H$2:$H$258, K1564) &gt; 0,"indigenous",IF(COUNTIF(lists!$G$2:$G$258, K1564) &gt; 0,"cross.bred","not found")),"NA")</f>
        <v>not found</v>
      </c>
      <c r="N1564" t="str">
        <f>IF(J1564="Goat",IF(COUNTIF(lists!$J$2:$J$258, K1564) &gt; 0,"indigenous",IF(COUNTIF(lists!$I$2:$I$258, K1564) &gt; 0,"cross.bred","not found")),"NA")</f>
        <v>NA</v>
      </c>
      <c r="O1564" s="9" t="s">
        <v>109</v>
      </c>
      <c r="P1564" s="9" t="s">
        <v>106</v>
      </c>
      <c r="Q1564" s="9" t="s">
        <v>3806</v>
      </c>
      <c r="S1564" s="9" t="s">
        <v>106</v>
      </c>
      <c r="T1564" s="9" t="s">
        <v>106</v>
      </c>
      <c r="U1564" s="9" t="s">
        <v>106</v>
      </c>
      <c r="V1564" s="9" t="s">
        <v>106</v>
      </c>
      <c r="W1564" s="9" t="s">
        <v>106</v>
      </c>
      <c r="X1564" s="9" t="s">
        <v>106</v>
      </c>
      <c r="Y1564" s="9">
        <v>544</v>
      </c>
      <c r="Z1564" s="37"/>
      <c r="AA1564" s="37"/>
      <c r="AB1564" s="37"/>
      <c r="AE1564">
        <v>0</v>
      </c>
    </row>
    <row r="1565" spans="1:31" hidden="1">
      <c r="A1565" s="9" t="s">
        <v>1772</v>
      </c>
      <c r="B1565" s="9" t="s">
        <v>1775</v>
      </c>
      <c r="C1565" s="9" t="s">
        <v>105</v>
      </c>
      <c r="D1565" s="9">
        <v>0.76100000000000001</v>
      </c>
      <c r="E1565" s="9">
        <v>30.5</v>
      </c>
      <c r="F1565" s="9">
        <v>17.86</v>
      </c>
      <c r="G1565" s="9">
        <v>35.799999999999997</v>
      </c>
      <c r="H1565" s="9" t="s">
        <v>106</v>
      </c>
      <c r="I1565" s="9">
        <v>30</v>
      </c>
      <c r="J1565" s="9" t="s">
        <v>107</v>
      </c>
      <c r="K1565" s="9" t="s">
        <v>1032</v>
      </c>
      <c r="L1565" t="str">
        <f>IF(OR(J1565="Cattle",J1565="Zebu Cattle"),IF(COUNTIF(lists!$M$2:$M$258, K1565) &gt; 0,"bos.indicus",IF(COUNTIF(lists!$L$2:$L$258, K1565) &gt; 0,"cross.bred","pure.bred.exotic")),"NA")</f>
        <v>NA</v>
      </c>
      <c r="M1565" t="str">
        <f>IF(J1565="Sheep",IF(COUNTIF(lists!$H$2:$H$258, K1565) &gt; 0,"indigenous",IF(COUNTIF(lists!$G$2:$G$258, K1565) &gt; 0,"cross.bred","not found")),"NA")</f>
        <v>not found</v>
      </c>
      <c r="N1565" t="str">
        <f>IF(J1565="Goat",IF(COUNTIF(lists!$J$2:$J$258, K1565) &gt; 0,"indigenous",IF(COUNTIF(lists!$I$2:$I$258, K1565) &gt; 0,"cross.bred","not found")),"NA")</f>
        <v>NA</v>
      </c>
      <c r="O1565" s="9" t="s">
        <v>109</v>
      </c>
      <c r="P1565" s="9" t="s">
        <v>106</v>
      </c>
      <c r="Q1565" s="9" t="s">
        <v>3806</v>
      </c>
      <c r="S1565" s="9" t="s">
        <v>106</v>
      </c>
      <c r="T1565" s="9" t="s">
        <v>106</v>
      </c>
      <c r="U1565" s="9" t="s">
        <v>106</v>
      </c>
      <c r="V1565" s="9" t="s">
        <v>106</v>
      </c>
      <c r="W1565" s="9" t="s">
        <v>106</v>
      </c>
      <c r="X1565" s="9" t="s">
        <v>106</v>
      </c>
      <c r="Y1565" s="9">
        <v>558</v>
      </c>
      <c r="Z1565" s="37"/>
      <c r="AA1565" s="37"/>
      <c r="AB1565" s="37"/>
      <c r="AE1565">
        <v>0</v>
      </c>
    </row>
    <row r="1566" spans="1:31" hidden="1">
      <c r="A1566" s="9" t="s">
        <v>1776</v>
      </c>
      <c r="B1566" s="9" t="s">
        <v>1777</v>
      </c>
      <c r="C1566" s="9" t="s">
        <v>105</v>
      </c>
      <c r="D1566" s="9">
        <v>0.76400000000000001</v>
      </c>
      <c r="E1566" s="9">
        <v>21.9</v>
      </c>
      <c r="F1566" s="9">
        <v>19.8</v>
      </c>
      <c r="G1566" s="9">
        <v>57.9</v>
      </c>
      <c r="H1566" s="9" t="s">
        <v>106</v>
      </c>
      <c r="I1566" s="9">
        <v>30</v>
      </c>
      <c r="J1566" s="9" t="s">
        <v>107</v>
      </c>
      <c r="K1566" s="9" t="s">
        <v>336</v>
      </c>
      <c r="L1566" t="str">
        <f>IF(OR(J1566="Cattle",J1566="Zebu Cattle"),IF(COUNTIF(lists!$M$2:$M$258, K1566) &gt; 0,"bos.indicus",IF(COUNTIF(lists!$L$2:$L$258, K1566) &gt; 0,"cross.bred","pure.bred.exotic")),"NA")</f>
        <v>NA</v>
      </c>
      <c r="M1566" t="str">
        <f>IF(J1566="Sheep",IF(COUNTIF(lists!$H$2:$H$258, K1566) &gt; 0,"indigenous",IF(COUNTIF(lists!$G$2:$G$258, K1566) &gt; 0,"cross.bred","not found")),"NA")</f>
        <v>not found</v>
      </c>
      <c r="N1566" t="str">
        <f>IF(J1566="Goat",IF(COUNTIF(lists!$J$2:$J$258, K1566) &gt; 0,"indigenous",IF(COUNTIF(lists!$I$2:$I$258, K1566) &gt; 0,"cross.bred","not found")),"NA")</f>
        <v>NA</v>
      </c>
      <c r="O1566" s="9" t="s">
        <v>109</v>
      </c>
      <c r="P1566" s="9" t="s">
        <v>106</v>
      </c>
      <c r="Q1566" s="9" t="s">
        <v>3813</v>
      </c>
      <c r="S1566" s="9" t="s">
        <v>106</v>
      </c>
      <c r="T1566" s="9" t="s">
        <v>106</v>
      </c>
      <c r="U1566" s="9" t="s">
        <v>106</v>
      </c>
      <c r="V1566" s="9" t="s">
        <v>106</v>
      </c>
      <c r="W1566" s="9" t="s">
        <v>106</v>
      </c>
      <c r="X1566" s="9" t="s">
        <v>106</v>
      </c>
      <c r="Y1566" s="9">
        <v>50.2</v>
      </c>
      <c r="Z1566" s="37"/>
      <c r="AA1566" s="37"/>
      <c r="AB1566" s="37"/>
      <c r="AE1566">
        <v>0</v>
      </c>
    </row>
    <row r="1567" spans="1:31" hidden="1">
      <c r="A1567" s="9" t="s">
        <v>1776</v>
      </c>
      <c r="B1567" s="9" t="s">
        <v>1778</v>
      </c>
      <c r="C1567" s="9" t="s">
        <v>105</v>
      </c>
      <c r="D1567" s="9">
        <v>0.71399999999999997</v>
      </c>
      <c r="E1567" s="9">
        <v>21.9</v>
      </c>
      <c r="F1567" s="9">
        <v>20.3</v>
      </c>
      <c r="G1567" s="9">
        <v>66.599999999999994</v>
      </c>
      <c r="H1567" s="9" t="s">
        <v>106</v>
      </c>
      <c r="I1567" s="9">
        <v>30</v>
      </c>
      <c r="J1567" s="9" t="s">
        <v>107</v>
      </c>
      <c r="K1567" s="9" t="s">
        <v>336</v>
      </c>
      <c r="L1567" t="str">
        <f>IF(OR(J1567="Cattle",J1567="Zebu Cattle"),IF(COUNTIF(lists!$M$2:$M$258, K1567) &gt; 0,"bos.indicus",IF(COUNTIF(lists!$L$2:$L$258, K1567) &gt; 0,"cross.bred","pure.bred.exotic")),"NA")</f>
        <v>NA</v>
      </c>
      <c r="M1567" t="str">
        <f>IF(J1567="Sheep",IF(COUNTIF(lists!$H$2:$H$258, K1567) &gt; 0,"indigenous",IF(COUNTIF(lists!$G$2:$G$258, K1567) &gt; 0,"cross.bred","not found")),"NA")</f>
        <v>not found</v>
      </c>
      <c r="N1567" t="str">
        <f>IF(J1567="Goat",IF(COUNTIF(lists!$J$2:$J$258, K1567) &gt; 0,"indigenous",IF(COUNTIF(lists!$I$2:$I$258, K1567) &gt; 0,"cross.bred","not found")),"NA")</f>
        <v>NA</v>
      </c>
      <c r="O1567" s="9" t="s">
        <v>109</v>
      </c>
      <c r="P1567" s="9" t="s">
        <v>106</v>
      </c>
      <c r="Q1567" s="9" t="s">
        <v>3813</v>
      </c>
      <c r="S1567" s="9">
        <v>244</v>
      </c>
      <c r="T1567" s="9">
        <v>88</v>
      </c>
      <c r="U1567" s="9" t="s">
        <v>106</v>
      </c>
      <c r="V1567" s="9">
        <v>300</v>
      </c>
      <c r="W1567" s="9" t="s">
        <v>106</v>
      </c>
      <c r="X1567" s="9">
        <v>382</v>
      </c>
      <c r="Y1567" s="9">
        <v>46.2</v>
      </c>
      <c r="Z1567" s="37"/>
      <c r="AA1567" s="37"/>
      <c r="AB1567" s="37"/>
      <c r="AE1567">
        <v>0</v>
      </c>
    </row>
    <row r="1568" spans="1:31" hidden="1">
      <c r="A1568" s="9" t="s">
        <v>1776</v>
      </c>
      <c r="B1568" s="9" t="s">
        <v>1779</v>
      </c>
      <c r="C1568" s="9" t="s">
        <v>105</v>
      </c>
      <c r="D1568" s="9">
        <v>0.76100000000000001</v>
      </c>
      <c r="E1568" s="9">
        <v>21.9</v>
      </c>
      <c r="F1568" s="9">
        <v>19.3</v>
      </c>
      <c r="G1568" s="9">
        <v>54.1</v>
      </c>
      <c r="H1568" s="9" t="s">
        <v>106</v>
      </c>
      <c r="I1568" s="9">
        <v>30</v>
      </c>
      <c r="J1568" s="9" t="s">
        <v>107</v>
      </c>
      <c r="K1568" s="9" t="s">
        <v>336</v>
      </c>
      <c r="L1568" t="str">
        <f>IF(OR(J1568="Cattle",J1568="Zebu Cattle"),IF(COUNTIF(lists!$M$2:$M$258, K1568) &gt; 0,"bos.indicus",IF(COUNTIF(lists!$L$2:$L$258, K1568) &gt; 0,"cross.bred","pure.bred.exotic")),"NA")</f>
        <v>NA</v>
      </c>
      <c r="M1568" t="str">
        <f>IF(J1568="Sheep",IF(COUNTIF(lists!$H$2:$H$258, K1568) &gt; 0,"indigenous",IF(COUNTIF(lists!$G$2:$G$258, K1568) &gt; 0,"cross.bred","not found")),"NA")</f>
        <v>not found</v>
      </c>
      <c r="N1568" t="str">
        <f>IF(J1568="Goat",IF(COUNTIF(lists!$J$2:$J$258, K1568) &gt; 0,"indigenous",IF(COUNTIF(lists!$I$2:$I$258, K1568) &gt; 0,"cross.bred","not found")),"NA")</f>
        <v>NA</v>
      </c>
      <c r="O1568" s="9" t="s">
        <v>109</v>
      </c>
      <c r="P1568" s="9" t="s">
        <v>106</v>
      </c>
      <c r="Q1568" s="9" t="s">
        <v>3813</v>
      </c>
      <c r="S1568" s="9">
        <v>357</v>
      </c>
      <c r="T1568" s="9">
        <v>63</v>
      </c>
      <c r="U1568" s="9" t="s">
        <v>106</v>
      </c>
      <c r="V1568" s="9">
        <v>300</v>
      </c>
      <c r="W1568" s="9" t="s">
        <v>106</v>
      </c>
      <c r="X1568" s="9">
        <v>444</v>
      </c>
      <c r="Y1568" s="9">
        <v>35.9</v>
      </c>
      <c r="Z1568" s="37"/>
      <c r="AA1568" s="37"/>
      <c r="AB1568" s="37"/>
      <c r="AE1568">
        <v>0</v>
      </c>
    </row>
    <row r="1569" spans="1:31" hidden="1">
      <c r="A1569" s="9" t="s">
        <v>1776</v>
      </c>
      <c r="B1569" s="9" t="s">
        <v>1780</v>
      </c>
      <c r="C1569" s="9" t="s">
        <v>105</v>
      </c>
      <c r="D1569" s="9">
        <v>0.77</v>
      </c>
      <c r="E1569" s="9">
        <v>21.9</v>
      </c>
      <c r="F1569" s="9">
        <v>19.8</v>
      </c>
      <c r="G1569" s="9">
        <v>61.4</v>
      </c>
      <c r="H1569" s="9" t="s">
        <v>106</v>
      </c>
      <c r="I1569" s="9">
        <v>30</v>
      </c>
      <c r="J1569" s="9" t="s">
        <v>107</v>
      </c>
      <c r="K1569" s="9" t="s">
        <v>336</v>
      </c>
      <c r="L1569" t="str">
        <f>IF(OR(J1569="Cattle",J1569="Zebu Cattle"),IF(COUNTIF(lists!$M$2:$M$258, K1569) &gt; 0,"bos.indicus",IF(COUNTIF(lists!$L$2:$L$258, K1569) &gt; 0,"cross.bred","pure.bred.exotic")),"NA")</f>
        <v>NA</v>
      </c>
      <c r="M1569" t="str">
        <f>IF(J1569="Sheep",IF(COUNTIF(lists!$H$2:$H$258, K1569) &gt; 0,"indigenous",IF(COUNTIF(lists!$G$2:$G$258, K1569) &gt; 0,"cross.bred","not found")),"NA")</f>
        <v>not found</v>
      </c>
      <c r="N1569" t="str">
        <f>IF(J1569="Goat",IF(COUNTIF(lists!$J$2:$J$258, K1569) &gt; 0,"indigenous",IF(COUNTIF(lists!$I$2:$I$258, K1569) &gt; 0,"cross.bred","not found")),"NA")</f>
        <v>NA</v>
      </c>
      <c r="O1569" s="9" t="s">
        <v>109</v>
      </c>
      <c r="P1569" s="9" t="s">
        <v>106</v>
      </c>
      <c r="Q1569" s="9" t="s">
        <v>3813</v>
      </c>
      <c r="S1569" s="9">
        <v>339</v>
      </c>
      <c r="T1569" s="9">
        <v>85</v>
      </c>
      <c r="U1569" s="9" t="s">
        <v>106</v>
      </c>
      <c r="V1569" s="9">
        <v>360</v>
      </c>
      <c r="W1569" s="9" t="s">
        <v>106</v>
      </c>
      <c r="X1569" s="9">
        <v>414</v>
      </c>
      <c r="Y1569" s="9">
        <v>40.799999999999997</v>
      </c>
      <c r="Z1569" s="37"/>
      <c r="AA1569" s="37"/>
      <c r="AB1569" s="37"/>
      <c r="AE1569">
        <v>0</v>
      </c>
    </row>
    <row r="1570" spans="1:31" hidden="1">
      <c r="A1570" s="9" t="s">
        <v>1781</v>
      </c>
      <c r="B1570" s="9" t="s">
        <v>1782</v>
      </c>
      <c r="C1570" s="9" t="s">
        <v>105</v>
      </c>
      <c r="D1570" s="9">
        <v>0.53600000000000003</v>
      </c>
      <c r="E1570" s="9">
        <v>12.5</v>
      </c>
      <c r="F1570" s="9">
        <v>17.3</v>
      </c>
      <c r="G1570" s="9">
        <v>18.899999999999999</v>
      </c>
      <c r="H1570" s="9" t="s">
        <v>106</v>
      </c>
      <c r="I1570" s="9">
        <v>36</v>
      </c>
      <c r="J1570" s="9" t="s">
        <v>107</v>
      </c>
      <c r="K1570" s="9" t="s">
        <v>336</v>
      </c>
      <c r="L1570" t="str">
        <f>IF(OR(J1570="Cattle",J1570="Zebu Cattle"),IF(COUNTIF(lists!$M$2:$M$258, K1570) &gt; 0,"bos.indicus",IF(COUNTIF(lists!$L$2:$L$258, K1570) &gt; 0,"cross.bred","pure.bred.exotic")),"NA")</f>
        <v>NA</v>
      </c>
      <c r="M1570" t="str">
        <f>IF(J1570="Sheep",IF(COUNTIF(lists!$H$2:$H$258, K1570) &gt; 0,"indigenous",IF(COUNTIF(lists!$G$2:$G$258, K1570) &gt; 0,"cross.bred","not found")),"NA")</f>
        <v>not found</v>
      </c>
      <c r="N1570" t="str">
        <f>IF(J1570="Goat",IF(COUNTIF(lists!$J$2:$J$258, K1570) &gt; 0,"indigenous",IF(COUNTIF(lists!$I$2:$I$258, K1570) &gt; 0,"cross.bred","not found")),"NA")</f>
        <v>NA</v>
      </c>
      <c r="O1570" s="9" t="s">
        <v>109</v>
      </c>
      <c r="P1570" s="9" t="s">
        <v>106</v>
      </c>
      <c r="Q1570" s="9" t="s">
        <v>3804</v>
      </c>
      <c r="S1570" s="9" t="s">
        <v>106</v>
      </c>
      <c r="T1570" s="9" t="s">
        <v>106</v>
      </c>
      <c r="U1570" s="9" t="s">
        <v>106</v>
      </c>
      <c r="V1570" s="9">
        <v>63.1</v>
      </c>
      <c r="W1570" s="9" t="s">
        <v>106</v>
      </c>
      <c r="X1570" s="9">
        <v>361</v>
      </c>
      <c r="Y1570" s="9">
        <v>70.7</v>
      </c>
      <c r="Z1570" s="37"/>
      <c r="AA1570" s="37"/>
      <c r="AB1570" s="37"/>
      <c r="AE1570">
        <v>0</v>
      </c>
    </row>
    <row r="1571" spans="1:31" hidden="1">
      <c r="A1571" s="9" t="s">
        <v>1781</v>
      </c>
      <c r="B1571" s="9" t="s">
        <v>1783</v>
      </c>
      <c r="C1571" s="9" t="s">
        <v>105</v>
      </c>
      <c r="D1571" s="9">
        <v>0.48899999999999999</v>
      </c>
      <c r="E1571" s="9">
        <v>12.5</v>
      </c>
      <c r="F1571" s="9">
        <v>17.3</v>
      </c>
      <c r="G1571" s="9">
        <v>-1.8</v>
      </c>
      <c r="H1571" s="9" t="s">
        <v>106</v>
      </c>
      <c r="I1571" s="9">
        <v>36</v>
      </c>
      <c r="J1571" s="9" t="s">
        <v>107</v>
      </c>
      <c r="K1571" s="9" t="s">
        <v>336</v>
      </c>
      <c r="L1571" t="str">
        <f>IF(OR(J1571="Cattle",J1571="Zebu Cattle"),IF(COUNTIF(lists!$M$2:$M$258, K1571) &gt; 0,"bos.indicus",IF(COUNTIF(lists!$L$2:$L$258, K1571) &gt; 0,"cross.bred","pure.bred.exotic")),"NA")</f>
        <v>NA</v>
      </c>
      <c r="M1571" t="str">
        <f>IF(J1571="Sheep",IF(COUNTIF(lists!$H$2:$H$258, K1571) &gt; 0,"indigenous",IF(COUNTIF(lists!$G$2:$G$258, K1571) &gt; 0,"cross.bred","not found")),"NA")</f>
        <v>not found</v>
      </c>
      <c r="N1571" t="str">
        <f>IF(J1571="Goat",IF(COUNTIF(lists!$J$2:$J$258, K1571) &gt; 0,"indigenous",IF(COUNTIF(lists!$I$2:$I$258, K1571) &gt; 0,"cross.bred","not found")),"NA")</f>
        <v>NA</v>
      </c>
      <c r="O1571" s="9" t="s">
        <v>109</v>
      </c>
      <c r="P1571" s="9" t="s">
        <v>106</v>
      </c>
      <c r="Q1571" s="9" t="s">
        <v>3804</v>
      </c>
      <c r="S1571" s="9" t="s">
        <v>106</v>
      </c>
      <c r="T1571" s="9" t="s">
        <v>106</v>
      </c>
      <c r="U1571" s="9" t="s">
        <v>106</v>
      </c>
      <c r="V1571" s="9">
        <v>57.6</v>
      </c>
      <c r="W1571" s="9" t="s">
        <v>106</v>
      </c>
      <c r="X1571" s="9">
        <v>358</v>
      </c>
      <c r="Y1571" s="9">
        <v>71.7</v>
      </c>
      <c r="Z1571" s="37"/>
      <c r="AA1571" s="37"/>
      <c r="AB1571" s="37"/>
      <c r="AE1571">
        <v>0</v>
      </c>
    </row>
    <row r="1572" spans="1:31" hidden="1">
      <c r="A1572" s="9" t="s">
        <v>1781</v>
      </c>
      <c r="B1572" s="9" t="s">
        <v>1784</v>
      </c>
      <c r="C1572" s="9" t="s">
        <v>105</v>
      </c>
      <c r="D1572" s="9">
        <v>0.51800000000000002</v>
      </c>
      <c r="E1572" s="9">
        <v>12.5</v>
      </c>
      <c r="F1572" s="9">
        <v>17.3</v>
      </c>
      <c r="G1572" s="9">
        <v>12.1</v>
      </c>
      <c r="H1572" s="9" t="s">
        <v>106</v>
      </c>
      <c r="I1572" s="9">
        <v>36</v>
      </c>
      <c r="J1572" s="9" t="s">
        <v>107</v>
      </c>
      <c r="K1572" s="9" t="s">
        <v>336</v>
      </c>
      <c r="L1572" t="str">
        <f>IF(OR(J1572="Cattle",J1572="Zebu Cattle"),IF(COUNTIF(lists!$M$2:$M$258, K1572) &gt; 0,"bos.indicus",IF(COUNTIF(lists!$L$2:$L$258, K1572) &gt; 0,"cross.bred","pure.bred.exotic")),"NA")</f>
        <v>NA</v>
      </c>
      <c r="M1572" t="str">
        <f>IF(J1572="Sheep",IF(COUNTIF(lists!$H$2:$H$258, K1572) &gt; 0,"indigenous",IF(COUNTIF(lists!$G$2:$G$258, K1572) &gt; 0,"cross.bred","not found")),"NA")</f>
        <v>not found</v>
      </c>
      <c r="N1572" t="str">
        <f>IF(J1572="Goat",IF(COUNTIF(lists!$J$2:$J$258, K1572) &gt; 0,"indigenous",IF(COUNTIF(lists!$I$2:$I$258, K1572) &gt; 0,"cross.bred","not found")),"NA")</f>
        <v>NA</v>
      </c>
      <c r="O1572" s="9" t="s">
        <v>109</v>
      </c>
      <c r="P1572" s="9" t="s">
        <v>106</v>
      </c>
      <c r="Q1572" s="9" t="s">
        <v>3804</v>
      </c>
      <c r="S1572" s="9" t="s">
        <v>106</v>
      </c>
      <c r="T1572" s="9" t="s">
        <v>106</v>
      </c>
      <c r="U1572" s="9" t="s">
        <v>106</v>
      </c>
      <c r="V1572" s="9">
        <v>61.1</v>
      </c>
      <c r="W1572" s="9" t="s">
        <v>106</v>
      </c>
      <c r="X1572" s="9">
        <v>359</v>
      </c>
      <c r="Y1572" s="9">
        <v>71.599999999999994</v>
      </c>
      <c r="Z1572" s="37"/>
      <c r="AA1572" s="37"/>
      <c r="AB1572" s="37"/>
      <c r="AE1572">
        <v>0</v>
      </c>
    </row>
    <row r="1573" spans="1:31" hidden="1">
      <c r="A1573" s="9" t="s">
        <v>1781</v>
      </c>
      <c r="B1573" s="9" t="s">
        <v>1785</v>
      </c>
      <c r="C1573" s="9" t="s">
        <v>105</v>
      </c>
      <c r="D1573" s="9">
        <v>0.49299999999999999</v>
      </c>
      <c r="E1573" s="9">
        <v>12.1</v>
      </c>
      <c r="F1573" s="9">
        <v>17.3</v>
      </c>
      <c r="G1573" s="9">
        <v>29.8</v>
      </c>
      <c r="H1573" s="9" t="s">
        <v>106</v>
      </c>
      <c r="I1573" s="9">
        <v>36</v>
      </c>
      <c r="J1573" s="9" t="s">
        <v>107</v>
      </c>
      <c r="K1573" s="9" t="s">
        <v>336</v>
      </c>
      <c r="L1573" t="str">
        <f>IF(OR(J1573="Cattle",J1573="Zebu Cattle"),IF(COUNTIF(lists!$M$2:$M$258, K1573) &gt; 0,"bos.indicus",IF(COUNTIF(lists!$L$2:$L$258, K1573) &gt; 0,"cross.bred","pure.bred.exotic")),"NA")</f>
        <v>NA</v>
      </c>
      <c r="M1573" t="str">
        <f>IF(J1573="Sheep",IF(COUNTIF(lists!$H$2:$H$258, K1573) &gt; 0,"indigenous",IF(COUNTIF(lists!$G$2:$G$258, K1573) &gt; 0,"cross.bred","not found")),"NA")</f>
        <v>not found</v>
      </c>
      <c r="N1573" t="str">
        <f>IF(J1573="Goat",IF(COUNTIF(lists!$J$2:$J$258, K1573) &gt; 0,"indigenous",IF(COUNTIF(lists!$I$2:$I$258, K1573) &gt; 0,"cross.bred","not found")),"NA")</f>
        <v>NA</v>
      </c>
      <c r="O1573" s="9" t="s">
        <v>109</v>
      </c>
      <c r="P1573" s="9" t="s">
        <v>106</v>
      </c>
      <c r="Q1573" s="9" t="s">
        <v>3804</v>
      </c>
      <c r="S1573" s="9" t="s">
        <v>106</v>
      </c>
      <c r="T1573" s="9" t="s">
        <v>106</v>
      </c>
      <c r="U1573" s="9" t="s">
        <v>106</v>
      </c>
      <c r="V1573" s="9">
        <v>58.1</v>
      </c>
      <c r="W1573" s="9" t="s">
        <v>106</v>
      </c>
      <c r="X1573" s="9">
        <v>336</v>
      </c>
      <c r="Y1573" s="9">
        <v>68.400000000000006</v>
      </c>
      <c r="Z1573" s="37"/>
      <c r="AA1573" s="37"/>
      <c r="AB1573" s="37"/>
      <c r="AE1573">
        <v>0</v>
      </c>
    </row>
    <row r="1574" spans="1:31" hidden="1">
      <c r="A1574" s="9" t="s">
        <v>1781</v>
      </c>
      <c r="B1574" s="9" t="s">
        <v>1786</v>
      </c>
      <c r="C1574" s="9" t="s">
        <v>105</v>
      </c>
      <c r="D1574" s="9">
        <v>0.45200000000000001</v>
      </c>
      <c r="E1574" s="9">
        <v>12.1</v>
      </c>
      <c r="F1574" s="9">
        <v>17.3</v>
      </c>
      <c r="G1574" s="9">
        <v>-2.4</v>
      </c>
      <c r="H1574" s="9" t="s">
        <v>106</v>
      </c>
      <c r="I1574" s="9">
        <v>36</v>
      </c>
      <c r="J1574" s="9" t="s">
        <v>107</v>
      </c>
      <c r="K1574" s="9" t="s">
        <v>336</v>
      </c>
      <c r="L1574" t="str">
        <f>IF(OR(J1574="Cattle",J1574="Zebu Cattle"),IF(COUNTIF(lists!$M$2:$M$258, K1574) &gt; 0,"bos.indicus",IF(COUNTIF(lists!$L$2:$L$258, K1574) &gt; 0,"cross.bred","pure.bred.exotic")),"NA")</f>
        <v>NA</v>
      </c>
      <c r="M1574" t="str">
        <f>IF(J1574="Sheep",IF(COUNTIF(lists!$H$2:$H$258, K1574) &gt; 0,"indigenous",IF(COUNTIF(lists!$G$2:$G$258, K1574) &gt; 0,"cross.bred","not found")),"NA")</f>
        <v>not found</v>
      </c>
      <c r="N1574" t="str">
        <f>IF(J1574="Goat",IF(COUNTIF(lists!$J$2:$J$258, K1574) &gt; 0,"indigenous",IF(COUNTIF(lists!$I$2:$I$258, K1574) &gt; 0,"cross.bred","not found")),"NA")</f>
        <v>NA</v>
      </c>
      <c r="O1574" s="9" t="s">
        <v>109</v>
      </c>
      <c r="P1574" s="9" t="s">
        <v>106</v>
      </c>
      <c r="Q1574" s="9" t="s">
        <v>3804</v>
      </c>
      <c r="S1574" s="9" t="s">
        <v>106</v>
      </c>
      <c r="T1574" s="9" t="s">
        <v>106</v>
      </c>
      <c r="U1574" s="9" t="s">
        <v>106</v>
      </c>
      <c r="V1574" s="9">
        <v>53.2</v>
      </c>
      <c r="W1574" s="9" t="s">
        <v>106</v>
      </c>
      <c r="X1574" s="9">
        <v>359</v>
      </c>
      <c r="Y1574" s="9">
        <v>60.3</v>
      </c>
      <c r="Z1574" s="37"/>
      <c r="AA1574" s="37"/>
      <c r="AB1574" s="37"/>
      <c r="AE1574">
        <v>0</v>
      </c>
    </row>
    <row r="1575" spans="1:31" hidden="1">
      <c r="A1575" s="9" t="s">
        <v>1781</v>
      </c>
      <c r="B1575" s="9" t="s">
        <v>1787</v>
      </c>
      <c r="C1575" s="9" t="s">
        <v>105</v>
      </c>
      <c r="D1575" s="9">
        <v>0.502</v>
      </c>
      <c r="E1575" s="9">
        <v>12.1</v>
      </c>
      <c r="F1575" s="9">
        <v>17.3</v>
      </c>
      <c r="G1575" s="9">
        <v>17.399999999999999</v>
      </c>
      <c r="H1575" s="9" t="s">
        <v>106</v>
      </c>
      <c r="I1575" s="9">
        <v>36</v>
      </c>
      <c r="J1575" s="9" t="s">
        <v>107</v>
      </c>
      <c r="K1575" s="9" t="s">
        <v>336</v>
      </c>
      <c r="L1575" t="str">
        <f>IF(OR(J1575="Cattle",J1575="Zebu Cattle"),IF(COUNTIF(lists!$M$2:$M$258, K1575) &gt; 0,"bos.indicus",IF(COUNTIF(lists!$L$2:$L$258, K1575) &gt; 0,"cross.bred","pure.bred.exotic")),"NA")</f>
        <v>NA</v>
      </c>
      <c r="M1575" t="str">
        <f>IF(J1575="Sheep",IF(COUNTIF(lists!$H$2:$H$258, K1575) &gt; 0,"indigenous",IF(COUNTIF(lists!$G$2:$G$258, K1575) &gt; 0,"cross.bred","not found")),"NA")</f>
        <v>not found</v>
      </c>
      <c r="N1575" t="str">
        <f>IF(J1575="Goat",IF(COUNTIF(lists!$J$2:$J$258, K1575) &gt; 0,"indigenous",IF(COUNTIF(lists!$I$2:$I$258, K1575) &gt; 0,"cross.bred","not found")),"NA")</f>
        <v>NA</v>
      </c>
      <c r="O1575" s="9" t="s">
        <v>109</v>
      </c>
      <c r="P1575" s="9" t="s">
        <v>106</v>
      </c>
      <c r="Q1575" s="9" t="s">
        <v>3804</v>
      </c>
      <c r="S1575" s="9" t="s">
        <v>106</v>
      </c>
      <c r="T1575" s="9" t="s">
        <v>106</v>
      </c>
      <c r="U1575" s="9" t="s">
        <v>106</v>
      </c>
      <c r="V1575" s="9">
        <v>59.1</v>
      </c>
      <c r="W1575" s="9" t="s">
        <v>106</v>
      </c>
      <c r="X1575" s="9">
        <v>352</v>
      </c>
      <c r="Y1575" s="9">
        <v>71.2</v>
      </c>
      <c r="Z1575" s="37"/>
      <c r="AA1575" s="37"/>
      <c r="AB1575" s="37"/>
      <c r="AE1575">
        <v>0</v>
      </c>
    </row>
    <row r="1576" spans="1:31" hidden="1">
      <c r="A1576" s="9" t="s">
        <v>1788</v>
      </c>
      <c r="B1576" s="9" t="s">
        <v>129</v>
      </c>
      <c r="C1576" s="9" t="s">
        <v>105</v>
      </c>
      <c r="D1576" s="9">
        <v>0.53626305571603405</v>
      </c>
      <c r="E1576" s="9">
        <v>2.2400000000000002</v>
      </c>
      <c r="F1576" s="9">
        <v>17.38</v>
      </c>
      <c r="G1576" s="9">
        <v>16.100000000000001</v>
      </c>
      <c r="H1576" s="9" t="s">
        <v>106</v>
      </c>
      <c r="I1576" s="9">
        <v>30</v>
      </c>
      <c r="J1576" s="9" t="s">
        <v>107</v>
      </c>
      <c r="K1576" s="9" t="s">
        <v>985</v>
      </c>
      <c r="L1576" t="str">
        <f>IF(OR(J1576="Cattle",J1576="Zebu Cattle"),IF(COUNTIF(lists!$M$2:$M$258, K1576) &gt; 0,"bos.indicus",IF(COUNTIF(lists!$L$2:$L$258, K1576) &gt; 0,"cross.bred","pure.bred.exotic")),"NA")</f>
        <v>NA</v>
      </c>
      <c r="M1576" t="str">
        <f>IF(J1576="Sheep",IF(COUNTIF(lists!$H$2:$H$258, K1576) &gt; 0,"indigenous",IF(COUNTIF(lists!$G$2:$G$258, K1576) &gt; 0,"cross.bred","not found")),"NA")</f>
        <v>not found</v>
      </c>
      <c r="N1576" t="str">
        <f>IF(J1576="Goat",IF(COUNTIF(lists!$J$2:$J$258, K1576) &gt; 0,"indigenous",IF(COUNTIF(lists!$I$2:$I$258, K1576) &gt; 0,"cross.bred","not found")),"NA")</f>
        <v>NA</v>
      </c>
      <c r="O1576" s="9" t="s">
        <v>109</v>
      </c>
      <c r="P1576" s="9" t="s">
        <v>106</v>
      </c>
      <c r="Q1576" s="9" t="s">
        <v>3804</v>
      </c>
      <c r="S1576" s="9" t="s">
        <v>106</v>
      </c>
      <c r="T1576" s="9" t="s">
        <v>106</v>
      </c>
      <c r="U1576" s="9" t="s">
        <v>106</v>
      </c>
      <c r="V1576" s="9" t="s">
        <v>106</v>
      </c>
      <c r="W1576" s="9" t="s">
        <v>106</v>
      </c>
      <c r="X1576" s="9" t="s">
        <v>106</v>
      </c>
      <c r="Y1576" s="9">
        <v>46</v>
      </c>
      <c r="Z1576" s="37"/>
      <c r="AA1576" s="37"/>
      <c r="AB1576" s="37"/>
      <c r="AE1576">
        <v>0</v>
      </c>
    </row>
    <row r="1577" spans="1:31" hidden="1">
      <c r="A1577" s="9" t="s">
        <v>1788</v>
      </c>
      <c r="B1577" s="9" t="s">
        <v>130</v>
      </c>
      <c r="C1577" s="9" t="s">
        <v>105</v>
      </c>
      <c r="D1577" s="9">
        <v>0.59602337006081396</v>
      </c>
      <c r="E1577" s="9">
        <v>2.2400000000000002</v>
      </c>
      <c r="F1577" s="9">
        <v>17.420000000000002</v>
      </c>
      <c r="G1577" s="9">
        <v>24.6</v>
      </c>
      <c r="H1577" s="9" t="s">
        <v>106</v>
      </c>
      <c r="I1577" s="9">
        <v>30</v>
      </c>
      <c r="J1577" s="9" t="s">
        <v>107</v>
      </c>
      <c r="K1577" s="9" t="s">
        <v>985</v>
      </c>
      <c r="L1577" t="str">
        <f>IF(OR(J1577="Cattle",J1577="Zebu Cattle"),IF(COUNTIF(lists!$M$2:$M$258, K1577) &gt; 0,"bos.indicus",IF(COUNTIF(lists!$L$2:$L$258, K1577) &gt; 0,"cross.bred","pure.bred.exotic")),"NA")</f>
        <v>NA</v>
      </c>
      <c r="M1577" t="str">
        <f>IF(J1577="Sheep",IF(COUNTIF(lists!$H$2:$H$258, K1577) &gt; 0,"indigenous",IF(COUNTIF(lists!$G$2:$G$258, K1577) &gt; 0,"cross.bred","not found")),"NA")</f>
        <v>not found</v>
      </c>
      <c r="N1577" t="str">
        <f>IF(J1577="Goat",IF(COUNTIF(lists!$J$2:$J$258, K1577) &gt; 0,"indigenous",IF(COUNTIF(lists!$I$2:$I$258, K1577) &gt; 0,"cross.bred","not found")),"NA")</f>
        <v>NA</v>
      </c>
      <c r="O1577" s="9" t="s">
        <v>109</v>
      </c>
      <c r="P1577" s="9" t="s">
        <v>106</v>
      </c>
      <c r="Q1577" s="9" t="s">
        <v>3804</v>
      </c>
      <c r="S1577" s="9">
        <v>158</v>
      </c>
      <c r="T1577" s="9">
        <v>79</v>
      </c>
      <c r="U1577" s="9">
        <v>234</v>
      </c>
      <c r="V1577" s="9">
        <v>914</v>
      </c>
      <c r="W1577" s="9" t="s">
        <v>106</v>
      </c>
      <c r="X1577" s="9">
        <v>435</v>
      </c>
      <c r="Y1577" s="9">
        <v>48</v>
      </c>
      <c r="Z1577" s="37"/>
      <c r="AA1577" s="37"/>
      <c r="AB1577" s="37"/>
      <c r="AE1577">
        <v>0</v>
      </c>
    </row>
    <row r="1578" spans="1:31" hidden="1">
      <c r="A1578" s="9" t="s">
        <v>1788</v>
      </c>
      <c r="B1578" s="9" t="s">
        <v>131</v>
      </c>
      <c r="C1578" s="9" t="s">
        <v>105</v>
      </c>
      <c r="D1578" s="9">
        <v>0.67733944386878797</v>
      </c>
      <c r="E1578" s="9">
        <v>2.2400000000000002</v>
      </c>
      <c r="F1578" s="9">
        <v>17.46</v>
      </c>
      <c r="G1578" s="9">
        <v>84.3</v>
      </c>
      <c r="H1578" s="9" t="s">
        <v>106</v>
      </c>
      <c r="I1578" s="9">
        <v>30</v>
      </c>
      <c r="J1578" s="9" t="s">
        <v>107</v>
      </c>
      <c r="K1578" s="9" t="s">
        <v>985</v>
      </c>
      <c r="L1578" t="str">
        <f>IF(OR(J1578="Cattle",J1578="Zebu Cattle"),IF(COUNTIF(lists!$M$2:$M$258, K1578) &gt; 0,"bos.indicus",IF(COUNTIF(lists!$L$2:$L$258, K1578) &gt; 0,"cross.bred","pure.bred.exotic")),"NA")</f>
        <v>NA</v>
      </c>
      <c r="M1578" t="str">
        <f>IF(J1578="Sheep",IF(COUNTIF(lists!$H$2:$H$258, K1578) &gt; 0,"indigenous",IF(COUNTIF(lists!$G$2:$G$258, K1578) &gt; 0,"cross.bred","not found")),"NA")</f>
        <v>not found</v>
      </c>
      <c r="N1578" t="str">
        <f>IF(J1578="Goat",IF(COUNTIF(lists!$J$2:$J$258, K1578) &gt; 0,"indigenous",IF(COUNTIF(lists!$I$2:$I$258, K1578) &gt; 0,"cross.bred","not found")),"NA")</f>
        <v>NA</v>
      </c>
      <c r="O1578" s="9" t="s">
        <v>109</v>
      </c>
      <c r="P1578" s="9" t="s">
        <v>106</v>
      </c>
      <c r="Q1578" s="9" t="s">
        <v>3804</v>
      </c>
      <c r="S1578" s="9">
        <v>174</v>
      </c>
      <c r="T1578" s="9">
        <v>83</v>
      </c>
      <c r="U1578" s="9">
        <v>255</v>
      </c>
      <c r="V1578" s="9">
        <v>913</v>
      </c>
      <c r="W1578" s="9" t="s">
        <v>106</v>
      </c>
      <c r="X1578" s="9">
        <v>479</v>
      </c>
      <c r="Y1578" s="9">
        <v>63</v>
      </c>
      <c r="Z1578" s="37"/>
      <c r="AA1578" s="37"/>
      <c r="AB1578" s="37"/>
      <c r="AE1578">
        <v>0</v>
      </c>
    </row>
    <row r="1579" spans="1:31" hidden="1">
      <c r="A1579" s="9" t="s">
        <v>1788</v>
      </c>
      <c r="B1579" s="9" t="s">
        <v>132</v>
      </c>
      <c r="C1579" s="9" t="s">
        <v>105</v>
      </c>
      <c r="D1579" s="9">
        <v>0.69297232340665904</v>
      </c>
      <c r="E1579" s="9">
        <v>2.2400000000000002</v>
      </c>
      <c r="F1579" s="9">
        <v>17.440000000000001</v>
      </c>
      <c r="G1579" s="9">
        <v>70.3</v>
      </c>
      <c r="H1579" s="9" t="s">
        <v>106</v>
      </c>
      <c r="I1579" s="9">
        <v>30</v>
      </c>
      <c r="J1579" s="9" t="s">
        <v>107</v>
      </c>
      <c r="K1579" s="9" t="s">
        <v>985</v>
      </c>
      <c r="L1579" t="str">
        <f>IF(OR(J1579="Cattle",J1579="Zebu Cattle"),IF(COUNTIF(lists!$M$2:$M$258, K1579) &gt; 0,"bos.indicus",IF(COUNTIF(lists!$L$2:$L$258, K1579) &gt; 0,"cross.bred","pure.bred.exotic")),"NA")</f>
        <v>NA</v>
      </c>
      <c r="M1579" t="str">
        <f>IF(J1579="Sheep",IF(COUNTIF(lists!$H$2:$H$258, K1579) &gt; 0,"indigenous",IF(COUNTIF(lists!$G$2:$G$258, K1579) &gt; 0,"cross.bred","not found")),"NA")</f>
        <v>not found</v>
      </c>
      <c r="N1579" t="str">
        <f>IF(J1579="Goat",IF(COUNTIF(lists!$J$2:$J$258, K1579) &gt; 0,"indigenous",IF(COUNTIF(lists!$I$2:$I$258, K1579) &gt; 0,"cross.bred","not found")),"NA")</f>
        <v>NA</v>
      </c>
      <c r="O1579" s="9" t="s">
        <v>109</v>
      </c>
      <c r="P1579" s="9" t="s">
        <v>106</v>
      </c>
      <c r="Q1579" s="9" t="s">
        <v>3804</v>
      </c>
      <c r="S1579" s="9">
        <v>183</v>
      </c>
      <c r="T1579" s="9">
        <v>91</v>
      </c>
      <c r="U1579" s="9">
        <v>270</v>
      </c>
      <c r="V1579" s="9">
        <v>909</v>
      </c>
      <c r="W1579" s="9" t="s">
        <v>106</v>
      </c>
      <c r="X1579" s="9">
        <v>528</v>
      </c>
      <c r="Y1579" s="9">
        <v>57</v>
      </c>
      <c r="Z1579" s="37"/>
      <c r="AA1579" s="37"/>
      <c r="AB1579" s="37"/>
      <c r="AE1579">
        <v>0</v>
      </c>
    </row>
    <row r="1580" spans="1:31" hidden="1">
      <c r="A1580" s="9" t="s">
        <v>1788</v>
      </c>
      <c r="B1580" s="9" t="s">
        <v>133</v>
      </c>
      <c r="C1580" s="9" t="s">
        <v>105</v>
      </c>
      <c r="D1580" s="9">
        <v>0.69041208083249594</v>
      </c>
      <c r="E1580" s="9">
        <v>2.2400000000000002</v>
      </c>
      <c r="F1580" s="9">
        <v>17.440000000000001</v>
      </c>
      <c r="G1580" s="9">
        <v>69.099999999999994</v>
      </c>
      <c r="H1580" s="9" t="s">
        <v>106</v>
      </c>
      <c r="I1580" s="9">
        <v>30</v>
      </c>
      <c r="J1580" s="9" t="s">
        <v>107</v>
      </c>
      <c r="K1580" s="9" t="s">
        <v>985</v>
      </c>
      <c r="L1580" t="str">
        <f>IF(OR(J1580="Cattle",J1580="Zebu Cattle"),IF(COUNTIF(lists!$M$2:$M$258, K1580) &gt; 0,"bos.indicus",IF(COUNTIF(lists!$L$2:$L$258, K1580) &gt; 0,"cross.bred","pure.bred.exotic")),"NA")</f>
        <v>NA</v>
      </c>
      <c r="M1580" t="str">
        <f>IF(J1580="Sheep",IF(COUNTIF(lists!$H$2:$H$258, K1580) &gt; 0,"indigenous",IF(COUNTIF(lists!$G$2:$G$258, K1580) &gt; 0,"cross.bred","not found")),"NA")</f>
        <v>not found</v>
      </c>
      <c r="N1580" t="str">
        <f>IF(J1580="Goat",IF(COUNTIF(lists!$J$2:$J$258, K1580) &gt; 0,"indigenous",IF(COUNTIF(lists!$I$2:$I$258, K1580) &gt; 0,"cross.bred","not found")),"NA")</f>
        <v>NA</v>
      </c>
      <c r="O1580" s="9" t="s">
        <v>109</v>
      </c>
      <c r="P1580" s="9" t="s">
        <v>106</v>
      </c>
      <c r="Q1580" s="9" t="s">
        <v>3804</v>
      </c>
      <c r="S1580" s="9" t="s">
        <v>106</v>
      </c>
      <c r="T1580" s="9" t="s">
        <v>106</v>
      </c>
      <c r="U1580" s="9" t="s">
        <v>106</v>
      </c>
      <c r="V1580" s="9" t="s">
        <v>106</v>
      </c>
      <c r="W1580" s="9" t="s">
        <v>106</v>
      </c>
      <c r="X1580" s="9" t="s">
        <v>106</v>
      </c>
      <c r="Y1580" s="9">
        <v>58</v>
      </c>
      <c r="Z1580" s="37"/>
      <c r="AA1580" s="37"/>
      <c r="AB1580" s="37"/>
      <c r="AE1580">
        <v>0</v>
      </c>
    </row>
    <row r="1581" spans="1:31" hidden="1">
      <c r="A1581" s="9" t="s">
        <v>1788</v>
      </c>
      <c r="B1581" s="9" t="s">
        <v>1789</v>
      </c>
      <c r="C1581" s="9" t="s">
        <v>105</v>
      </c>
      <c r="D1581" s="9">
        <v>0.43278843648182402</v>
      </c>
      <c r="E1581" s="9">
        <v>2.2400000000000002</v>
      </c>
      <c r="F1581" s="9">
        <v>17.399999999999999</v>
      </c>
      <c r="G1581" s="9">
        <v>-1.7</v>
      </c>
      <c r="H1581" s="9" t="s">
        <v>106</v>
      </c>
      <c r="I1581" s="9">
        <v>30</v>
      </c>
      <c r="J1581" s="9" t="s">
        <v>107</v>
      </c>
      <c r="K1581" s="9" t="s">
        <v>985</v>
      </c>
      <c r="L1581" t="str">
        <f>IF(OR(J1581="Cattle",J1581="Zebu Cattle"),IF(COUNTIF(lists!$M$2:$M$258, K1581) &gt; 0,"bos.indicus",IF(COUNTIF(lists!$L$2:$L$258, K1581) &gt; 0,"cross.bred","pure.bred.exotic")),"NA")</f>
        <v>NA</v>
      </c>
      <c r="M1581" t="str">
        <f>IF(J1581="Sheep",IF(COUNTIF(lists!$H$2:$H$258, K1581) &gt; 0,"indigenous",IF(COUNTIF(lists!$G$2:$G$258, K1581) &gt; 0,"cross.bred","not found")),"NA")</f>
        <v>not found</v>
      </c>
      <c r="N1581" t="str">
        <f>IF(J1581="Goat",IF(COUNTIF(lists!$J$2:$J$258, K1581) &gt; 0,"indigenous",IF(COUNTIF(lists!$I$2:$I$258, K1581) &gt; 0,"cross.bred","not found")),"NA")</f>
        <v>NA</v>
      </c>
      <c r="O1581" s="9" t="s">
        <v>109</v>
      </c>
      <c r="P1581" s="9" t="s">
        <v>106</v>
      </c>
      <c r="Q1581" s="9" t="s">
        <v>3804</v>
      </c>
      <c r="S1581" s="9" t="s">
        <v>106</v>
      </c>
      <c r="T1581" s="9" t="s">
        <v>106</v>
      </c>
      <c r="U1581" s="9" t="s">
        <v>106</v>
      </c>
      <c r="V1581" s="9" t="s">
        <v>106</v>
      </c>
      <c r="W1581" s="9" t="s">
        <v>106</v>
      </c>
      <c r="X1581" s="9" t="s">
        <v>106</v>
      </c>
      <c r="Y1581" s="9">
        <v>46</v>
      </c>
      <c r="Z1581" s="37"/>
      <c r="AA1581" s="37"/>
      <c r="AB1581" s="37"/>
      <c r="AE1581">
        <v>0</v>
      </c>
    </row>
    <row r="1582" spans="1:31" hidden="1">
      <c r="A1582" s="9" t="s">
        <v>1794</v>
      </c>
      <c r="B1582" s="9" t="s">
        <v>1795</v>
      </c>
      <c r="C1582" s="9" t="s">
        <v>105</v>
      </c>
      <c r="D1582" s="9">
        <v>7.0099999999999996E-2</v>
      </c>
      <c r="E1582" s="9">
        <v>1.32</v>
      </c>
      <c r="F1582" s="9">
        <v>15.6</v>
      </c>
      <c r="G1582" s="9">
        <v>34.619999999999997</v>
      </c>
      <c r="H1582" s="9" t="s">
        <v>106</v>
      </c>
      <c r="I1582" s="9">
        <v>30</v>
      </c>
      <c r="J1582" s="9" t="s">
        <v>107</v>
      </c>
      <c r="K1582" s="9" t="s">
        <v>542</v>
      </c>
      <c r="L1582" t="str">
        <f>IF(OR(J1582="Cattle",J1582="Zebu Cattle"),IF(COUNTIF(lists!$M$2:$M$258, K1582) &gt; 0,"bos.indicus",IF(COUNTIF(lists!$L$2:$L$258, K1582) &gt; 0,"cross.bred","pure.bred.exotic")),"NA")</f>
        <v>NA</v>
      </c>
      <c r="M1582" t="str">
        <f>IF(J1582="Sheep",IF(COUNTIF(lists!$H$2:$H$258, K1582) &gt; 0,"indigenous",IF(COUNTIF(lists!$G$2:$G$258, K1582) &gt; 0,"cross.bred","not found")),"NA")</f>
        <v>not found</v>
      </c>
      <c r="N1582" t="str">
        <f>IF(J1582="Goat",IF(COUNTIF(lists!$J$2:$J$258, K1582) &gt; 0,"indigenous",IF(COUNTIF(lists!$I$2:$I$258, K1582) &gt; 0,"cross.bred","not found")),"NA")</f>
        <v>NA</v>
      </c>
      <c r="O1582" s="9" t="s">
        <v>109</v>
      </c>
      <c r="P1582" s="9" t="s">
        <v>106</v>
      </c>
      <c r="Q1582" s="9" t="s">
        <v>3804</v>
      </c>
      <c r="S1582" s="9" t="s">
        <v>106</v>
      </c>
      <c r="T1582" s="9" t="s">
        <v>106</v>
      </c>
      <c r="U1582" s="9" t="s">
        <v>106</v>
      </c>
      <c r="V1582" s="9" t="s">
        <v>106</v>
      </c>
      <c r="W1582" s="9" t="s">
        <v>106</v>
      </c>
      <c r="X1582" s="9" t="s">
        <v>106</v>
      </c>
      <c r="Y1582" s="9">
        <v>59</v>
      </c>
      <c r="Z1582" s="37"/>
      <c r="AA1582" s="37"/>
      <c r="AB1582" s="37"/>
      <c r="AE1582">
        <v>0</v>
      </c>
    </row>
    <row r="1583" spans="1:31" hidden="1">
      <c r="A1583" s="9" t="s">
        <v>1794</v>
      </c>
      <c r="B1583" s="9" t="s">
        <v>1796</v>
      </c>
      <c r="C1583" s="9" t="s">
        <v>105</v>
      </c>
      <c r="D1583" s="9">
        <v>7.0099999999999996E-2</v>
      </c>
      <c r="E1583" s="9">
        <v>1.32</v>
      </c>
      <c r="F1583" s="9">
        <v>15.5</v>
      </c>
      <c r="G1583" s="9">
        <v>34.76</v>
      </c>
      <c r="H1583" s="9" t="s">
        <v>106</v>
      </c>
      <c r="I1583" s="9">
        <v>30</v>
      </c>
      <c r="J1583" s="9" t="s">
        <v>107</v>
      </c>
      <c r="K1583" s="9" t="s">
        <v>542</v>
      </c>
      <c r="L1583" t="str">
        <f>IF(OR(J1583="Cattle",J1583="Zebu Cattle"),IF(COUNTIF(lists!$M$2:$M$258, K1583) &gt; 0,"bos.indicus",IF(COUNTIF(lists!$L$2:$L$258, K1583) &gt; 0,"cross.bred","pure.bred.exotic")),"NA")</f>
        <v>NA</v>
      </c>
      <c r="M1583" t="str">
        <f>IF(J1583="Sheep",IF(COUNTIF(lists!$H$2:$H$258, K1583) &gt; 0,"indigenous",IF(COUNTIF(lists!$G$2:$G$258, K1583) &gt; 0,"cross.bred","not found")),"NA")</f>
        <v>not found</v>
      </c>
      <c r="N1583" t="str">
        <f>IF(J1583="Goat",IF(COUNTIF(lists!$J$2:$J$258, K1583) &gt; 0,"indigenous",IF(COUNTIF(lists!$I$2:$I$258, K1583) &gt; 0,"cross.bred","not found")),"NA")</f>
        <v>NA</v>
      </c>
      <c r="O1583" s="9" t="s">
        <v>109</v>
      </c>
      <c r="P1583" s="9" t="s">
        <v>106</v>
      </c>
      <c r="Q1583" s="9" t="s">
        <v>3804</v>
      </c>
      <c r="S1583" s="9" t="s">
        <v>106</v>
      </c>
      <c r="T1583" s="9" t="s">
        <v>106</v>
      </c>
      <c r="U1583" s="9" t="s">
        <v>106</v>
      </c>
      <c r="V1583" s="9" t="s">
        <v>106</v>
      </c>
      <c r="W1583" s="9" t="s">
        <v>106</v>
      </c>
      <c r="X1583" s="9" t="s">
        <v>106</v>
      </c>
      <c r="Y1583" s="9">
        <v>62</v>
      </c>
      <c r="Z1583" s="37"/>
      <c r="AA1583" s="37"/>
      <c r="AB1583" s="37"/>
      <c r="AE1583">
        <v>0</v>
      </c>
    </row>
    <row r="1584" spans="1:31" hidden="1">
      <c r="A1584" s="9" t="s">
        <v>1794</v>
      </c>
      <c r="B1584" s="9" t="s">
        <v>455</v>
      </c>
      <c r="C1584" s="9" t="s">
        <v>105</v>
      </c>
      <c r="D1584" s="9">
        <v>5.5799999999999898E-2</v>
      </c>
      <c r="E1584" s="9">
        <v>1.32</v>
      </c>
      <c r="F1584" s="9">
        <v>15.5</v>
      </c>
      <c r="G1584" s="9">
        <v>-1.5</v>
      </c>
      <c r="H1584" s="9" t="s">
        <v>106</v>
      </c>
      <c r="I1584" s="9">
        <v>30</v>
      </c>
      <c r="J1584" s="9" t="s">
        <v>107</v>
      </c>
      <c r="K1584" s="9" t="s">
        <v>542</v>
      </c>
      <c r="L1584" t="str">
        <f>IF(OR(J1584="Cattle",J1584="Zebu Cattle"),IF(COUNTIF(lists!$M$2:$M$258, K1584) &gt; 0,"bos.indicus",IF(COUNTIF(lists!$L$2:$L$258, K1584) &gt; 0,"cross.bred","pure.bred.exotic")),"NA")</f>
        <v>NA</v>
      </c>
      <c r="M1584" t="str">
        <f>IF(J1584="Sheep",IF(COUNTIF(lists!$H$2:$H$258, K1584) &gt; 0,"indigenous",IF(COUNTIF(lists!$G$2:$G$258, K1584) &gt; 0,"cross.bred","not found")),"NA")</f>
        <v>not found</v>
      </c>
      <c r="N1584" t="str">
        <f>IF(J1584="Goat",IF(COUNTIF(lists!$J$2:$J$258, K1584) &gt; 0,"indigenous",IF(COUNTIF(lists!$I$2:$I$258, K1584) &gt; 0,"cross.bred","not found")),"NA")</f>
        <v>NA</v>
      </c>
      <c r="O1584" s="9" t="s">
        <v>109</v>
      </c>
      <c r="P1584" s="9" t="s">
        <v>106</v>
      </c>
      <c r="Q1584" s="9" t="s">
        <v>3804</v>
      </c>
      <c r="S1584" s="9" t="s">
        <v>106</v>
      </c>
      <c r="T1584" s="9" t="s">
        <v>106</v>
      </c>
      <c r="U1584" s="9" t="s">
        <v>106</v>
      </c>
      <c r="V1584" s="9" t="s">
        <v>106</v>
      </c>
      <c r="W1584" s="9" t="s">
        <v>106</v>
      </c>
      <c r="X1584" s="9" t="s">
        <v>106</v>
      </c>
      <c r="Y1584" s="9">
        <v>65</v>
      </c>
      <c r="Z1584" s="37"/>
      <c r="AA1584" s="37"/>
      <c r="AB1584" s="37"/>
      <c r="AE1584">
        <v>0</v>
      </c>
    </row>
    <row r="1585" spans="1:31" hidden="1">
      <c r="A1585" s="9" t="s">
        <v>1794</v>
      </c>
      <c r="B1585" s="9" t="s">
        <v>1297</v>
      </c>
      <c r="C1585" s="9" t="s">
        <v>105</v>
      </c>
      <c r="D1585" s="9">
        <v>7.2999999999999995E-2</v>
      </c>
      <c r="E1585" s="9">
        <v>1.32</v>
      </c>
      <c r="F1585" s="9">
        <v>15.5</v>
      </c>
      <c r="G1585" s="9">
        <v>36.839999999999897</v>
      </c>
      <c r="H1585" s="9" t="s">
        <v>106</v>
      </c>
      <c r="I1585" s="9">
        <v>30</v>
      </c>
      <c r="J1585" s="9" t="s">
        <v>107</v>
      </c>
      <c r="K1585" s="9" t="s">
        <v>542</v>
      </c>
      <c r="L1585" t="str">
        <f>IF(OR(J1585="Cattle",J1585="Zebu Cattle"),IF(COUNTIF(lists!$M$2:$M$258, K1585) &gt; 0,"bos.indicus",IF(COUNTIF(lists!$L$2:$L$258, K1585) &gt; 0,"cross.bred","pure.bred.exotic")),"NA")</f>
        <v>NA</v>
      </c>
      <c r="M1585" t="str">
        <f>IF(J1585="Sheep",IF(COUNTIF(lists!$H$2:$H$258, K1585) &gt; 0,"indigenous",IF(COUNTIF(lists!$G$2:$G$258, K1585) &gt; 0,"cross.bred","not found")),"NA")</f>
        <v>not found</v>
      </c>
      <c r="N1585" t="str">
        <f>IF(J1585="Goat",IF(COUNTIF(lists!$J$2:$J$258, K1585) &gt; 0,"indigenous",IF(COUNTIF(lists!$I$2:$I$258, K1585) &gt; 0,"cross.bred","not found")),"NA")</f>
        <v>NA</v>
      </c>
      <c r="O1585" s="9" t="s">
        <v>109</v>
      </c>
      <c r="P1585" s="9" t="s">
        <v>106</v>
      </c>
      <c r="Q1585" s="9" t="s">
        <v>3804</v>
      </c>
      <c r="S1585" s="9" t="s">
        <v>106</v>
      </c>
      <c r="T1585" s="9" t="s">
        <v>106</v>
      </c>
      <c r="U1585" s="9" t="s">
        <v>106</v>
      </c>
      <c r="V1585" s="9" t="s">
        <v>106</v>
      </c>
      <c r="W1585" s="9" t="s">
        <v>106</v>
      </c>
      <c r="X1585" s="9" t="s">
        <v>106</v>
      </c>
      <c r="Y1585" s="9">
        <v>64</v>
      </c>
      <c r="Z1585" s="37"/>
      <c r="AA1585" s="37"/>
      <c r="AB1585" s="37"/>
      <c r="AE1585">
        <v>0</v>
      </c>
    </row>
    <row r="1586" spans="1:31" hidden="1">
      <c r="A1586" s="9" t="s">
        <v>1794</v>
      </c>
      <c r="B1586" s="9" t="s">
        <v>1797</v>
      </c>
      <c r="C1586" s="9" t="s">
        <v>105</v>
      </c>
      <c r="D1586" s="9">
        <v>7.2599999999999998E-2</v>
      </c>
      <c r="E1586" s="9">
        <v>1.32</v>
      </c>
      <c r="F1586" s="9">
        <v>15.6</v>
      </c>
      <c r="G1586" s="9">
        <v>27.9</v>
      </c>
      <c r="H1586" s="9" t="s">
        <v>106</v>
      </c>
      <c r="I1586" s="9">
        <v>30</v>
      </c>
      <c r="J1586" s="9" t="s">
        <v>107</v>
      </c>
      <c r="K1586" s="9" t="s">
        <v>542</v>
      </c>
      <c r="L1586" t="str">
        <f>IF(OR(J1586="Cattle",J1586="Zebu Cattle"),IF(COUNTIF(lists!$M$2:$M$258, K1586) &gt; 0,"bos.indicus",IF(COUNTIF(lists!$L$2:$L$258, K1586) &gt; 0,"cross.bred","pure.bred.exotic")),"NA")</f>
        <v>NA</v>
      </c>
      <c r="M1586" t="str">
        <f>IF(J1586="Sheep",IF(COUNTIF(lists!$H$2:$H$258, K1586) &gt; 0,"indigenous",IF(COUNTIF(lists!$G$2:$G$258, K1586) &gt; 0,"cross.bred","not found")),"NA")</f>
        <v>not found</v>
      </c>
      <c r="N1586" t="str">
        <f>IF(J1586="Goat",IF(COUNTIF(lists!$J$2:$J$258, K1586) &gt; 0,"indigenous",IF(COUNTIF(lists!$I$2:$I$258, K1586) &gt; 0,"cross.bred","not found")),"NA")</f>
        <v>NA</v>
      </c>
      <c r="O1586" s="9" t="s">
        <v>109</v>
      </c>
      <c r="P1586" s="9" t="s">
        <v>106</v>
      </c>
      <c r="Q1586" s="9" t="s">
        <v>3804</v>
      </c>
      <c r="S1586" s="9" t="s">
        <v>106</v>
      </c>
      <c r="T1586" s="9" t="s">
        <v>106</v>
      </c>
      <c r="U1586" s="9" t="s">
        <v>106</v>
      </c>
      <c r="V1586" s="9" t="s">
        <v>106</v>
      </c>
      <c r="W1586" s="9" t="s">
        <v>106</v>
      </c>
      <c r="X1586" s="9" t="s">
        <v>106</v>
      </c>
      <c r="Y1586" s="9">
        <v>64</v>
      </c>
      <c r="Z1586" s="37"/>
      <c r="AA1586" s="37"/>
      <c r="AB1586" s="37"/>
      <c r="AE1586">
        <v>0</v>
      </c>
    </row>
    <row r="1587" spans="1:31" hidden="1">
      <c r="A1587" s="9" t="s">
        <v>1798</v>
      </c>
      <c r="B1587" s="9" t="s">
        <v>1799</v>
      </c>
      <c r="C1587" s="9" t="s">
        <v>105</v>
      </c>
      <c r="D1587" s="9">
        <v>0.68500000000000005</v>
      </c>
      <c r="E1587" s="9">
        <v>4.99</v>
      </c>
      <c r="F1587" s="9">
        <v>20</v>
      </c>
      <c r="G1587" s="9">
        <v>11</v>
      </c>
      <c r="H1587" s="9" t="s">
        <v>106</v>
      </c>
      <c r="I1587" s="9">
        <v>40</v>
      </c>
      <c r="J1587" s="9" t="s">
        <v>107</v>
      </c>
      <c r="K1587" s="9" t="s">
        <v>1662</v>
      </c>
      <c r="L1587" t="str">
        <f>IF(OR(J1587="Cattle",J1587="Zebu Cattle"),IF(COUNTIF(lists!$M$2:$M$258, K1587) &gt; 0,"bos.indicus",IF(COUNTIF(lists!$L$2:$L$258, K1587) &gt; 0,"cross.bred","pure.bred.exotic")),"NA")</f>
        <v>NA</v>
      </c>
      <c r="M1587" t="str">
        <f>IF(J1587="Sheep",IF(COUNTIF(lists!$H$2:$H$258, K1587) &gt; 0,"indigenous",IF(COUNTIF(lists!$G$2:$G$258, K1587) &gt; 0,"cross.bred","not found")),"NA")</f>
        <v>not found</v>
      </c>
      <c r="N1587" t="str">
        <f>IF(J1587="Goat",IF(COUNTIF(lists!$J$2:$J$258, K1587) &gt; 0,"indigenous",IF(COUNTIF(lists!$I$2:$I$258, K1587) &gt; 0,"cross.bred","not found")),"NA")</f>
        <v>NA</v>
      </c>
      <c r="O1587" s="9" t="s">
        <v>109</v>
      </c>
      <c r="P1587" s="9" t="s">
        <v>106</v>
      </c>
      <c r="Q1587" s="9" t="s">
        <v>3804</v>
      </c>
      <c r="S1587" s="9" t="s">
        <v>106</v>
      </c>
      <c r="T1587" s="9" t="s">
        <v>106</v>
      </c>
      <c r="U1587" s="9" t="s">
        <v>106</v>
      </c>
      <c r="V1587" s="9" t="s">
        <v>106</v>
      </c>
      <c r="W1587" s="9" t="s">
        <v>106</v>
      </c>
      <c r="X1587" s="9" t="s">
        <v>106</v>
      </c>
      <c r="Y1587" s="9">
        <v>61</v>
      </c>
      <c r="Z1587" s="37"/>
      <c r="AA1587" s="37"/>
      <c r="AB1587" s="37"/>
      <c r="AE1587">
        <v>0</v>
      </c>
    </row>
    <row r="1588" spans="1:31" hidden="1">
      <c r="A1588" s="9" t="s">
        <v>1798</v>
      </c>
      <c r="B1588" s="9" t="s">
        <v>1800</v>
      </c>
      <c r="C1588" s="9" t="s">
        <v>105</v>
      </c>
      <c r="D1588" s="9">
        <v>0.81499999999999995</v>
      </c>
      <c r="E1588" s="9">
        <v>4.99</v>
      </c>
      <c r="F1588" s="9">
        <v>20</v>
      </c>
      <c r="G1588" s="9">
        <v>33</v>
      </c>
      <c r="H1588" s="9" t="s">
        <v>106</v>
      </c>
      <c r="I1588" s="9">
        <v>40</v>
      </c>
      <c r="J1588" s="9" t="s">
        <v>107</v>
      </c>
      <c r="K1588" s="9" t="s">
        <v>1662</v>
      </c>
      <c r="L1588" t="str">
        <f>IF(OR(J1588="Cattle",J1588="Zebu Cattle"),IF(COUNTIF(lists!$M$2:$M$258, K1588) &gt; 0,"bos.indicus",IF(COUNTIF(lists!$L$2:$L$258, K1588) &gt; 0,"cross.bred","pure.bred.exotic")),"NA")</f>
        <v>NA</v>
      </c>
      <c r="M1588" t="str">
        <f>IF(J1588="Sheep",IF(COUNTIF(lists!$H$2:$H$258, K1588) &gt; 0,"indigenous",IF(COUNTIF(lists!$G$2:$G$258, K1588) &gt; 0,"cross.bred","not found")),"NA")</f>
        <v>not found</v>
      </c>
      <c r="N1588" t="str">
        <f>IF(J1588="Goat",IF(COUNTIF(lists!$J$2:$J$258, K1588) &gt; 0,"indigenous",IF(COUNTIF(lists!$I$2:$I$258, K1588) &gt; 0,"cross.bred","not found")),"NA")</f>
        <v>NA</v>
      </c>
      <c r="O1588" s="9" t="s">
        <v>109</v>
      </c>
      <c r="P1588" s="9" t="s">
        <v>106</v>
      </c>
      <c r="Q1588" s="9" t="s">
        <v>3804</v>
      </c>
      <c r="S1588" s="9" t="s">
        <v>106</v>
      </c>
      <c r="T1588" s="9" t="s">
        <v>106</v>
      </c>
      <c r="U1588" s="9" t="s">
        <v>106</v>
      </c>
      <c r="V1588" s="9" t="s">
        <v>106</v>
      </c>
      <c r="W1588" s="9" t="s">
        <v>106</v>
      </c>
      <c r="X1588" s="9" t="s">
        <v>106</v>
      </c>
      <c r="Y1588" s="9">
        <v>44</v>
      </c>
      <c r="Z1588" s="37"/>
      <c r="AA1588" s="37"/>
      <c r="AB1588" s="37"/>
      <c r="AE1588">
        <v>0</v>
      </c>
    </row>
    <row r="1589" spans="1:31" hidden="1">
      <c r="A1589" s="9" t="s">
        <v>1798</v>
      </c>
      <c r="B1589" s="9" t="s">
        <v>1801</v>
      </c>
      <c r="C1589" s="9" t="s">
        <v>105</v>
      </c>
      <c r="D1589" s="9">
        <v>0.879</v>
      </c>
      <c r="E1589" s="9">
        <v>4.99</v>
      </c>
      <c r="F1589" s="9">
        <v>19.8</v>
      </c>
      <c r="G1589" s="9">
        <v>25</v>
      </c>
      <c r="H1589" s="9" t="s">
        <v>106</v>
      </c>
      <c r="I1589" s="9">
        <v>40</v>
      </c>
      <c r="J1589" s="9" t="s">
        <v>107</v>
      </c>
      <c r="K1589" s="9" t="s">
        <v>1662</v>
      </c>
      <c r="L1589" t="str">
        <f>IF(OR(J1589="Cattle",J1589="Zebu Cattle"),IF(COUNTIF(lists!$M$2:$M$258, K1589) &gt; 0,"bos.indicus",IF(COUNTIF(lists!$L$2:$L$258, K1589) &gt; 0,"cross.bred","pure.bred.exotic")),"NA")</f>
        <v>NA</v>
      </c>
      <c r="M1589" t="str">
        <f>IF(J1589="Sheep",IF(COUNTIF(lists!$H$2:$H$258, K1589) &gt; 0,"indigenous",IF(COUNTIF(lists!$G$2:$G$258, K1589) &gt; 0,"cross.bred","not found")),"NA")</f>
        <v>not found</v>
      </c>
      <c r="N1589" t="str">
        <f>IF(J1589="Goat",IF(COUNTIF(lists!$J$2:$J$258, K1589) &gt; 0,"indigenous",IF(COUNTIF(lists!$I$2:$I$258, K1589) &gt; 0,"cross.bred","not found")),"NA")</f>
        <v>NA</v>
      </c>
      <c r="O1589" s="9" t="s">
        <v>109</v>
      </c>
      <c r="P1589" s="9" t="s">
        <v>106</v>
      </c>
      <c r="Q1589" s="9" t="s">
        <v>3804</v>
      </c>
      <c r="S1589" s="9" t="s">
        <v>106</v>
      </c>
      <c r="T1589" s="9" t="s">
        <v>106</v>
      </c>
      <c r="U1589" s="9" t="s">
        <v>106</v>
      </c>
      <c r="V1589" s="9" t="s">
        <v>106</v>
      </c>
      <c r="W1589" s="9" t="s">
        <v>106</v>
      </c>
      <c r="X1589" s="9" t="s">
        <v>106</v>
      </c>
      <c r="Y1589" s="9">
        <v>49</v>
      </c>
      <c r="Z1589" s="37"/>
      <c r="AA1589" s="37"/>
      <c r="AB1589" s="37"/>
      <c r="AE1589">
        <v>0</v>
      </c>
    </row>
    <row r="1590" spans="1:31" hidden="1">
      <c r="A1590" s="9" t="s">
        <v>1798</v>
      </c>
      <c r="B1590" s="9" t="s">
        <v>1802</v>
      </c>
      <c r="C1590" s="9" t="s">
        <v>105</v>
      </c>
      <c r="D1590" s="9">
        <v>0.90700000000000003</v>
      </c>
      <c r="E1590" s="9">
        <v>4.99</v>
      </c>
      <c r="F1590" s="9">
        <v>19.5</v>
      </c>
      <c r="G1590" s="9">
        <v>28</v>
      </c>
      <c r="H1590" s="9" t="s">
        <v>106</v>
      </c>
      <c r="I1590" s="9">
        <v>40</v>
      </c>
      <c r="J1590" s="9" t="s">
        <v>107</v>
      </c>
      <c r="K1590" s="9" t="s">
        <v>1662</v>
      </c>
      <c r="L1590" t="str">
        <f>IF(OR(J1590="Cattle",J1590="Zebu Cattle"),IF(COUNTIF(lists!$M$2:$M$258, K1590) &gt; 0,"bos.indicus",IF(COUNTIF(lists!$L$2:$L$258, K1590) &gt; 0,"cross.bred","pure.bred.exotic")),"NA")</f>
        <v>NA</v>
      </c>
      <c r="M1590" t="str">
        <f>IF(J1590="Sheep",IF(COUNTIF(lists!$H$2:$H$258, K1590) &gt; 0,"indigenous",IF(COUNTIF(lists!$G$2:$G$258, K1590) &gt; 0,"cross.bred","not found")),"NA")</f>
        <v>not found</v>
      </c>
      <c r="N1590" t="str">
        <f>IF(J1590="Goat",IF(COUNTIF(lists!$J$2:$J$258, K1590) &gt; 0,"indigenous",IF(COUNTIF(lists!$I$2:$I$258, K1590) &gt; 0,"cross.bred","not found")),"NA")</f>
        <v>NA</v>
      </c>
      <c r="O1590" s="9" t="s">
        <v>109</v>
      </c>
      <c r="P1590" s="9" t="s">
        <v>106</v>
      </c>
      <c r="Q1590" s="9" t="s">
        <v>3804</v>
      </c>
      <c r="S1590" s="9" t="s">
        <v>106</v>
      </c>
      <c r="T1590" s="9" t="s">
        <v>106</v>
      </c>
      <c r="U1590" s="9" t="s">
        <v>106</v>
      </c>
      <c r="V1590" s="9" t="s">
        <v>106</v>
      </c>
      <c r="W1590" s="9" t="s">
        <v>106</v>
      </c>
      <c r="X1590" s="9" t="s">
        <v>106</v>
      </c>
      <c r="Y1590" s="9" t="s">
        <v>106</v>
      </c>
      <c r="Z1590" s="37"/>
      <c r="AA1590" s="37"/>
      <c r="AB1590" s="37"/>
      <c r="AE1590">
        <v>0</v>
      </c>
    </row>
    <row r="1591" spans="1:31" hidden="1">
      <c r="A1591" s="9" t="s">
        <v>1798</v>
      </c>
      <c r="B1591" s="9" t="s">
        <v>1803</v>
      </c>
      <c r="C1591" s="9" t="s">
        <v>105</v>
      </c>
      <c r="D1591" s="9">
        <v>0.72599999999999998</v>
      </c>
      <c r="E1591" s="9">
        <v>4.99</v>
      </c>
      <c r="F1591" s="9">
        <v>19</v>
      </c>
      <c r="G1591" s="9">
        <v>0</v>
      </c>
      <c r="H1591" s="9" t="s">
        <v>106</v>
      </c>
      <c r="I1591" s="9">
        <v>40</v>
      </c>
      <c r="J1591" s="9" t="s">
        <v>107</v>
      </c>
      <c r="K1591" s="9" t="s">
        <v>1662</v>
      </c>
      <c r="L1591" t="str">
        <f>IF(OR(J1591="Cattle",J1591="Zebu Cattle"),IF(COUNTIF(lists!$M$2:$M$258, K1591) &gt; 0,"bos.indicus",IF(COUNTIF(lists!$L$2:$L$258, K1591) &gt; 0,"cross.bred","pure.bred.exotic")),"NA")</f>
        <v>NA</v>
      </c>
      <c r="M1591" t="str">
        <f>IF(J1591="Sheep",IF(COUNTIF(lists!$H$2:$H$258, K1591) &gt; 0,"indigenous",IF(COUNTIF(lists!$G$2:$G$258, K1591) &gt; 0,"cross.bred","not found")),"NA")</f>
        <v>not found</v>
      </c>
      <c r="N1591" t="str">
        <f>IF(J1591="Goat",IF(COUNTIF(lists!$J$2:$J$258, K1591) &gt; 0,"indigenous",IF(COUNTIF(lists!$I$2:$I$258, K1591) &gt; 0,"cross.bred","not found")),"NA")</f>
        <v>NA</v>
      </c>
      <c r="O1591" s="9" t="s">
        <v>109</v>
      </c>
      <c r="P1591" s="9" t="s">
        <v>106</v>
      </c>
      <c r="Q1591" s="9" t="s">
        <v>3804</v>
      </c>
      <c r="S1591" s="9" t="s">
        <v>106</v>
      </c>
      <c r="T1591" s="9" t="s">
        <v>106</v>
      </c>
      <c r="U1591" s="9" t="s">
        <v>106</v>
      </c>
      <c r="V1591" s="9" t="s">
        <v>106</v>
      </c>
      <c r="W1591" s="9" t="s">
        <v>106</v>
      </c>
      <c r="X1591" s="9" t="s">
        <v>106</v>
      </c>
      <c r="Y1591" s="9">
        <v>30</v>
      </c>
      <c r="Z1591" s="37"/>
      <c r="AA1591" s="37"/>
      <c r="AB1591" s="37"/>
      <c r="AE1591">
        <v>0</v>
      </c>
    </row>
    <row r="1592" spans="1:31" hidden="1">
      <c r="A1592" s="9" t="s">
        <v>1804</v>
      </c>
      <c r="B1592" s="9" t="s">
        <v>1805</v>
      </c>
      <c r="C1592" s="9" t="s">
        <v>105</v>
      </c>
      <c r="D1592" s="9">
        <v>0.67500000000000004</v>
      </c>
      <c r="E1592" s="9">
        <v>22.3</v>
      </c>
      <c r="F1592" s="9">
        <v>20.3666666666666</v>
      </c>
      <c r="G1592" s="9">
        <v>38.9</v>
      </c>
      <c r="H1592" s="9" t="s">
        <v>106</v>
      </c>
      <c r="I1592" s="9">
        <v>27</v>
      </c>
      <c r="J1592" s="9" t="s">
        <v>107</v>
      </c>
      <c r="K1592" s="9" t="s">
        <v>1806</v>
      </c>
      <c r="L1592" t="str">
        <f>IF(OR(J1592="Cattle",J1592="Zebu Cattle"),IF(COUNTIF(lists!$M$2:$M$258, K1592) &gt; 0,"bos.indicus",IF(COUNTIF(lists!$L$2:$L$258, K1592) &gt; 0,"cross.bred","pure.bred.exotic")),"NA")</f>
        <v>NA</v>
      </c>
      <c r="M1592" t="str">
        <f>IF(J1592="Sheep",IF(COUNTIF(lists!$H$2:$H$258, K1592) &gt; 0,"indigenous",IF(COUNTIF(lists!$G$2:$G$258, K1592) &gt; 0,"cross.bred","not found")),"NA")</f>
        <v>not found</v>
      </c>
      <c r="N1592" t="str">
        <f>IF(J1592="Goat",IF(COUNTIF(lists!$J$2:$J$258, K1592) &gt; 0,"indigenous",IF(COUNTIF(lists!$I$2:$I$258, K1592) &gt; 0,"cross.bred","not found")),"NA")</f>
        <v>NA</v>
      </c>
      <c r="O1592" s="9" t="s">
        <v>124</v>
      </c>
      <c r="P1592" s="9" t="s">
        <v>106</v>
      </c>
      <c r="Q1592" s="9" t="s">
        <v>3804</v>
      </c>
      <c r="S1592" s="9" t="s">
        <v>106</v>
      </c>
      <c r="T1592" s="9" t="s">
        <v>106</v>
      </c>
      <c r="U1592" s="9" t="s">
        <v>106</v>
      </c>
      <c r="V1592" s="9" t="s">
        <v>106</v>
      </c>
      <c r="W1592" s="9" t="s">
        <v>106</v>
      </c>
      <c r="X1592" s="9" t="s">
        <v>106</v>
      </c>
      <c r="Y1592" s="9" t="s">
        <v>106</v>
      </c>
      <c r="Z1592" s="37"/>
      <c r="AA1592" s="37"/>
      <c r="AB1592" s="37"/>
      <c r="AE1592">
        <v>0</v>
      </c>
    </row>
    <row r="1593" spans="1:31" hidden="1">
      <c r="A1593" s="9" t="s">
        <v>1804</v>
      </c>
      <c r="B1593" s="9" t="s">
        <v>1807</v>
      </c>
      <c r="C1593" s="9" t="s">
        <v>105</v>
      </c>
      <c r="D1593" s="9">
        <v>0.81</v>
      </c>
      <c r="E1593" s="9">
        <v>30.9</v>
      </c>
      <c r="F1593" s="9">
        <v>15.8333333333333</v>
      </c>
      <c r="G1593" s="9">
        <v>101.333333333333</v>
      </c>
      <c r="H1593" s="9" t="s">
        <v>106</v>
      </c>
      <c r="I1593" s="9">
        <v>27</v>
      </c>
      <c r="J1593" s="9" t="s">
        <v>107</v>
      </c>
      <c r="K1593" s="9" t="s">
        <v>1806</v>
      </c>
      <c r="L1593" t="str">
        <f>IF(OR(J1593="Cattle",J1593="Zebu Cattle"),IF(COUNTIF(lists!$M$2:$M$258, K1593) &gt; 0,"bos.indicus",IF(COUNTIF(lists!$L$2:$L$258, K1593) &gt; 0,"cross.bred","pure.bred.exotic")),"NA")</f>
        <v>NA</v>
      </c>
      <c r="M1593" t="str">
        <f>IF(J1593="Sheep",IF(COUNTIF(lists!$H$2:$H$258, K1593) &gt; 0,"indigenous",IF(COUNTIF(lists!$G$2:$G$258, K1593) &gt; 0,"cross.bred","not found")),"NA")</f>
        <v>not found</v>
      </c>
      <c r="N1593" t="str">
        <f>IF(J1593="Goat",IF(COUNTIF(lists!$J$2:$J$258, K1593) &gt; 0,"indigenous",IF(COUNTIF(lists!$I$2:$I$258, K1593) &gt; 0,"cross.bred","not found")),"NA")</f>
        <v>NA</v>
      </c>
      <c r="O1593" s="9" t="s">
        <v>124</v>
      </c>
      <c r="P1593" s="9" t="s">
        <v>106</v>
      </c>
      <c r="Q1593" s="9" t="s">
        <v>3804</v>
      </c>
      <c r="S1593" s="9" t="s">
        <v>106</v>
      </c>
      <c r="T1593" s="9" t="s">
        <v>106</v>
      </c>
      <c r="U1593" s="9" t="s">
        <v>106</v>
      </c>
      <c r="V1593" s="9" t="s">
        <v>106</v>
      </c>
      <c r="W1593" s="9" t="s">
        <v>106</v>
      </c>
      <c r="X1593" s="9" t="s">
        <v>106</v>
      </c>
      <c r="Y1593" s="9" t="s">
        <v>106</v>
      </c>
      <c r="Z1593" s="37"/>
      <c r="AA1593" s="37"/>
      <c r="AB1593" s="37"/>
      <c r="AE1593">
        <v>0</v>
      </c>
    </row>
    <row r="1594" spans="1:31" hidden="1">
      <c r="A1594" s="9" t="s">
        <v>1808</v>
      </c>
      <c r="B1594" s="9" t="s">
        <v>1809</v>
      </c>
      <c r="C1594" s="9" t="s">
        <v>105</v>
      </c>
      <c r="D1594" s="9">
        <v>0.40373495735180998</v>
      </c>
      <c r="E1594" s="9">
        <v>1.9</v>
      </c>
      <c r="F1594" s="9">
        <v>18</v>
      </c>
      <c r="G1594" s="9">
        <v>-23</v>
      </c>
      <c r="H1594" s="9" t="s">
        <v>106</v>
      </c>
      <c r="I1594" s="9">
        <v>72</v>
      </c>
      <c r="J1594" s="9" t="s">
        <v>107</v>
      </c>
      <c r="K1594" s="9" t="s">
        <v>180</v>
      </c>
      <c r="L1594" t="str">
        <f>IF(OR(J1594="Cattle",J1594="Zebu Cattle"),IF(COUNTIF(lists!$M$2:$M$258, K1594) &gt; 0,"bos.indicus",IF(COUNTIF(lists!$L$2:$L$258, K1594) &gt; 0,"cross.bred","pure.bred.exotic")),"NA")</f>
        <v>NA</v>
      </c>
      <c r="M1594" t="str">
        <f>IF(J1594="Sheep",IF(COUNTIF(lists!$H$2:$H$258, K1594) &gt; 0,"indigenous",IF(COUNTIF(lists!$G$2:$G$258, K1594) &gt; 0,"cross.bred","not found")),"NA")</f>
        <v>not found</v>
      </c>
      <c r="N1594" t="str">
        <f>IF(J1594="Goat",IF(COUNTIF(lists!$J$2:$J$258, K1594) &gt; 0,"indigenous",IF(COUNTIF(lists!$I$2:$I$258, K1594) &gt; 0,"cross.bred","not found")),"NA")</f>
        <v>NA</v>
      </c>
      <c r="O1594" s="9" t="s">
        <v>180</v>
      </c>
      <c r="P1594" s="9" t="s">
        <v>106</v>
      </c>
      <c r="Q1594" s="9" t="s">
        <v>3804</v>
      </c>
      <c r="S1594" s="9" t="s">
        <v>106</v>
      </c>
      <c r="T1594" s="9" t="s">
        <v>106</v>
      </c>
      <c r="U1594" s="9" t="s">
        <v>106</v>
      </c>
      <c r="V1594" s="9" t="s">
        <v>106</v>
      </c>
      <c r="W1594" s="9" t="s">
        <v>106</v>
      </c>
      <c r="X1594" s="9" t="s">
        <v>106</v>
      </c>
      <c r="Y1594" s="9">
        <v>52</v>
      </c>
      <c r="Z1594" s="37"/>
      <c r="AA1594" s="37"/>
      <c r="AB1594" s="37"/>
      <c r="AE1594">
        <v>0</v>
      </c>
    </row>
    <row r="1595" spans="1:31" hidden="1">
      <c r="A1595" s="9" t="s">
        <v>1808</v>
      </c>
      <c r="B1595" s="9" t="s">
        <v>1810</v>
      </c>
      <c r="C1595" s="9" t="s">
        <v>105</v>
      </c>
      <c r="D1595" s="9">
        <v>0.48850182069190801</v>
      </c>
      <c r="E1595" s="9">
        <v>1.9</v>
      </c>
      <c r="F1595" s="9">
        <v>18</v>
      </c>
      <c r="G1595" s="9">
        <v>9</v>
      </c>
      <c r="H1595" s="9" t="s">
        <v>106</v>
      </c>
      <c r="I1595" s="9">
        <v>72</v>
      </c>
      <c r="J1595" s="9" t="s">
        <v>107</v>
      </c>
      <c r="K1595" s="9" t="s">
        <v>180</v>
      </c>
      <c r="L1595" t="str">
        <f>IF(OR(J1595="Cattle",J1595="Zebu Cattle"),IF(COUNTIF(lists!$M$2:$M$258, K1595) &gt; 0,"bos.indicus",IF(COUNTIF(lists!$L$2:$L$258, K1595) &gt; 0,"cross.bred","pure.bred.exotic")),"NA")</f>
        <v>NA</v>
      </c>
      <c r="M1595" t="str">
        <f>IF(J1595="Sheep",IF(COUNTIF(lists!$H$2:$H$258, K1595) &gt; 0,"indigenous",IF(COUNTIF(lists!$G$2:$G$258, K1595) &gt; 0,"cross.bred","not found")),"NA")</f>
        <v>not found</v>
      </c>
      <c r="N1595" t="str">
        <f>IF(J1595="Goat",IF(COUNTIF(lists!$J$2:$J$258, K1595) &gt; 0,"indigenous",IF(COUNTIF(lists!$I$2:$I$258, K1595) &gt; 0,"cross.bred","not found")),"NA")</f>
        <v>NA</v>
      </c>
      <c r="O1595" s="9" t="s">
        <v>180</v>
      </c>
      <c r="P1595" s="9" t="s">
        <v>106</v>
      </c>
      <c r="Q1595" s="9" t="s">
        <v>3804</v>
      </c>
      <c r="S1595" s="9" t="s">
        <v>106</v>
      </c>
      <c r="T1595" s="9" t="s">
        <v>106</v>
      </c>
      <c r="U1595" s="9" t="s">
        <v>106</v>
      </c>
      <c r="V1595" s="9" t="s">
        <v>106</v>
      </c>
      <c r="W1595" s="9" t="s">
        <v>106</v>
      </c>
      <c r="X1595" s="9" t="s">
        <v>106</v>
      </c>
      <c r="Y1595" s="9">
        <v>60.7</v>
      </c>
      <c r="Z1595" s="37"/>
      <c r="AA1595" s="37"/>
      <c r="AB1595" s="37"/>
      <c r="AE1595">
        <v>0</v>
      </c>
    </row>
    <row r="1596" spans="1:31" hidden="1">
      <c r="A1596" s="9" t="s">
        <v>1808</v>
      </c>
      <c r="B1596" s="9" t="s">
        <v>1811</v>
      </c>
      <c r="C1596" s="9" t="s">
        <v>105</v>
      </c>
      <c r="D1596" s="9">
        <v>0.56802537289756805</v>
      </c>
      <c r="E1596" s="9">
        <v>1.9</v>
      </c>
      <c r="F1596" s="9">
        <v>18</v>
      </c>
      <c r="G1596" s="9">
        <v>34</v>
      </c>
      <c r="H1596" s="9" t="s">
        <v>106</v>
      </c>
      <c r="I1596" s="9">
        <v>72</v>
      </c>
      <c r="J1596" s="9" t="s">
        <v>107</v>
      </c>
      <c r="K1596" s="9" t="s">
        <v>180</v>
      </c>
      <c r="L1596" t="str">
        <f>IF(OR(J1596="Cattle",J1596="Zebu Cattle"),IF(COUNTIF(lists!$M$2:$M$258, K1596) &gt; 0,"bos.indicus",IF(COUNTIF(lists!$L$2:$L$258, K1596) &gt; 0,"cross.bred","pure.bred.exotic")),"NA")</f>
        <v>NA</v>
      </c>
      <c r="M1596" t="str">
        <f>IF(J1596="Sheep",IF(COUNTIF(lists!$H$2:$H$258, K1596) &gt; 0,"indigenous",IF(COUNTIF(lists!$G$2:$G$258, K1596) &gt; 0,"cross.bred","not found")),"NA")</f>
        <v>not found</v>
      </c>
      <c r="N1596" t="str">
        <f>IF(J1596="Goat",IF(COUNTIF(lists!$J$2:$J$258, K1596) &gt; 0,"indigenous",IF(COUNTIF(lists!$I$2:$I$258, K1596) &gt; 0,"cross.bred","not found")),"NA")</f>
        <v>NA</v>
      </c>
      <c r="O1596" s="9" t="s">
        <v>180</v>
      </c>
      <c r="P1596" s="9" t="s">
        <v>106</v>
      </c>
      <c r="Q1596" s="9" t="s">
        <v>3804</v>
      </c>
      <c r="S1596" s="9" t="s">
        <v>106</v>
      </c>
      <c r="T1596" s="9" t="s">
        <v>106</v>
      </c>
      <c r="U1596" s="9" t="s">
        <v>106</v>
      </c>
      <c r="V1596" s="9" t="s">
        <v>106</v>
      </c>
      <c r="W1596" s="9" t="s">
        <v>106</v>
      </c>
      <c r="X1596" s="9" t="s">
        <v>106</v>
      </c>
      <c r="Y1596" s="9">
        <v>66.099999999999994</v>
      </c>
      <c r="Z1596" s="37"/>
      <c r="AA1596" s="37"/>
      <c r="AB1596" s="37"/>
      <c r="AE1596">
        <v>0</v>
      </c>
    </row>
    <row r="1597" spans="1:31" hidden="1">
      <c r="A1597" s="9" t="s">
        <v>1808</v>
      </c>
      <c r="B1597" s="9" t="s">
        <v>1812</v>
      </c>
      <c r="C1597" s="9" t="s">
        <v>105</v>
      </c>
      <c r="D1597" s="9">
        <v>0.56016040619590901</v>
      </c>
      <c r="E1597" s="9">
        <v>1.9</v>
      </c>
      <c r="F1597" s="9">
        <v>18</v>
      </c>
      <c r="G1597" s="9">
        <v>41</v>
      </c>
      <c r="H1597" s="9" t="s">
        <v>106</v>
      </c>
      <c r="I1597" s="9">
        <v>72</v>
      </c>
      <c r="J1597" s="9" t="s">
        <v>107</v>
      </c>
      <c r="K1597" s="9" t="s">
        <v>180</v>
      </c>
      <c r="L1597" t="str">
        <f>IF(OR(J1597="Cattle",J1597="Zebu Cattle"),IF(COUNTIF(lists!$M$2:$M$258, K1597) &gt; 0,"bos.indicus",IF(COUNTIF(lists!$L$2:$L$258, K1597) &gt; 0,"cross.bred","pure.bred.exotic")),"NA")</f>
        <v>NA</v>
      </c>
      <c r="M1597" t="str">
        <f>IF(J1597="Sheep",IF(COUNTIF(lists!$H$2:$H$258, K1597) &gt; 0,"indigenous",IF(COUNTIF(lists!$G$2:$G$258, K1597) &gt; 0,"cross.bred","not found")),"NA")</f>
        <v>not found</v>
      </c>
      <c r="N1597" t="str">
        <f>IF(J1597="Goat",IF(COUNTIF(lists!$J$2:$J$258, K1597) &gt; 0,"indigenous",IF(COUNTIF(lists!$I$2:$I$258, K1597) &gt; 0,"cross.bred","not found")),"NA")</f>
        <v>NA</v>
      </c>
      <c r="O1597" s="9" t="s">
        <v>180</v>
      </c>
      <c r="P1597" s="9" t="s">
        <v>106</v>
      </c>
      <c r="Q1597" s="9" t="s">
        <v>3804</v>
      </c>
      <c r="S1597" s="9" t="s">
        <v>106</v>
      </c>
      <c r="T1597" s="9" t="s">
        <v>106</v>
      </c>
      <c r="U1597" s="9" t="s">
        <v>106</v>
      </c>
      <c r="V1597" s="9" t="s">
        <v>106</v>
      </c>
      <c r="W1597" s="9" t="s">
        <v>106</v>
      </c>
      <c r="X1597" s="9" t="s">
        <v>106</v>
      </c>
      <c r="Y1597" s="9">
        <v>67.599999999999994</v>
      </c>
      <c r="Z1597" s="37"/>
      <c r="AA1597" s="37"/>
      <c r="AB1597" s="37"/>
      <c r="AE1597">
        <v>0</v>
      </c>
    </row>
    <row r="1598" spans="1:31" hidden="1">
      <c r="A1598" s="9" t="s">
        <v>1808</v>
      </c>
      <c r="B1598" s="9" t="s">
        <v>1813</v>
      </c>
      <c r="C1598" s="9" t="s">
        <v>105</v>
      </c>
      <c r="D1598" s="9">
        <v>0.392374449893858</v>
      </c>
      <c r="E1598" s="9">
        <v>2</v>
      </c>
      <c r="F1598" s="9">
        <v>18</v>
      </c>
      <c r="G1598" s="9">
        <v>-32</v>
      </c>
      <c r="H1598" s="9" t="s">
        <v>106</v>
      </c>
      <c r="I1598" s="9">
        <v>72</v>
      </c>
      <c r="J1598" s="9" t="s">
        <v>107</v>
      </c>
      <c r="K1598" s="9" t="s">
        <v>180</v>
      </c>
      <c r="L1598" t="str">
        <f>IF(OR(J1598="Cattle",J1598="Zebu Cattle"),IF(COUNTIF(lists!$M$2:$M$258, K1598) &gt; 0,"bos.indicus",IF(COUNTIF(lists!$L$2:$L$258, K1598) &gt; 0,"cross.bred","pure.bred.exotic")),"NA")</f>
        <v>NA</v>
      </c>
      <c r="M1598" t="str">
        <f>IF(J1598="Sheep",IF(COUNTIF(lists!$H$2:$H$258, K1598) &gt; 0,"indigenous",IF(COUNTIF(lists!$G$2:$G$258, K1598) &gt; 0,"cross.bred","not found")),"NA")</f>
        <v>not found</v>
      </c>
      <c r="N1598" t="str">
        <f>IF(J1598="Goat",IF(COUNTIF(lists!$J$2:$J$258, K1598) &gt; 0,"indigenous",IF(COUNTIF(lists!$I$2:$I$258, K1598) &gt; 0,"cross.bred","not found")),"NA")</f>
        <v>NA</v>
      </c>
      <c r="O1598" s="9" t="s">
        <v>180</v>
      </c>
      <c r="P1598" s="9" t="s">
        <v>106</v>
      </c>
      <c r="Q1598" s="9" t="s">
        <v>3804</v>
      </c>
      <c r="S1598" s="9" t="s">
        <v>106</v>
      </c>
      <c r="T1598" s="9" t="s">
        <v>106</v>
      </c>
      <c r="U1598" s="9" t="s">
        <v>106</v>
      </c>
      <c r="V1598" s="9" t="s">
        <v>106</v>
      </c>
      <c r="W1598" s="9" t="s">
        <v>106</v>
      </c>
      <c r="X1598" s="9" t="s">
        <v>106</v>
      </c>
      <c r="Y1598" s="9">
        <v>45</v>
      </c>
      <c r="Z1598" s="37"/>
      <c r="AA1598" s="37"/>
      <c r="AB1598" s="37"/>
      <c r="AE1598">
        <v>0</v>
      </c>
    </row>
    <row r="1599" spans="1:31" hidden="1">
      <c r="A1599" s="9" t="s">
        <v>1808</v>
      </c>
      <c r="B1599" s="9" t="s">
        <v>1814</v>
      </c>
      <c r="C1599" s="9" t="s">
        <v>105</v>
      </c>
      <c r="D1599" s="9">
        <v>0.45704195388527402</v>
      </c>
      <c r="E1599" s="9">
        <v>2</v>
      </c>
      <c r="F1599" s="9">
        <v>18</v>
      </c>
      <c r="G1599" s="9">
        <v>6</v>
      </c>
      <c r="H1599" s="9" t="s">
        <v>106</v>
      </c>
      <c r="I1599" s="9">
        <v>72</v>
      </c>
      <c r="J1599" s="9" t="s">
        <v>107</v>
      </c>
      <c r="K1599" s="9" t="s">
        <v>180</v>
      </c>
      <c r="L1599" t="str">
        <f>IF(OR(J1599="Cattle",J1599="Zebu Cattle"),IF(COUNTIF(lists!$M$2:$M$258, K1599) &gt; 0,"bos.indicus",IF(COUNTIF(lists!$L$2:$L$258, K1599) &gt; 0,"cross.bred","pure.bred.exotic")),"NA")</f>
        <v>NA</v>
      </c>
      <c r="M1599" t="str">
        <f>IF(J1599="Sheep",IF(COUNTIF(lists!$H$2:$H$258, K1599) &gt; 0,"indigenous",IF(COUNTIF(lists!$G$2:$G$258, K1599) &gt; 0,"cross.bred","not found")),"NA")</f>
        <v>not found</v>
      </c>
      <c r="N1599" t="str">
        <f>IF(J1599="Goat",IF(COUNTIF(lists!$J$2:$J$258, K1599) &gt; 0,"indigenous",IF(COUNTIF(lists!$I$2:$I$258, K1599) &gt; 0,"cross.bred","not found")),"NA")</f>
        <v>NA</v>
      </c>
      <c r="O1599" s="9" t="s">
        <v>180</v>
      </c>
      <c r="P1599" s="9" t="s">
        <v>106</v>
      </c>
      <c r="Q1599" s="9" t="s">
        <v>3804</v>
      </c>
      <c r="S1599" s="9" t="s">
        <v>106</v>
      </c>
      <c r="T1599" s="9" t="s">
        <v>106</v>
      </c>
      <c r="U1599" s="9" t="s">
        <v>106</v>
      </c>
      <c r="V1599" s="9" t="s">
        <v>106</v>
      </c>
      <c r="W1599" s="9" t="s">
        <v>106</v>
      </c>
      <c r="X1599" s="9" t="s">
        <v>106</v>
      </c>
      <c r="Y1599" s="9">
        <v>58.3</v>
      </c>
      <c r="Z1599" s="37"/>
      <c r="AA1599" s="37"/>
      <c r="AB1599" s="37"/>
      <c r="AE1599">
        <v>0</v>
      </c>
    </row>
    <row r="1600" spans="1:31" hidden="1">
      <c r="A1600" s="9" t="s">
        <v>1808</v>
      </c>
      <c r="B1600" s="9" t="s">
        <v>1815</v>
      </c>
      <c r="C1600" s="9" t="s">
        <v>105</v>
      </c>
      <c r="D1600" s="9">
        <v>0.53132219495649402</v>
      </c>
      <c r="E1600" s="9">
        <v>2</v>
      </c>
      <c r="F1600" s="9">
        <v>18</v>
      </c>
      <c r="G1600" s="9">
        <v>34</v>
      </c>
      <c r="H1600" s="9" t="s">
        <v>106</v>
      </c>
      <c r="I1600" s="9">
        <v>72</v>
      </c>
      <c r="J1600" s="9" t="s">
        <v>107</v>
      </c>
      <c r="K1600" s="9" t="s">
        <v>180</v>
      </c>
      <c r="L1600" t="str">
        <f>IF(OR(J1600="Cattle",J1600="Zebu Cattle"),IF(COUNTIF(lists!$M$2:$M$258, K1600) &gt; 0,"bos.indicus",IF(COUNTIF(lists!$L$2:$L$258, K1600) &gt; 0,"cross.bred","pure.bred.exotic")),"NA")</f>
        <v>NA</v>
      </c>
      <c r="M1600" t="str">
        <f>IF(J1600="Sheep",IF(COUNTIF(lists!$H$2:$H$258, K1600) &gt; 0,"indigenous",IF(COUNTIF(lists!$G$2:$G$258, K1600) &gt; 0,"cross.bred","not found")),"NA")</f>
        <v>not found</v>
      </c>
      <c r="N1600" t="str">
        <f>IF(J1600="Goat",IF(COUNTIF(lists!$J$2:$J$258, K1600) &gt; 0,"indigenous",IF(COUNTIF(lists!$I$2:$I$258, K1600) &gt; 0,"cross.bred","not found")),"NA")</f>
        <v>NA</v>
      </c>
      <c r="O1600" s="9" t="s">
        <v>180</v>
      </c>
      <c r="P1600" s="9" t="s">
        <v>106</v>
      </c>
      <c r="Q1600" s="9" t="s">
        <v>3804</v>
      </c>
      <c r="S1600" s="9" t="s">
        <v>106</v>
      </c>
      <c r="T1600" s="9" t="s">
        <v>106</v>
      </c>
      <c r="U1600" s="9" t="s">
        <v>106</v>
      </c>
      <c r="V1600" s="9" t="s">
        <v>106</v>
      </c>
      <c r="W1600" s="9" t="s">
        <v>106</v>
      </c>
      <c r="X1600" s="9" t="s">
        <v>106</v>
      </c>
      <c r="Y1600" s="9">
        <v>62.6</v>
      </c>
      <c r="Z1600" s="37"/>
      <c r="AA1600" s="37"/>
      <c r="AB1600" s="37"/>
      <c r="AE1600">
        <v>0</v>
      </c>
    </row>
    <row r="1601" spans="1:31" hidden="1">
      <c r="A1601" s="9" t="s">
        <v>1808</v>
      </c>
      <c r="B1601" s="9" t="s">
        <v>1816</v>
      </c>
      <c r="C1601" s="9" t="s">
        <v>105</v>
      </c>
      <c r="D1601" s="9">
        <v>0.58812473224625095</v>
      </c>
      <c r="E1601" s="9">
        <v>2</v>
      </c>
      <c r="F1601" s="9">
        <v>18</v>
      </c>
      <c r="G1601" s="9">
        <v>47</v>
      </c>
      <c r="H1601" s="9" t="s">
        <v>106</v>
      </c>
      <c r="I1601" s="9">
        <v>72</v>
      </c>
      <c r="J1601" s="9" t="s">
        <v>107</v>
      </c>
      <c r="K1601" s="9" t="s">
        <v>180</v>
      </c>
      <c r="L1601" t="str">
        <f>IF(OR(J1601="Cattle",J1601="Zebu Cattle"),IF(COUNTIF(lists!$M$2:$M$258, K1601) &gt; 0,"bos.indicus",IF(COUNTIF(lists!$L$2:$L$258, K1601) &gt; 0,"cross.bred","pure.bred.exotic")),"NA")</f>
        <v>NA</v>
      </c>
      <c r="M1601" t="str">
        <f>IF(J1601="Sheep",IF(COUNTIF(lists!$H$2:$H$258, K1601) &gt; 0,"indigenous",IF(COUNTIF(lists!$G$2:$G$258, K1601) &gt; 0,"cross.bred","not found")),"NA")</f>
        <v>not found</v>
      </c>
      <c r="N1601" t="str">
        <f>IF(J1601="Goat",IF(COUNTIF(lists!$J$2:$J$258, K1601) &gt; 0,"indigenous",IF(COUNTIF(lists!$I$2:$I$258, K1601) &gt; 0,"cross.bred","not found")),"NA")</f>
        <v>NA</v>
      </c>
      <c r="O1601" s="9" t="s">
        <v>180</v>
      </c>
      <c r="P1601" s="9" t="s">
        <v>106</v>
      </c>
      <c r="Q1601" s="9" t="s">
        <v>3804</v>
      </c>
      <c r="S1601" s="9" t="s">
        <v>106</v>
      </c>
      <c r="T1601" s="9" t="s">
        <v>106</v>
      </c>
      <c r="U1601" s="9" t="s">
        <v>106</v>
      </c>
      <c r="V1601" s="9" t="s">
        <v>106</v>
      </c>
      <c r="W1601" s="9" t="s">
        <v>106</v>
      </c>
      <c r="X1601" s="9" t="s">
        <v>106</v>
      </c>
      <c r="Y1601" s="9">
        <v>70.7</v>
      </c>
      <c r="Z1601" s="37"/>
      <c r="AA1601" s="37"/>
      <c r="AB1601" s="37"/>
      <c r="AE1601">
        <v>0</v>
      </c>
    </row>
    <row r="1602" spans="1:31" hidden="1">
      <c r="A1602" s="9" t="s">
        <v>1808</v>
      </c>
      <c r="B1602" s="9" t="s">
        <v>1817</v>
      </c>
      <c r="C1602" s="9" t="s">
        <v>105</v>
      </c>
      <c r="D1602" s="9">
        <v>0.33557191260410102</v>
      </c>
      <c r="E1602" s="9">
        <v>2.6</v>
      </c>
      <c r="F1602" s="9">
        <v>18</v>
      </c>
      <c r="G1602" s="9">
        <v>-42</v>
      </c>
      <c r="H1602" s="9" t="s">
        <v>106</v>
      </c>
      <c r="I1602" s="9">
        <v>72</v>
      </c>
      <c r="J1602" s="9" t="s">
        <v>107</v>
      </c>
      <c r="K1602" s="9" t="s">
        <v>180</v>
      </c>
      <c r="L1602" t="str">
        <f>IF(OR(J1602="Cattle",J1602="Zebu Cattle"),IF(COUNTIF(lists!$M$2:$M$258, K1602) &gt; 0,"bos.indicus",IF(COUNTIF(lists!$L$2:$L$258, K1602) &gt; 0,"cross.bred","pure.bred.exotic")),"NA")</f>
        <v>NA</v>
      </c>
      <c r="M1602" t="str">
        <f>IF(J1602="Sheep",IF(COUNTIF(lists!$H$2:$H$258, K1602) &gt; 0,"indigenous",IF(COUNTIF(lists!$G$2:$G$258, K1602) &gt; 0,"cross.bred","not found")),"NA")</f>
        <v>not found</v>
      </c>
      <c r="N1602" t="str">
        <f>IF(J1602="Goat",IF(COUNTIF(lists!$J$2:$J$258, K1602) &gt; 0,"indigenous",IF(COUNTIF(lists!$I$2:$I$258, K1602) &gt; 0,"cross.bred","not found")),"NA")</f>
        <v>NA</v>
      </c>
      <c r="O1602" s="9" t="s">
        <v>180</v>
      </c>
      <c r="P1602" s="9" t="s">
        <v>106</v>
      </c>
      <c r="Q1602" s="9" t="s">
        <v>3804</v>
      </c>
      <c r="S1602" s="9" t="s">
        <v>106</v>
      </c>
      <c r="T1602" s="9" t="s">
        <v>106</v>
      </c>
      <c r="U1602" s="9" t="s">
        <v>106</v>
      </c>
      <c r="V1602" s="9" t="s">
        <v>106</v>
      </c>
      <c r="W1602" s="9" t="s">
        <v>106</v>
      </c>
      <c r="X1602" s="9" t="s">
        <v>106</v>
      </c>
      <c r="Y1602" s="9">
        <v>44.1</v>
      </c>
      <c r="Z1602" s="37"/>
      <c r="AA1602" s="37"/>
      <c r="AB1602" s="37"/>
      <c r="AE1602">
        <v>0</v>
      </c>
    </row>
    <row r="1603" spans="1:31" hidden="1">
      <c r="A1603" s="9" t="s">
        <v>1808</v>
      </c>
      <c r="B1603" s="9" t="s">
        <v>1818</v>
      </c>
      <c r="C1603" s="9" t="s">
        <v>105</v>
      </c>
      <c r="D1603" s="9">
        <v>0.46403303539785901</v>
      </c>
      <c r="E1603" s="9">
        <v>2.6</v>
      </c>
      <c r="F1603" s="9">
        <v>18</v>
      </c>
      <c r="G1603" s="9">
        <v>11</v>
      </c>
      <c r="H1603" s="9" t="s">
        <v>106</v>
      </c>
      <c r="I1603" s="9">
        <v>72</v>
      </c>
      <c r="J1603" s="9" t="s">
        <v>107</v>
      </c>
      <c r="K1603" s="9" t="s">
        <v>180</v>
      </c>
      <c r="L1603" t="str">
        <f>IF(OR(J1603="Cattle",J1603="Zebu Cattle"),IF(COUNTIF(lists!$M$2:$M$258, K1603) &gt; 0,"bos.indicus",IF(COUNTIF(lists!$L$2:$L$258, K1603) &gt; 0,"cross.bred","pure.bred.exotic")),"NA")</f>
        <v>NA</v>
      </c>
      <c r="M1603" t="str">
        <f>IF(J1603="Sheep",IF(COUNTIF(lists!$H$2:$H$258, K1603) &gt; 0,"indigenous",IF(COUNTIF(lists!$G$2:$G$258, K1603) &gt; 0,"cross.bred","not found")),"NA")</f>
        <v>not found</v>
      </c>
      <c r="N1603" t="str">
        <f>IF(J1603="Goat",IF(COUNTIF(lists!$J$2:$J$258, K1603) &gt; 0,"indigenous",IF(COUNTIF(lists!$I$2:$I$258, K1603) &gt; 0,"cross.bred","not found")),"NA")</f>
        <v>NA</v>
      </c>
      <c r="O1603" s="9" t="s">
        <v>180</v>
      </c>
      <c r="P1603" s="9" t="s">
        <v>106</v>
      </c>
      <c r="Q1603" s="9" t="s">
        <v>3804</v>
      </c>
      <c r="S1603" s="9" t="s">
        <v>106</v>
      </c>
      <c r="T1603" s="9" t="s">
        <v>106</v>
      </c>
      <c r="U1603" s="9" t="s">
        <v>106</v>
      </c>
      <c r="V1603" s="9" t="s">
        <v>106</v>
      </c>
      <c r="W1603" s="9" t="s">
        <v>106</v>
      </c>
      <c r="X1603" s="9" t="s">
        <v>106</v>
      </c>
      <c r="Y1603" s="9">
        <v>60.1</v>
      </c>
      <c r="Z1603" s="37"/>
      <c r="AA1603" s="37"/>
      <c r="AB1603" s="37"/>
      <c r="AE1603">
        <v>0</v>
      </c>
    </row>
    <row r="1604" spans="1:31" hidden="1">
      <c r="A1604" s="9" t="s">
        <v>1808</v>
      </c>
      <c r="B1604" s="9" t="s">
        <v>1819</v>
      </c>
      <c r="C1604" s="9" t="s">
        <v>105</v>
      </c>
      <c r="D1604" s="9">
        <v>0.55229543949425097</v>
      </c>
      <c r="E1604" s="9">
        <v>2.6</v>
      </c>
      <c r="F1604" s="9">
        <v>18</v>
      </c>
      <c r="G1604" s="9">
        <v>34</v>
      </c>
      <c r="H1604" s="9" t="s">
        <v>106</v>
      </c>
      <c r="I1604" s="9">
        <v>72</v>
      </c>
      <c r="J1604" s="9" t="s">
        <v>107</v>
      </c>
      <c r="K1604" s="9" t="s">
        <v>180</v>
      </c>
      <c r="L1604" t="str">
        <f>IF(OR(J1604="Cattle",J1604="Zebu Cattle"),IF(COUNTIF(lists!$M$2:$M$258, K1604) &gt; 0,"bos.indicus",IF(COUNTIF(lists!$L$2:$L$258, K1604) &gt; 0,"cross.bred","pure.bred.exotic")),"NA")</f>
        <v>NA</v>
      </c>
      <c r="M1604" t="str">
        <f>IF(J1604="Sheep",IF(COUNTIF(lists!$H$2:$H$258, K1604) &gt; 0,"indigenous",IF(COUNTIF(lists!$G$2:$G$258, K1604) &gt; 0,"cross.bred","not found")),"NA")</f>
        <v>not found</v>
      </c>
      <c r="N1604" t="str">
        <f>IF(J1604="Goat",IF(COUNTIF(lists!$J$2:$J$258, K1604) &gt; 0,"indigenous",IF(COUNTIF(lists!$I$2:$I$258, K1604) &gt; 0,"cross.bred","not found")),"NA")</f>
        <v>NA</v>
      </c>
      <c r="O1604" s="9" t="s">
        <v>180</v>
      </c>
      <c r="P1604" s="9" t="s">
        <v>106</v>
      </c>
      <c r="Q1604" s="9" t="s">
        <v>3804</v>
      </c>
      <c r="S1604" s="9" t="s">
        <v>106</v>
      </c>
      <c r="T1604" s="9" t="s">
        <v>106</v>
      </c>
      <c r="U1604" s="9" t="s">
        <v>106</v>
      </c>
      <c r="V1604" s="9" t="s">
        <v>106</v>
      </c>
      <c r="W1604" s="9" t="s">
        <v>106</v>
      </c>
      <c r="X1604" s="9" t="s">
        <v>106</v>
      </c>
      <c r="Y1604" s="9">
        <v>62.1</v>
      </c>
      <c r="Z1604" s="37"/>
      <c r="AA1604" s="37"/>
      <c r="AB1604" s="37"/>
      <c r="AE1604">
        <v>0</v>
      </c>
    </row>
    <row r="1605" spans="1:31" hidden="1">
      <c r="A1605" s="9" t="s">
        <v>1808</v>
      </c>
      <c r="B1605" s="9" t="s">
        <v>1820</v>
      </c>
      <c r="C1605" s="9" t="s">
        <v>105</v>
      </c>
      <c r="D1605" s="9">
        <v>0.59162027300254405</v>
      </c>
      <c r="E1605" s="9">
        <v>2.6</v>
      </c>
      <c r="F1605" s="9">
        <v>18</v>
      </c>
      <c r="G1605" s="9">
        <v>46</v>
      </c>
      <c r="H1605" s="9" t="s">
        <v>106</v>
      </c>
      <c r="I1605" s="9">
        <v>72</v>
      </c>
      <c r="J1605" s="9" t="s">
        <v>107</v>
      </c>
      <c r="K1605" s="9" t="s">
        <v>180</v>
      </c>
      <c r="L1605" t="str">
        <f>IF(OR(J1605="Cattle",J1605="Zebu Cattle"),IF(COUNTIF(lists!$M$2:$M$258, K1605) &gt; 0,"bos.indicus",IF(COUNTIF(lists!$L$2:$L$258, K1605) &gt; 0,"cross.bred","pure.bred.exotic")),"NA")</f>
        <v>NA</v>
      </c>
      <c r="M1605" t="str">
        <f>IF(J1605="Sheep",IF(COUNTIF(lists!$H$2:$H$258, K1605) &gt; 0,"indigenous",IF(COUNTIF(lists!$G$2:$G$258, K1605) &gt; 0,"cross.bred","not found")),"NA")</f>
        <v>not found</v>
      </c>
      <c r="N1605" t="str">
        <f>IF(J1605="Goat",IF(COUNTIF(lists!$J$2:$J$258, K1605) &gt; 0,"indigenous",IF(COUNTIF(lists!$I$2:$I$258, K1605) &gt; 0,"cross.bred","not found")),"NA")</f>
        <v>NA</v>
      </c>
      <c r="O1605" s="9" t="s">
        <v>180</v>
      </c>
      <c r="P1605" s="9" t="s">
        <v>106</v>
      </c>
      <c r="Q1605" s="9" t="s">
        <v>3804</v>
      </c>
      <c r="S1605" s="9" t="s">
        <v>106</v>
      </c>
      <c r="T1605" s="9" t="s">
        <v>106</v>
      </c>
      <c r="U1605" s="9" t="s">
        <v>106</v>
      </c>
      <c r="V1605" s="9" t="s">
        <v>106</v>
      </c>
      <c r="W1605" s="9" t="s">
        <v>106</v>
      </c>
      <c r="X1605" s="9" t="s">
        <v>106</v>
      </c>
      <c r="Y1605" s="9">
        <v>67.5</v>
      </c>
      <c r="Z1605" s="37"/>
      <c r="AA1605" s="37"/>
      <c r="AB1605" s="37"/>
      <c r="AE1605">
        <v>0</v>
      </c>
    </row>
    <row r="1606" spans="1:31" hidden="1">
      <c r="A1606" s="9" t="s">
        <v>1832</v>
      </c>
      <c r="B1606" s="9" t="s">
        <v>1833</v>
      </c>
      <c r="C1606" s="9" t="s">
        <v>105</v>
      </c>
      <c r="D1606" s="9">
        <v>0.42699999999999999</v>
      </c>
      <c r="E1606" s="9">
        <v>55</v>
      </c>
      <c r="F1606" s="9" t="s">
        <v>106</v>
      </c>
      <c r="G1606" s="9" t="s">
        <v>106</v>
      </c>
      <c r="H1606" s="9" t="s">
        <v>106</v>
      </c>
      <c r="J1606" s="9" t="s">
        <v>107</v>
      </c>
      <c r="K1606" s="9" t="s">
        <v>1032</v>
      </c>
      <c r="L1606" t="str">
        <f>IF(OR(J1606="Cattle",J1606="Zebu Cattle"),IF(COUNTIF(lists!$M$2:$M$258, K1606) &gt; 0,"bos.indicus",IF(COUNTIF(lists!$L$2:$L$258, K1606) &gt; 0,"cross.bred","pure.bred.exotic")),"NA")</f>
        <v>NA</v>
      </c>
      <c r="M1606" t="str">
        <f>IF(J1606="Sheep",IF(COUNTIF(lists!$H$2:$H$258, K1606) &gt; 0,"indigenous",IF(COUNTIF(lists!$G$2:$G$258, K1606) &gt; 0,"cross.bred","not found")),"NA")</f>
        <v>not found</v>
      </c>
      <c r="N1606" t="str">
        <f>IF(J1606="Goat",IF(COUNTIF(lists!$J$2:$J$258, K1606) &gt; 0,"indigenous",IF(COUNTIF(lists!$I$2:$I$258, K1606) &gt; 0,"cross.bred","not found")),"NA")</f>
        <v>NA</v>
      </c>
      <c r="O1606" s="9" t="s">
        <v>109</v>
      </c>
      <c r="P1606" s="9" t="s">
        <v>106</v>
      </c>
      <c r="S1606" s="9" t="s">
        <v>106</v>
      </c>
      <c r="T1606" s="9" t="s">
        <v>106</v>
      </c>
      <c r="U1606" s="9" t="s">
        <v>106</v>
      </c>
      <c r="V1606" s="9" t="s">
        <v>106</v>
      </c>
      <c r="W1606" s="9" t="s">
        <v>106</v>
      </c>
      <c r="X1606" s="9" t="s">
        <v>106</v>
      </c>
      <c r="Y1606" s="9">
        <v>39.4</v>
      </c>
      <c r="Z1606" s="37"/>
      <c r="AA1606" s="37"/>
      <c r="AB1606" s="37"/>
      <c r="AE1606">
        <v>0</v>
      </c>
    </row>
    <row r="1607" spans="1:31" hidden="1">
      <c r="A1607" s="9" t="s">
        <v>1832</v>
      </c>
      <c r="B1607" s="9" t="s">
        <v>1834</v>
      </c>
      <c r="C1607" s="9" t="s">
        <v>105</v>
      </c>
      <c r="D1607" s="9">
        <v>0.40500000000000003</v>
      </c>
      <c r="E1607" s="9">
        <v>55</v>
      </c>
      <c r="F1607" s="9" t="s">
        <v>106</v>
      </c>
      <c r="G1607" s="9" t="s">
        <v>106</v>
      </c>
      <c r="H1607" s="9" t="s">
        <v>106</v>
      </c>
      <c r="J1607" s="9" t="s">
        <v>107</v>
      </c>
      <c r="K1607" s="9" t="s">
        <v>1032</v>
      </c>
      <c r="L1607" t="str">
        <f>IF(OR(J1607="Cattle",J1607="Zebu Cattle"),IF(COUNTIF(lists!$M$2:$M$258, K1607) &gt; 0,"bos.indicus",IF(COUNTIF(lists!$L$2:$L$258, K1607) &gt; 0,"cross.bred","pure.bred.exotic")),"NA")</f>
        <v>NA</v>
      </c>
      <c r="M1607" t="str">
        <f>IF(J1607="Sheep",IF(COUNTIF(lists!$H$2:$H$258, K1607) &gt; 0,"indigenous",IF(COUNTIF(lists!$G$2:$G$258, K1607) &gt; 0,"cross.bred","not found")),"NA")</f>
        <v>not found</v>
      </c>
      <c r="N1607" t="str">
        <f>IF(J1607="Goat",IF(COUNTIF(lists!$J$2:$J$258, K1607) &gt; 0,"indigenous",IF(COUNTIF(lists!$I$2:$I$258, K1607) &gt; 0,"cross.bred","not found")),"NA")</f>
        <v>NA</v>
      </c>
      <c r="O1607" s="9" t="s">
        <v>109</v>
      </c>
      <c r="P1607" s="9" t="s">
        <v>106</v>
      </c>
      <c r="S1607" s="9" t="s">
        <v>106</v>
      </c>
      <c r="T1607" s="9" t="s">
        <v>106</v>
      </c>
      <c r="U1607" s="9" t="s">
        <v>106</v>
      </c>
      <c r="V1607" s="9" t="s">
        <v>106</v>
      </c>
      <c r="W1607" s="9" t="s">
        <v>106</v>
      </c>
      <c r="X1607" s="9" t="s">
        <v>106</v>
      </c>
      <c r="Y1607" s="9">
        <v>49.3</v>
      </c>
      <c r="Z1607" s="37"/>
      <c r="AA1607" s="37"/>
      <c r="AB1607" s="37"/>
      <c r="AE1607">
        <v>0</v>
      </c>
    </row>
    <row r="1608" spans="1:31" hidden="1">
      <c r="A1608" s="9" t="s">
        <v>1832</v>
      </c>
      <c r="B1608" s="9" t="s">
        <v>1835</v>
      </c>
      <c r="C1608" s="9" t="s">
        <v>105</v>
      </c>
      <c r="D1608" s="9">
        <v>0.39800000000000002</v>
      </c>
      <c r="E1608" s="9">
        <v>55</v>
      </c>
      <c r="F1608" s="9" t="s">
        <v>106</v>
      </c>
      <c r="G1608" s="9" t="s">
        <v>106</v>
      </c>
      <c r="H1608" s="9" t="s">
        <v>106</v>
      </c>
      <c r="J1608" s="9" t="s">
        <v>107</v>
      </c>
      <c r="K1608" s="9" t="s">
        <v>1032</v>
      </c>
      <c r="L1608" t="str">
        <f>IF(OR(J1608="Cattle",J1608="Zebu Cattle"),IF(COUNTIF(lists!$M$2:$M$258, K1608) &gt; 0,"bos.indicus",IF(COUNTIF(lists!$L$2:$L$258, K1608) &gt; 0,"cross.bred","pure.bred.exotic")),"NA")</f>
        <v>NA</v>
      </c>
      <c r="M1608" t="str">
        <f>IF(J1608="Sheep",IF(COUNTIF(lists!$H$2:$H$258, K1608) &gt; 0,"indigenous",IF(COUNTIF(lists!$G$2:$G$258, K1608) &gt; 0,"cross.bred","not found")),"NA")</f>
        <v>not found</v>
      </c>
      <c r="N1608" t="str">
        <f>IF(J1608="Goat",IF(COUNTIF(lists!$J$2:$J$258, K1608) &gt; 0,"indigenous",IF(COUNTIF(lists!$I$2:$I$258, K1608) &gt; 0,"cross.bred","not found")),"NA")</f>
        <v>NA</v>
      </c>
      <c r="O1608" s="9" t="s">
        <v>109</v>
      </c>
      <c r="P1608" s="9" t="s">
        <v>106</v>
      </c>
      <c r="S1608" s="9" t="s">
        <v>106</v>
      </c>
      <c r="T1608" s="9" t="s">
        <v>106</v>
      </c>
      <c r="U1608" s="9" t="s">
        <v>106</v>
      </c>
      <c r="V1608" s="9" t="s">
        <v>106</v>
      </c>
      <c r="W1608" s="9" t="s">
        <v>106</v>
      </c>
      <c r="X1608" s="9" t="s">
        <v>106</v>
      </c>
      <c r="Y1608" s="9">
        <v>33.299999999999997</v>
      </c>
      <c r="Z1608" s="37"/>
      <c r="AA1608" s="37"/>
      <c r="AB1608" s="37"/>
      <c r="AE1608">
        <v>0</v>
      </c>
    </row>
    <row r="1609" spans="1:31" hidden="1">
      <c r="A1609" s="9" t="s">
        <v>1832</v>
      </c>
      <c r="B1609" s="9" t="s">
        <v>1836</v>
      </c>
      <c r="C1609" s="9" t="s">
        <v>105</v>
      </c>
      <c r="D1609" s="9">
        <v>0.32900000000000001</v>
      </c>
      <c r="E1609" s="9">
        <v>55</v>
      </c>
      <c r="F1609" s="9" t="s">
        <v>106</v>
      </c>
      <c r="G1609" s="9" t="s">
        <v>106</v>
      </c>
      <c r="H1609" s="9" t="s">
        <v>106</v>
      </c>
      <c r="J1609" s="9" t="s">
        <v>107</v>
      </c>
      <c r="K1609" s="9" t="s">
        <v>1032</v>
      </c>
      <c r="L1609" t="str">
        <f>IF(OR(J1609="Cattle",J1609="Zebu Cattle"),IF(COUNTIF(lists!$M$2:$M$258, K1609) &gt; 0,"bos.indicus",IF(COUNTIF(lists!$L$2:$L$258, K1609) &gt; 0,"cross.bred","pure.bred.exotic")),"NA")</f>
        <v>NA</v>
      </c>
      <c r="M1609" t="str">
        <f>IF(J1609="Sheep",IF(COUNTIF(lists!$H$2:$H$258, K1609) &gt; 0,"indigenous",IF(COUNTIF(lists!$G$2:$G$258, K1609) &gt; 0,"cross.bred","not found")),"NA")</f>
        <v>not found</v>
      </c>
      <c r="N1609" t="str">
        <f>IF(J1609="Goat",IF(COUNTIF(lists!$J$2:$J$258, K1609) &gt; 0,"indigenous",IF(COUNTIF(lists!$I$2:$I$258, K1609) &gt; 0,"cross.bred","not found")),"NA")</f>
        <v>NA</v>
      </c>
      <c r="O1609" s="9" t="s">
        <v>109</v>
      </c>
      <c r="P1609" s="9" t="s">
        <v>106</v>
      </c>
      <c r="S1609" s="9" t="s">
        <v>106</v>
      </c>
      <c r="T1609" s="9" t="s">
        <v>106</v>
      </c>
      <c r="U1609" s="9" t="s">
        <v>106</v>
      </c>
      <c r="V1609" s="9" t="s">
        <v>106</v>
      </c>
      <c r="W1609" s="9" t="s">
        <v>106</v>
      </c>
      <c r="X1609" s="9" t="s">
        <v>106</v>
      </c>
      <c r="Y1609" s="9">
        <v>56.1</v>
      </c>
      <c r="Z1609" s="37"/>
      <c r="AA1609" s="37"/>
      <c r="AB1609" s="37"/>
      <c r="AE1609">
        <v>0</v>
      </c>
    </row>
    <row r="1610" spans="1:31" hidden="1">
      <c r="A1610" s="9" t="s">
        <v>1832</v>
      </c>
      <c r="B1610" s="9" t="s">
        <v>1837</v>
      </c>
      <c r="C1610" s="9" t="s">
        <v>105</v>
      </c>
      <c r="D1610" s="9">
        <v>0.68400000000000005</v>
      </c>
      <c r="E1610" s="9">
        <v>55</v>
      </c>
      <c r="F1610" s="9" t="s">
        <v>106</v>
      </c>
      <c r="G1610" s="9" t="s">
        <v>106</v>
      </c>
      <c r="H1610" s="9" t="s">
        <v>106</v>
      </c>
      <c r="J1610" s="9" t="s">
        <v>107</v>
      </c>
      <c r="K1610" s="9" t="s">
        <v>1032</v>
      </c>
      <c r="L1610" t="str">
        <f>IF(OR(J1610="Cattle",J1610="Zebu Cattle"),IF(COUNTIF(lists!$M$2:$M$258, K1610) &gt; 0,"bos.indicus",IF(COUNTIF(lists!$L$2:$L$258, K1610) &gt; 0,"cross.bred","pure.bred.exotic")),"NA")</f>
        <v>NA</v>
      </c>
      <c r="M1610" t="str">
        <f>IF(J1610="Sheep",IF(COUNTIF(lists!$H$2:$H$258, K1610) &gt; 0,"indigenous",IF(COUNTIF(lists!$G$2:$G$258, K1610) &gt; 0,"cross.bred","not found")),"NA")</f>
        <v>not found</v>
      </c>
      <c r="N1610" t="str">
        <f>IF(J1610="Goat",IF(COUNTIF(lists!$J$2:$J$258, K1610) &gt; 0,"indigenous",IF(COUNTIF(lists!$I$2:$I$258, K1610) &gt; 0,"cross.bred","not found")),"NA")</f>
        <v>NA</v>
      </c>
      <c r="O1610" s="9" t="s">
        <v>109</v>
      </c>
      <c r="P1610" s="9" t="s">
        <v>106</v>
      </c>
      <c r="S1610" s="9" t="s">
        <v>106</v>
      </c>
      <c r="T1610" s="9" t="s">
        <v>106</v>
      </c>
      <c r="U1610" s="9" t="s">
        <v>106</v>
      </c>
      <c r="V1610" s="9" t="s">
        <v>106</v>
      </c>
      <c r="W1610" s="9" t="s">
        <v>106</v>
      </c>
      <c r="X1610" s="9" t="s">
        <v>106</v>
      </c>
      <c r="Y1610" s="9">
        <v>55.6</v>
      </c>
      <c r="Z1610" s="37"/>
      <c r="AA1610" s="37"/>
      <c r="AB1610" s="37"/>
      <c r="AE1610">
        <v>0</v>
      </c>
    </row>
    <row r="1611" spans="1:31" hidden="1">
      <c r="A1611" s="9" t="s">
        <v>1832</v>
      </c>
      <c r="B1611" s="9" t="s">
        <v>1838</v>
      </c>
      <c r="C1611" s="9" t="s">
        <v>105</v>
      </c>
      <c r="D1611" s="9">
        <v>0.59</v>
      </c>
      <c r="E1611" s="9">
        <v>55</v>
      </c>
      <c r="F1611" s="9" t="s">
        <v>106</v>
      </c>
      <c r="G1611" s="9" t="s">
        <v>106</v>
      </c>
      <c r="H1611" s="9" t="s">
        <v>106</v>
      </c>
      <c r="J1611" s="9" t="s">
        <v>107</v>
      </c>
      <c r="K1611" s="9" t="s">
        <v>1032</v>
      </c>
      <c r="L1611" t="str">
        <f>IF(OR(J1611="Cattle",J1611="Zebu Cattle"),IF(COUNTIF(lists!$M$2:$M$258, K1611) &gt; 0,"bos.indicus",IF(COUNTIF(lists!$L$2:$L$258, K1611) &gt; 0,"cross.bred","pure.bred.exotic")),"NA")</f>
        <v>NA</v>
      </c>
      <c r="M1611" t="str">
        <f>IF(J1611="Sheep",IF(COUNTIF(lists!$H$2:$H$258, K1611) &gt; 0,"indigenous",IF(COUNTIF(lists!$G$2:$G$258, K1611) &gt; 0,"cross.bred","not found")),"NA")</f>
        <v>not found</v>
      </c>
      <c r="N1611" t="str">
        <f>IF(J1611="Goat",IF(COUNTIF(lists!$J$2:$J$258, K1611) &gt; 0,"indigenous",IF(COUNTIF(lists!$I$2:$I$258, K1611) &gt; 0,"cross.bred","not found")),"NA")</f>
        <v>NA</v>
      </c>
      <c r="O1611" s="9" t="s">
        <v>109</v>
      </c>
      <c r="P1611" s="9" t="s">
        <v>106</v>
      </c>
      <c r="S1611" s="9" t="s">
        <v>106</v>
      </c>
      <c r="T1611" s="9" t="s">
        <v>106</v>
      </c>
      <c r="U1611" s="9" t="s">
        <v>106</v>
      </c>
      <c r="V1611" s="9" t="s">
        <v>106</v>
      </c>
      <c r="W1611" s="9" t="s">
        <v>106</v>
      </c>
      <c r="X1611" s="9" t="s">
        <v>106</v>
      </c>
      <c r="Y1611" s="9">
        <v>56.1</v>
      </c>
      <c r="Z1611" s="37"/>
      <c r="AA1611" s="37"/>
      <c r="AB1611" s="37"/>
      <c r="AE1611">
        <v>0</v>
      </c>
    </row>
    <row r="1612" spans="1:31" hidden="1">
      <c r="A1612" s="9" t="s">
        <v>1832</v>
      </c>
      <c r="B1612" s="9" t="s">
        <v>1839</v>
      </c>
      <c r="C1612" s="9" t="s">
        <v>105</v>
      </c>
      <c r="D1612" s="9">
        <v>0.68700000000000006</v>
      </c>
      <c r="E1612" s="9">
        <v>55</v>
      </c>
      <c r="F1612" s="9" t="s">
        <v>106</v>
      </c>
      <c r="G1612" s="9" t="s">
        <v>106</v>
      </c>
      <c r="H1612" s="9" t="s">
        <v>106</v>
      </c>
      <c r="J1612" s="9" t="s">
        <v>107</v>
      </c>
      <c r="K1612" s="9" t="s">
        <v>1032</v>
      </c>
      <c r="L1612" t="str">
        <f>IF(OR(J1612="Cattle",J1612="Zebu Cattle"),IF(COUNTIF(lists!$M$2:$M$258, K1612) &gt; 0,"bos.indicus",IF(COUNTIF(lists!$L$2:$L$258, K1612) &gt; 0,"cross.bred","pure.bred.exotic")),"NA")</f>
        <v>NA</v>
      </c>
      <c r="M1612" t="str">
        <f>IF(J1612="Sheep",IF(COUNTIF(lists!$H$2:$H$258, K1612) &gt; 0,"indigenous",IF(COUNTIF(lists!$G$2:$G$258, K1612) &gt; 0,"cross.bred","not found")),"NA")</f>
        <v>not found</v>
      </c>
      <c r="N1612" t="str">
        <f>IF(J1612="Goat",IF(COUNTIF(lists!$J$2:$J$258, K1612) &gt; 0,"indigenous",IF(COUNTIF(lists!$I$2:$I$258, K1612) &gt; 0,"cross.bred","not found")),"NA")</f>
        <v>NA</v>
      </c>
      <c r="O1612" s="9" t="s">
        <v>109</v>
      </c>
      <c r="P1612" s="9" t="s">
        <v>106</v>
      </c>
      <c r="S1612" s="9" t="s">
        <v>106</v>
      </c>
      <c r="T1612" s="9" t="s">
        <v>106</v>
      </c>
      <c r="U1612" s="9" t="s">
        <v>106</v>
      </c>
      <c r="V1612" s="9" t="s">
        <v>106</v>
      </c>
      <c r="W1612" s="9" t="s">
        <v>106</v>
      </c>
      <c r="X1612" s="9" t="s">
        <v>106</v>
      </c>
      <c r="Y1612" s="9">
        <v>53.2</v>
      </c>
      <c r="Z1612" s="37"/>
      <c r="AA1612" s="37"/>
      <c r="AB1612" s="37"/>
      <c r="AE1612">
        <v>0</v>
      </c>
    </row>
    <row r="1613" spans="1:31" hidden="1">
      <c r="A1613" s="9" t="s">
        <v>1832</v>
      </c>
      <c r="B1613" s="9" t="s">
        <v>1840</v>
      </c>
      <c r="C1613" s="9" t="s">
        <v>105</v>
      </c>
      <c r="D1613" s="9">
        <v>0.57799999999999996</v>
      </c>
      <c r="E1613" s="9">
        <v>55</v>
      </c>
      <c r="F1613" s="9" t="s">
        <v>106</v>
      </c>
      <c r="G1613" s="9" t="s">
        <v>106</v>
      </c>
      <c r="H1613" s="9" t="s">
        <v>106</v>
      </c>
      <c r="J1613" s="9" t="s">
        <v>107</v>
      </c>
      <c r="K1613" s="9" t="s">
        <v>1032</v>
      </c>
      <c r="L1613" t="str">
        <f>IF(OR(J1613="Cattle",J1613="Zebu Cattle"),IF(COUNTIF(lists!$M$2:$M$258, K1613) &gt; 0,"bos.indicus",IF(COUNTIF(lists!$L$2:$L$258, K1613) &gt; 0,"cross.bred","pure.bred.exotic")),"NA")</f>
        <v>NA</v>
      </c>
      <c r="M1613" t="str">
        <f>IF(J1613="Sheep",IF(COUNTIF(lists!$H$2:$H$258, K1613) &gt; 0,"indigenous",IF(COUNTIF(lists!$G$2:$G$258, K1613) &gt; 0,"cross.bred","not found")),"NA")</f>
        <v>not found</v>
      </c>
      <c r="N1613" t="str">
        <f>IF(J1613="Goat",IF(COUNTIF(lists!$J$2:$J$258, K1613) &gt; 0,"indigenous",IF(COUNTIF(lists!$I$2:$I$258, K1613) &gt; 0,"cross.bred","not found")),"NA")</f>
        <v>NA</v>
      </c>
      <c r="O1613" s="9" t="s">
        <v>109</v>
      </c>
      <c r="P1613" s="9" t="s">
        <v>106</v>
      </c>
      <c r="S1613" s="9" t="s">
        <v>106</v>
      </c>
      <c r="T1613" s="9" t="s">
        <v>106</v>
      </c>
      <c r="U1613" s="9" t="s">
        <v>106</v>
      </c>
      <c r="V1613" s="9" t="s">
        <v>106</v>
      </c>
      <c r="W1613" s="9" t="s">
        <v>106</v>
      </c>
      <c r="X1613" s="9" t="s">
        <v>106</v>
      </c>
      <c r="Y1613" s="9">
        <v>55.2</v>
      </c>
      <c r="Z1613" s="37"/>
      <c r="AA1613" s="37"/>
      <c r="AB1613" s="37"/>
      <c r="AE1613">
        <v>0</v>
      </c>
    </row>
    <row r="1614" spans="1:31" hidden="1">
      <c r="A1614" s="9" t="s">
        <v>1832</v>
      </c>
      <c r="B1614" s="9" t="s">
        <v>1841</v>
      </c>
      <c r="C1614" s="9" t="s">
        <v>105</v>
      </c>
      <c r="D1614" s="9">
        <v>0.57199999999999995</v>
      </c>
      <c r="E1614" s="9">
        <v>55</v>
      </c>
      <c r="F1614" s="9" t="s">
        <v>106</v>
      </c>
      <c r="G1614" s="9" t="s">
        <v>106</v>
      </c>
      <c r="H1614" s="9" t="s">
        <v>106</v>
      </c>
      <c r="J1614" s="9" t="s">
        <v>107</v>
      </c>
      <c r="K1614" s="9" t="s">
        <v>1032</v>
      </c>
      <c r="L1614" t="str">
        <f>IF(OR(J1614="Cattle",J1614="Zebu Cattle"),IF(COUNTIF(lists!$M$2:$M$258, K1614) &gt; 0,"bos.indicus",IF(COUNTIF(lists!$L$2:$L$258, K1614) &gt; 0,"cross.bred","pure.bred.exotic")),"NA")</f>
        <v>NA</v>
      </c>
      <c r="M1614" t="str">
        <f>IF(J1614="Sheep",IF(COUNTIF(lists!$H$2:$H$258, K1614) &gt; 0,"indigenous",IF(COUNTIF(lists!$G$2:$G$258, K1614) &gt; 0,"cross.bred","not found")),"NA")</f>
        <v>not found</v>
      </c>
      <c r="N1614" t="str">
        <f>IF(J1614="Goat",IF(COUNTIF(lists!$J$2:$J$258, K1614) &gt; 0,"indigenous",IF(COUNTIF(lists!$I$2:$I$258, K1614) &gt; 0,"cross.bred","not found")),"NA")</f>
        <v>NA</v>
      </c>
      <c r="O1614" s="9" t="s">
        <v>109</v>
      </c>
      <c r="P1614" s="9" t="s">
        <v>106</v>
      </c>
      <c r="S1614" s="9" t="s">
        <v>106</v>
      </c>
      <c r="T1614" s="9" t="s">
        <v>106</v>
      </c>
      <c r="U1614" s="9" t="s">
        <v>106</v>
      </c>
      <c r="V1614" s="9" t="s">
        <v>106</v>
      </c>
      <c r="W1614" s="9" t="s">
        <v>106</v>
      </c>
      <c r="X1614" s="9" t="s">
        <v>106</v>
      </c>
      <c r="Y1614" s="9">
        <v>59.2</v>
      </c>
      <c r="Z1614" s="37"/>
      <c r="AA1614" s="37"/>
      <c r="AB1614" s="37"/>
      <c r="AE1614">
        <v>0</v>
      </c>
    </row>
    <row r="1615" spans="1:31" hidden="1">
      <c r="A1615" s="9" t="s">
        <v>1832</v>
      </c>
      <c r="B1615" s="9" t="s">
        <v>1842</v>
      </c>
      <c r="C1615" s="9" t="s">
        <v>105</v>
      </c>
      <c r="D1615" s="9">
        <v>0.69199999999999995</v>
      </c>
      <c r="E1615" s="9">
        <v>55</v>
      </c>
      <c r="F1615" s="9" t="s">
        <v>106</v>
      </c>
      <c r="G1615" s="9" t="s">
        <v>106</v>
      </c>
      <c r="H1615" s="9" t="s">
        <v>106</v>
      </c>
      <c r="J1615" s="9" t="s">
        <v>107</v>
      </c>
      <c r="K1615" s="9" t="s">
        <v>1032</v>
      </c>
      <c r="L1615" t="str">
        <f>IF(OR(J1615="Cattle",J1615="Zebu Cattle"),IF(COUNTIF(lists!$M$2:$M$258, K1615) &gt; 0,"bos.indicus",IF(COUNTIF(lists!$L$2:$L$258, K1615) &gt; 0,"cross.bred","pure.bred.exotic")),"NA")</f>
        <v>NA</v>
      </c>
      <c r="M1615" t="str">
        <f>IF(J1615="Sheep",IF(COUNTIF(lists!$H$2:$H$258, K1615) &gt; 0,"indigenous",IF(COUNTIF(lists!$G$2:$G$258, K1615) &gt; 0,"cross.bred","not found")),"NA")</f>
        <v>not found</v>
      </c>
      <c r="N1615" t="str">
        <f>IF(J1615="Goat",IF(COUNTIF(lists!$J$2:$J$258, K1615) &gt; 0,"indigenous",IF(COUNTIF(lists!$I$2:$I$258, K1615) &gt; 0,"cross.bred","not found")),"NA")</f>
        <v>NA</v>
      </c>
      <c r="O1615" s="9" t="s">
        <v>109</v>
      </c>
      <c r="P1615" s="9" t="s">
        <v>106</v>
      </c>
      <c r="S1615" s="9" t="s">
        <v>106</v>
      </c>
      <c r="T1615" s="9" t="s">
        <v>106</v>
      </c>
      <c r="U1615" s="9" t="s">
        <v>106</v>
      </c>
      <c r="V1615" s="9" t="s">
        <v>106</v>
      </c>
      <c r="W1615" s="9" t="s">
        <v>106</v>
      </c>
      <c r="X1615" s="9" t="s">
        <v>106</v>
      </c>
      <c r="Y1615" s="9">
        <v>49.5</v>
      </c>
      <c r="Z1615" s="37"/>
      <c r="AA1615" s="37"/>
      <c r="AB1615" s="37"/>
      <c r="AE1615">
        <v>0</v>
      </c>
    </row>
    <row r="1616" spans="1:31" hidden="1">
      <c r="A1616" s="9" t="s">
        <v>1832</v>
      </c>
      <c r="B1616" s="9" t="s">
        <v>1843</v>
      </c>
      <c r="C1616" s="9" t="s">
        <v>105</v>
      </c>
      <c r="D1616" s="9">
        <v>0.625</v>
      </c>
      <c r="E1616" s="9">
        <v>55</v>
      </c>
      <c r="F1616" s="9" t="s">
        <v>106</v>
      </c>
      <c r="G1616" s="9" t="s">
        <v>106</v>
      </c>
      <c r="H1616" s="9" t="s">
        <v>106</v>
      </c>
      <c r="J1616" s="9" t="s">
        <v>107</v>
      </c>
      <c r="K1616" s="9" t="s">
        <v>1032</v>
      </c>
      <c r="L1616" t="str">
        <f>IF(OR(J1616="Cattle",J1616="Zebu Cattle"),IF(COUNTIF(lists!$M$2:$M$258, K1616) &gt; 0,"bos.indicus",IF(COUNTIF(lists!$L$2:$L$258, K1616) &gt; 0,"cross.bred","pure.bred.exotic")),"NA")</f>
        <v>NA</v>
      </c>
      <c r="M1616" t="str">
        <f>IF(J1616="Sheep",IF(COUNTIF(lists!$H$2:$H$258, K1616) &gt; 0,"indigenous",IF(COUNTIF(lists!$G$2:$G$258, K1616) &gt; 0,"cross.bred","not found")),"NA")</f>
        <v>not found</v>
      </c>
      <c r="N1616" t="str">
        <f>IF(J1616="Goat",IF(COUNTIF(lists!$J$2:$J$258, K1616) &gt; 0,"indigenous",IF(COUNTIF(lists!$I$2:$I$258, K1616) &gt; 0,"cross.bred","not found")),"NA")</f>
        <v>NA</v>
      </c>
      <c r="O1616" s="9" t="s">
        <v>109</v>
      </c>
      <c r="P1616" s="9" t="s">
        <v>106</v>
      </c>
      <c r="S1616" s="9" t="s">
        <v>106</v>
      </c>
      <c r="T1616" s="9" t="s">
        <v>106</v>
      </c>
      <c r="U1616" s="9" t="s">
        <v>106</v>
      </c>
      <c r="V1616" s="9" t="s">
        <v>106</v>
      </c>
      <c r="W1616" s="9" t="s">
        <v>106</v>
      </c>
      <c r="X1616" s="9" t="s">
        <v>106</v>
      </c>
      <c r="Y1616" s="9">
        <v>55.9</v>
      </c>
      <c r="Z1616" s="37"/>
      <c r="AA1616" s="37"/>
      <c r="AB1616" s="37"/>
      <c r="AE1616">
        <v>0</v>
      </c>
    </row>
    <row r="1617" spans="1:31" hidden="1">
      <c r="A1617" s="9" t="s">
        <v>1832</v>
      </c>
      <c r="B1617" s="9" t="s">
        <v>1844</v>
      </c>
      <c r="C1617" s="9" t="s">
        <v>105</v>
      </c>
      <c r="D1617" s="9">
        <v>0.65400000000000003</v>
      </c>
      <c r="E1617" s="9">
        <v>55</v>
      </c>
      <c r="F1617" s="9" t="s">
        <v>106</v>
      </c>
      <c r="G1617" s="9" t="s">
        <v>106</v>
      </c>
      <c r="H1617" s="9" t="s">
        <v>106</v>
      </c>
      <c r="J1617" s="9" t="s">
        <v>107</v>
      </c>
      <c r="K1617" s="9" t="s">
        <v>1032</v>
      </c>
      <c r="L1617" t="str">
        <f>IF(OR(J1617="Cattle",J1617="Zebu Cattle"),IF(COUNTIF(lists!$M$2:$M$258, K1617) &gt; 0,"bos.indicus",IF(COUNTIF(lists!$L$2:$L$258, K1617) &gt; 0,"cross.bred","pure.bred.exotic")),"NA")</f>
        <v>NA</v>
      </c>
      <c r="M1617" t="str">
        <f>IF(J1617="Sheep",IF(COUNTIF(lists!$H$2:$H$258, K1617) &gt; 0,"indigenous",IF(COUNTIF(lists!$G$2:$G$258, K1617) &gt; 0,"cross.bred","not found")),"NA")</f>
        <v>not found</v>
      </c>
      <c r="N1617" t="str">
        <f>IF(J1617="Goat",IF(COUNTIF(lists!$J$2:$J$258, K1617) &gt; 0,"indigenous",IF(COUNTIF(lists!$I$2:$I$258, K1617) &gt; 0,"cross.bred","not found")),"NA")</f>
        <v>NA</v>
      </c>
      <c r="O1617" s="9" t="s">
        <v>109</v>
      </c>
      <c r="P1617" s="9" t="s">
        <v>106</v>
      </c>
      <c r="S1617" s="9" t="s">
        <v>106</v>
      </c>
      <c r="T1617" s="9" t="s">
        <v>106</v>
      </c>
      <c r="U1617" s="9" t="s">
        <v>106</v>
      </c>
      <c r="V1617" s="9" t="s">
        <v>106</v>
      </c>
      <c r="W1617" s="9" t="s">
        <v>106</v>
      </c>
      <c r="X1617" s="9" t="s">
        <v>106</v>
      </c>
      <c r="Y1617" s="9">
        <v>50.2</v>
      </c>
      <c r="Z1617" s="37"/>
      <c r="AA1617" s="37"/>
      <c r="AB1617" s="37"/>
      <c r="AE1617">
        <v>0</v>
      </c>
    </row>
    <row r="1618" spans="1:31" hidden="1">
      <c r="A1618" s="9" t="s">
        <v>1846</v>
      </c>
      <c r="B1618" s="9" t="s">
        <v>1847</v>
      </c>
      <c r="C1618" s="9" t="s">
        <v>105</v>
      </c>
      <c r="D1618" s="9">
        <v>0.8427</v>
      </c>
      <c r="E1618" s="9">
        <v>27.72</v>
      </c>
      <c r="F1618" s="9">
        <v>20.9</v>
      </c>
      <c r="G1618" s="9">
        <v>91.3</v>
      </c>
      <c r="H1618" s="9" t="s">
        <v>106</v>
      </c>
      <c r="I1618" s="9">
        <v>30</v>
      </c>
      <c r="J1618" s="9" t="s">
        <v>107</v>
      </c>
      <c r="K1618" s="9" t="s">
        <v>620</v>
      </c>
      <c r="L1618" t="str">
        <f>IF(OR(J1618="Cattle",J1618="Zebu Cattle"),IF(COUNTIF(lists!$M$2:$M$258, K1618) &gt; 0,"bos.indicus",IF(COUNTIF(lists!$L$2:$L$258, K1618) &gt; 0,"cross.bred","pure.bred.exotic")),"NA")</f>
        <v>NA</v>
      </c>
      <c r="M1618" t="str">
        <f>IF(J1618="Sheep",IF(COUNTIF(lists!$H$2:$H$258, K1618) &gt; 0,"indigenous",IF(COUNTIF(lists!$G$2:$G$258, K1618) &gt; 0,"cross.bred","not found")),"NA")</f>
        <v>not found</v>
      </c>
      <c r="N1618" t="str">
        <f>IF(J1618="Goat",IF(COUNTIF(lists!$J$2:$J$258, K1618) &gt; 0,"indigenous",IF(COUNTIF(lists!$I$2:$I$258, K1618) &gt; 0,"cross.bred","not found")),"NA")</f>
        <v>NA</v>
      </c>
      <c r="O1618" s="9" t="s">
        <v>109</v>
      </c>
      <c r="P1618" s="9" t="s">
        <v>106</v>
      </c>
      <c r="Q1618" s="9" t="s">
        <v>3804</v>
      </c>
      <c r="S1618" s="9" t="s">
        <v>106</v>
      </c>
      <c r="T1618" s="9" t="s">
        <v>106</v>
      </c>
      <c r="U1618" s="9" t="s">
        <v>106</v>
      </c>
      <c r="V1618" s="9" t="s">
        <v>106</v>
      </c>
      <c r="W1618" s="9" t="s">
        <v>106</v>
      </c>
      <c r="X1618" s="9" t="s">
        <v>106</v>
      </c>
      <c r="Y1618" s="9" t="s">
        <v>106</v>
      </c>
      <c r="Z1618" s="37"/>
      <c r="AA1618" s="37"/>
      <c r="AB1618" s="37"/>
      <c r="AE1618">
        <v>0</v>
      </c>
    </row>
    <row r="1619" spans="1:31" hidden="1">
      <c r="A1619" s="9" t="s">
        <v>1846</v>
      </c>
      <c r="B1619" s="9" t="s">
        <v>1848</v>
      </c>
      <c r="C1619" s="9" t="s">
        <v>105</v>
      </c>
      <c r="D1619" s="9">
        <v>0.83850000000000002</v>
      </c>
      <c r="E1619" s="9">
        <v>27.72</v>
      </c>
      <c r="F1619" s="9">
        <v>21</v>
      </c>
      <c r="G1619" s="9">
        <v>78.7</v>
      </c>
      <c r="H1619" s="9" t="s">
        <v>106</v>
      </c>
      <c r="I1619" s="9">
        <v>30</v>
      </c>
      <c r="J1619" s="9" t="s">
        <v>107</v>
      </c>
      <c r="K1619" s="9" t="s">
        <v>620</v>
      </c>
      <c r="L1619" t="str">
        <f>IF(OR(J1619="Cattle",J1619="Zebu Cattle"),IF(COUNTIF(lists!$M$2:$M$258, K1619) &gt; 0,"bos.indicus",IF(COUNTIF(lists!$L$2:$L$258, K1619) &gt; 0,"cross.bred","pure.bred.exotic")),"NA")</f>
        <v>NA</v>
      </c>
      <c r="M1619" t="str">
        <f>IF(J1619="Sheep",IF(COUNTIF(lists!$H$2:$H$258, K1619) &gt; 0,"indigenous",IF(COUNTIF(lists!$G$2:$G$258, K1619) &gt; 0,"cross.bred","not found")),"NA")</f>
        <v>not found</v>
      </c>
      <c r="N1619" t="str">
        <f>IF(J1619="Goat",IF(COUNTIF(lists!$J$2:$J$258, K1619) &gt; 0,"indigenous",IF(COUNTIF(lists!$I$2:$I$258, K1619) &gt; 0,"cross.bred","not found")),"NA")</f>
        <v>NA</v>
      </c>
      <c r="O1619" s="9" t="s">
        <v>109</v>
      </c>
      <c r="P1619" s="9" t="s">
        <v>106</v>
      </c>
      <c r="Q1619" s="9" t="s">
        <v>3804</v>
      </c>
      <c r="S1619" s="9" t="s">
        <v>106</v>
      </c>
      <c r="T1619" s="9" t="s">
        <v>106</v>
      </c>
      <c r="U1619" s="9" t="s">
        <v>106</v>
      </c>
      <c r="V1619" s="9" t="s">
        <v>106</v>
      </c>
      <c r="W1619" s="9" t="s">
        <v>106</v>
      </c>
      <c r="X1619" s="9" t="s">
        <v>106</v>
      </c>
      <c r="Y1619" s="9" t="s">
        <v>106</v>
      </c>
      <c r="Z1619" s="37"/>
      <c r="AA1619" s="37"/>
      <c r="AB1619" s="37"/>
      <c r="AE1619">
        <v>0</v>
      </c>
    </row>
    <row r="1620" spans="1:31" hidden="1">
      <c r="A1620" s="9" t="s">
        <v>1846</v>
      </c>
      <c r="B1620" s="9" t="s">
        <v>1849</v>
      </c>
      <c r="C1620" s="9" t="s">
        <v>105</v>
      </c>
      <c r="D1620" s="9">
        <v>0.78439999999999999</v>
      </c>
      <c r="E1620" s="9">
        <v>27.72</v>
      </c>
      <c r="F1620" s="9">
        <v>20.9</v>
      </c>
      <c r="G1620" s="9">
        <v>78.7</v>
      </c>
      <c r="H1620" s="9" t="s">
        <v>106</v>
      </c>
      <c r="I1620" s="9">
        <v>30</v>
      </c>
      <c r="J1620" s="9" t="s">
        <v>107</v>
      </c>
      <c r="K1620" s="9" t="s">
        <v>620</v>
      </c>
      <c r="L1620" t="str">
        <f>IF(OR(J1620="Cattle",J1620="Zebu Cattle"),IF(COUNTIF(lists!$M$2:$M$258, K1620) &gt; 0,"bos.indicus",IF(COUNTIF(lists!$L$2:$L$258, K1620) &gt; 0,"cross.bred","pure.bred.exotic")),"NA")</f>
        <v>NA</v>
      </c>
      <c r="M1620" t="str">
        <f>IF(J1620="Sheep",IF(COUNTIF(lists!$H$2:$H$258, K1620) &gt; 0,"indigenous",IF(COUNTIF(lists!$G$2:$G$258, K1620) &gt; 0,"cross.bred","not found")),"NA")</f>
        <v>not found</v>
      </c>
      <c r="N1620" t="str">
        <f>IF(J1620="Goat",IF(COUNTIF(lists!$J$2:$J$258, K1620) &gt; 0,"indigenous",IF(COUNTIF(lists!$I$2:$I$258, K1620) &gt; 0,"cross.bred","not found")),"NA")</f>
        <v>NA</v>
      </c>
      <c r="O1620" s="9" t="s">
        <v>109</v>
      </c>
      <c r="P1620" s="9" t="s">
        <v>106</v>
      </c>
      <c r="Q1620" s="9" t="s">
        <v>3804</v>
      </c>
      <c r="S1620" s="9" t="s">
        <v>106</v>
      </c>
      <c r="T1620" s="9" t="s">
        <v>106</v>
      </c>
      <c r="U1620" s="9" t="s">
        <v>106</v>
      </c>
      <c r="V1620" s="9" t="s">
        <v>106</v>
      </c>
      <c r="W1620" s="9" t="s">
        <v>106</v>
      </c>
      <c r="X1620" s="9" t="s">
        <v>106</v>
      </c>
      <c r="Y1620" s="9" t="s">
        <v>106</v>
      </c>
      <c r="Z1620" s="37"/>
      <c r="AA1620" s="37"/>
      <c r="AB1620" s="37"/>
      <c r="AE1620">
        <v>0</v>
      </c>
    </row>
    <row r="1621" spans="1:31" hidden="1">
      <c r="A1621" s="9" t="s">
        <v>1846</v>
      </c>
      <c r="B1621" s="9" t="s">
        <v>1850</v>
      </c>
      <c r="C1621" s="9" t="s">
        <v>105</v>
      </c>
      <c r="D1621" s="9">
        <v>0.80479999999999996</v>
      </c>
      <c r="E1621" s="9">
        <v>27.72</v>
      </c>
      <c r="F1621" s="9">
        <v>21.1</v>
      </c>
      <c r="G1621" s="9">
        <v>87.2</v>
      </c>
      <c r="H1621" s="9" t="s">
        <v>106</v>
      </c>
      <c r="I1621" s="9">
        <v>30</v>
      </c>
      <c r="J1621" s="9" t="s">
        <v>107</v>
      </c>
      <c r="K1621" s="9" t="s">
        <v>620</v>
      </c>
      <c r="L1621" t="str">
        <f>IF(OR(J1621="Cattle",J1621="Zebu Cattle"),IF(COUNTIF(lists!$M$2:$M$258, K1621) &gt; 0,"bos.indicus",IF(COUNTIF(lists!$L$2:$L$258, K1621) &gt; 0,"cross.bred","pure.bred.exotic")),"NA")</f>
        <v>NA</v>
      </c>
      <c r="M1621" t="str">
        <f>IF(J1621="Sheep",IF(COUNTIF(lists!$H$2:$H$258, K1621) &gt; 0,"indigenous",IF(COUNTIF(lists!$G$2:$G$258, K1621) &gt; 0,"cross.bred","not found")),"NA")</f>
        <v>not found</v>
      </c>
      <c r="N1621" t="str">
        <f>IF(J1621="Goat",IF(COUNTIF(lists!$J$2:$J$258, K1621) &gt; 0,"indigenous",IF(COUNTIF(lists!$I$2:$I$258, K1621) &gt; 0,"cross.bred","not found")),"NA")</f>
        <v>NA</v>
      </c>
      <c r="O1621" s="9" t="s">
        <v>109</v>
      </c>
      <c r="P1621" s="9" t="s">
        <v>106</v>
      </c>
      <c r="Q1621" s="9" t="s">
        <v>3804</v>
      </c>
      <c r="S1621" s="9" t="s">
        <v>106</v>
      </c>
      <c r="T1621" s="9" t="s">
        <v>106</v>
      </c>
      <c r="U1621" s="9" t="s">
        <v>106</v>
      </c>
      <c r="V1621" s="9" t="s">
        <v>106</v>
      </c>
      <c r="W1621" s="9" t="s">
        <v>106</v>
      </c>
      <c r="X1621" s="9" t="s">
        <v>106</v>
      </c>
      <c r="Y1621" s="9" t="s">
        <v>106</v>
      </c>
      <c r="Z1621" s="37"/>
      <c r="AA1621" s="37"/>
      <c r="AB1621" s="37"/>
      <c r="AE1621">
        <v>0</v>
      </c>
    </row>
    <row r="1622" spans="1:31" hidden="1">
      <c r="A1622" s="9" t="s">
        <v>1846</v>
      </c>
      <c r="B1622" s="9" t="s">
        <v>1851</v>
      </c>
      <c r="C1622" s="9" t="s">
        <v>105</v>
      </c>
      <c r="D1622" s="9">
        <v>0.74670000000000003</v>
      </c>
      <c r="E1622" s="9">
        <v>27.72</v>
      </c>
      <c r="F1622" s="9">
        <v>21</v>
      </c>
      <c r="G1622" s="9">
        <v>73.7</v>
      </c>
      <c r="H1622" s="9" t="s">
        <v>106</v>
      </c>
      <c r="I1622" s="9">
        <v>30</v>
      </c>
      <c r="J1622" s="9" t="s">
        <v>107</v>
      </c>
      <c r="K1622" s="9" t="s">
        <v>620</v>
      </c>
      <c r="L1622" t="str">
        <f>IF(OR(J1622="Cattle",J1622="Zebu Cattle"),IF(COUNTIF(lists!$M$2:$M$258, K1622) &gt; 0,"bos.indicus",IF(COUNTIF(lists!$L$2:$L$258, K1622) &gt; 0,"cross.bred","pure.bred.exotic")),"NA")</f>
        <v>NA</v>
      </c>
      <c r="M1622" t="str">
        <f>IF(J1622="Sheep",IF(COUNTIF(lists!$H$2:$H$258, K1622) &gt; 0,"indigenous",IF(COUNTIF(lists!$G$2:$G$258, K1622) &gt; 0,"cross.bred","not found")),"NA")</f>
        <v>not found</v>
      </c>
      <c r="N1622" t="str">
        <f>IF(J1622="Goat",IF(COUNTIF(lists!$J$2:$J$258, K1622) &gt; 0,"indigenous",IF(COUNTIF(lists!$I$2:$I$258, K1622) &gt; 0,"cross.bred","not found")),"NA")</f>
        <v>NA</v>
      </c>
      <c r="O1622" s="9" t="s">
        <v>109</v>
      </c>
      <c r="P1622" s="9" t="s">
        <v>106</v>
      </c>
      <c r="Q1622" s="9" t="s">
        <v>3804</v>
      </c>
      <c r="S1622" s="9" t="s">
        <v>106</v>
      </c>
      <c r="T1622" s="9" t="s">
        <v>106</v>
      </c>
      <c r="U1622" s="9" t="s">
        <v>106</v>
      </c>
      <c r="V1622" s="9" t="s">
        <v>106</v>
      </c>
      <c r="W1622" s="9" t="s">
        <v>106</v>
      </c>
      <c r="X1622" s="9" t="s">
        <v>106</v>
      </c>
      <c r="Y1622" s="9" t="s">
        <v>106</v>
      </c>
      <c r="Z1622" s="37"/>
      <c r="AA1622" s="37"/>
      <c r="AB1622" s="37"/>
      <c r="AE1622">
        <v>0</v>
      </c>
    </row>
    <row r="1623" spans="1:31" hidden="1">
      <c r="A1623" s="9" t="s">
        <v>1870</v>
      </c>
      <c r="B1623" s="9" t="s">
        <v>1871</v>
      </c>
      <c r="C1623" s="9" t="s">
        <v>105</v>
      </c>
      <c r="D1623" s="9">
        <v>1.1965999999999899</v>
      </c>
      <c r="E1623" s="9">
        <v>49.42</v>
      </c>
      <c r="F1623" s="9">
        <v>43</v>
      </c>
      <c r="G1623" s="9">
        <v>71.430000000000007</v>
      </c>
      <c r="H1623" s="9" t="s">
        <v>106</v>
      </c>
      <c r="I1623" s="9">
        <v>4</v>
      </c>
      <c r="J1623" s="9" t="s">
        <v>107</v>
      </c>
      <c r="K1623" s="9" t="s">
        <v>180</v>
      </c>
      <c r="L1623" t="str">
        <f>IF(OR(J1623="Cattle",J1623="Zebu Cattle"),IF(COUNTIF(lists!$M$2:$M$258, K1623) &gt; 0,"bos.indicus",IF(COUNTIF(lists!$L$2:$L$258, K1623) &gt; 0,"cross.bred","pure.bred.exotic")),"NA")</f>
        <v>NA</v>
      </c>
      <c r="M1623" t="str">
        <f>IF(J1623="Sheep",IF(COUNTIF(lists!$H$2:$H$258, K1623) &gt; 0,"indigenous",IF(COUNTIF(lists!$G$2:$G$258, K1623) &gt; 0,"cross.bred","not found")),"NA")</f>
        <v>not found</v>
      </c>
      <c r="N1623" t="str">
        <f>IF(J1623="Goat",IF(COUNTIF(lists!$J$2:$J$258, K1623) &gt; 0,"indigenous",IF(COUNTIF(lists!$I$2:$I$258, K1623) &gt; 0,"cross.bred","not found")),"NA")</f>
        <v>NA</v>
      </c>
      <c r="O1623" s="9" t="s">
        <v>180</v>
      </c>
      <c r="P1623" s="9" t="s">
        <v>106</v>
      </c>
      <c r="Q1623" s="9" t="s">
        <v>3800</v>
      </c>
      <c r="S1623" s="9" t="s">
        <v>106</v>
      </c>
      <c r="T1623" s="9" t="s">
        <v>106</v>
      </c>
      <c r="U1623" s="9" t="s">
        <v>106</v>
      </c>
      <c r="V1623" s="9" t="s">
        <v>106</v>
      </c>
      <c r="W1623" s="9" t="s">
        <v>106</v>
      </c>
      <c r="X1623" s="9" t="s">
        <v>106</v>
      </c>
      <c r="Y1623" s="9" t="s">
        <v>106</v>
      </c>
      <c r="Z1623" s="37"/>
      <c r="AA1623" s="37"/>
      <c r="AB1623" s="37"/>
      <c r="AE1623">
        <v>0</v>
      </c>
    </row>
    <row r="1624" spans="1:31" hidden="1">
      <c r="A1624" s="9" t="s">
        <v>1870</v>
      </c>
      <c r="B1624" s="9" t="s">
        <v>1872</v>
      </c>
      <c r="C1624" s="9" t="s">
        <v>105</v>
      </c>
      <c r="D1624" s="9">
        <v>1.0992</v>
      </c>
      <c r="E1624" s="9">
        <v>49.42</v>
      </c>
      <c r="F1624" s="9">
        <v>43</v>
      </c>
      <c r="G1624" s="9">
        <v>80.36</v>
      </c>
      <c r="H1624" s="9" t="s">
        <v>106</v>
      </c>
      <c r="I1624" s="9">
        <v>4</v>
      </c>
      <c r="J1624" s="9" t="s">
        <v>107</v>
      </c>
      <c r="K1624" s="9" t="s">
        <v>180</v>
      </c>
      <c r="L1624" t="str">
        <f>IF(OR(J1624="Cattle",J1624="Zebu Cattle"),IF(COUNTIF(lists!$M$2:$M$258, K1624) &gt; 0,"bos.indicus",IF(COUNTIF(lists!$L$2:$L$258, K1624) &gt; 0,"cross.bred","pure.bred.exotic")),"NA")</f>
        <v>NA</v>
      </c>
      <c r="M1624" t="str">
        <f>IF(J1624="Sheep",IF(COUNTIF(lists!$H$2:$H$258, K1624) &gt; 0,"indigenous",IF(COUNTIF(lists!$G$2:$G$258, K1624) &gt; 0,"cross.bred","not found")),"NA")</f>
        <v>not found</v>
      </c>
      <c r="N1624" t="str">
        <f>IF(J1624="Goat",IF(COUNTIF(lists!$J$2:$J$258, K1624) &gt; 0,"indigenous",IF(COUNTIF(lists!$I$2:$I$258, K1624) &gt; 0,"cross.bred","not found")),"NA")</f>
        <v>NA</v>
      </c>
      <c r="O1624" s="9" t="s">
        <v>180</v>
      </c>
      <c r="P1624" s="9" t="s">
        <v>106</v>
      </c>
      <c r="Q1624" s="9" t="s">
        <v>3800</v>
      </c>
      <c r="S1624" s="9" t="s">
        <v>106</v>
      </c>
      <c r="T1624" s="9" t="s">
        <v>106</v>
      </c>
      <c r="U1624" s="9" t="s">
        <v>106</v>
      </c>
      <c r="V1624" s="9" t="s">
        <v>106</v>
      </c>
      <c r="W1624" s="9" t="s">
        <v>106</v>
      </c>
      <c r="X1624" s="9" t="s">
        <v>106</v>
      </c>
      <c r="Y1624" s="9" t="s">
        <v>106</v>
      </c>
      <c r="Z1624" s="37"/>
      <c r="AA1624" s="37"/>
      <c r="AB1624" s="37"/>
      <c r="AE1624">
        <v>0</v>
      </c>
    </row>
    <row r="1625" spans="1:31" hidden="1">
      <c r="A1625" s="9" t="s">
        <v>1870</v>
      </c>
      <c r="B1625" s="9" t="s">
        <v>1873</v>
      </c>
      <c r="C1625" s="9" t="s">
        <v>105</v>
      </c>
      <c r="D1625" s="9">
        <v>1.2141999999999999</v>
      </c>
      <c r="E1625" s="9">
        <v>49.42</v>
      </c>
      <c r="F1625" s="9">
        <v>43</v>
      </c>
      <c r="G1625" s="9">
        <v>89.29</v>
      </c>
      <c r="H1625" s="9" t="s">
        <v>106</v>
      </c>
      <c r="I1625" s="9">
        <v>4</v>
      </c>
      <c r="J1625" s="9" t="s">
        <v>107</v>
      </c>
      <c r="K1625" s="9" t="s">
        <v>180</v>
      </c>
      <c r="L1625" t="str">
        <f>IF(OR(J1625="Cattle",J1625="Zebu Cattle"),IF(COUNTIF(lists!$M$2:$M$258, K1625) &gt; 0,"bos.indicus",IF(COUNTIF(lists!$L$2:$L$258, K1625) &gt; 0,"cross.bred","pure.bred.exotic")),"NA")</f>
        <v>NA</v>
      </c>
      <c r="M1625" t="str">
        <f>IF(J1625="Sheep",IF(COUNTIF(lists!$H$2:$H$258, K1625) &gt; 0,"indigenous",IF(COUNTIF(lists!$G$2:$G$258, K1625) &gt; 0,"cross.bred","not found")),"NA")</f>
        <v>not found</v>
      </c>
      <c r="N1625" t="str">
        <f>IF(J1625="Goat",IF(COUNTIF(lists!$J$2:$J$258, K1625) &gt; 0,"indigenous",IF(COUNTIF(lists!$I$2:$I$258, K1625) &gt; 0,"cross.bred","not found")),"NA")</f>
        <v>NA</v>
      </c>
      <c r="O1625" s="9" t="s">
        <v>180</v>
      </c>
      <c r="P1625" s="9" t="s">
        <v>106</v>
      </c>
      <c r="Q1625" s="9" t="s">
        <v>3800</v>
      </c>
      <c r="S1625" s="9" t="s">
        <v>106</v>
      </c>
      <c r="T1625" s="9" t="s">
        <v>106</v>
      </c>
      <c r="U1625" s="9" t="s">
        <v>106</v>
      </c>
      <c r="V1625" s="9" t="s">
        <v>106</v>
      </c>
      <c r="W1625" s="9" t="s">
        <v>106</v>
      </c>
      <c r="X1625" s="9" t="s">
        <v>106</v>
      </c>
      <c r="Y1625" s="9" t="s">
        <v>106</v>
      </c>
      <c r="Z1625" s="37"/>
      <c r="AA1625" s="37"/>
      <c r="AB1625" s="37"/>
      <c r="AE1625">
        <v>0</v>
      </c>
    </row>
    <row r="1626" spans="1:31" hidden="1">
      <c r="A1626" s="9" t="s">
        <v>1870</v>
      </c>
      <c r="B1626" s="9" t="s">
        <v>1874</v>
      </c>
      <c r="C1626" s="9" t="s">
        <v>105</v>
      </c>
      <c r="D1626" s="9">
        <v>1.107</v>
      </c>
      <c r="E1626" s="9">
        <v>61.03</v>
      </c>
      <c r="F1626" s="9">
        <v>43</v>
      </c>
      <c r="G1626" s="9">
        <v>17.86</v>
      </c>
      <c r="H1626" s="9" t="s">
        <v>106</v>
      </c>
      <c r="I1626" s="9">
        <v>4</v>
      </c>
      <c r="J1626" s="9" t="s">
        <v>107</v>
      </c>
      <c r="K1626" s="9" t="s">
        <v>180</v>
      </c>
      <c r="L1626" t="str">
        <f>IF(OR(J1626="Cattle",J1626="Zebu Cattle"),IF(COUNTIF(lists!$M$2:$M$258, K1626) &gt; 0,"bos.indicus",IF(COUNTIF(lists!$L$2:$L$258, K1626) &gt; 0,"cross.bred","pure.bred.exotic")),"NA")</f>
        <v>NA</v>
      </c>
      <c r="M1626" t="str">
        <f>IF(J1626="Sheep",IF(COUNTIF(lists!$H$2:$H$258, K1626) &gt; 0,"indigenous",IF(COUNTIF(lists!$G$2:$G$258, K1626) &gt; 0,"cross.bred","not found")),"NA")</f>
        <v>not found</v>
      </c>
      <c r="N1626" t="str">
        <f>IF(J1626="Goat",IF(COUNTIF(lists!$J$2:$J$258, K1626) &gt; 0,"indigenous",IF(COUNTIF(lists!$I$2:$I$258, K1626) &gt; 0,"cross.bred","not found")),"NA")</f>
        <v>NA</v>
      </c>
      <c r="O1626" s="9" t="s">
        <v>180</v>
      </c>
      <c r="P1626" s="9" t="s">
        <v>106</v>
      </c>
      <c r="Q1626" s="9" t="s">
        <v>3800</v>
      </c>
      <c r="S1626" s="9" t="s">
        <v>106</v>
      </c>
      <c r="T1626" s="9" t="s">
        <v>106</v>
      </c>
      <c r="U1626" s="9" t="s">
        <v>106</v>
      </c>
      <c r="V1626" s="9" t="s">
        <v>106</v>
      </c>
      <c r="W1626" s="9" t="s">
        <v>106</v>
      </c>
      <c r="X1626" s="9" t="s">
        <v>106</v>
      </c>
      <c r="Y1626" s="9" t="s">
        <v>106</v>
      </c>
      <c r="Z1626" s="37"/>
      <c r="AA1626" s="37"/>
      <c r="AB1626" s="37"/>
      <c r="AE1626">
        <v>0</v>
      </c>
    </row>
    <row r="1627" spans="1:31" hidden="1">
      <c r="A1627" s="9" t="s">
        <v>1894</v>
      </c>
      <c r="B1627" s="9" t="s">
        <v>1895</v>
      </c>
      <c r="C1627" s="9" t="s">
        <v>105</v>
      </c>
      <c r="D1627" s="9">
        <v>0.89270000000000005</v>
      </c>
      <c r="E1627" s="9">
        <v>2.4700000000000002</v>
      </c>
      <c r="F1627" s="9">
        <v>25.7</v>
      </c>
      <c r="G1627" s="9">
        <v>112.1</v>
      </c>
      <c r="H1627" s="9" t="s">
        <v>106</v>
      </c>
      <c r="I1627" s="9">
        <v>28</v>
      </c>
      <c r="J1627" s="9" t="s">
        <v>107</v>
      </c>
      <c r="K1627" s="9" t="s">
        <v>704</v>
      </c>
      <c r="L1627" t="str">
        <f>IF(OR(J1627="Cattle",J1627="Zebu Cattle"),IF(COUNTIF(lists!$M$2:$M$258, K1627) &gt; 0,"bos.indicus",IF(COUNTIF(lists!$L$2:$L$258, K1627) &gt; 0,"cross.bred","pure.bred.exotic")),"NA")</f>
        <v>NA</v>
      </c>
      <c r="M1627" t="str">
        <f>IF(J1627="Sheep",IF(COUNTIF(lists!$H$2:$H$258, K1627) &gt; 0,"indigenous",IF(COUNTIF(lists!$G$2:$G$258, K1627) &gt; 0,"cross.bred","not found")),"NA")</f>
        <v>not found</v>
      </c>
      <c r="N1627" t="str">
        <f>IF(J1627="Goat",IF(COUNTIF(lists!$J$2:$J$258, K1627) &gt; 0,"indigenous",IF(COUNTIF(lists!$I$2:$I$258, K1627) &gt; 0,"cross.bred","not found")),"NA")</f>
        <v>NA</v>
      </c>
      <c r="O1627" s="9" t="s">
        <v>109</v>
      </c>
      <c r="P1627" s="9" t="s">
        <v>106</v>
      </c>
      <c r="Q1627" s="9" t="s">
        <v>3804</v>
      </c>
      <c r="S1627" s="9">
        <v>174</v>
      </c>
      <c r="T1627" s="9" t="s">
        <v>106</v>
      </c>
      <c r="U1627" s="9">
        <v>142.19999999999999</v>
      </c>
      <c r="V1627" s="9">
        <v>916.9</v>
      </c>
      <c r="W1627" s="9" t="s">
        <v>106</v>
      </c>
      <c r="X1627" s="9">
        <v>475.8</v>
      </c>
      <c r="Y1627" s="9">
        <v>722.8</v>
      </c>
      <c r="Z1627" s="37"/>
      <c r="AA1627" s="37"/>
      <c r="AB1627" s="37"/>
      <c r="AE1627">
        <v>0</v>
      </c>
    </row>
    <row r="1628" spans="1:31" hidden="1">
      <c r="A1628" s="9" t="s">
        <v>1894</v>
      </c>
      <c r="B1628" s="9" t="s">
        <v>1896</v>
      </c>
      <c r="C1628" s="9" t="s">
        <v>105</v>
      </c>
      <c r="D1628" s="9">
        <v>0.89649999999999996</v>
      </c>
      <c r="E1628" s="9">
        <v>2.4700000000000002</v>
      </c>
      <c r="F1628" s="9">
        <v>24.6</v>
      </c>
      <c r="G1628" s="9">
        <v>136.30000000000001</v>
      </c>
      <c r="H1628" s="9" t="s">
        <v>106</v>
      </c>
      <c r="I1628" s="9">
        <v>28</v>
      </c>
      <c r="J1628" s="9" t="s">
        <v>107</v>
      </c>
      <c r="K1628" s="9" t="s">
        <v>704</v>
      </c>
      <c r="L1628" t="str">
        <f>IF(OR(J1628="Cattle",J1628="Zebu Cattle"),IF(COUNTIF(lists!$M$2:$M$258, K1628) &gt; 0,"bos.indicus",IF(COUNTIF(lists!$L$2:$L$258, K1628) &gt; 0,"cross.bred","pure.bred.exotic")),"NA")</f>
        <v>NA</v>
      </c>
      <c r="M1628" t="str">
        <f>IF(J1628="Sheep",IF(COUNTIF(lists!$H$2:$H$258, K1628) &gt; 0,"indigenous",IF(COUNTIF(lists!$G$2:$G$258, K1628) &gt; 0,"cross.bred","not found")),"NA")</f>
        <v>not found</v>
      </c>
      <c r="N1628" t="str">
        <f>IF(J1628="Goat",IF(COUNTIF(lists!$J$2:$J$258, K1628) &gt; 0,"indigenous",IF(COUNTIF(lists!$I$2:$I$258, K1628) &gt; 0,"cross.bred","not found")),"NA")</f>
        <v>NA</v>
      </c>
      <c r="O1628" s="9" t="s">
        <v>109</v>
      </c>
      <c r="P1628" s="9" t="s">
        <v>106</v>
      </c>
      <c r="Q1628" s="9" t="s">
        <v>3804</v>
      </c>
      <c r="S1628" s="9">
        <v>176.1</v>
      </c>
      <c r="T1628" s="9" t="s">
        <v>106</v>
      </c>
      <c r="U1628" s="9">
        <v>142.80000000000001</v>
      </c>
      <c r="V1628" s="9">
        <v>916.9</v>
      </c>
      <c r="W1628" s="9" t="s">
        <v>106</v>
      </c>
      <c r="X1628" s="9">
        <v>476.9</v>
      </c>
      <c r="Y1628" s="9">
        <v>727.7</v>
      </c>
      <c r="Z1628" s="37"/>
      <c r="AA1628" s="37"/>
      <c r="AB1628" s="37"/>
      <c r="AE1628">
        <v>0</v>
      </c>
    </row>
    <row r="1629" spans="1:31" hidden="1">
      <c r="A1629" s="9" t="s">
        <v>1894</v>
      </c>
      <c r="B1629" s="9" t="s">
        <v>1897</v>
      </c>
      <c r="C1629" s="9" t="s">
        <v>105</v>
      </c>
      <c r="D1629" s="9">
        <v>0.82709999999999995</v>
      </c>
      <c r="E1629" s="9">
        <v>2.4700000000000002</v>
      </c>
      <c r="F1629" s="9">
        <v>23.7</v>
      </c>
      <c r="G1629" s="9">
        <v>64.900000000000006</v>
      </c>
      <c r="H1629" s="9" t="s">
        <v>106</v>
      </c>
      <c r="I1629" s="9">
        <v>28</v>
      </c>
      <c r="J1629" s="9" t="s">
        <v>107</v>
      </c>
      <c r="K1629" s="9" t="s">
        <v>704</v>
      </c>
      <c r="L1629" t="str">
        <f>IF(OR(J1629="Cattle",J1629="Zebu Cattle"),IF(COUNTIF(lists!$M$2:$M$258, K1629) &gt; 0,"bos.indicus",IF(COUNTIF(lists!$L$2:$L$258, K1629) &gt; 0,"cross.bred","pure.bred.exotic")),"NA")</f>
        <v>NA</v>
      </c>
      <c r="M1629" t="str">
        <f>IF(J1629="Sheep",IF(COUNTIF(lists!$H$2:$H$258, K1629) &gt; 0,"indigenous",IF(COUNTIF(lists!$G$2:$G$258, K1629) &gt; 0,"cross.bred","not found")),"NA")</f>
        <v>not found</v>
      </c>
      <c r="N1629" t="str">
        <f>IF(J1629="Goat",IF(COUNTIF(lists!$J$2:$J$258, K1629) &gt; 0,"indigenous",IF(COUNTIF(lists!$I$2:$I$258, K1629) &gt; 0,"cross.bred","not found")),"NA")</f>
        <v>NA</v>
      </c>
      <c r="O1629" s="9" t="s">
        <v>109</v>
      </c>
      <c r="P1629" s="9" t="s">
        <v>106</v>
      </c>
      <c r="Q1629" s="9" t="s">
        <v>3804</v>
      </c>
      <c r="S1629" s="9">
        <v>272.10000000000002</v>
      </c>
      <c r="T1629" s="9" t="s">
        <v>106</v>
      </c>
      <c r="U1629" s="9">
        <v>110.8</v>
      </c>
      <c r="V1629" s="9">
        <v>911.3</v>
      </c>
      <c r="W1629" s="9" t="s">
        <v>106</v>
      </c>
      <c r="X1629" s="9">
        <v>556.20000000000005</v>
      </c>
      <c r="Y1629" s="9">
        <v>712.4</v>
      </c>
      <c r="Z1629" s="37"/>
      <c r="AA1629" s="37"/>
      <c r="AB1629" s="37"/>
      <c r="AE1629">
        <v>0</v>
      </c>
    </row>
    <row r="1630" spans="1:31" hidden="1">
      <c r="A1630" s="9" t="s">
        <v>1894</v>
      </c>
      <c r="B1630" s="9" t="s">
        <v>1898</v>
      </c>
      <c r="C1630" s="9" t="s">
        <v>105</v>
      </c>
      <c r="D1630" s="9">
        <v>0.83939999999999904</v>
      </c>
      <c r="E1630" s="9">
        <v>2.4700000000000002</v>
      </c>
      <c r="F1630" s="9">
        <v>24.2</v>
      </c>
      <c r="G1630" s="9">
        <v>88.5</v>
      </c>
      <c r="H1630" s="9" t="s">
        <v>106</v>
      </c>
      <c r="I1630" s="9">
        <v>28</v>
      </c>
      <c r="J1630" s="9" t="s">
        <v>107</v>
      </c>
      <c r="K1630" s="9" t="s">
        <v>704</v>
      </c>
      <c r="L1630" t="str">
        <f>IF(OR(J1630="Cattle",J1630="Zebu Cattle"),IF(COUNTIF(lists!$M$2:$M$258, K1630) &gt; 0,"bos.indicus",IF(COUNTIF(lists!$L$2:$L$258, K1630) &gt; 0,"cross.bred","pure.bred.exotic")),"NA")</f>
        <v>NA</v>
      </c>
      <c r="M1630" t="str">
        <f>IF(J1630="Sheep",IF(COUNTIF(lists!$H$2:$H$258, K1630) &gt; 0,"indigenous",IF(COUNTIF(lists!$G$2:$G$258, K1630) &gt; 0,"cross.bred","not found")),"NA")</f>
        <v>not found</v>
      </c>
      <c r="N1630" t="str">
        <f>IF(J1630="Goat",IF(COUNTIF(lists!$J$2:$J$258, K1630) &gt; 0,"indigenous",IF(COUNTIF(lists!$I$2:$I$258, K1630) &gt; 0,"cross.bred","not found")),"NA")</f>
        <v>NA</v>
      </c>
      <c r="O1630" s="9" t="s">
        <v>109</v>
      </c>
      <c r="P1630" s="9" t="s">
        <v>106</v>
      </c>
      <c r="Q1630" s="9" t="s">
        <v>3804</v>
      </c>
      <c r="S1630" s="9">
        <v>274.10000000000002</v>
      </c>
      <c r="T1630" s="9" t="s">
        <v>106</v>
      </c>
      <c r="U1630" s="9">
        <v>111.3</v>
      </c>
      <c r="V1630" s="9">
        <v>911.3</v>
      </c>
      <c r="W1630" s="9" t="s">
        <v>106</v>
      </c>
      <c r="X1630" s="9">
        <v>557.29999999999995</v>
      </c>
      <c r="Y1630" s="9">
        <v>706.7</v>
      </c>
      <c r="Z1630" s="37"/>
      <c r="AA1630" s="37"/>
      <c r="AB1630" s="37"/>
      <c r="AE1630">
        <v>0</v>
      </c>
    </row>
    <row r="1631" spans="1:31" hidden="1">
      <c r="A1631" s="9" t="s">
        <v>1905</v>
      </c>
      <c r="B1631" s="9" t="s">
        <v>261</v>
      </c>
      <c r="C1631" s="9" t="s">
        <v>105</v>
      </c>
      <c r="D1631" s="9">
        <v>0.43480000000000002</v>
      </c>
      <c r="E1631" s="9">
        <v>5.17</v>
      </c>
      <c r="F1631" s="9">
        <v>19.899999999999999</v>
      </c>
      <c r="G1631" s="9">
        <v>-15.6</v>
      </c>
      <c r="H1631" s="9" t="s">
        <v>106</v>
      </c>
      <c r="I1631" s="9">
        <v>25</v>
      </c>
      <c r="J1631" s="9" t="s">
        <v>107</v>
      </c>
      <c r="K1631" s="9" t="s">
        <v>542</v>
      </c>
      <c r="L1631" t="str">
        <f>IF(OR(J1631="Cattle",J1631="Zebu Cattle"),IF(COUNTIF(lists!$M$2:$M$258, K1631) &gt; 0,"bos.indicus",IF(COUNTIF(lists!$L$2:$L$258, K1631) &gt; 0,"cross.bred","pure.bred.exotic")),"NA")</f>
        <v>NA</v>
      </c>
      <c r="M1631" t="str">
        <f>IF(J1631="Sheep",IF(COUNTIF(lists!$H$2:$H$258, K1631) &gt; 0,"indigenous",IF(COUNTIF(lists!$G$2:$G$258, K1631) &gt; 0,"cross.bred","not found")),"NA")</f>
        <v>not found</v>
      </c>
      <c r="N1631" t="str">
        <f>IF(J1631="Goat",IF(COUNTIF(lists!$J$2:$J$258, K1631) &gt; 0,"indigenous",IF(COUNTIF(lists!$I$2:$I$258, K1631) &gt; 0,"cross.bred","not found")),"NA")</f>
        <v>NA</v>
      </c>
      <c r="O1631" s="9" t="s">
        <v>109</v>
      </c>
      <c r="P1631" s="9" t="s">
        <v>106</v>
      </c>
      <c r="Q1631" s="9" t="s">
        <v>3804</v>
      </c>
      <c r="S1631" s="9" t="s">
        <v>106</v>
      </c>
      <c r="T1631" s="9" t="s">
        <v>106</v>
      </c>
      <c r="U1631" s="9" t="s">
        <v>106</v>
      </c>
      <c r="V1631" s="9" t="s">
        <v>106</v>
      </c>
      <c r="W1631" s="9" t="s">
        <v>106</v>
      </c>
      <c r="X1631" s="9" t="s">
        <v>106</v>
      </c>
      <c r="Y1631" s="9" t="s">
        <v>106</v>
      </c>
      <c r="Z1631" s="37"/>
      <c r="AA1631" s="37"/>
      <c r="AB1631" s="37"/>
      <c r="AE1631">
        <v>0</v>
      </c>
    </row>
    <row r="1632" spans="1:31" hidden="1">
      <c r="A1632" s="9" t="s">
        <v>1905</v>
      </c>
      <c r="B1632" s="9" t="s">
        <v>1906</v>
      </c>
      <c r="C1632" s="9" t="s">
        <v>105</v>
      </c>
      <c r="D1632" s="9">
        <v>0.66300000000000003</v>
      </c>
      <c r="E1632" s="9">
        <v>5.57</v>
      </c>
      <c r="F1632" s="9">
        <v>20</v>
      </c>
      <c r="G1632" s="9">
        <v>55.6</v>
      </c>
      <c r="H1632" s="9" t="s">
        <v>106</v>
      </c>
      <c r="I1632" s="9">
        <v>25</v>
      </c>
      <c r="J1632" s="9" t="s">
        <v>107</v>
      </c>
      <c r="K1632" s="9" t="s">
        <v>542</v>
      </c>
      <c r="L1632" t="str">
        <f>IF(OR(J1632="Cattle",J1632="Zebu Cattle"),IF(COUNTIF(lists!$M$2:$M$258, K1632) &gt; 0,"bos.indicus",IF(COUNTIF(lists!$L$2:$L$258, K1632) &gt; 0,"cross.bred","pure.bred.exotic")),"NA")</f>
        <v>NA</v>
      </c>
      <c r="M1632" t="str">
        <f>IF(J1632="Sheep",IF(COUNTIF(lists!$H$2:$H$258, K1632) &gt; 0,"indigenous",IF(COUNTIF(lists!$G$2:$G$258, K1632) &gt; 0,"cross.bred","not found")),"NA")</f>
        <v>not found</v>
      </c>
      <c r="N1632" t="str">
        <f>IF(J1632="Goat",IF(COUNTIF(lists!$J$2:$J$258, K1632) &gt; 0,"indigenous",IF(COUNTIF(lists!$I$2:$I$258, K1632) &gt; 0,"cross.bred","not found")),"NA")</f>
        <v>NA</v>
      </c>
      <c r="O1632" s="9" t="s">
        <v>109</v>
      </c>
      <c r="P1632" s="9" t="s">
        <v>106</v>
      </c>
      <c r="Q1632" s="9" t="s">
        <v>3804</v>
      </c>
      <c r="S1632" s="9" t="s">
        <v>106</v>
      </c>
      <c r="T1632" s="9" t="s">
        <v>106</v>
      </c>
      <c r="U1632" s="9" t="s">
        <v>106</v>
      </c>
      <c r="V1632" s="9" t="s">
        <v>106</v>
      </c>
      <c r="W1632" s="9" t="s">
        <v>106</v>
      </c>
      <c r="X1632" s="9" t="s">
        <v>106</v>
      </c>
      <c r="Y1632" s="9" t="s">
        <v>106</v>
      </c>
      <c r="Z1632" s="37"/>
      <c r="AA1632" s="37"/>
      <c r="AB1632" s="37"/>
      <c r="AE1632">
        <v>0</v>
      </c>
    </row>
    <row r="1633" spans="1:31" hidden="1">
      <c r="A1633" s="9" t="s">
        <v>1905</v>
      </c>
      <c r="B1633" s="9" t="s">
        <v>1907</v>
      </c>
      <c r="C1633" s="9" t="s">
        <v>105</v>
      </c>
      <c r="D1633" s="9">
        <v>0.74139999999999995</v>
      </c>
      <c r="E1633" s="9">
        <v>5.57</v>
      </c>
      <c r="F1633" s="9">
        <v>19.399999999999999</v>
      </c>
      <c r="G1633" s="9">
        <v>78.900000000000006</v>
      </c>
      <c r="H1633" s="9" t="s">
        <v>106</v>
      </c>
      <c r="I1633" s="9">
        <v>25</v>
      </c>
      <c r="J1633" s="9" t="s">
        <v>107</v>
      </c>
      <c r="K1633" s="9" t="s">
        <v>542</v>
      </c>
      <c r="L1633" t="str">
        <f>IF(OR(J1633="Cattle",J1633="Zebu Cattle"),IF(COUNTIF(lists!$M$2:$M$258, K1633) &gt; 0,"bos.indicus",IF(COUNTIF(lists!$L$2:$L$258, K1633) &gt; 0,"cross.bred","pure.bred.exotic")),"NA")</f>
        <v>NA</v>
      </c>
      <c r="M1633" t="str">
        <f>IF(J1633="Sheep",IF(COUNTIF(lists!$H$2:$H$258, K1633) &gt; 0,"indigenous",IF(COUNTIF(lists!$G$2:$G$258, K1633) &gt; 0,"cross.bred","not found")),"NA")</f>
        <v>not found</v>
      </c>
      <c r="N1633" t="str">
        <f>IF(J1633="Goat",IF(COUNTIF(lists!$J$2:$J$258, K1633) &gt; 0,"indigenous",IF(COUNTIF(lists!$I$2:$I$258, K1633) &gt; 0,"cross.bred","not found")),"NA")</f>
        <v>NA</v>
      </c>
      <c r="O1633" s="9" t="s">
        <v>109</v>
      </c>
      <c r="P1633" s="9" t="s">
        <v>106</v>
      </c>
      <c r="Q1633" s="9" t="s">
        <v>3804</v>
      </c>
      <c r="S1633" s="9" t="s">
        <v>106</v>
      </c>
      <c r="T1633" s="9" t="s">
        <v>106</v>
      </c>
      <c r="U1633" s="9" t="s">
        <v>106</v>
      </c>
      <c r="V1633" s="9" t="s">
        <v>106</v>
      </c>
      <c r="W1633" s="9" t="s">
        <v>106</v>
      </c>
      <c r="X1633" s="9" t="s">
        <v>106</v>
      </c>
      <c r="Y1633" s="9" t="s">
        <v>106</v>
      </c>
      <c r="Z1633" s="37"/>
      <c r="AA1633" s="37"/>
      <c r="AB1633" s="37"/>
      <c r="AE1633">
        <v>0</v>
      </c>
    </row>
    <row r="1634" spans="1:31" hidden="1">
      <c r="A1634" s="9" t="s">
        <v>1905</v>
      </c>
      <c r="B1634" s="9" t="s">
        <v>1908</v>
      </c>
      <c r="C1634" s="9" t="s">
        <v>105</v>
      </c>
      <c r="D1634" s="9">
        <v>0.75329999999999997</v>
      </c>
      <c r="E1634" s="9">
        <v>5.57</v>
      </c>
      <c r="F1634" s="9">
        <v>19.7</v>
      </c>
      <c r="G1634" s="9">
        <v>87.8</v>
      </c>
      <c r="H1634" s="9" t="s">
        <v>106</v>
      </c>
      <c r="I1634" s="9">
        <v>25</v>
      </c>
      <c r="J1634" s="9" t="s">
        <v>107</v>
      </c>
      <c r="K1634" s="9" t="s">
        <v>542</v>
      </c>
      <c r="L1634" t="str">
        <f>IF(OR(J1634="Cattle",J1634="Zebu Cattle"),IF(COUNTIF(lists!$M$2:$M$258, K1634) &gt; 0,"bos.indicus",IF(COUNTIF(lists!$L$2:$L$258, K1634) &gt; 0,"cross.bred","pure.bred.exotic")),"NA")</f>
        <v>NA</v>
      </c>
      <c r="M1634" t="str">
        <f>IF(J1634="Sheep",IF(COUNTIF(lists!$H$2:$H$258, K1634) &gt; 0,"indigenous",IF(COUNTIF(lists!$G$2:$G$258, K1634) &gt; 0,"cross.bred","not found")),"NA")</f>
        <v>not found</v>
      </c>
      <c r="N1634" t="str">
        <f>IF(J1634="Goat",IF(COUNTIF(lists!$J$2:$J$258, K1634) &gt; 0,"indigenous",IF(COUNTIF(lists!$I$2:$I$258, K1634) &gt; 0,"cross.bred","not found")),"NA")</f>
        <v>NA</v>
      </c>
      <c r="O1634" s="9" t="s">
        <v>109</v>
      </c>
      <c r="P1634" s="9" t="s">
        <v>106</v>
      </c>
      <c r="Q1634" s="9" t="s">
        <v>3804</v>
      </c>
      <c r="S1634" s="9" t="s">
        <v>106</v>
      </c>
      <c r="T1634" s="9" t="s">
        <v>106</v>
      </c>
      <c r="U1634" s="9" t="s">
        <v>106</v>
      </c>
      <c r="V1634" s="9" t="s">
        <v>106</v>
      </c>
      <c r="W1634" s="9" t="s">
        <v>106</v>
      </c>
      <c r="X1634" s="9" t="s">
        <v>106</v>
      </c>
      <c r="Y1634" s="9" t="s">
        <v>106</v>
      </c>
      <c r="Z1634" s="37"/>
      <c r="AA1634" s="37"/>
      <c r="AB1634" s="37"/>
      <c r="AE1634">
        <v>0</v>
      </c>
    </row>
    <row r="1635" spans="1:31" hidden="1">
      <c r="A1635" s="9" t="s">
        <v>1905</v>
      </c>
      <c r="B1635" s="9" t="s">
        <v>1909</v>
      </c>
      <c r="C1635" s="9" t="s">
        <v>105</v>
      </c>
      <c r="D1635" s="9">
        <v>0.69520000000000004</v>
      </c>
      <c r="E1635" s="9">
        <v>5.57</v>
      </c>
      <c r="F1635" s="9">
        <v>19.600000000000001</v>
      </c>
      <c r="G1635" s="9">
        <v>84.4</v>
      </c>
      <c r="H1635" s="9" t="s">
        <v>106</v>
      </c>
      <c r="I1635" s="9">
        <v>25</v>
      </c>
      <c r="J1635" s="9" t="s">
        <v>107</v>
      </c>
      <c r="K1635" s="9" t="s">
        <v>542</v>
      </c>
      <c r="L1635" t="str">
        <f>IF(OR(J1635="Cattle",J1635="Zebu Cattle"),IF(COUNTIF(lists!$M$2:$M$258, K1635) &gt; 0,"bos.indicus",IF(COUNTIF(lists!$L$2:$L$258, K1635) &gt; 0,"cross.bred","pure.bred.exotic")),"NA")</f>
        <v>NA</v>
      </c>
      <c r="M1635" t="str">
        <f>IF(J1635="Sheep",IF(COUNTIF(lists!$H$2:$H$258, K1635) &gt; 0,"indigenous",IF(COUNTIF(lists!$G$2:$G$258, K1635) &gt; 0,"cross.bred","not found")),"NA")</f>
        <v>not found</v>
      </c>
      <c r="N1635" t="str">
        <f>IF(J1635="Goat",IF(COUNTIF(lists!$J$2:$J$258, K1635) &gt; 0,"indigenous",IF(COUNTIF(lists!$I$2:$I$258, K1635) &gt; 0,"cross.bred","not found")),"NA")</f>
        <v>NA</v>
      </c>
      <c r="O1635" s="9" t="s">
        <v>109</v>
      </c>
      <c r="P1635" s="9" t="s">
        <v>106</v>
      </c>
      <c r="Q1635" s="9" t="s">
        <v>3804</v>
      </c>
      <c r="S1635" s="9" t="s">
        <v>106</v>
      </c>
      <c r="T1635" s="9" t="s">
        <v>106</v>
      </c>
      <c r="U1635" s="9" t="s">
        <v>106</v>
      </c>
      <c r="V1635" s="9" t="s">
        <v>106</v>
      </c>
      <c r="W1635" s="9" t="s">
        <v>106</v>
      </c>
      <c r="X1635" s="9" t="s">
        <v>106</v>
      </c>
      <c r="Y1635" s="9" t="s">
        <v>106</v>
      </c>
      <c r="Z1635" s="37"/>
      <c r="AA1635" s="37"/>
      <c r="AB1635" s="37"/>
      <c r="AE1635">
        <v>0</v>
      </c>
    </row>
    <row r="1636" spans="1:31" hidden="1">
      <c r="A1636" s="9" t="s">
        <v>1911</v>
      </c>
      <c r="B1636" s="9" t="s">
        <v>1912</v>
      </c>
      <c r="C1636" s="9" t="s">
        <v>105</v>
      </c>
      <c r="D1636" s="9">
        <v>0.63</v>
      </c>
      <c r="E1636" s="9">
        <v>2.42</v>
      </c>
      <c r="F1636" s="9">
        <v>20.5</v>
      </c>
      <c r="G1636" s="9">
        <v>3</v>
      </c>
      <c r="H1636" s="9" t="s">
        <v>106</v>
      </c>
      <c r="I1636" s="9">
        <v>24</v>
      </c>
      <c r="J1636" s="9" t="s">
        <v>107</v>
      </c>
      <c r="K1636" s="9" t="s">
        <v>1913</v>
      </c>
      <c r="L1636" t="str">
        <f>IF(OR(J1636="Cattle",J1636="Zebu Cattle"),IF(COUNTIF(lists!$M$2:$M$258, K1636) &gt; 0,"bos.indicus",IF(COUNTIF(lists!$L$2:$L$258, K1636) &gt; 0,"cross.bred","pure.bred.exotic")),"NA")</f>
        <v>NA</v>
      </c>
      <c r="M1636" t="str">
        <f>IF(J1636="Sheep",IF(COUNTIF(lists!$H$2:$H$258, K1636) &gt; 0,"indigenous",IF(COUNTIF(lists!$G$2:$G$258, K1636) &gt; 0,"cross.bred","not found")),"NA")</f>
        <v>not found</v>
      </c>
      <c r="N1636" t="str">
        <f>IF(J1636="Goat",IF(COUNTIF(lists!$J$2:$J$258, K1636) &gt; 0,"indigenous",IF(COUNTIF(lists!$I$2:$I$258, K1636) &gt; 0,"cross.bred","not found")),"NA")</f>
        <v>NA</v>
      </c>
      <c r="O1636" s="9" t="s">
        <v>109</v>
      </c>
      <c r="P1636" s="9" t="s">
        <v>106</v>
      </c>
      <c r="Q1636" s="9" t="s">
        <v>3804</v>
      </c>
      <c r="S1636" s="9" t="s">
        <v>106</v>
      </c>
      <c r="T1636" s="9" t="s">
        <v>106</v>
      </c>
      <c r="U1636" s="9" t="s">
        <v>106</v>
      </c>
      <c r="V1636" s="9" t="s">
        <v>106</v>
      </c>
      <c r="W1636" s="9" t="s">
        <v>106</v>
      </c>
      <c r="X1636" s="9" t="s">
        <v>106</v>
      </c>
      <c r="Y1636" s="9">
        <v>47</v>
      </c>
      <c r="Z1636" s="37"/>
      <c r="AA1636" s="37"/>
      <c r="AB1636" s="37"/>
      <c r="AE1636">
        <v>0</v>
      </c>
    </row>
    <row r="1637" spans="1:31" hidden="1">
      <c r="A1637" s="9" t="s">
        <v>1911</v>
      </c>
      <c r="B1637" s="9" t="s">
        <v>1914</v>
      </c>
      <c r="C1637" s="9" t="s">
        <v>105</v>
      </c>
      <c r="D1637" s="9">
        <v>0.91</v>
      </c>
      <c r="E1637" s="9">
        <v>2.42</v>
      </c>
      <c r="F1637" s="9">
        <v>20.5</v>
      </c>
      <c r="G1637" s="9">
        <v>14</v>
      </c>
      <c r="H1637" s="9" t="s">
        <v>106</v>
      </c>
      <c r="I1637" s="9">
        <v>24</v>
      </c>
      <c r="J1637" s="9" t="s">
        <v>107</v>
      </c>
      <c r="K1637" s="9" t="s">
        <v>1913</v>
      </c>
      <c r="L1637" t="str">
        <f>IF(OR(J1637="Cattle",J1637="Zebu Cattle"),IF(COUNTIF(lists!$M$2:$M$258, K1637) &gt; 0,"bos.indicus",IF(COUNTIF(lists!$L$2:$L$258, K1637) &gt; 0,"cross.bred","pure.bred.exotic")),"NA")</f>
        <v>NA</v>
      </c>
      <c r="M1637" t="str">
        <f>IF(J1637="Sheep",IF(COUNTIF(lists!$H$2:$H$258, K1637) &gt; 0,"indigenous",IF(COUNTIF(lists!$G$2:$G$258, K1637) &gt; 0,"cross.bred","not found")),"NA")</f>
        <v>not found</v>
      </c>
      <c r="N1637" t="str">
        <f>IF(J1637="Goat",IF(COUNTIF(lists!$J$2:$J$258, K1637) &gt; 0,"indigenous",IF(COUNTIF(lists!$I$2:$I$258, K1637) &gt; 0,"cross.bred","not found")),"NA")</f>
        <v>NA</v>
      </c>
      <c r="O1637" s="9" t="s">
        <v>109</v>
      </c>
      <c r="P1637" s="9" t="s">
        <v>106</v>
      </c>
      <c r="Q1637" s="9" t="s">
        <v>3804</v>
      </c>
      <c r="S1637" s="9" t="s">
        <v>106</v>
      </c>
      <c r="T1637" s="9" t="s">
        <v>106</v>
      </c>
      <c r="U1637" s="9" t="s">
        <v>106</v>
      </c>
      <c r="V1637" s="9" t="s">
        <v>106</v>
      </c>
      <c r="W1637" s="9" t="s">
        <v>106</v>
      </c>
      <c r="X1637" s="9" t="s">
        <v>106</v>
      </c>
      <c r="Y1637" s="9">
        <v>53</v>
      </c>
      <c r="Z1637" s="37"/>
      <c r="AA1637" s="37"/>
      <c r="AB1637" s="37"/>
      <c r="AE1637">
        <v>0</v>
      </c>
    </row>
    <row r="1638" spans="1:31" hidden="1">
      <c r="A1638" s="9" t="s">
        <v>1911</v>
      </c>
      <c r="B1638" s="9" t="s">
        <v>1915</v>
      </c>
      <c r="C1638" s="9" t="s">
        <v>105</v>
      </c>
      <c r="D1638" s="9">
        <v>1.06</v>
      </c>
      <c r="E1638" s="9">
        <v>2.42</v>
      </c>
      <c r="F1638" s="9">
        <v>20.5</v>
      </c>
      <c r="G1638" s="9">
        <v>35</v>
      </c>
      <c r="H1638" s="9" t="s">
        <v>106</v>
      </c>
      <c r="I1638" s="9">
        <v>24</v>
      </c>
      <c r="J1638" s="9" t="s">
        <v>107</v>
      </c>
      <c r="K1638" s="9" t="s">
        <v>1913</v>
      </c>
      <c r="L1638" t="str">
        <f>IF(OR(J1638="Cattle",J1638="Zebu Cattle"),IF(COUNTIF(lists!$M$2:$M$258, K1638) &gt; 0,"bos.indicus",IF(COUNTIF(lists!$L$2:$L$258, K1638) &gt; 0,"cross.bred","pure.bred.exotic")),"NA")</f>
        <v>NA</v>
      </c>
      <c r="M1638" t="str">
        <f>IF(J1638="Sheep",IF(COUNTIF(lists!$H$2:$H$258, K1638) &gt; 0,"indigenous",IF(COUNTIF(lists!$G$2:$G$258, K1638) &gt; 0,"cross.bred","not found")),"NA")</f>
        <v>not found</v>
      </c>
      <c r="N1638" t="str">
        <f>IF(J1638="Goat",IF(COUNTIF(lists!$J$2:$J$258, K1638) &gt; 0,"indigenous",IF(COUNTIF(lists!$I$2:$I$258, K1638) &gt; 0,"cross.bred","not found")),"NA")</f>
        <v>NA</v>
      </c>
      <c r="O1638" s="9" t="s">
        <v>109</v>
      </c>
      <c r="P1638" s="9" t="s">
        <v>106</v>
      </c>
      <c r="Q1638" s="9" t="s">
        <v>3804</v>
      </c>
      <c r="S1638" s="9" t="s">
        <v>106</v>
      </c>
      <c r="T1638" s="9" t="s">
        <v>106</v>
      </c>
      <c r="U1638" s="9" t="s">
        <v>106</v>
      </c>
      <c r="V1638" s="9" t="s">
        <v>106</v>
      </c>
      <c r="W1638" s="9" t="s">
        <v>106</v>
      </c>
      <c r="X1638" s="9" t="s">
        <v>106</v>
      </c>
      <c r="Y1638" s="9">
        <v>60</v>
      </c>
      <c r="Z1638" s="37"/>
      <c r="AA1638" s="37"/>
      <c r="AB1638" s="37"/>
      <c r="AE1638">
        <v>0</v>
      </c>
    </row>
    <row r="1639" spans="1:31" hidden="1">
      <c r="A1639" s="9" t="s">
        <v>1953</v>
      </c>
      <c r="B1639" s="9" t="s">
        <v>1954</v>
      </c>
      <c r="C1639" s="9" t="s">
        <v>105</v>
      </c>
      <c r="D1639" s="9">
        <v>0.49</v>
      </c>
      <c r="E1639" s="9" t="s">
        <v>106</v>
      </c>
      <c r="F1639" s="9">
        <v>17.600000000000001</v>
      </c>
      <c r="G1639" s="9">
        <v>10.1</v>
      </c>
      <c r="H1639" s="9" t="s">
        <v>106</v>
      </c>
      <c r="I1639" s="9">
        <v>30</v>
      </c>
      <c r="J1639" s="9" t="s">
        <v>107</v>
      </c>
      <c r="K1639" s="9" t="s">
        <v>985</v>
      </c>
      <c r="L1639" t="str">
        <f>IF(OR(J1639="Cattle",J1639="Zebu Cattle"),IF(COUNTIF(lists!$M$2:$M$258, K1639) &gt; 0,"bos.indicus",IF(COUNTIF(lists!$L$2:$L$258, K1639) &gt; 0,"cross.bred","pure.bred.exotic")),"NA")</f>
        <v>NA</v>
      </c>
      <c r="M1639" t="str">
        <f>IF(J1639="Sheep",IF(COUNTIF(lists!$H$2:$H$258, K1639) &gt; 0,"indigenous",IF(COUNTIF(lists!$G$2:$G$258, K1639) &gt; 0,"cross.bred","not found")),"NA")</f>
        <v>not found</v>
      </c>
      <c r="N1639" t="str">
        <f>IF(J1639="Goat",IF(COUNTIF(lists!$J$2:$J$258, K1639) &gt; 0,"indigenous",IF(COUNTIF(lists!$I$2:$I$258, K1639) &gt; 0,"cross.bred","not found")),"NA")</f>
        <v>NA</v>
      </c>
      <c r="O1639" s="9" t="s">
        <v>109</v>
      </c>
      <c r="P1639" s="9" t="s">
        <v>106</v>
      </c>
      <c r="Q1639" s="9" t="s">
        <v>3804</v>
      </c>
      <c r="S1639" s="9" t="s">
        <v>106</v>
      </c>
      <c r="T1639" s="9" t="s">
        <v>106</v>
      </c>
      <c r="U1639" s="9" t="s">
        <v>106</v>
      </c>
      <c r="V1639" s="9" t="s">
        <v>106</v>
      </c>
      <c r="W1639" s="9" t="s">
        <v>106</v>
      </c>
      <c r="X1639" s="9" t="s">
        <v>106</v>
      </c>
      <c r="Y1639" s="9">
        <v>59</v>
      </c>
      <c r="Z1639" s="37"/>
      <c r="AA1639" s="37"/>
      <c r="AB1639" s="37"/>
      <c r="AE1639">
        <v>0</v>
      </c>
    </row>
    <row r="1640" spans="1:31" hidden="1">
      <c r="A1640" s="9" t="s">
        <v>1953</v>
      </c>
      <c r="B1640" s="9" t="s">
        <v>1955</v>
      </c>
      <c r="C1640" s="9" t="s">
        <v>105</v>
      </c>
      <c r="D1640" s="9">
        <v>0.71599999999999997</v>
      </c>
      <c r="E1640" s="9" t="s">
        <v>106</v>
      </c>
      <c r="F1640" s="9">
        <v>17.5</v>
      </c>
      <c r="G1640" s="9">
        <v>89.7</v>
      </c>
      <c r="H1640" s="9" t="s">
        <v>106</v>
      </c>
      <c r="I1640" s="9">
        <v>30</v>
      </c>
      <c r="J1640" s="9" t="s">
        <v>107</v>
      </c>
      <c r="K1640" s="9" t="s">
        <v>985</v>
      </c>
      <c r="L1640" t="str">
        <f>IF(OR(J1640="Cattle",J1640="Zebu Cattle"),IF(COUNTIF(lists!$M$2:$M$258, K1640) &gt; 0,"bos.indicus",IF(COUNTIF(lists!$L$2:$L$258, K1640) &gt; 0,"cross.bred","pure.bred.exotic")),"NA")</f>
        <v>NA</v>
      </c>
      <c r="M1640" t="str">
        <f>IF(J1640="Sheep",IF(COUNTIF(lists!$H$2:$H$258, K1640) &gt; 0,"indigenous",IF(COUNTIF(lists!$G$2:$G$258, K1640) &gt; 0,"cross.bred","not found")),"NA")</f>
        <v>not found</v>
      </c>
      <c r="N1640" t="str">
        <f>IF(J1640="Goat",IF(COUNTIF(lists!$J$2:$J$258, K1640) &gt; 0,"indigenous",IF(COUNTIF(lists!$I$2:$I$258, K1640) &gt; 0,"cross.bred","not found")),"NA")</f>
        <v>NA</v>
      </c>
      <c r="O1640" s="9" t="s">
        <v>109</v>
      </c>
      <c r="P1640" s="9" t="s">
        <v>106</v>
      </c>
      <c r="Q1640" s="9" t="s">
        <v>3804</v>
      </c>
      <c r="S1640" s="9" t="s">
        <v>106</v>
      </c>
      <c r="T1640" s="9" t="s">
        <v>106</v>
      </c>
      <c r="U1640" s="9" t="s">
        <v>106</v>
      </c>
      <c r="V1640" s="9" t="s">
        <v>106</v>
      </c>
      <c r="W1640" s="9" t="s">
        <v>106</v>
      </c>
      <c r="X1640" s="9" t="s">
        <v>106</v>
      </c>
      <c r="Y1640" s="9">
        <v>57.7</v>
      </c>
      <c r="Z1640" s="37"/>
      <c r="AA1640" s="37"/>
      <c r="AB1640" s="37"/>
      <c r="AE1640">
        <v>0</v>
      </c>
    </row>
    <row r="1641" spans="1:31" hidden="1">
      <c r="A1641" s="9" t="s">
        <v>1953</v>
      </c>
      <c r="B1641" s="9" t="s">
        <v>1956</v>
      </c>
      <c r="C1641" s="9" t="s">
        <v>105</v>
      </c>
      <c r="D1641" s="9">
        <v>0.73899999999999999</v>
      </c>
      <c r="E1641" s="9" t="s">
        <v>106</v>
      </c>
      <c r="F1641" s="9">
        <v>17.3</v>
      </c>
      <c r="G1641" s="9">
        <v>88.1</v>
      </c>
      <c r="H1641" s="9" t="s">
        <v>106</v>
      </c>
      <c r="I1641" s="9">
        <v>30</v>
      </c>
      <c r="J1641" s="9" t="s">
        <v>107</v>
      </c>
      <c r="K1641" s="9" t="s">
        <v>985</v>
      </c>
      <c r="L1641" t="str">
        <f>IF(OR(J1641="Cattle",J1641="Zebu Cattle"),IF(COUNTIF(lists!$M$2:$M$258, K1641) &gt; 0,"bos.indicus",IF(COUNTIF(lists!$L$2:$L$258, K1641) &gt; 0,"cross.bred","pure.bred.exotic")),"NA")</f>
        <v>NA</v>
      </c>
      <c r="M1641" t="str">
        <f>IF(J1641="Sheep",IF(COUNTIF(lists!$H$2:$H$258, K1641) &gt; 0,"indigenous",IF(COUNTIF(lists!$G$2:$G$258, K1641) &gt; 0,"cross.bred","not found")),"NA")</f>
        <v>not found</v>
      </c>
      <c r="N1641" t="str">
        <f>IF(J1641="Goat",IF(COUNTIF(lists!$J$2:$J$258, K1641) &gt; 0,"indigenous",IF(COUNTIF(lists!$I$2:$I$258, K1641) &gt; 0,"cross.bred","not found")),"NA")</f>
        <v>NA</v>
      </c>
      <c r="O1641" s="9" t="s">
        <v>109</v>
      </c>
      <c r="P1641" s="9" t="s">
        <v>106</v>
      </c>
      <c r="Q1641" s="9" t="s">
        <v>3804</v>
      </c>
      <c r="S1641" s="9" t="s">
        <v>106</v>
      </c>
      <c r="T1641" s="9" t="s">
        <v>106</v>
      </c>
      <c r="U1641" s="9" t="s">
        <v>106</v>
      </c>
      <c r="V1641" s="9" t="s">
        <v>106</v>
      </c>
      <c r="W1641" s="9" t="s">
        <v>106</v>
      </c>
      <c r="X1641" s="9" t="s">
        <v>106</v>
      </c>
      <c r="Y1641" s="9">
        <v>56.9</v>
      </c>
      <c r="Z1641" s="37"/>
      <c r="AA1641" s="37"/>
      <c r="AB1641" s="37"/>
      <c r="AE1641">
        <v>0</v>
      </c>
    </row>
    <row r="1642" spans="1:31" hidden="1">
      <c r="A1642" s="9" t="s">
        <v>1953</v>
      </c>
      <c r="B1642" s="9" t="s">
        <v>1957</v>
      </c>
      <c r="C1642" s="9" t="s">
        <v>105</v>
      </c>
      <c r="D1642" s="9">
        <v>0.56000000000000005</v>
      </c>
      <c r="E1642" s="9" t="s">
        <v>106</v>
      </c>
      <c r="F1642" s="9">
        <v>17.399999999999999</v>
      </c>
      <c r="G1642" s="9">
        <v>47.4</v>
      </c>
      <c r="H1642" s="9" t="s">
        <v>106</v>
      </c>
      <c r="I1642" s="9">
        <v>30</v>
      </c>
      <c r="J1642" s="9" t="s">
        <v>107</v>
      </c>
      <c r="K1642" s="9" t="s">
        <v>985</v>
      </c>
      <c r="L1642" t="str">
        <f>IF(OR(J1642="Cattle",J1642="Zebu Cattle"),IF(COUNTIF(lists!$M$2:$M$258, K1642) &gt; 0,"bos.indicus",IF(COUNTIF(lists!$L$2:$L$258, K1642) &gt; 0,"cross.bred","pure.bred.exotic")),"NA")</f>
        <v>NA</v>
      </c>
      <c r="M1642" t="str">
        <f>IF(J1642="Sheep",IF(COUNTIF(lists!$H$2:$H$258, K1642) &gt; 0,"indigenous",IF(COUNTIF(lists!$G$2:$G$258, K1642) &gt; 0,"cross.bred","not found")),"NA")</f>
        <v>not found</v>
      </c>
      <c r="N1642" t="str">
        <f>IF(J1642="Goat",IF(COUNTIF(lists!$J$2:$J$258, K1642) &gt; 0,"indigenous",IF(COUNTIF(lists!$I$2:$I$258, K1642) &gt; 0,"cross.bred","not found")),"NA")</f>
        <v>NA</v>
      </c>
      <c r="O1642" s="9" t="s">
        <v>109</v>
      </c>
      <c r="P1642" s="9" t="s">
        <v>106</v>
      </c>
      <c r="Q1642" s="9" t="s">
        <v>3804</v>
      </c>
      <c r="S1642" s="9" t="s">
        <v>106</v>
      </c>
      <c r="T1642" s="9" t="s">
        <v>106</v>
      </c>
      <c r="U1642" s="9" t="s">
        <v>106</v>
      </c>
      <c r="V1642" s="9" t="s">
        <v>106</v>
      </c>
      <c r="W1642" s="9" t="s">
        <v>106</v>
      </c>
      <c r="X1642" s="9" t="s">
        <v>106</v>
      </c>
      <c r="Y1642" s="9">
        <v>57.7</v>
      </c>
      <c r="Z1642" s="37"/>
      <c r="AA1642" s="37"/>
      <c r="AB1642" s="37"/>
      <c r="AE1642">
        <v>0</v>
      </c>
    </row>
    <row r="1643" spans="1:31" hidden="1">
      <c r="A1643" s="9" t="s">
        <v>1953</v>
      </c>
      <c r="B1643" s="9" t="s">
        <v>1958</v>
      </c>
      <c r="C1643" s="9" t="s">
        <v>105</v>
      </c>
      <c r="D1643" s="9">
        <v>0.74099999999999999</v>
      </c>
      <c r="E1643" s="9" t="s">
        <v>106</v>
      </c>
      <c r="F1643" s="9">
        <v>17.399999999999999</v>
      </c>
      <c r="G1643" s="9">
        <v>81</v>
      </c>
      <c r="H1643" s="9" t="s">
        <v>106</v>
      </c>
      <c r="I1643" s="9">
        <v>30</v>
      </c>
      <c r="J1643" s="9" t="s">
        <v>107</v>
      </c>
      <c r="K1643" s="9" t="s">
        <v>985</v>
      </c>
      <c r="L1643" t="str">
        <f>IF(OR(J1643="Cattle",J1643="Zebu Cattle"),IF(COUNTIF(lists!$M$2:$M$258, K1643) &gt; 0,"bos.indicus",IF(COUNTIF(lists!$L$2:$L$258, K1643) &gt; 0,"cross.bred","pure.bred.exotic")),"NA")</f>
        <v>NA</v>
      </c>
      <c r="M1643" t="str">
        <f>IF(J1643="Sheep",IF(COUNTIF(lists!$H$2:$H$258, K1643) &gt; 0,"indigenous",IF(COUNTIF(lists!$G$2:$G$258, K1643) &gt; 0,"cross.bred","not found")),"NA")</f>
        <v>not found</v>
      </c>
      <c r="N1643" t="str">
        <f>IF(J1643="Goat",IF(COUNTIF(lists!$J$2:$J$258, K1643) &gt; 0,"indigenous",IF(COUNTIF(lists!$I$2:$I$258, K1643) &gt; 0,"cross.bred","not found")),"NA")</f>
        <v>NA</v>
      </c>
      <c r="O1643" s="9" t="s">
        <v>109</v>
      </c>
      <c r="P1643" s="9" t="s">
        <v>106</v>
      </c>
      <c r="Q1643" s="9" t="s">
        <v>3804</v>
      </c>
      <c r="S1643" s="9" t="s">
        <v>106</v>
      </c>
      <c r="T1643" s="9" t="s">
        <v>106</v>
      </c>
      <c r="U1643" s="9" t="s">
        <v>106</v>
      </c>
      <c r="V1643" s="9" t="s">
        <v>106</v>
      </c>
      <c r="W1643" s="9" t="s">
        <v>106</v>
      </c>
      <c r="X1643" s="9" t="s">
        <v>106</v>
      </c>
      <c r="Y1643" s="9">
        <v>58.1</v>
      </c>
      <c r="Z1643" s="37"/>
      <c r="AA1643" s="37"/>
      <c r="AB1643" s="37"/>
      <c r="AE1643">
        <v>0</v>
      </c>
    </row>
    <row r="1644" spans="1:31" hidden="1">
      <c r="A1644" s="9" t="s">
        <v>1953</v>
      </c>
      <c r="B1644" s="9" t="s">
        <v>1959</v>
      </c>
      <c r="C1644" s="9" t="s">
        <v>105</v>
      </c>
      <c r="D1644" s="9">
        <v>0.56000000000000005</v>
      </c>
      <c r="E1644" s="9" t="s">
        <v>106</v>
      </c>
      <c r="F1644" s="9">
        <v>17.399999999999999</v>
      </c>
      <c r="G1644" s="9">
        <v>47.4</v>
      </c>
      <c r="H1644" s="9" t="s">
        <v>106</v>
      </c>
      <c r="I1644" s="9">
        <v>30</v>
      </c>
      <c r="J1644" s="9" t="s">
        <v>107</v>
      </c>
      <c r="K1644" s="9" t="s">
        <v>985</v>
      </c>
      <c r="L1644" t="str">
        <f>IF(OR(J1644="Cattle",J1644="Zebu Cattle"),IF(COUNTIF(lists!$M$2:$M$258, K1644) &gt; 0,"bos.indicus",IF(COUNTIF(lists!$L$2:$L$258, K1644) &gt; 0,"cross.bred","pure.bred.exotic")),"NA")</f>
        <v>NA</v>
      </c>
      <c r="M1644" t="str">
        <f>IF(J1644="Sheep",IF(COUNTIF(lists!$H$2:$H$258, K1644) &gt; 0,"indigenous",IF(COUNTIF(lists!$G$2:$G$258, K1644) &gt; 0,"cross.bred","not found")),"NA")</f>
        <v>not found</v>
      </c>
      <c r="N1644" t="str">
        <f>IF(J1644="Goat",IF(COUNTIF(lists!$J$2:$J$258, K1644) &gt; 0,"indigenous",IF(COUNTIF(lists!$I$2:$I$258, K1644) &gt; 0,"cross.bred","not found")),"NA")</f>
        <v>NA</v>
      </c>
      <c r="O1644" s="9" t="s">
        <v>109</v>
      </c>
      <c r="P1644" s="9" t="s">
        <v>106</v>
      </c>
      <c r="Q1644" s="9" t="s">
        <v>3804</v>
      </c>
      <c r="S1644" s="9" t="s">
        <v>106</v>
      </c>
      <c r="T1644" s="9" t="s">
        <v>106</v>
      </c>
      <c r="U1644" s="9" t="s">
        <v>106</v>
      </c>
      <c r="V1644" s="9" t="s">
        <v>106</v>
      </c>
      <c r="W1644" s="9" t="s">
        <v>106</v>
      </c>
      <c r="X1644" s="9" t="s">
        <v>106</v>
      </c>
      <c r="Y1644" s="9">
        <v>57.7</v>
      </c>
      <c r="Z1644" s="37"/>
      <c r="AA1644" s="37"/>
      <c r="AB1644" s="37"/>
      <c r="AE1644">
        <v>0</v>
      </c>
    </row>
    <row r="1645" spans="1:31">
      <c r="A1645" s="9" t="s">
        <v>334</v>
      </c>
      <c r="B1645" s="9" t="s">
        <v>335</v>
      </c>
      <c r="C1645" s="9" t="s">
        <v>105</v>
      </c>
      <c r="D1645" s="9">
        <v>5.05</v>
      </c>
      <c r="E1645" s="9">
        <v>0.66</v>
      </c>
      <c r="F1645" s="9">
        <v>209</v>
      </c>
      <c r="G1645" s="9">
        <v>0.77</v>
      </c>
      <c r="H1645" s="9" t="s">
        <v>106</v>
      </c>
      <c r="I1645" s="9">
        <v>10</v>
      </c>
      <c r="J1645" s="9" t="s">
        <v>337</v>
      </c>
      <c r="K1645" s="9" t="s">
        <v>338</v>
      </c>
      <c r="L1645" t="str">
        <f>IF(OR(J1645="Cattle",J1645="Zebu Cattle"),IF(COUNTIF(lists!$M$2:$M$258, K1645) &gt; 0,"bos.indicus",IF(COUNTIF(lists!$L$2:$L$258, K1645) &gt; 0,"cross.bred","pure.bred.exotic")),"NA")</f>
        <v>pure.bred.exotic</v>
      </c>
      <c r="M1645" t="str">
        <f>IF(J1645="Sheep",IF(COUNTIF(lists!$H$2:$H$258, K1645) &gt; 0,"indigenous",IF(COUNTIF(lists!$G$2:$G$258, K1645) &gt; 0,"cross.bred","not found")),"NA")</f>
        <v>NA</v>
      </c>
      <c r="N1645" t="str">
        <f>IF(J1645="Goat",IF(COUNTIF(lists!$J$2:$J$258, K1645) &gt; 0,"indigenous",IF(COUNTIF(lists!$I$2:$I$258, K1645) &gt; 0,"cross.bred","not found")),"NA")</f>
        <v>NA</v>
      </c>
      <c r="O1645" s="9" t="s">
        <v>109</v>
      </c>
      <c r="P1645" s="9" t="s">
        <v>106</v>
      </c>
      <c r="Q1645" s="9" t="s">
        <v>3804</v>
      </c>
      <c r="S1645" s="9" t="s">
        <v>106</v>
      </c>
      <c r="T1645" s="9" t="s">
        <v>106</v>
      </c>
      <c r="U1645" s="9" t="s">
        <v>106</v>
      </c>
      <c r="V1645" s="9" t="s">
        <v>106</v>
      </c>
      <c r="W1645" s="9" t="s">
        <v>106</v>
      </c>
      <c r="X1645" s="9" t="s">
        <v>106</v>
      </c>
      <c r="Y1645" s="9">
        <v>48</v>
      </c>
      <c r="Z1645" s="37"/>
      <c r="AA1645" s="37"/>
      <c r="AB1645" s="37"/>
      <c r="AE1645"/>
    </row>
    <row r="1646" spans="1:31">
      <c r="A1646" s="9" t="s">
        <v>334</v>
      </c>
      <c r="B1646" s="9" t="s">
        <v>339</v>
      </c>
      <c r="C1646" s="9" t="s">
        <v>105</v>
      </c>
      <c r="D1646" s="9">
        <v>4.99</v>
      </c>
      <c r="E1646" s="9">
        <v>0.35</v>
      </c>
      <c r="F1646" s="9">
        <v>206</v>
      </c>
      <c r="G1646" s="9">
        <v>0.83</v>
      </c>
      <c r="H1646" s="9" t="s">
        <v>106</v>
      </c>
      <c r="I1646" s="9">
        <v>10</v>
      </c>
      <c r="J1646" s="9" t="s">
        <v>337</v>
      </c>
      <c r="K1646" s="9" t="s">
        <v>338</v>
      </c>
      <c r="L1646" t="str">
        <f>IF(OR(J1646="Cattle",J1646="Zebu Cattle"),IF(COUNTIF(lists!$M$2:$M$258, K1646) &gt; 0,"bos.indicus",IF(COUNTIF(lists!$L$2:$L$258, K1646) &gt; 0,"cross.bred","pure.bred.exotic")),"NA")</f>
        <v>pure.bred.exotic</v>
      </c>
      <c r="M1646" t="str">
        <f>IF(J1646="Sheep",IF(COUNTIF(lists!$H$2:$H$258, K1646) &gt; 0,"indigenous",IF(COUNTIF(lists!$G$2:$G$258, K1646) &gt; 0,"cross.bred","not found")),"NA")</f>
        <v>NA</v>
      </c>
      <c r="N1646" t="str">
        <f>IF(J1646="Goat",IF(COUNTIF(lists!$J$2:$J$258, K1646) &gt; 0,"indigenous",IF(COUNTIF(lists!$I$2:$I$258, K1646) &gt; 0,"cross.bred","not found")),"NA")</f>
        <v>NA</v>
      </c>
      <c r="O1646" s="9" t="s">
        <v>109</v>
      </c>
      <c r="P1646" s="9" t="s">
        <v>106</v>
      </c>
      <c r="Q1646" s="9" t="s">
        <v>3804</v>
      </c>
      <c r="S1646" s="9" t="s">
        <v>106</v>
      </c>
      <c r="T1646" s="9" t="s">
        <v>106</v>
      </c>
      <c r="U1646" s="9" t="s">
        <v>106</v>
      </c>
      <c r="V1646" s="9" t="s">
        <v>106</v>
      </c>
      <c r="W1646" s="9" t="s">
        <v>106</v>
      </c>
      <c r="X1646" s="9" t="s">
        <v>106</v>
      </c>
      <c r="Y1646" s="9">
        <v>38</v>
      </c>
      <c r="Z1646" s="37"/>
      <c r="AA1646" s="37"/>
      <c r="AB1646" s="37"/>
      <c r="AE1646"/>
    </row>
    <row r="1647" spans="1:31">
      <c r="A1647" s="9" t="s">
        <v>334</v>
      </c>
      <c r="B1647" s="9" t="s">
        <v>340</v>
      </c>
      <c r="C1647" s="9" t="s">
        <v>105</v>
      </c>
      <c r="D1647" s="9">
        <v>4.3499999999999996</v>
      </c>
      <c r="E1647" s="9">
        <v>0.47</v>
      </c>
      <c r="F1647" s="9">
        <v>195</v>
      </c>
      <c r="G1647" s="9">
        <v>0.38</v>
      </c>
      <c r="H1647" s="9" t="s">
        <v>106</v>
      </c>
      <c r="I1647" s="9">
        <v>10</v>
      </c>
      <c r="J1647" s="9" t="s">
        <v>337</v>
      </c>
      <c r="K1647" s="9" t="s">
        <v>338</v>
      </c>
      <c r="L1647" t="str">
        <f>IF(OR(J1647="Cattle",J1647="Zebu Cattle"),IF(COUNTIF(lists!$M$2:$M$258, K1647) &gt; 0,"bos.indicus",IF(COUNTIF(lists!$L$2:$L$258, K1647) &gt; 0,"cross.bred","pure.bred.exotic")),"NA")</f>
        <v>pure.bred.exotic</v>
      </c>
      <c r="M1647" t="str">
        <f>IF(J1647="Sheep",IF(COUNTIF(lists!$H$2:$H$258, K1647) &gt; 0,"indigenous",IF(COUNTIF(lists!$G$2:$G$258, K1647) &gt; 0,"cross.bred","not found")),"NA")</f>
        <v>NA</v>
      </c>
      <c r="N1647" t="str">
        <f>IF(J1647="Goat",IF(COUNTIF(lists!$J$2:$J$258, K1647) &gt; 0,"indigenous",IF(COUNTIF(lists!$I$2:$I$258, K1647) &gt; 0,"cross.bred","not found")),"NA")</f>
        <v>NA</v>
      </c>
      <c r="O1647" s="9" t="s">
        <v>109</v>
      </c>
      <c r="P1647" s="9" t="s">
        <v>106</v>
      </c>
      <c r="Q1647" s="9" t="s">
        <v>3804</v>
      </c>
      <c r="S1647" s="9" t="s">
        <v>106</v>
      </c>
      <c r="T1647" s="9" t="s">
        <v>106</v>
      </c>
      <c r="U1647" s="9" t="s">
        <v>106</v>
      </c>
      <c r="V1647" s="9" t="s">
        <v>106</v>
      </c>
      <c r="W1647" s="9" t="s">
        <v>106</v>
      </c>
      <c r="X1647" s="9" t="s">
        <v>106</v>
      </c>
      <c r="Y1647" s="9">
        <v>4</v>
      </c>
      <c r="Z1647" s="37"/>
      <c r="AA1647" s="37"/>
      <c r="AB1647" s="37"/>
      <c r="AE1647"/>
    </row>
    <row r="1648" spans="1:31">
      <c r="A1648" s="9" t="s">
        <v>3816</v>
      </c>
      <c r="B1648" s="9" t="s">
        <v>4075</v>
      </c>
      <c r="C1648" s="9" t="s">
        <v>105</v>
      </c>
      <c r="D1648" s="9">
        <v>6.1</v>
      </c>
      <c r="E1648" s="59">
        <v>0.4898979485566356</v>
      </c>
      <c r="F1648" s="9">
        <v>253.7</v>
      </c>
      <c r="G1648" s="9">
        <v>0.19</v>
      </c>
      <c r="H1648" s="9" t="s">
        <v>106</v>
      </c>
      <c r="I1648" s="9">
        <v>6</v>
      </c>
      <c r="J1648" s="9" t="s">
        <v>122</v>
      </c>
      <c r="K1648" s="9" t="s">
        <v>4080</v>
      </c>
      <c r="L1648" t="str">
        <f>IF(OR(J1648="Cattle",J1648="Zebu Cattle"),IF(COUNTIF(lists!$M$2:$M$258, K1648) &gt; 0,"bos.indicus",IF(COUNTIF(lists!$L$2:$L$258, K1648) &gt; 0,"cross.bred","pure.bred.exotic")),"NA")</f>
        <v>bos.indicus</v>
      </c>
      <c r="O1648" s="9" t="s">
        <v>4193</v>
      </c>
      <c r="P1648" s="9" t="s">
        <v>4082</v>
      </c>
      <c r="Q1648" s="9" t="s">
        <v>3810</v>
      </c>
      <c r="R1648" s="9" t="s">
        <v>3828</v>
      </c>
      <c r="S1648" s="9" t="s">
        <v>106</v>
      </c>
      <c r="T1648" s="9" t="s">
        <v>106</v>
      </c>
      <c r="U1648" s="9" t="s">
        <v>106</v>
      </c>
      <c r="V1648" s="9" t="s">
        <v>106</v>
      </c>
      <c r="W1648" s="9" t="s">
        <v>106</v>
      </c>
      <c r="X1648" s="9" t="s">
        <v>106</v>
      </c>
      <c r="Y1648" s="9" t="s">
        <v>106</v>
      </c>
      <c r="Z1648" s="9" t="s">
        <v>106</v>
      </c>
      <c r="AA1648" s="9" t="s">
        <v>106</v>
      </c>
      <c r="AB1648" s="9" t="s">
        <v>106</v>
      </c>
      <c r="AC1648" s="9" t="s">
        <v>5099</v>
      </c>
      <c r="AD1648" s="9" t="s">
        <v>5100</v>
      </c>
    </row>
    <row r="1649" spans="1:30">
      <c r="A1649" s="9" t="s">
        <v>3816</v>
      </c>
      <c r="B1649" s="9" t="s">
        <v>4076</v>
      </c>
      <c r="C1649" s="9" t="s">
        <v>105</v>
      </c>
      <c r="D1649" s="9">
        <v>6.8</v>
      </c>
      <c r="E1649" s="59">
        <v>0.73484692283495334</v>
      </c>
      <c r="F1649" s="9">
        <v>259.45</v>
      </c>
      <c r="G1649" s="9">
        <v>0.3</v>
      </c>
      <c r="H1649" s="9" t="s">
        <v>106</v>
      </c>
      <c r="I1649" s="9">
        <v>6</v>
      </c>
      <c r="J1649" s="9" t="s">
        <v>122</v>
      </c>
      <c r="K1649" s="9" t="s">
        <v>4080</v>
      </c>
      <c r="L1649" t="str">
        <f>IF(OR(J1649="Cattle",J1649="Zebu Cattle"),IF(COUNTIF(lists!$M$2:$M$258, K1649) &gt; 0,"bos.indicus",IF(COUNTIF(lists!$L$2:$L$258, K1649) &gt; 0,"cross.bred","pure.bred.exotic")),"NA")</f>
        <v>bos.indicus</v>
      </c>
      <c r="O1649" s="9" t="s">
        <v>4193</v>
      </c>
      <c r="P1649" s="9" t="s">
        <v>4082</v>
      </c>
      <c r="Q1649" s="9" t="s">
        <v>3810</v>
      </c>
      <c r="R1649" s="9" t="s">
        <v>3828</v>
      </c>
      <c r="S1649" s="9" t="s">
        <v>106</v>
      </c>
      <c r="T1649" s="9" t="s">
        <v>106</v>
      </c>
      <c r="U1649" s="9" t="s">
        <v>106</v>
      </c>
      <c r="V1649" s="9" t="s">
        <v>106</v>
      </c>
      <c r="W1649" s="9" t="s">
        <v>106</v>
      </c>
      <c r="X1649" s="9" t="s">
        <v>106</v>
      </c>
      <c r="Y1649" s="9" t="s">
        <v>106</v>
      </c>
      <c r="Z1649" s="9" t="s">
        <v>106</v>
      </c>
      <c r="AA1649" s="9" t="s">
        <v>106</v>
      </c>
      <c r="AB1649" s="9" t="s">
        <v>106</v>
      </c>
      <c r="AC1649" s="9" t="s">
        <v>5099</v>
      </c>
      <c r="AD1649" s="9" t="s">
        <v>5100</v>
      </c>
    </row>
    <row r="1650" spans="1:30">
      <c r="A1650" s="9" t="s">
        <v>3816</v>
      </c>
      <c r="B1650" s="9" t="s">
        <v>4077</v>
      </c>
      <c r="C1650" s="9" t="s">
        <v>105</v>
      </c>
      <c r="D1650" s="9">
        <v>7.5</v>
      </c>
      <c r="E1650" s="59">
        <v>0.73484692283495334</v>
      </c>
      <c r="F1650" s="9">
        <v>264.10000000000002</v>
      </c>
      <c r="G1650" s="9">
        <v>0.43</v>
      </c>
      <c r="H1650" s="9" t="s">
        <v>106</v>
      </c>
      <c r="I1650" s="9">
        <v>6</v>
      </c>
      <c r="J1650" s="9" t="s">
        <v>122</v>
      </c>
      <c r="K1650" s="9" t="s">
        <v>4080</v>
      </c>
      <c r="L1650" t="str">
        <f>IF(OR(J1650="Cattle",J1650="Zebu Cattle"),IF(COUNTIF(lists!$M$2:$M$258, K1650) &gt; 0,"bos.indicus",IF(COUNTIF(lists!$L$2:$L$258, K1650) &gt; 0,"cross.bred","pure.bred.exotic")),"NA")</f>
        <v>bos.indicus</v>
      </c>
      <c r="O1650" s="9" t="s">
        <v>4193</v>
      </c>
      <c r="P1650" s="9" t="s">
        <v>4082</v>
      </c>
      <c r="Q1650" s="9" t="s">
        <v>3810</v>
      </c>
      <c r="R1650" s="9" t="s">
        <v>3828</v>
      </c>
      <c r="S1650" s="9" t="s">
        <v>106</v>
      </c>
      <c r="T1650" s="9" t="s">
        <v>106</v>
      </c>
      <c r="U1650" s="9" t="s">
        <v>106</v>
      </c>
      <c r="V1650" s="9" t="s">
        <v>106</v>
      </c>
      <c r="W1650" s="9" t="s">
        <v>106</v>
      </c>
      <c r="X1650" s="9" t="s">
        <v>106</v>
      </c>
      <c r="Y1650" s="9" t="s">
        <v>106</v>
      </c>
      <c r="Z1650" s="9" t="s">
        <v>106</v>
      </c>
      <c r="AA1650" s="9" t="s">
        <v>106</v>
      </c>
      <c r="AB1650" s="9" t="s">
        <v>106</v>
      </c>
      <c r="AC1650" s="9" t="s">
        <v>5099</v>
      </c>
      <c r="AD1650" s="9" t="s">
        <v>5100</v>
      </c>
    </row>
    <row r="1651" spans="1:30">
      <c r="A1651" s="9" t="s">
        <v>3816</v>
      </c>
      <c r="B1651" s="9" t="s">
        <v>4078</v>
      </c>
      <c r="C1651" s="9" t="s">
        <v>105</v>
      </c>
      <c r="D1651" s="9">
        <v>7.9</v>
      </c>
      <c r="E1651" s="59">
        <v>0.9797958971132712</v>
      </c>
      <c r="F1651" s="9">
        <v>267.85000000000002</v>
      </c>
      <c r="G1651" s="9">
        <v>0.49</v>
      </c>
      <c r="H1651" s="9" t="s">
        <v>106</v>
      </c>
      <c r="I1651" s="9">
        <v>6</v>
      </c>
      <c r="J1651" s="9" t="s">
        <v>122</v>
      </c>
      <c r="K1651" s="9" t="s">
        <v>4080</v>
      </c>
      <c r="L1651" t="str">
        <f>IF(OR(J1651="Cattle",J1651="Zebu Cattle"),IF(COUNTIF(lists!$M$2:$M$258, K1651) &gt; 0,"bos.indicus",IF(COUNTIF(lists!$L$2:$L$258, K1651) &gt; 0,"cross.bred","pure.bred.exotic")),"NA")</f>
        <v>bos.indicus</v>
      </c>
      <c r="O1651" s="9" t="s">
        <v>4193</v>
      </c>
      <c r="P1651" s="9" t="s">
        <v>4082</v>
      </c>
      <c r="Q1651" s="9" t="s">
        <v>3810</v>
      </c>
      <c r="R1651" s="9" t="s">
        <v>3828</v>
      </c>
      <c r="S1651" s="9" t="s">
        <v>106</v>
      </c>
      <c r="T1651" s="9" t="s">
        <v>106</v>
      </c>
      <c r="U1651" s="9" t="s">
        <v>106</v>
      </c>
      <c r="V1651" s="9" t="s">
        <v>106</v>
      </c>
      <c r="W1651" s="9" t="s">
        <v>106</v>
      </c>
      <c r="X1651" s="9" t="s">
        <v>106</v>
      </c>
      <c r="Y1651" s="9" t="s">
        <v>106</v>
      </c>
      <c r="Z1651" s="9" t="s">
        <v>106</v>
      </c>
      <c r="AA1651" s="9" t="s">
        <v>106</v>
      </c>
      <c r="AB1651" s="9" t="s">
        <v>106</v>
      </c>
      <c r="AC1651" s="9" t="s">
        <v>5099</v>
      </c>
      <c r="AD1651" s="9" t="s">
        <v>5100</v>
      </c>
    </row>
    <row r="1652" spans="1:30">
      <c r="A1652" s="9" t="s">
        <v>3816</v>
      </c>
      <c r="B1652" s="9" t="s">
        <v>4079</v>
      </c>
      <c r="C1652" s="9" t="s">
        <v>105</v>
      </c>
      <c r="D1652" s="9">
        <v>8.1999999999999993</v>
      </c>
      <c r="E1652" s="59">
        <v>0.9797958971132712</v>
      </c>
      <c r="F1652" s="9">
        <v>270.89999999999998</v>
      </c>
      <c r="G1652" s="9">
        <v>0.55000000000000004</v>
      </c>
      <c r="H1652" s="9" t="s">
        <v>106</v>
      </c>
      <c r="I1652" s="9">
        <v>6</v>
      </c>
      <c r="J1652" s="9" t="s">
        <v>122</v>
      </c>
      <c r="K1652" s="9" t="s">
        <v>4080</v>
      </c>
      <c r="L1652" t="str">
        <f>IF(OR(J1652="Cattle",J1652="Zebu Cattle"),IF(COUNTIF(lists!$M$2:$M$258, K1652) &gt; 0,"bos.indicus",IF(COUNTIF(lists!$L$2:$L$258, K1652) &gt; 0,"cross.bred","pure.bred.exotic")),"NA")</f>
        <v>bos.indicus</v>
      </c>
      <c r="O1652" s="9" t="s">
        <v>4193</v>
      </c>
      <c r="P1652" s="9" t="s">
        <v>4082</v>
      </c>
      <c r="Q1652" s="9" t="s">
        <v>3810</v>
      </c>
      <c r="R1652" s="9" t="s">
        <v>3828</v>
      </c>
      <c r="S1652" s="9" t="s">
        <v>106</v>
      </c>
      <c r="T1652" s="9" t="s">
        <v>106</v>
      </c>
      <c r="U1652" s="9" t="s">
        <v>106</v>
      </c>
      <c r="V1652" s="9" t="s">
        <v>106</v>
      </c>
      <c r="W1652" s="9" t="s">
        <v>106</v>
      </c>
      <c r="X1652" s="9" t="s">
        <v>106</v>
      </c>
      <c r="Y1652" s="9" t="s">
        <v>106</v>
      </c>
      <c r="Z1652" s="9" t="s">
        <v>106</v>
      </c>
      <c r="AA1652" s="9" t="s">
        <v>106</v>
      </c>
      <c r="AB1652" s="9" t="s">
        <v>106</v>
      </c>
      <c r="AC1652" s="9" t="s">
        <v>5099</v>
      </c>
      <c r="AD1652" s="9" t="s">
        <v>5100</v>
      </c>
    </row>
    <row r="1653" spans="1:30">
      <c r="A1653" s="9" t="s">
        <v>3922</v>
      </c>
      <c r="B1653" s="69" t="s">
        <v>4035</v>
      </c>
      <c r="C1653" s="9" t="s">
        <v>105</v>
      </c>
      <c r="D1653" s="9">
        <v>3.9</v>
      </c>
      <c r="E1653" s="9" t="s">
        <v>106</v>
      </c>
      <c r="F1653" s="9">
        <v>133.25</v>
      </c>
      <c r="G1653" s="9">
        <v>0.53</v>
      </c>
      <c r="H1653" s="9" t="s">
        <v>106</v>
      </c>
      <c r="I1653" s="9">
        <v>6</v>
      </c>
      <c r="J1653" s="9" t="s">
        <v>122</v>
      </c>
      <c r="K1653" s="9" t="s">
        <v>4039</v>
      </c>
      <c r="L1653" t="str">
        <f>IF(OR(J1653="Cattle",J1653="Zebu Cattle"),IF(COUNTIF(lists!$M$2:$M$258, K1653) &gt; 0,"bos.indicus",IF(COUNTIF(lists!$L$2:$L$258, K1653) &gt; 0,"cross.bred","pure.bred.exotic")),"NA")</f>
        <v>cross.bred</v>
      </c>
      <c r="O1653" s="9" t="s">
        <v>124</v>
      </c>
      <c r="P1653" s="9" t="s">
        <v>4040</v>
      </c>
      <c r="Q1653" s="9" t="s">
        <v>3805</v>
      </c>
      <c r="R1653" s="9" t="s">
        <v>3830</v>
      </c>
      <c r="S1653" s="67">
        <v>313.40206185567013</v>
      </c>
      <c r="T1653" s="67">
        <v>73.608247422680407</v>
      </c>
      <c r="U1653" s="67">
        <v>147.21649484536081</v>
      </c>
      <c r="V1653" s="67">
        <v>931.39175257731949</v>
      </c>
      <c r="W1653" s="9" t="s">
        <v>106</v>
      </c>
      <c r="X1653" s="67">
        <v>379.68041237113397</v>
      </c>
      <c r="Y1653" s="9" t="s">
        <v>106</v>
      </c>
      <c r="Z1653" s="67">
        <v>62.164948453608247</v>
      </c>
      <c r="AA1653" s="9" t="s">
        <v>106</v>
      </c>
      <c r="AB1653" s="9" t="s">
        <v>106</v>
      </c>
      <c r="AC1653" s="9" t="s">
        <v>5100</v>
      </c>
      <c r="AD1653" s="9" t="s">
        <v>5100</v>
      </c>
    </row>
    <row r="1654" spans="1:30" ht="13.15" customHeight="1">
      <c r="A1654" s="9" t="s">
        <v>3922</v>
      </c>
      <c r="B1654" s="69" t="s">
        <v>4036</v>
      </c>
      <c r="C1654" s="9" t="s">
        <v>105</v>
      </c>
      <c r="D1654" s="9">
        <v>4</v>
      </c>
      <c r="E1654" s="9" t="s">
        <v>106</v>
      </c>
      <c r="F1654" s="9">
        <v>135.44999999999999</v>
      </c>
      <c r="G1654" s="9">
        <v>0.54</v>
      </c>
      <c r="H1654" s="9" t="s">
        <v>106</v>
      </c>
      <c r="I1654" s="9">
        <v>6</v>
      </c>
      <c r="J1654" s="9" t="s">
        <v>122</v>
      </c>
      <c r="K1654" s="9" t="s">
        <v>4039</v>
      </c>
      <c r="L1654" t="str">
        <f>IF(OR(J1654="Cattle",J1654="Zebu Cattle"),IF(COUNTIF(lists!$M$2:$M$258, K1654) &gt; 0,"bos.indicus",IF(COUNTIF(lists!$L$2:$L$258, K1654) &gt; 0,"cross.bred","pure.bred.exotic")),"NA")</f>
        <v>cross.bred</v>
      </c>
      <c r="O1654" s="9" t="s">
        <v>124</v>
      </c>
      <c r="P1654" s="9" t="s">
        <v>4040</v>
      </c>
      <c r="Q1654" s="9" t="s">
        <v>3805</v>
      </c>
      <c r="R1654" s="9" t="s">
        <v>3830</v>
      </c>
      <c r="S1654" s="67">
        <v>313.95522388059703</v>
      </c>
      <c r="T1654" s="67">
        <v>80</v>
      </c>
      <c r="U1654" s="67">
        <v>139.41791044776119</v>
      </c>
      <c r="V1654" s="67">
        <v>928.05970149253744</v>
      </c>
      <c r="W1654" s="9" t="s">
        <v>106</v>
      </c>
      <c r="X1654" s="67">
        <v>367.36119402985076</v>
      </c>
      <c r="Y1654" s="9" t="s">
        <v>106</v>
      </c>
      <c r="Z1654" s="67">
        <v>71.507462686567166</v>
      </c>
      <c r="AA1654" s="9" t="s">
        <v>106</v>
      </c>
      <c r="AB1654" s="9" t="s">
        <v>106</v>
      </c>
      <c r="AC1654" s="9" t="s">
        <v>5100</v>
      </c>
      <c r="AD1654" s="9" t="s">
        <v>5100</v>
      </c>
    </row>
    <row r="1655" spans="1:30" ht="15" customHeight="1">
      <c r="A1655" s="9" t="s">
        <v>3922</v>
      </c>
      <c r="B1655" s="69" t="s">
        <v>4037</v>
      </c>
      <c r="C1655" s="9" t="s">
        <v>105</v>
      </c>
      <c r="D1655" s="9">
        <v>4.0999999999999996</v>
      </c>
      <c r="E1655" s="9" t="s">
        <v>106</v>
      </c>
      <c r="F1655" s="9">
        <v>136.05000000000001</v>
      </c>
      <c r="G1655" s="9">
        <v>0.55000000000000004</v>
      </c>
      <c r="H1655" s="9" t="s">
        <v>106</v>
      </c>
      <c r="I1655" s="9">
        <v>6</v>
      </c>
      <c r="J1655" s="9" t="s">
        <v>122</v>
      </c>
      <c r="K1655" s="9" t="s">
        <v>4039</v>
      </c>
      <c r="L1655" t="str">
        <f>IF(OR(J1655="Cattle",J1655="Zebu Cattle"),IF(COUNTIF(lists!$M$2:$M$258, K1655) &gt; 0,"bos.indicus",IF(COUNTIF(lists!$L$2:$L$258, K1655) &gt; 0,"cross.bred","pure.bred.exotic")),"NA")</f>
        <v>cross.bred</v>
      </c>
      <c r="O1655" s="9" t="s">
        <v>124</v>
      </c>
      <c r="P1655" s="9" t="s">
        <v>4040</v>
      </c>
      <c r="Q1655" s="9" t="s">
        <v>3805</v>
      </c>
      <c r="R1655" s="9" t="s">
        <v>3830</v>
      </c>
      <c r="S1655" s="67">
        <v>309.02439024390242</v>
      </c>
      <c r="T1655" s="67">
        <v>76.951219512195109</v>
      </c>
      <c r="U1655" s="67">
        <v>134.78048780487802</v>
      </c>
      <c r="V1655" s="67">
        <v>931.09756097560967</v>
      </c>
      <c r="W1655" s="9" t="s">
        <v>106</v>
      </c>
      <c r="X1655" s="67">
        <v>374.24878048780482</v>
      </c>
      <c r="Y1655" s="9" t="s">
        <v>106</v>
      </c>
      <c r="Z1655" s="67">
        <v>68.439024390243901</v>
      </c>
      <c r="AA1655" s="9" t="s">
        <v>106</v>
      </c>
      <c r="AB1655" s="9" t="s">
        <v>106</v>
      </c>
      <c r="AC1655" s="9" t="s">
        <v>5100</v>
      </c>
      <c r="AD1655" s="9" t="s">
        <v>5100</v>
      </c>
    </row>
    <row r="1656" spans="1:30">
      <c r="A1656" s="9" t="s">
        <v>3922</v>
      </c>
      <c r="B1656" s="69" t="s">
        <v>4038</v>
      </c>
      <c r="C1656" s="9" t="s">
        <v>105</v>
      </c>
      <c r="D1656" s="9">
        <v>4.4000000000000004</v>
      </c>
      <c r="E1656" s="9" t="s">
        <v>106</v>
      </c>
      <c r="F1656" s="9">
        <v>135.80000000000001</v>
      </c>
      <c r="G1656" s="9">
        <v>0.53</v>
      </c>
      <c r="H1656" s="9" t="s">
        <v>106</v>
      </c>
      <c r="I1656" s="9">
        <v>6</v>
      </c>
      <c r="J1656" s="9" t="s">
        <v>122</v>
      </c>
      <c r="K1656" s="9" t="s">
        <v>4039</v>
      </c>
      <c r="L1656" t="str">
        <f>IF(OR(J1656="Cattle",J1656="Zebu Cattle"),IF(COUNTIF(lists!$M$2:$M$258, K1656) &gt; 0,"bos.indicus",IF(COUNTIF(lists!$L$2:$L$258, K1656) &gt; 0,"cross.bred","pure.bred.exotic")),"NA")</f>
        <v>cross.bred</v>
      </c>
      <c r="O1656" s="9" t="s">
        <v>124</v>
      </c>
      <c r="P1656" s="9" t="s">
        <v>4040</v>
      </c>
      <c r="Q1656" s="9" t="s">
        <v>3805</v>
      </c>
      <c r="R1656" s="9" t="s">
        <v>3830</v>
      </c>
      <c r="S1656" s="67">
        <v>297.80963302752298</v>
      </c>
      <c r="T1656" s="67">
        <v>70.607798165137609</v>
      </c>
      <c r="U1656" s="67">
        <v>135.55733944954127</v>
      </c>
      <c r="V1656" s="67">
        <v>912.47706422018359</v>
      </c>
      <c r="W1656" s="9" t="s">
        <v>106</v>
      </c>
      <c r="X1656" s="67">
        <v>385.39128440366972</v>
      </c>
      <c r="Y1656" s="9" t="s">
        <v>106</v>
      </c>
      <c r="Z1656" s="67">
        <v>67.252293577981646</v>
      </c>
      <c r="AA1656" s="9" t="s">
        <v>106</v>
      </c>
      <c r="AB1656" s="9" t="s">
        <v>106</v>
      </c>
      <c r="AC1656" s="9" t="s">
        <v>5100</v>
      </c>
      <c r="AD1656" s="9" t="s">
        <v>5100</v>
      </c>
    </row>
    <row r="1657" spans="1:30">
      <c r="A1657" s="9" t="s">
        <v>3923</v>
      </c>
      <c r="B1657" s="9" t="s">
        <v>4041</v>
      </c>
      <c r="C1657" s="9" t="s">
        <v>105</v>
      </c>
      <c r="D1657" s="9">
        <v>9.1199999999999992</v>
      </c>
      <c r="E1657" s="9" t="s">
        <v>106</v>
      </c>
      <c r="F1657" s="68">
        <v>359</v>
      </c>
      <c r="G1657" s="9" t="s">
        <v>106</v>
      </c>
      <c r="H1657" s="9">
        <v>5.96</v>
      </c>
      <c r="I1657" s="9">
        <v>3</v>
      </c>
      <c r="J1657" s="9" t="s">
        <v>122</v>
      </c>
      <c r="K1657" s="9" t="s">
        <v>4044</v>
      </c>
      <c r="L1657" t="str">
        <f>IF(OR(J1657="Cattle",J1657="Zebu Cattle"),IF(COUNTIF(lists!$M$2:$M$258, K1657) &gt; 0,"bos.indicus",IF(COUNTIF(lists!$L$2:$L$258, K1657) &gt; 0,"cross.bred","pure.bred.exotic")),"NA")</f>
        <v>cross.bred</v>
      </c>
      <c r="O1657" s="9" t="s">
        <v>124</v>
      </c>
      <c r="P1657" s="9" t="s">
        <v>4045</v>
      </c>
      <c r="Q1657" s="9" t="s">
        <v>3809</v>
      </c>
      <c r="R1657" s="9" t="s">
        <v>3830</v>
      </c>
      <c r="S1657" s="9" t="s">
        <v>106</v>
      </c>
      <c r="T1657" s="67">
        <v>87.436403508771917</v>
      </c>
      <c r="U1657" s="67">
        <v>120.7872807017544</v>
      </c>
      <c r="V1657" s="67">
        <v>889.91885964912285</v>
      </c>
      <c r="W1657" s="9" t="s">
        <v>106</v>
      </c>
      <c r="X1657" s="9" t="s">
        <v>106</v>
      </c>
      <c r="Y1657" s="9" t="s">
        <v>106</v>
      </c>
      <c r="Z1657" s="9" t="s">
        <v>106</v>
      </c>
      <c r="AA1657" s="9" t="s">
        <v>106</v>
      </c>
      <c r="AB1657" s="9" t="s">
        <v>106</v>
      </c>
      <c r="AC1657" s="9" t="s">
        <v>5100</v>
      </c>
      <c r="AD1657" s="9" t="s">
        <v>5100</v>
      </c>
    </row>
    <row r="1658" spans="1:30">
      <c r="A1658" s="9" t="s">
        <v>3923</v>
      </c>
      <c r="B1658" s="9" t="s">
        <v>4042</v>
      </c>
      <c r="C1658" s="9" t="s">
        <v>105</v>
      </c>
      <c r="D1658" s="9">
        <v>10.9</v>
      </c>
      <c r="E1658" s="9" t="s">
        <v>106</v>
      </c>
      <c r="F1658" s="68">
        <v>359</v>
      </c>
      <c r="G1658" s="9" t="s">
        <v>106</v>
      </c>
      <c r="H1658" s="9">
        <v>6.83</v>
      </c>
      <c r="I1658" s="9">
        <v>3</v>
      </c>
      <c r="J1658" s="9" t="s">
        <v>122</v>
      </c>
      <c r="K1658" s="9" t="s">
        <v>4044</v>
      </c>
      <c r="L1658" t="str">
        <f>IF(OR(J1658="Cattle",J1658="Zebu Cattle"),IF(COUNTIF(lists!$M$2:$M$258, K1658) &gt; 0,"bos.indicus",IF(COUNTIF(lists!$L$2:$L$258, K1658) &gt; 0,"cross.bred","pure.bred.exotic")),"NA")</f>
        <v>cross.bred</v>
      </c>
      <c r="O1658" s="9" t="s">
        <v>124</v>
      </c>
      <c r="P1658" s="9" t="s">
        <v>4045</v>
      </c>
      <c r="Q1658" s="9" t="s">
        <v>3809</v>
      </c>
      <c r="R1658" s="9" t="s">
        <v>3830</v>
      </c>
      <c r="S1658" s="9" t="s">
        <v>106</v>
      </c>
      <c r="T1658" s="67">
        <v>69.329670329670336</v>
      </c>
      <c r="U1658" s="67">
        <v>100.03296703296704</v>
      </c>
      <c r="V1658" s="67">
        <v>894.35164835164835</v>
      </c>
      <c r="W1658" s="9" t="s">
        <v>106</v>
      </c>
      <c r="X1658" s="9" t="s">
        <v>106</v>
      </c>
      <c r="Y1658" s="9" t="s">
        <v>106</v>
      </c>
      <c r="Z1658" s="9" t="s">
        <v>106</v>
      </c>
      <c r="AA1658" s="9" t="s">
        <v>106</v>
      </c>
      <c r="AB1658" s="9" t="s">
        <v>106</v>
      </c>
      <c r="AC1658" s="9" t="s">
        <v>5100</v>
      </c>
      <c r="AD1658" s="9" t="s">
        <v>5100</v>
      </c>
    </row>
    <row r="1659" spans="1:30">
      <c r="A1659" s="9" t="s">
        <v>3923</v>
      </c>
      <c r="B1659" s="9" t="s">
        <v>4043</v>
      </c>
      <c r="C1659" s="9" t="s">
        <v>105</v>
      </c>
      <c r="D1659" s="9">
        <v>11.5</v>
      </c>
      <c r="E1659" s="9" t="s">
        <v>106</v>
      </c>
      <c r="F1659" s="68">
        <v>359</v>
      </c>
      <c r="G1659" s="9" t="s">
        <v>106</v>
      </c>
      <c r="H1659" s="9">
        <v>6.13</v>
      </c>
      <c r="I1659" s="9">
        <v>3</v>
      </c>
      <c r="J1659" s="9" t="s">
        <v>122</v>
      </c>
      <c r="K1659" s="9" t="s">
        <v>4044</v>
      </c>
      <c r="L1659" t="str">
        <f>IF(OR(J1659="Cattle",J1659="Zebu Cattle"),IF(COUNTIF(lists!$M$2:$M$258, K1659) &gt; 0,"bos.indicus",IF(COUNTIF(lists!$L$2:$L$258, K1659) &gt; 0,"cross.bred","pure.bred.exotic")),"NA")</f>
        <v>cross.bred</v>
      </c>
      <c r="O1659" s="9" t="s">
        <v>124</v>
      </c>
      <c r="P1659" s="9" t="s">
        <v>4045</v>
      </c>
      <c r="Q1659" s="9" t="s">
        <v>3809</v>
      </c>
      <c r="R1659" s="9" t="s">
        <v>3830</v>
      </c>
      <c r="S1659" s="9" t="s">
        <v>106</v>
      </c>
      <c r="T1659" s="67">
        <v>99.908296943231434</v>
      </c>
      <c r="U1659" s="67">
        <v>177.41572052401744</v>
      </c>
      <c r="V1659" s="67">
        <v>889.78165938864629</v>
      </c>
      <c r="W1659" s="9" t="s">
        <v>106</v>
      </c>
      <c r="X1659" s="9" t="s">
        <v>106</v>
      </c>
      <c r="Y1659" s="9" t="s">
        <v>106</v>
      </c>
      <c r="Z1659" s="9" t="s">
        <v>106</v>
      </c>
      <c r="AA1659" s="9" t="s">
        <v>106</v>
      </c>
      <c r="AB1659" s="9" t="s">
        <v>106</v>
      </c>
      <c r="AC1659" s="9" t="s">
        <v>5100</v>
      </c>
      <c r="AD1659" s="9" t="s">
        <v>5100</v>
      </c>
    </row>
    <row r="1660" spans="1:30">
      <c r="A1660" s="9" t="s">
        <v>3962</v>
      </c>
      <c r="B1660" s="9" t="s">
        <v>4046</v>
      </c>
      <c r="C1660" s="9" t="s">
        <v>105</v>
      </c>
      <c r="D1660" s="9">
        <v>7.11</v>
      </c>
      <c r="E1660" s="9" t="s">
        <v>106</v>
      </c>
      <c r="F1660" s="9">
        <v>263.87</v>
      </c>
      <c r="G1660" s="9">
        <v>0.59</v>
      </c>
      <c r="H1660" s="9" t="s">
        <v>106</v>
      </c>
      <c r="I1660" s="9">
        <v>4</v>
      </c>
      <c r="J1660" s="9" t="s">
        <v>122</v>
      </c>
      <c r="K1660" s="9" t="s">
        <v>441</v>
      </c>
      <c r="L1660" t="str">
        <f>IF(OR(J1660="Cattle",J1660="Zebu Cattle"),IF(COUNTIF(lists!$M$2:$M$258, K1660) &gt; 0,"bos.indicus",IF(COUNTIF(lists!$L$2:$L$258, K1660) &gt; 0,"cross.bred","pure.bred.exotic")),"NA")</f>
        <v>bos.indicus</v>
      </c>
      <c r="O1660" s="9" t="s">
        <v>4193</v>
      </c>
      <c r="P1660" s="9" t="s">
        <v>4050</v>
      </c>
      <c r="Q1660" s="9" t="s">
        <v>3810</v>
      </c>
      <c r="R1660" s="9" t="s">
        <v>3830</v>
      </c>
      <c r="S1660" s="9" t="s">
        <v>106</v>
      </c>
      <c r="T1660" s="9">
        <v>90.4</v>
      </c>
      <c r="U1660" s="9">
        <v>83.8</v>
      </c>
      <c r="V1660" s="9" t="s">
        <v>106</v>
      </c>
      <c r="W1660" s="9" t="s">
        <v>106</v>
      </c>
      <c r="X1660" s="9">
        <v>657.4</v>
      </c>
      <c r="Y1660" s="9" t="s">
        <v>106</v>
      </c>
      <c r="Z1660" s="9" t="s">
        <v>106</v>
      </c>
      <c r="AA1660" s="9" t="s">
        <v>106</v>
      </c>
      <c r="AB1660" s="9" t="s">
        <v>106</v>
      </c>
      <c r="AC1660" s="9" t="s">
        <v>5100</v>
      </c>
      <c r="AD1660" s="9" t="s">
        <v>5100</v>
      </c>
    </row>
    <row r="1661" spans="1:30">
      <c r="A1661" s="9" t="s">
        <v>3962</v>
      </c>
      <c r="B1661" s="9" t="s">
        <v>4047</v>
      </c>
      <c r="C1661" s="9" t="s">
        <v>105</v>
      </c>
      <c r="D1661" s="9">
        <v>8.26</v>
      </c>
      <c r="E1661" s="9" t="s">
        <v>106</v>
      </c>
      <c r="F1661" s="9">
        <v>287.55</v>
      </c>
      <c r="G1661" s="9">
        <v>0.75</v>
      </c>
      <c r="H1661" s="9" t="s">
        <v>106</v>
      </c>
      <c r="I1661" s="9">
        <v>4</v>
      </c>
      <c r="J1661" s="9" t="s">
        <v>122</v>
      </c>
      <c r="K1661" s="9" t="s">
        <v>441</v>
      </c>
      <c r="L1661" t="str">
        <f>IF(OR(J1661="Cattle",J1661="Zebu Cattle"),IF(COUNTIF(lists!$M$2:$M$258, K1661) &gt; 0,"bos.indicus",IF(COUNTIF(lists!$L$2:$L$258, K1661) &gt; 0,"cross.bred","pure.bred.exotic")),"NA")</f>
        <v>bos.indicus</v>
      </c>
      <c r="O1661" s="9" t="s">
        <v>4193</v>
      </c>
      <c r="P1661" s="9" t="s">
        <v>4050</v>
      </c>
      <c r="Q1661" s="9" t="s">
        <v>3810</v>
      </c>
      <c r="R1661" s="9" t="s">
        <v>3830</v>
      </c>
      <c r="S1661" s="9" t="s">
        <v>106</v>
      </c>
      <c r="T1661" s="9">
        <v>78.7</v>
      </c>
      <c r="U1661" s="9">
        <v>76.7</v>
      </c>
      <c r="V1661" s="9" t="s">
        <v>106</v>
      </c>
      <c r="W1661" s="9" t="s">
        <v>106</v>
      </c>
      <c r="X1661" s="9">
        <v>656.1</v>
      </c>
      <c r="Y1661" s="9" t="s">
        <v>106</v>
      </c>
      <c r="Z1661" s="9" t="s">
        <v>106</v>
      </c>
      <c r="AA1661" s="9" t="s">
        <v>106</v>
      </c>
      <c r="AB1661" s="9" t="s">
        <v>106</v>
      </c>
      <c r="AC1661" s="9" t="s">
        <v>5100</v>
      </c>
      <c r="AD1661" s="9" t="s">
        <v>5100</v>
      </c>
    </row>
    <row r="1662" spans="1:30">
      <c r="A1662" s="9" t="s">
        <v>3962</v>
      </c>
      <c r="B1662" s="9" t="s">
        <v>4048</v>
      </c>
      <c r="C1662" s="9" t="s">
        <v>105</v>
      </c>
      <c r="D1662" s="65">
        <v>7.55</v>
      </c>
      <c r="E1662" s="9" t="s">
        <v>106</v>
      </c>
      <c r="F1662" s="9">
        <v>282.29000000000002</v>
      </c>
      <c r="G1662" s="9">
        <v>0.49</v>
      </c>
      <c r="H1662" s="9" t="s">
        <v>106</v>
      </c>
      <c r="I1662" s="9">
        <v>4</v>
      </c>
      <c r="J1662" s="9" t="s">
        <v>122</v>
      </c>
      <c r="K1662" s="9" t="s">
        <v>441</v>
      </c>
      <c r="L1662" t="str">
        <f>IF(OR(J1662="Cattle",J1662="Zebu Cattle"),IF(COUNTIF(lists!$M$2:$M$258, K1662) &gt; 0,"bos.indicus",IF(COUNTIF(lists!$L$2:$L$258, K1662) &gt; 0,"cross.bred","pure.bred.exotic")),"NA")</f>
        <v>bos.indicus</v>
      </c>
      <c r="O1662" s="9" t="s">
        <v>4193</v>
      </c>
      <c r="P1662" s="9" t="s">
        <v>4050</v>
      </c>
      <c r="Q1662" s="9" t="s">
        <v>3810</v>
      </c>
      <c r="R1662" s="9" t="s">
        <v>3830</v>
      </c>
      <c r="S1662" s="9" t="s">
        <v>106</v>
      </c>
      <c r="T1662" s="9">
        <v>81.900000000000006</v>
      </c>
      <c r="U1662" s="9">
        <v>79.900000000000006</v>
      </c>
      <c r="V1662" s="9" t="s">
        <v>106</v>
      </c>
      <c r="W1662" s="9" t="s">
        <v>106</v>
      </c>
      <c r="X1662" s="9">
        <v>597.4</v>
      </c>
      <c r="Y1662" s="9" t="s">
        <v>106</v>
      </c>
      <c r="Z1662" s="9" t="s">
        <v>106</v>
      </c>
      <c r="AA1662" s="9" t="s">
        <v>106</v>
      </c>
      <c r="AB1662" s="9" t="s">
        <v>106</v>
      </c>
      <c r="AC1662" s="9" t="s">
        <v>5100</v>
      </c>
      <c r="AD1662" s="9" t="s">
        <v>5100</v>
      </c>
    </row>
    <row r="1663" spans="1:30">
      <c r="A1663" s="9" t="s">
        <v>3962</v>
      </c>
      <c r="B1663" s="9" t="s">
        <v>4049</v>
      </c>
      <c r="C1663" s="9" t="s">
        <v>105</v>
      </c>
      <c r="D1663" s="65">
        <v>7.69</v>
      </c>
      <c r="E1663" s="9" t="s">
        <v>106</v>
      </c>
      <c r="F1663" s="9">
        <v>277.02999999999997</v>
      </c>
      <c r="G1663" s="9">
        <v>0.49</v>
      </c>
      <c r="H1663" s="9" t="s">
        <v>106</v>
      </c>
      <c r="I1663" s="9">
        <v>4</v>
      </c>
      <c r="J1663" s="9" t="s">
        <v>122</v>
      </c>
      <c r="K1663" s="9" t="s">
        <v>441</v>
      </c>
      <c r="L1663" t="str">
        <f>IF(OR(J1663="Cattle",J1663="Zebu Cattle"),IF(COUNTIF(lists!$M$2:$M$258, K1663) &gt; 0,"bos.indicus",IF(COUNTIF(lists!$L$2:$L$258, K1663) &gt; 0,"cross.bred","pure.bred.exotic")),"NA")</f>
        <v>bos.indicus</v>
      </c>
      <c r="O1663" s="9" t="s">
        <v>4193</v>
      </c>
      <c r="P1663" s="9" t="s">
        <v>4050</v>
      </c>
      <c r="Q1663" s="9" t="s">
        <v>3810</v>
      </c>
      <c r="R1663" s="9" t="s">
        <v>3830</v>
      </c>
      <c r="S1663" s="9" t="s">
        <v>106</v>
      </c>
      <c r="T1663" s="9">
        <v>79.900000000000006</v>
      </c>
      <c r="U1663" s="9">
        <v>76.8</v>
      </c>
      <c r="V1663" s="9" t="s">
        <v>106</v>
      </c>
      <c r="W1663" s="9" t="s">
        <v>106</v>
      </c>
      <c r="X1663" s="9">
        <v>609.20000000000005</v>
      </c>
      <c r="Y1663" s="9" t="s">
        <v>106</v>
      </c>
      <c r="Z1663" s="9" t="s">
        <v>106</v>
      </c>
      <c r="AA1663" s="9" t="s">
        <v>106</v>
      </c>
      <c r="AB1663" s="9" t="s">
        <v>106</v>
      </c>
      <c r="AC1663" s="9" t="s">
        <v>5100</v>
      </c>
      <c r="AD1663" s="9" t="s">
        <v>5100</v>
      </c>
    </row>
    <row r="1664" spans="1:30">
      <c r="A1664" s="9" t="s">
        <v>3870</v>
      </c>
      <c r="B1664" s="9" t="s">
        <v>4053</v>
      </c>
      <c r="C1664" s="9" t="s">
        <v>105</v>
      </c>
      <c r="D1664" s="65">
        <v>3.657</v>
      </c>
      <c r="E1664" s="9" t="s">
        <v>106</v>
      </c>
      <c r="F1664" s="9">
        <v>175</v>
      </c>
      <c r="G1664" s="9" t="s">
        <v>106</v>
      </c>
      <c r="H1664" s="9" t="s">
        <v>106</v>
      </c>
      <c r="I1664" s="9">
        <v>8</v>
      </c>
      <c r="J1664" s="9" t="s">
        <v>122</v>
      </c>
      <c r="K1664" s="9" t="s">
        <v>4051</v>
      </c>
      <c r="L1664" t="str">
        <f>IF(OR(J1664="Cattle",J1664="Zebu Cattle"),IF(COUNTIF(lists!$M$2:$M$258, K1664) &gt; 0,"bos.indicus",IF(COUNTIF(lists!$L$2:$L$258, K1664) &gt; 0,"cross.bred","pure.bred.exotic")),"NA")</f>
        <v>bos.indicus</v>
      </c>
      <c r="O1664" s="9" t="s">
        <v>4193</v>
      </c>
      <c r="P1664" s="9" t="s">
        <v>4052</v>
      </c>
      <c r="Q1664" s="9" t="s">
        <v>3806</v>
      </c>
      <c r="R1664" s="9" t="s">
        <v>3828</v>
      </c>
      <c r="S1664" s="9">
        <v>318</v>
      </c>
      <c r="T1664" s="9" t="s">
        <v>106</v>
      </c>
      <c r="U1664" s="9">
        <v>101</v>
      </c>
      <c r="V1664" s="9">
        <v>326</v>
      </c>
      <c r="W1664" s="9" t="s">
        <v>106</v>
      </c>
      <c r="X1664" s="9">
        <v>633</v>
      </c>
      <c r="Y1664" s="9" t="s">
        <v>106</v>
      </c>
      <c r="Z1664" s="9" t="s">
        <v>106</v>
      </c>
      <c r="AA1664" s="9">
        <v>53</v>
      </c>
      <c r="AB1664" s="9">
        <v>59</v>
      </c>
      <c r="AC1664" s="9" t="s">
        <v>5099</v>
      </c>
      <c r="AD1664" s="9" t="s">
        <v>5100</v>
      </c>
    </row>
    <row r="1665" spans="1:32">
      <c r="A1665" s="9" t="s">
        <v>3870</v>
      </c>
      <c r="B1665" s="9" t="s">
        <v>4054</v>
      </c>
      <c r="C1665" s="9" t="s">
        <v>105</v>
      </c>
      <c r="D1665" s="65">
        <v>3.4529999999999998</v>
      </c>
      <c r="E1665" s="9" t="s">
        <v>106</v>
      </c>
      <c r="F1665" s="9">
        <v>165</v>
      </c>
      <c r="G1665" s="9" t="s">
        <v>106</v>
      </c>
      <c r="H1665" s="9" t="s">
        <v>106</v>
      </c>
      <c r="I1665" s="9">
        <v>8</v>
      </c>
      <c r="J1665" s="9" t="s">
        <v>122</v>
      </c>
      <c r="K1665" s="9" t="s">
        <v>4051</v>
      </c>
      <c r="L1665" t="str">
        <f>IF(OR(J1665="Cattle",J1665="Zebu Cattle"),IF(COUNTIF(lists!$M$2:$M$258, K1665) &gt; 0,"bos.indicus",IF(COUNTIF(lists!$L$2:$L$258, K1665) &gt; 0,"cross.bred","pure.bred.exotic")),"NA")</f>
        <v>bos.indicus</v>
      </c>
      <c r="O1665" s="9" t="s">
        <v>4193</v>
      </c>
      <c r="P1665" s="9" t="s">
        <v>4052</v>
      </c>
      <c r="Q1665" s="9" t="s">
        <v>3806</v>
      </c>
      <c r="R1665" s="9" t="s">
        <v>3828</v>
      </c>
      <c r="S1665" s="9">
        <v>341</v>
      </c>
      <c r="T1665" s="9" t="s">
        <v>106</v>
      </c>
      <c r="U1665" s="9">
        <v>83</v>
      </c>
      <c r="V1665" s="9">
        <v>333</v>
      </c>
      <c r="W1665" s="9" t="s">
        <v>106</v>
      </c>
      <c r="X1665" s="9">
        <v>620</v>
      </c>
      <c r="Y1665" s="9" t="s">
        <v>106</v>
      </c>
      <c r="Z1665" s="9" t="s">
        <v>106</v>
      </c>
      <c r="AA1665" s="9">
        <v>52</v>
      </c>
      <c r="AB1665" s="9">
        <v>56</v>
      </c>
      <c r="AC1665" s="9" t="s">
        <v>5099</v>
      </c>
      <c r="AD1665" s="9" t="s">
        <v>5100</v>
      </c>
    </row>
    <row r="1666" spans="1:32">
      <c r="A1666" s="9" t="s">
        <v>3870</v>
      </c>
      <c r="B1666" s="9" t="s">
        <v>4055</v>
      </c>
      <c r="C1666" s="9" t="s">
        <v>105</v>
      </c>
      <c r="D1666" s="65">
        <v>3.2160000000000002</v>
      </c>
      <c r="E1666" s="9" t="s">
        <v>106</v>
      </c>
      <c r="F1666" s="9">
        <v>171</v>
      </c>
      <c r="G1666" s="9" t="s">
        <v>106</v>
      </c>
      <c r="H1666" s="9" t="s">
        <v>106</v>
      </c>
      <c r="I1666" s="9">
        <v>8</v>
      </c>
      <c r="J1666" s="9" t="s">
        <v>122</v>
      </c>
      <c r="K1666" s="9" t="s">
        <v>4051</v>
      </c>
      <c r="L1666" t="str">
        <f>IF(OR(J1666="Cattle",J1666="Zebu Cattle"),IF(COUNTIF(lists!$M$2:$M$258, K1666) &gt; 0,"bos.indicus",IF(COUNTIF(lists!$L$2:$L$258, K1666) &gt; 0,"cross.bred","pure.bred.exotic")),"NA")</f>
        <v>bos.indicus</v>
      </c>
      <c r="O1666" s="9" t="s">
        <v>4193</v>
      </c>
      <c r="P1666" s="9" t="s">
        <v>4052</v>
      </c>
      <c r="Q1666" s="9" t="s">
        <v>3806</v>
      </c>
      <c r="R1666" s="9" t="s">
        <v>3828</v>
      </c>
      <c r="S1666" s="9">
        <v>322</v>
      </c>
      <c r="T1666" s="9" t="s">
        <v>106</v>
      </c>
      <c r="U1666" s="9">
        <v>85</v>
      </c>
      <c r="V1666" s="9">
        <v>373</v>
      </c>
      <c r="W1666" s="9" t="s">
        <v>106</v>
      </c>
      <c r="X1666" s="9">
        <v>657</v>
      </c>
      <c r="Y1666" s="9" t="s">
        <v>106</v>
      </c>
      <c r="Z1666" s="9" t="s">
        <v>106</v>
      </c>
      <c r="AA1666" s="9">
        <v>50</v>
      </c>
      <c r="AB1666" s="9">
        <v>56</v>
      </c>
      <c r="AC1666" s="9" t="s">
        <v>5099</v>
      </c>
      <c r="AD1666" s="9" t="s">
        <v>5100</v>
      </c>
    </row>
    <row r="1667" spans="1:32">
      <c r="A1667" s="9" t="s">
        <v>3870</v>
      </c>
      <c r="B1667" s="9" t="s">
        <v>4056</v>
      </c>
      <c r="C1667" s="9" t="s">
        <v>105</v>
      </c>
      <c r="D1667" s="65">
        <v>3.0329999999999999</v>
      </c>
      <c r="E1667" s="9" t="s">
        <v>106</v>
      </c>
      <c r="F1667" s="9">
        <v>168</v>
      </c>
      <c r="G1667" s="9" t="s">
        <v>106</v>
      </c>
      <c r="H1667" s="9" t="s">
        <v>106</v>
      </c>
      <c r="I1667" s="9">
        <v>8</v>
      </c>
      <c r="J1667" s="9" t="s">
        <v>122</v>
      </c>
      <c r="K1667" s="9" t="s">
        <v>4051</v>
      </c>
      <c r="L1667" t="str">
        <f>IF(OR(J1667="Cattle",J1667="Zebu Cattle"),IF(COUNTIF(lists!$M$2:$M$258, K1667) &gt; 0,"bos.indicus",IF(COUNTIF(lists!$L$2:$L$258, K1667) &gt; 0,"cross.bred","pure.bred.exotic")),"NA")</f>
        <v>bos.indicus</v>
      </c>
      <c r="O1667" s="9" t="s">
        <v>4193</v>
      </c>
      <c r="P1667" s="9" t="s">
        <v>4052</v>
      </c>
      <c r="Q1667" s="9" t="s">
        <v>3806</v>
      </c>
      <c r="R1667" s="9" t="s">
        <v>3828</v>
      </c>
      <c r="S1667" s="9">
        <v>338</v>
      </c>
      <c r="T1667" s="9" t="s">
        <v>106</v>
      </c>
      <c r="U1667" s="9">
        <v>71</v>
      </c>
      <c r="V1667" s="9">
        <v>362</v>
      </c>
      <c r="W1667" s="9" t="s">
        <v>106</v>
      </c>
      <c r="X1667" s="9">
        <v>665</v>
      </c>
      <c r="Y1667" s="9" t="s">
        <v>106</v>
      </c>
      <c r="Z1667" s="9" t="s">
        <v>106</v>
      </c>
      <c r="AA1667" s="9">
        <v>49</v>
      </c>
      <c r="AB1667" s="9">
        <v>54</v>
      </c>
      <c r="AC1667" s="9" t="s">
        <v>5099</v>
      </c>
      <c r="AD1667" s="9" t="s">
        <v>5099</v>
      </c>
    </row>
    <row r="1668" spans="1:32">
      <c r="A1668" s="9" t="s">
        <v>3870</v>
      </c>
      <c r="B1668" s="9" t="s">
        <v>4057</v>
      </c>
      <c r="C1668" s="9" t="s">
        <v>105</v>
      </c>
      <c r="D1668" s="65">
        <v>3.9809999999999999</v>
      </c>
      <c r="E1668" s="9" t="s">
        <v>106</v>
      </c>
      <c r="F1668" s="9">
        <v>180</v>
      </c>
      <c r="G1668" s="9" t="s">
        <v>106</v>
      </c>
      <c r="H1668" s="9" t="s">
        <v>106</v>
      </c>
      <c r="I1668" s="9">
        <v>8</v>
      </c>
      <c r="J1668" s="9" t="s">
        <v>122</v>
      </c>
      <c r="K1668" s="9" t="s">
        <v>4051</v>
      </c>
      <c r="L1668" t="str">
        <f>IF(OR(J1668="Cattle",J1668="Zebu Cattle"),IF(COUNTIF(lists!$M$2:$M$258, K1668) &gt; 0,"bos.indicus",IF(COUNTIF(lists!$L$2:$L$258, K1668) &gt; 0,"cross.bred","pure.bred.exotic")),"NA")</f>
        <v>bos.indicus</v>
      </c>
      <c r="O1668" s="9" t="s">
        <v>4193</v>
      </c>
      <c r="P1668" s="9" t="s">
        <v>4052</v>
      </c>
      <c r="Q1668" s="9" t="s">
        <v>3806</v>
      </c>
      <c r="R1668" s="9" t="s">
        <v>3828</v>
      </c>
      <c r="S1668" s="9">
        <v>316</v>
      </c>
      <c r="T1668" s="9" t="s">
        <v>106</v>
      </c>
      <c r="U1668" s="9">
        <v>107</v>
      </c>
      <c r="V1668" s="9">
        <v>232</v>
      </c>
      <c r="W1668" s="9" t="s">
        <v>106</v>
      </c>
      <c r="X1668" s="9">
        <v>596</v>
      </c>
      <c r="Y1668" s="9" t="s">
        <v>106</v>
      </c>
      <c r="Z1668" s="9" t="s">
        <v>106</v>
      </c>
      <c r="AA1668" s="9">
        <v>54</v>
      </c>
      <c r="AB1668" s="9">
        <v>60</v>
      </c>
      <c r="AC1668" s="9" t="s">
        <v>5099</v>
      </c>
      <c r="AD1668" s="9" t="s">
        <v>5099</v>
      </c>
    </row>
    <row r="1669" spans="1:32">
      <c r="A1669" s="9" t="s">
        <v>3870</v>
      </c>
      <c r="B1669" s="9" t="s">
        <v>4058</v>
      </c>
      <c r="C1669" s="9" t="s">
        <v>105</v>
      </c>
      <c r="D1669" s="65">
        <v>3.7370000000000001</v>
      </c>
      <c r="E1669" s="9" t="s">
        <v>106</v>
      </c>
      <c r="F1669" s="9">
        <v>174</v>
      </c>
      <c r="G1669" s="9" t="s">
        <v>106</v>
      </c>
      <c r="H1669" s="9" t="s">
        <v>106</v>
      </c>
      <c r="I1669" s="9">
        <v>8</v>
      </c>
      <c r="J1669" s="9" t="s">
        <v>122</v>
      </c>
      <c r="K1669" s="9" t="s">
        <v>4051</v>
      </c>
      <c r="L1669" t="str">
        <f>IF(OR(J1669="Cattle",J1669="Zebu Cattle"),IF(COUNTIF(lists!$M$2:$M$258, K1669) &gt; 0,"bos.indicus",IF(COUNTIF(lists!$L$2:$L$258, K1669) &gt; 0,"cross.bred","pure.bred.exotic")),"NA")</f>
        <v>bos.indicus</v>
      </c>
      <c r="O1669" s="9" t="s">
        <v>4193</v>
      </c>
      <c r="P1669" s="9" t="s">
        <v>4052</v>
      </c>
      <c r="Q1669" s="9" t="s">
        <v>3806</v>
      </c>
      <c r="R1669" s="9" t="s">
        <v>3828</v>
      </c>
      <c r="S1669" s="9">
        <v>320</v>
      </c>
      <c r="T1669" s="9" t="s">
        <v>106</v>
      </c>
      <c r="U1669" s="9">
        <v>89</v>
      </c>
      <c r="V1669" s="9">
        <v>245</v>
      </c>
      <c r="W1669" s="9" t="s">
        <v>106</v>
      </c>
      <c r="X1669" s="9">
        <v>610</v>
      </c>
      <c r="Y1669" s="9" t="s">
        <v>106</v>
      </c>
      <c r="Z1669" s="9" t="s">
        <v>106</v>
      </c>
      <c r="AA1669" s="9">
        <v>54</v>
      </c>
      <c r="AB1669" s="9">
        <v>59</v>
      </c>
      <c r="AC1669" s="9" t="s">
        <v>5099</v>
      </c>
      <c r="AD1669" s="9" t="s">
        <v>5099</v>
      </c>
    </row>
    <row r="1670" spans="1:32">
      <c r="A1670" s="9" t="s">
        <v>3870</v>
      </c>
      <c r="B1670" s="9" t="s">
        <v>4059</v>
      </c>
      <c r="C1670" s="9" t="s">
        <v>105</v>
      </c>
      <c r="D1670" s="65">
        <v>4.8760000000000003</v>
      </c>
      <c r="E1670" s="9" t="s">
        <v>106</v>
      </c>
      <c r="F1670" s="9">
        <v>183</v>
      </c>
      <c r="G1670" s="9" t="s">
        <v>106</v>
      </c>
      <c r="H1670" s="9" t="s">
        <v>106</v>
      </c>
      <c r="I1670" s="9">
        <v>8</v>
      </c>
      <c r="J1670" s="9" t="s">
        <v>122</v>
      </c>
      <c r="K1670" s="9" t="s">
        <v>4051</v>
      </c>
      <c r="L1670" t="str">
        <f>IF(OR(J1670="Cattle",J1670="Zebu Cattle"),IF(COUNTIF(lists!$M$2:$M$258, K1670) &gt; 0,"bos.indicus",IF(COUNTIF(lists!$L$2:$L$258, K1670) &gt; 0,"cross.bred","pure.bred.exotic")),"NA")</f>
        <v>bos.indicus</v>
      </c>
      <c r="O1670" s="9" t="s">
        <v>4193</v>
      </c>
      <c r="P1670" s="9" t="s">
        <v>4052</v>
      </c>
      <c r="Q1670" s="9" t="s">
        <v>3806</v>
      </c>
      <c r="R1670" s="9" t="s">
        <v>3828</v>
      </c>
      <c r="S1670" s="9">
        <v>314</v>
      </c>
      <c r="T1670" s="9" t="s">
        <v>106</v>
      </c>
      <c r="U1670" s="9">
        <v>118</v>
      </c>
      <c r="V1670" s="9">
        <v>174</v>
      </c>
      <c r="W1670" s="9" t="s">
        <v>106</v>
      </c>
      <c r="X1670" s="9">
        <v>585</v>
      </c>
      <c r="Y1670" s="9" t="s">
        <v>106</v>
      </c>
      <c r="Z1670" s="9" t="s">
        <v>106</v>
      </c>
      <c r="AA1670" s="9">
        <v>58</v>
      </c>
      <c r="AB1670" s="9">
        <v>64</v>
      </c>
      <c r="AC1670" s="9" t="s">
        <v>5099</v>
      </c>
      <c r="AD1670" s="9" t="s">
        <v>5099</v>
      </c>
    </row>
    <row r="1671" spans="1:32">
      <c r="A1671" s="9" t="s">
        <v>3870</v>
      </c>
      <c r="B1671" s="9" t="s">
        <v>4060</v>
      </c>
      <c r="C1671" s="9" t="s">
        <v>105</v>
      </c>
      <c r="D1671" s="65">
        <v>4.6189999999999998</v>
      </c>
      <c r="E1671" s="9" t="s">
        <v>106</v>
      </c>
      <c r="F1671" s="9">
        <v>180</v>
      </c>
      <c r="G1671" s="9" t="s">
        <v>106</v>
      </c>
      <c r="H1671" s="9" t="s">
        <v>106</v>
      </c>
      <c r="I1671" s="9">
        <v>8</v>
      </c>
      <c r="J1671" s="9" t="s">
        <v>122</v>
      </c>
      <c r="K1671" s="9" t="s">
        <v>4051</v>
      </c>
      <c r="L1671" t="str">
        <f>IF(OR(J1671="Cattle",J1671="Zebu Cattle"),IF(COUNTIF(lists!$M$2:$M$258, K1671) &gt; 0,"bos.indicus",IF(COUNTIF(lists!$L$2:$L$258, K1671) &gt; 0,"cross.bred","pure.bred.exotic")),"NA")</f>
        <v>bos.indicus</v>
      </c>
      <c r="O1671" s="9" t="s">
        <v>4193</v>
      </c>
      <c r="P1671" s="9" t="s">
        <v>4052</v>
      </c>
      <c r="Q1671" s="9" t="s">
        <v>3806</v>
      </c>
      <c r="R1671" s="9" t="s">
        <v>3828</v>
      </c>
      <c r="S1671" s="9">
        <v>317</v>
      </c>
      <c r="T1671" s="9" t="s">
        <v>106</v>
      </c>
      <c r="U1671" s="9">
        <v>112</v>
      </c>
      <c r="V1671" s="9">
        <v>195</v>
      </c>
      <c r="W1671" s="9" t="s">
        <v>106</v>
      </c>
      <c r="X1671" s="9">
        <v>595</v>
      </c>
      <c r="Y1671" s="9" t="s">
        <v>106</v>
      </c>
      <c r="Z1671" s="9" t="s">
        <v>106</v>
      </c>
      <c r="AA1671" s="9">
        <v>53</v>
      </c>
      <c r="AB1671" s="9">
        <v>59</v>
      </c>
      <c r="AC1671" s="9" t="s">
        <v>5099</v>
      </c>
      <c r="AD1671" s="9" t="s">
        <v>5099</v>
      </c>
    </row>
    <row r="1672" spans="1:32">
      <c r="A1672" s="9" t="s">
        <v>3870</v>
      </c>
      <c r="B1672" s="9" t="s">
        <v>4061</v>
      </c>
      <c r="C1672" s="9" t="s">
        <v>105</v>
      </c>
      <c r="D1672" s="65">
        <v>4.5330000000000004</v>
      </c>
      <c r="E1672" s="9" t="s">
        <v>106</v>
      </c>
      <c r="F1672" s="9">
        <v>186</v>
      </c>
      <c r="G1672" s="9" t="s">
        <v>106</v>
      </c>
      <c r="H1672" s="9" t="s">
        <v>106</v>
      </c>
      <c r="I1672" s="9">
        <v>8</v>
      </c>
      <c r="J1672" s="9" t="s">
        <v>122</v>
      </c>
      <c r="K1672" s="9" t="s">
        <v>4051</v>
      </c>
      <c r="L1672" t="str">
        <f>IF(OR(J1672="Cattle",J1672="Zebu Cattle"),IF(COUNTIF(lists!$M$2:$M$258, K1672) &gt; 0,"bos.indicus",IF(COUNTIF(lists!$L$2:$L$258, K1672) &gt; 0,"cross.bred","pure.bred.exotic")),"NA")</f>
        <v>bos.indicus</v>
      </c>
      <c r="O1672" s="9" t="s">
        <v>4193</v>
      </c>
      <c r="P1672" s="9" t="s">
        <v>4052</v>
      </c>
      <c r="Q1672" s="9" t="s">
        <v>3806</v>
      </c>
      <c r="R1672" s="9" t="s">
        <v>3828</v>
      </c>
      <c r="S1672" s="9">
        <v>315</v>
      </c>
      <c r="T1672" s="9" t="s">
        <v>106</v>
      </c>
      <c r="U1672" s="9">
        <v>98</v>
      </c>
      <c r="V1672" s="9">
        <v>237</v>
      </c>
      <c r="W1672" s="9" t="s">
        <v>106</v>
      </c>
      <c r="X1672" s="9">
        <v>605</v>
      </c>
      <c r="Y1672" s="9" t="s">
        <v>106</v>
      </c>
      <c r="Z1672" s="9" t="s">
        <v>106</v>
      </c>
      <c r="AA1672" s="9">
        <v>55</v>
      </c>
      <c r="AB1672" s="9">
        <v>60</v>
      </c>
      <c r="AC1672" s="9" t="s">
        <v>5099</v>
      </c>
      <c r="AD1672" s="9" t="s">
        <v>5099</v>
      </c>
    </row>
    <row r="1673" spans="1:32">
      <c r="A1673" s="9" t="s">
        <v>3870</v>
      </c>
      <c r="B1673" s="9" t="s">
        <v>4062</v>
      </c>
      <c r="C1673" s="9" t="s">
        <v>105</v>
      </c>
      <c r="D1673" s="65">
        <v>4.5670000000000002</v>
      </c>
      <c r="E1673" s="9" t="s">
        <v>106</v>
      </c>
      <c r="F1673" s="9">
        <v>170</v>
      </c>
      <c r="G1673" s="9" t="s">
        <v>106</v>
      </c>
      <c r="H1673" s="9" t="s">
        <v>106</v>
      </c>
      <c r="I1673" s="9">
        <v>8</v>
      </c>
      <c r="J1673" s="9" t="s">
        <v>122</v>
      </c>
      <c r="K1673" s="9" t="s">
        <v>4051</v>
      </c>
      <c r="L1673" t="str">
        <f>IF(OR(J1673="Cattle",J1673="Zebu Cattle"),IF(COUNTIF(lists!$M$2:$M$258, K1673) &gt; 0,"bos.indicus",IF(COUNTIF(lists!$L$2:$L$258, K1673) &gt; 0,"cross.bred","pure.bred.exotic")),"NA")</f>
        <v>bos.indicus</v>
      </c>
      <c r="O1673" s="9" t="s">
        <v>4193</v>
      </c>
      <c r="P1673" s="9" t="s">
        <v>4052</v>
      </c>
      <c r="Q1673" s="9" t="s">
        <v>3806</v>
      </c>
      <c r="R1673" s="9" t="s">
        <v>3828</v>
      </c>
      <c r="S1673" s="9">
        <v>325</v>
      </c>
      <c r="T1673" s="9" t="s">
        <v>106</v>
      </c>
      <c r="U1673" s="9">
        <v>96</v>
      </c>
      <c r="V1673" s="9">
        <v>235</v>
      </c>
      <c r="W1673" s="9" t="s">
        <v>106</v>
      </c>
      <c r="X1673" s="9">
        <v>615</v>
      </c>
      <c r="Y1673" s="9" t="s">
        <v>106</v>
      </c>
      <c r="Z1673" s="9" t="s">
        <v>106</v>
      </c>
      <c r="AA1673" s="9">
        <v>53</v>
      </c>
      <c r="AB1673" s="9">
        <v>58</v>
      </c>
      <c r="AC1673" s="9" t="s">
        <v>5099</v>
      </c>
      <c r="AD1673" s="9" t="s">
        <v>5099</v>
      </c>
    </row>
    <row r="1674" spans="1:32">
      <c r="A1674" s="9" t="s">
        <v>3905</v>
      </c>
      <c r="B1674" s="9" t="s">
        <v>4063</v>
      </c>
      <c r="C1674" s="9" t="s">
        <v>105</v>
      </c>
      <c r="D1674" s="65">
        <v>6.9</v>
      </c>
      <c r="E1674" s="9" t="s">
        <v>106</v>
      </c>
      <c r="F1674" s="60">
        <v>461</v>
      </c>
      <c r="G1674" s="9" t="s">
        <v>106</v>
      </c>
      <c r="H1674" s="9">
        <v>10.4</v>
      </c>
      <c r="I1674" s="9">
        <v>9</v>
      </c>
      <c r="J1674" s="9" t="s">
        <v>122</v>
      </c>
      <c r="K1674" s="9" t="s">
        <v>4070</v>
      </c>
      <c r="L1674" t="str">
        <f>IF(OR(J1674="Cattle",J1674="Zebu Cattle"),IF(COUNTIF(lists!$M$2:$M$258, K1674) &gt; 0,"bos.indicus",IF(COUNTIF(lists!$L$2:$L$258, K1674) &gt; 0,"cross.bred","pure.bred.exotic")),"NA")</f>
        <v>pure.bred.exotic</v>
      </c>
      <c r="O1674" s="9" t="s">
        <v>4194</v>
      </c>
      <c r="P1674" s="9" t="s">
        <v>4045</v>
      </c>
      <c r="Q1674" s="9" t="s">
        <v>3809</v>
      </c>
      <c r="R1674" s="9" t="s">
        <v>3830</v>
      </c>
      <c r="S1674" s="9" t="s">
        <v>106</v>
      </c>
      <c r="T1674" s="9">
        <v>70</v>
      </c>
      <c r="U1674" s="9">
        <v>250</v>
      </c>
      <c r="V1674" s="9">
        <v>910</v>
      </c>
      <c r="W1674" s="9" t="s">
        <v>106</v>
      </c>
      <c r="X1674" s="9">
        <v>450</v>
      </c>
      <c r="Y1674" s="9" t="s">
        <v>106</v>
      </c>
      <c r="Z1674" s="9" t="s">
        <v>106</v>
      </c>
      <c r="AA1674" s="9" t="s">
        <v>106</v>
      </c>
      <c r="AB1674" s="9" t="s">
        <v>106</v>
      </c>
      <c r="AC1674" s="9" t="s">
        <v>5100</v>
      </c>
      <c r="AD1674" s="9" t="s">
        <v>5100</v>
      </c>
    </row>
    <row r="1675" spans="1:32">
      <c r="A1675" s="9" t="s">
        <v>3905</v>
      </c>
      <c r="B1675" s="9" t="s">
        <v>4064</v>
      </c>
      <c r="C1675" s="9" t="s">
        <v>105</v>
      </c>
      <c r="D1675" s="65">
        <v>6.7</v>
      </c>
      <c r="E1675" s="9" t="s">
        <v>106</v>
      </c>
      <c r="F1675" s="60">
        <v>461</v>
      </c>
      <c r="G1675" s="9" t="s">
        <v>106</v>
      </c>
      <c r="H1675" s="9">
        <v>9.6999999999999993</v>
      </c>
      <c r="I1675" s="9">
        <v>9</v>
      </c>
      <c r="J1675" s="9" t="s">
        <v>122</v>
      </c>
      <c r="K1675" s="9" t="s">
        <v>4070</v>
      </c>
      <c r="L1675" t="str">
        <f>IF(OR(J1675="Cattle",J1675="Zebu Cattle"),IF(COUNTIF(lists!$M$2:$M$258, K1675) &gt; 0,"bos.indicus",IF(COUNTIF(lists!$L$2:$L$258, K1675) &gt; 0,"cross.bred","pure.bred.exotic")),"NA")</f>
        <v>pure.bred.exotic</v>
      </c>
      <c r="O1675" s="9" t="s">
        <v>4194</v>
      </c>
      <c r="P1675" s="9" t="s">
        <v>4045</v>
      </c>
      <c r="Q1675" s="9" t="s">
        <v>3809</v>
      </c>
      <c r="R1675" s="9" t="s">
        <v>3830</v>
      </c>
      <c r="S1675" s="9" t="s">
        <v>106</v>
      </c>
      <c r="T1675" s="9">
        <v>70</v>
      </c>
      <c r="U1675" s="9">
        <v>130</v>
      </c>
      <c r="V1675" s="9">
        <v>910</v>
      </c>
      <c r="W1675" s="9" t="s">
        <v>106</v>
      </c>
      <c r="X1675" s="9">
        <v>390</v>
      </c>
      <c r="Y1675" s="9" t="s">
        <v>106</v>
      </c>
      <c r="Z1675" s="9" t="s">
        <v>106</v>
      </c>
      <c r="AA1675" s="9" t="s">
        <v>106</v>
      </c>
      <c r="AB1675" s="9" t="s">
        <v>106</v>
      </c>
      <c r="AC1675" s="9" t="s">
        <v>5100</v>
      </c>
      <c r="AD1675" s="9" t="s">
        <v>5100</v>
      </c>
      <c r="AF1675" s="9"/>
    </row>
    <row r="1676" spans="1:32">
      <c r="A1676" s="9" t="s">
        <v>3905</v>
      </c>
      <c r="B1676" s="9" t="s">
        <v>4065</v>
      </c>
      <c r="C1676" s="9" t="s">
        <v>105</v>
      </c>
      <c r="D1676" s="65">
        <v>6</v>
      </c>
      <c r="E1676" s="9" t="s">
        <v>106</v>
      </c>
      <c r="F1676" s="60">
        <v>461</v>
      </c>
      <c r="G1676" s="9" t="s">
        <v>106</v>
      </c>
      <c r="H1676" s="9">
        <v>9.6</v>
      </c>
      <c r="I1676" s="9">
        <v>9</v>
      </c>
      <c r="J1676" s="9" t="s">
        <v>122</v>
      </c>
      <c r="K1676" s="9" t="s">
        <v>4070</v>
      </c>
      <c r="L1676" t="str">
        <f>IF(OR(J1676="Cattle",J1676="Zebu Cattle"),IF(COUNTIF(lists!$M$2:$M$258, K1676) &gt; 0,"bos.indicus",IF(COUNTIF(lists!$L$2:$L$258, K1676) &gt; 0,"cross.bred","pure.bred.exotic")),"NA")</f>
        <v>pure.bred.exotic</v>
      </c>
      <c r="O1676" s="9" t="s">
        <v>4194</v>
      </c>
      <c r="P1676" s="9" t="s">
        <v>4045</v>
      </c>
      <c r="Q1676" s="9" t="s">
        <v>3809</v>
      </c>
      <c r="R1676" s="9" t="s">
        <v>3830</v>
      </c>
      <c r="S1676" s="9" t="s">
        <v>106</v>
      </c>
      <c r="T1676" s="9">
        <v>60</v>
      </c>
      <c r="U1676" s="9">
        <v>210</v>
      </c>
      <c r="V1676" s="9">
        <v>920</v>
      </c>
      <c r="W1676" s="9" t="s">
        <v>106</v>
      </c>
      <c r="X1676" s="9">
        <v>470</v>
      </c>
      <c r="Y1676" s="9" t="s">
        <v>106</v>
      </c>
      <c r="Z1676" s="9" t="s">
        <v>106</v>
      </c>
      <c r="AA1676" s="9" t="s">
        <v>106</v>
      </c>
      <c r="AB1676" s="9" t="s">
        <v>106</v>
      </c>
      <c r="AC1676" s="9" t="s">
        <v>5100</v>
      </c>
      <c r="AD1676" s="9" t="s">
        <v>5100</v>
      </c>
    </row>
    <row r="1677" spans="1:32">
      <c r="A1677" s="9" t="s">
        <v>3906</v>
      </c>
      <c r="B1677" s="9" t="s">
        <v>4068</v>
      </c>
      <c r="C1677" s="9" t="s">
        <v>105</v>
      </c>
      <c r="D1677" s="9">
        <v>4.99</v>
      </c>
      <c r="E1677" s="9" t="s">
        <v>106</v>
      </c>
      <c r="F1677" s="9">
        <v>206</v>
      </c>
      <c r="G1677" s="9">
        <v>0.83</v>
      </c>
      <c r="H1677" s="9" t="s">
        <v>106</v>
      </c>
      <c r="I1677" s="9">
        <v>10</v>
      </c>
      <c r="J1677" s="9" t="s">
        <v>122</v>
      </c>
      <c r="K1677" s="9" t="s">
        <v>4081</v>
      </c>
      <c r="L1677" t="str">
        <f>IF(OR(J1677="Cattle",J1677="Zebu Cattle"),IF(COUNTIF(lists!$M$2:$M$258, K1677) &gt; 0,"bos.indicus",IF(COUNTIF(lists!$L$2:$L$258, K1677) &gt; 0,"cross.bred","pure.bred.exotic")),"NA")</f>
        <v>bos.indicus</v>
      </c>
      <c r="O1677" s="9" t="s">
        <v>4193</v>
      </c>
      <c r="P1677" s="9" t="s">
        <v>4953</v>
      </c>
      <c r="Q1677" s="9" t="s">
        <v>3810</v>
      </c>
      <c r="R1677" s="9" t="s">
        <v>3829</v>
      </c>
      <c r="S1677" s="9" t="s">
        <v>106</v>
      </c>
      <c r="T1677" s="9">
        <v>85</v>
      </c>
      <c r="U1677" s="9">
        <v>158</v>
      </c>
      <c r="V1677" s="9">
        <v>884</v>
      </c>
      <c r="W1677" s="9">
        <v>27</v>
      </c>
      <c r="X1677" s="9">
        <v>458</v>
      </c>
      <c r="Y1677" s="9">
        <v>43</v>
      </c>
      <c r="Z1677" s="9">
        <v>32</v>
      </c>
      <c r="AA1677" s="9">
        <v>52.8</v>
      </c>
      <c r="AB1677" s="9" t="s">
        <v>106</v>
      </c>
      <c r="AC1677" s="9" t="s">
        <v>5100</v>
      </c>
      <c r="AD1677" s="9" t="s">
        <v>5100</v>
      </c>
    </row>
    <row r="1678" spans="1:32">
      <c r="A1678" s="9" t="s">
        <v>3906</v>
      </c>
      <c r="B1678" s="9" t="s">
        <v>4067</v>
      </c>
      <c r="C1678" s="9" t="s">
        <v>105</v>
      </c>
      <c r="D1678" s="9">
        <v>5.05</v>
      </c>
      <c r="E1678" s="9" t="s">
        <v>106</v>
      </c>
      <c r="F1678" s="9">
        <v>209</v>
      </c>
      <c r="G1678" s="9">
        <v>0.77</v>
      </c>
      <c r="H1678" s="9" t="s">
        <v>106</v>
      </c>
      <c r="I1678" s="9">
        <v>10</v>
      </c>
      <c r="J1678" s="9" t="s">
        <v>122</v>
      </c>
      <c r="K1678" s="9" t="s">
        <v>4081</v>
      </c>
      <c r="L1678" t="str">
        <f>IF(OR(J1678="Cattle",J1678="Zebu Cattle"),IF(COUNTIF(lists!$M$2:$M$258, K1678) &gt; 0,"bos.indicus",IF(COUNTIF(lists!$L$2:$L$258, K1678) &gt; 0,"cross.bred","pure.bred.exotic")),"NA")</f>
        <v>bos.indicus</v>
      </c>
      <c r="O1678" s="9" t="s">
        <v>4193</v>
      </c>
      <c r="P1678" s="9" t="s">
        <v>4953</v>
      </c>
      <c r="Q1678" s="9" t="s">
        <v>3810</v>
      </c>
      <c r="R1678" s="9" t="s">
        <v>3829</v>
      </c>
      <c r="S1678" s="9" t="s">
        <v>106</v>
      </c>
      <c r="T1678" s="9">
        <v>91</v>
      </c>
      <c r="U1678" s="9">
        <v>157</v>
      </c>
      <c r="V1678" s="9">
        <v>889</v>
      </c>
      <c r="W1678" s="9">
        <v>30</v>
      </c>
      <c r="X1678" s="9">
        <v>416</v>
      </c>
      <c r="Y1678" s="9">
        <v>39.9</v>
      </c>
      <c r="Z1678" s="9">
        <v>54</v>
      </c>
      <c r="AA1678" s="9">
        <v>55</v>
      </c>
      <c r="AB1678" s="9" t="s">
        <v>106</v>
      </c>
      <c r="AC1678" s="9" t="s">
        <v>5100</v>
      </c>
      <c r="AD1678" s="9" t="s">
        <v>5100</v>
      </c>
    </row>
    <row r="1679" spans="1:32">
      <c r="A1679" s="9" t="s">
        <v>3906</v>
      </c>
      <c r="B1679" s="9" t="s">
        <v>4066</v>
      </c>
      <c r="C1679" s="9" t="s">
        <v>105</v>
      </c>
      <c r="D1679" s="9">
        <v>4.3499999999999996</v>
      </c>
      <c r="E1679" s="9" t="s">
        <v>106</v>
      </c>
      <c r="F1679" s="9">
        <v>195</v>
      </c>
      <c r="G1679" s="9">
        <v>0.38</v>
      </c>
      <c r="H1679" s="9" t="s">
        <v>106</v>
      </c>
      <c r="I1679" s="9">
        <v>10</v>
      </c>
      <c r="J1679" s="9" t="s">
        <v>122</v>
      </c>
      <c r="K1679" s="9" t="s">
        <v>4081</v>
      </c>
      <c r="L1679" t="str">
        <f>IF(OR(J1679="Cattle",J1679="Zebu Cattle"),IF(COUNTIF(lists!$M$2:$M$258, K1679) &gt; 0,"bos.indicus",IF(COUNTIF(lists!$L$2:$L$258, K1679) &gt; 0,"cross.bred","pure.bred.exotic")),"NA")</f>
        <v>bos.indicus</v>
      </c>
      <c r="O1679" s="9" t="s">
        <v>4193</v>
      </c>
      <c r="P1679" s="9" t="s">
        <v>4953</v>
      </c>
      <c r="Q1679" s="9" t="s">
        <v>3810</v>
      </c>
      <c r="R1679" s="9" t="s">
        <v>3829</v>
      </c>
      <c r="S1679" s="9" t="s">
        <v>106</v>
      </c>
      <c r="T1679" s="9">
        <v>92</v>
      </c>
      <c r="U1679" s="9">
        <v>151</v>
      </c>
      <c r="V1679" s="9">
        <v>892</v>
      </c>
      <c r="W1679" s="9">
        <v>12</v>
      </c>
      <c r="X1679" s="9">
        <v>464</v>
      </c>
      <c r="Y1679" s="9">
        <v>12.9</v>
      </c>
      <c r="Z1679" s="9">
        <v>77</v>
      </c>
      <c r="AA1679" s="9">
        <v>21.7</v>
      </c>
      <c r="AB1679" s="9" t="s">
        <v>106</v>
      </c>
      <c r="AC1679" s="9" t="s">
        <v>5100</v>
      </c>
      <c r="AD1679" s="9" t="s">
        <v>5100</v>
      </c>
    </row>
    <row r="1680" spans="1:32">
      <c r="A1680" s="9" t="s">
        <v>3907</v>
      </c>
      <c r="B1680" s="9" t="s">
        <v>4072</v>
      </c>
      <c r="C1680" s="9" t="s">
        <v>105</v>
      </c>
      <c r="D1680" s="9">
        <v>6.88</v>
      </c>
      <c r="E1680" s="9" t="s">
        <v>106</v>
      </c>
      <c r="F1680" s="68">
        <v>337</v>
      </c>
      <c r="G1680" s="9" t="s">
        <v>106</v>
      </c>
      <c r="H1680" s="9">
        <v>5.73</v>
      </c>
      <c r="I1680" s="9">
        <v>5</v>
      </c>
      <c r="J1680" s="9" t="s">
        <v>122</v>
      </c>
      <c r="K1680" s="9" t="s">
        <v>924</v>
      </c>
      <c r="L1680" t="str">
        <f>IF(OR(J1680="Cattle",J1680="Zebu Cattle"),IF(COUNTIF(lists!$M$2:$M$258, K1680) &gt; 0,"bos.indicus",IF(COUNTIF(lists!$L$2:$L$258, K1680) &gt; 0,"cross.bred","pure.bred.exotic")),"NA")</f>
        <v>pure.bred.exotic</v>
      </c>
      <c r="O1680" s="9" t="s">
        <v>4194</v>
      </c>
      <c r="P1680" s="9" t="s">
        <v>4045</v>
      </c>
      <c r="Q1680" s="9" t="s">
        <v>3809</v>
      </c>
      <c r="R1680" s="9" t="s">
        <v>3829</v>
      </c>
      <c r="S1680" s="9">
        <v>359.3</v>
      </c>
      <c r="T1680" s="9" t="s">
        <v>106</v>
      </c>
      <c r="U1680" s="9">
        <v>97.6</v>
      </c>
      <c r="V1680" s="9">
        <v>361.2</v>
      </c>
      <c r="W1680" s="9">
        <v>23.8</v>
      </c>
      <c r="X1680" s="9">
        <v>664.4</v>
      </c>
      <c r="Y1680" s="9">
        <v>52.33</v>
      </c>
      <c r="Z1680" s="9">
        <v>46.3</v>
      </c>
      <c r="AA1680" s="9">
        <v>59.09</v>
      </c>
      <c r="AB1680" s="9">
        <v>64.709999999999994</v>
      </c>
      <c r="AC1680" s="9" t="s">
        <v>5100</v>
      </c>
      <c r="AD1680" s="9" t="s">
        <v>5100</v>
      </c>
    </row>
    <row r="1681" spans="1:30">
      <c r="A1681" s="9" t="s">
        <v>3907</v>
      </c>
      <c r="B1681" s="9" t="s">
        <v>4071</v>
      </c>
      <c r="C1681" s="9" t="s">
        <v>105</v>
      </c>
      <c r="D1681" s="9">
        <v>8.11</v>
      </c>
      <c r="E1681" s="9" t="s">
        <v>106</v>
      </c>
      <c r="F1681" s="68">
        <v>337</v>
      </c>
      <c r="G1681" s="9" t="s">
        <v>106</v>
      </c>
      <c r="H1681" s="9">
        <v>9.48</v>
      </c>
      <c r="I1681" s="9">
        <v>5</v>
      </c>
      <c r="J1681" s="9" t="s">
        <v>122</v>
      </c>
      <c r="K1681" s="9" t="s">
        <v>924</v>
      </c>
      <c r="L1681" t="str">
        <f>IF(OR(J1681="Cattle",J1681="Zebu Cattle"),IF(COUNTIF(lists!$M$2:$M$258, K1681) &gt; 0,"bos.indicus",IF(COUNTIF(lists!$L$2:$L$258, K1681) &gt; 0,"cross.bred","pure.bred.exotic")),"NA")</f>
        <v>pure.bred.exotic</v>
      </c>
      <c r="O1681" s="9" t="s">
        <v>4194</v>
      </c>
      <c r="P1681" s="9" t="s">
        <v>4045</v>
      </c>
      <c r="Q1681" s="9" t="s">
        <v>3809</v>
      </c>
      <c r="R1681" s="9" t="s">
        <v>3829</v>
      </c>
      <c r="S1681" s="9">
        <v>306.5</v>
      </c>
      <c r="T1681" s="9" t="s">
        <v>106</v>
      </c>
      <c r="U1681" s="9">
        <v>114.8</v>
      </c>
      <c r="V1681" s="9">
        <v>455</v>
      </c>
      <c r="W1681" s="9">
        <v>31</v>
      </c>
      <c r="X1681" s="9">
        <v>552.5</v>
      </c>
      <c r="Y1681" s="9">
        <v>60.52</v>
      </c>
      <c r="Z1681" s="9">
        <v>45.6</v>
      </c>
      <c r="AA1681" s="9">
        <v>63.76</v>
      </c>
      <c r="AB1681" s="9">
        <v>67.59</v>
      </c>
      <c r="AC1681" s="9" t="s">
        <v>5100</v>
      </c>
      <c r="AD1681" s="9" t="s">
        <v>5100</v>
      </c>
    </row>
    <row r="1682" spans="1:30">
      <c r="A1682" s="9" t="s">
        <v>3891</v>
      </c>
      <c r="B1682" s="9" t="s">
        <v>4073</v>
      </c>
      <c r="C1682" s="9" t="s">
        <v>105</v>
      </c>
      <c r="D1682" s="9">
        <v>3.03</v>
      </c>
      <c r="E1682" s="9" t="s">
        <v>106</v>
      </c>
      <c r="F1682" s="9">
        <v>201.75</v>
      </c>
      <c r="G1682" s="9" t="s">
        <v>106</v>
      </c>
      <c r="H1682" s="9">
        <v>1.62</v>
      </c>
      <c r="I1682" s="9">
        <v>8</v>
      </c>
      <c r="J1682" s="9" t="s">
        <v>122</v>
      </c>
      <c r="K1682" s="9" t="s">
        <v>4787</v>
      </c>
      <c r="L1682" t="str">
        <f>IF(OR(J1682="Cattle",J1682="Zebu Cattle"),IF(COUNTIF(lists!$M$2:$M$258, K1682) &gt; 0,"bos.indicus",IF(COUNTIF(lists!$L$2:$L$258, K1682) &gt; 0,"cross.bred","pure.bred.exotic")),"NA")</f>
        <v>bos.indicus</v>
      </c>
      <c r="O1682" s="9" t="s">
        <v>4193</v>
      </c>
      <c r="P1682" s="9" t="s">
        <v>4045</v>
      </c>
      <c r="Q1682" s="9" t="s">
        <v>3809</v>
      </c>
      <c r="R1682" s="9" t="s">
        <v>3829</v>
      </c>
      <c r="S1682" s="67">
        <v>246.56732673267325</v>
      </c>
      <c r="T1682" s="67">
        <v>91.454455445544554</v>
      </c>
      <c r="U1682" s="67">
        <v>123.81980198019802</v>
      </c>
      <c r="V1682" s="67">
        <v>918.63465346534656</v>
      </c>
      <c r="W1682" s="9" t="s">
        <v>106</v>
      </c>
      <c r="X1682" s="67">
        <v>535.26930693069312</v>
      </c>
      <c r="Y1682" s="9" t="s">
        <v>106</v>
      </c>
      <c r="Z1682" s="67">
        <v>38.946534653465349</v>
      </c>
      <c r="AA1682" s="9" t="s">
        <v>106</v>
      </c>
      <c r="AB1682" s="9" t="s">
        <v>106</v>
      </c>
      <c r="AC1682" s="9" t="s">
        <v>5100</v>
      </c>
      <c r="AD1682" s="9" t="s">
        <v>5100</v>
      </c>
    </row>
    <row r="1683" spans="1:30">
      <c r="A1683" s="9" t="s">
        <v>3891</v>
      </c>
      <c r="B1683" s="9" t="s">
        <v>4074</v>
      </c>
      <c r="C1683" s="9" t="s">
        <v>105</v>
      </c>
      <c r="D1683" s="9">
        <v>3.32</v>
      </c>
      <c r="E1683" s="9" t="s">
        <v>106</v>
      </c>
      <c r="F1683" s="9">
        <v>204.4</v>
      </c>
      <c r="G1683" s="9" t="s">
        <v>106</v>
      </c>
      <c r="H1683" s="9">
        <v>2.38</v>
      </c>
      <c r="I1683" s="9">
        <v>8</v>
      </c>
      <c r="J1683" s="9" t="s">
        <v>122</v>
      </c>
      <c r="K1683" s="9" t="s">
        <v>4787</v>
      </c>
      <c r="L1683" t="str">
        <f>IF(OR(J1683="Cattle",J1683="Zebu Cattle"),IF(COUNTIF(lists!$M$2:$M$258, K1683) &gt; 0,"bos.indicus",IF(COUNTIF(lists!$L$2:$L$258, K1683) &gt; 0,"cross.bred","pure.bred.exotic")),"NA")</f>
        <v>bos.indicus</v>
      </c>
      <c r="O1683" s="9" t="s">
        <v>4193</v>
      </c>
      <c r="P1683" s="9" t="s">
        <v>4045</v>
      </c>
      <c r="Q1683" s="9" t="s">
        <v>3809</v>
      </c>
      <c r="R1683" s="9" t="s">
        <v>3829</v>
      </c>
      <c r="S1683" s="67">
        <v>258.07409638554219</v>
      </c>
      <c r="T1683" s="67">
        <v>91.493373493975909</v>
      </c>
      <c r="U1683" s="67">
        <v>119.18855421686749</v>
      </c>
      <c r="V1683" s="67">
        <v>918.50060240963853</v>
      </c>
      <c r="W1683" s="9" t="s">
        <v>106</v>
      </c>
      <c r="X1683" s="67">
        <v>549.85060240963855</v>
      </c>
      <c r="Y1683" s="9" t="s">
        <v>106</v>
      </c>
      <c r="Z1683" s="67">
        <v>39.789759036144581</v>
      </c>
      <c r="AA1683" s="9" t="s">
        <v>106</v>
      </c>
      <c r="AB1683" s="9" t="s">
        <v>106</v>
      </c>
      <c r="AC1683" s="9" t="s">
        <v>5100</v>
      </c>
      <c r="AD1683" s="9" t="s">
        <v>5100</v>
      </c>
    </row>
    <row r="1684" spans="1:30">
      <c r="A1684" s="9" t="s">
        <v>3963</v>
      </c>
      <c r="B1684" s="9" t="s">
        <v>4083</v>
      </c>
      <c r="C1684" s="9" t="s">
        <v>105</v>
      </c>
      <c r="D1684" s="9">
        <v>18.600000000000001</v>
      </c>
      <c r="E1684" s="9" t="s">
        <v>106</v>
      </c>
      <c r="F1684" s="9">
        <v>638.54999999999995</v>
      </c>
      <c r="G1684" s="9">
        <v>0.08</v>
      </c>
      <c r="H1684" s="9">
        <v>31.9</v>
      </c>
      <c r="I1684" s="16">
        <v>150</v>
      </c>
      <c r="J1684" s="9" t="s">
        <v>122</v>
      </c>
      <c r="K1684" s="9" t="s">
        <v>4070</v>
      </c>
      <c r="L1684" t="str">
        <f>IF(OR(J1684="Cattle",J1684="Zebu Cattle"),IF(COUNTIF(lists!$M$2:$M$258, K1684) &gt; 0,"bos.indicus",IF(COUNTIF(lists!$L$2:$L$258, K1684) &gt; 0,"cross.bred","pure.bred.exotic")),"NA")</f>
        <v>pure.bred.exotic</v>
      </c>
      <c r="O1684" s="9" t="s">
        <v>4194</v>
      </c>
      <c r="P1684" s="9" t="s">
        <v>4045</v>
      </c>
      <c r="Q1684" s="9" t="s">
        <v>3809</v>
      </c>
      <c r="R1684" s="9" t="s">
        <v>3830</v>
      </c>
      <c r="S1684" s="9">
        <v>185</v>
      </c>
      <c r="T1684" s="9">
        <v>72</v>
      </c>
      <c r="U1684" s="9">
        <v>172</v>
      </c>
      <c r="V1684" s="9" t="s">
        <v>106</v>
      </c>
      <c r="W1684" s="9">
        <v>50</v>
      </c>
      <c r="X1684" s="9">
        <v>312</v>
      </c>
      <c r="Y1684" s="9">
        <v>54.3</v>
      </c>
      <c r="Z1684" s="9" t="s">
        <v>106</v>
      </c>
      <c r="AA1684" s="9" t="s">
        <v>106</v>
      </c>
      <c r="AB1684" s="9">
        <v>65.5</v>
      </c>
      <c r="AC1684" s="9" t="s">
        <v>5100</v>
      </c>
      <c r="AD1684" s="9" t="s">
        <v>5100</v>
      </c>
    </row>
    <row r="1685" spans="1:30">
      <c r="A1685" s="9" t="s">
        <v>3963</v>
      </c>
      <c r="B1685" s="9" t="s">
        <v>4084</v>
      </c>
      <c r="C1685" s="9" t="s">
        <v>105</v>
      </c>
      <c r="D1685" s="9">
        <v>19.2</v>
      </c>
      <c r="E1685" s="9" t="s">
        <v>106</v>
      </c>
      <c r="F1685" s="9">
        <v>639.34999999999991</v>
      </c>
      <c r="G1685" s="9">
        <v>9.4E-2</v>
      </c>
      <c r="H1685" s="9">
        <v>32.299999999999997</v>
      </c>
      <c r="I1685" s="16">
        <v>150</v>
      </c>
      <c r="J1685" s="9" t="s">
        <v>122</v>
      </c>
      <c r="K1685" s="9" t="s">
        <v>4070</v>
      </c>
      <c r="L1685" t="str">
        <f>IF(OR(J1685="Cattle",J1685="Zebu Cattle"),IF(COUNTIF(lists!$M$2:$M$258, K1685) &gt; 0,"bos.indicus",IF(COUNTIF(lists!$L$2:$L$258, K1685) &gt; 0,"cross.bred","pure.bred.exotic")),"NA")</f>
        <v>pure.bred.exotic</v>
      </c>
      <c r="O1685" s="9" t="s">
        <v>4194</v>
      </c>
      <c r="P1685" s="9" t="s">
        <v>4045</v>
      </c>
      <c r="Q1685" s="9" t="s">
        <v>3809</v>
      </c>
      <c r="R1685" s="9" t="s">
        <v>3830</v>
      </c>
      <c r="S1685" s="9">
        <v>186</v>
      </c>
      <c r="T1685" s="9">
        <v>74</v>
      </c>
      <c r="U1685" s="9">
        <v>171</v>
      </c>
      <c r="V1685" s="9" t="s">
        <v>106</v>
      </c>
      <c r="W1685" s="9">
        <v>49</v>
      </c>
      <c r="X1685" s="9">
        <v>314</v>
      </c>
      <c r="Y1685" s="9">
        <v>58.7</v>
      </c>
      <c r="Z1685" s="9" t="s">
        <v>106</v>
      </c>
      <c r="AA1685" s="9" t="s">
        <v>106</v>
      </c>
      <c r="AB1685" s="9">
        <v>66.5</v>
      </c>
      <c r="AC1685" s="9" t="s">
        <v>5100</v>
      </c>
      <c r="AD1685" s="9" t="s">
        <v>5100</v>
      </c>
    </row>
    <row r="1686" spans="1:30">
      <c r="A1686" s="9" t="s">
        <v>3836</v>
      </c>
      <c r="B1686" s="9" t="s">
        <v>4085</v>
      </c>
      <c r="C1686" s="9" t="s">
        <v>105</v>
      </c>
      <c r="D1686" s="9">
        <v>18.100000000000001</v>
      </c>
      <c r="E1686" s="9" t="s">
        <v>106</v>
      </c>
      <c r="F1686" s="9" t="s">
        <v>106</v>
      </c>
      <c r="G1686" s="9" t="s">
        <v>106</v>
      </c>
      <c r="H1686" s="9">
        <v>19.3</v>
      </c>
      <c r="I1686" s="9">
        <v>4</v>
      </c>
      <c r="J1686" s="9" t="s">
        <v>122</v>
      </c>
      <c r="K1686" s="9" t="s">
        <v>4070</v>
      </c>
      <c r="L1686" t="str">
        <f>IF(OR(J1686="Cattle",J1686="Zebu Cattle"),IF(COUNTIF(lists!$M$2:$M$258, K1686) &gt; 0,"bos.indicus",IF(COUNTIF(lists!$L$2:$L$258, K1686) &gt; 0,"cross.bred","pure.bred.exotic")),"NA")</f>
        <v>pure.bred.exotic</v>
      </c>
      <c r="O1686" s="9" t="s">
        <v>4194</v>
      </c>
      <c r="P1686" s="9" t="s">
        <v>4045</v>
      </c>
      <c r="Q1686" s="9" t="s">
        <v>3809</v>
      </c>
      <c r="R1686" s="9" t="s">
        <v>3830</v>
      </c>
      <c r="S1686" s="9">
        <v>161</v>
      </c>
      <c r="T1686" s="9" t="s">
        <v>106</v>
      </c>
      <c r="U1686" s="9">
        <v>164</v>
      </c>
      <c r="V1686" s="9" t="s">
        <v>106</v>
      </c>
      <c r="W1686" s="9" t="s">
        <v>106</v>
      </c>
      <c r="X1686" s="9">
        <v>308</v>
      </c>
      <c r="Y1686" s="9">
        <v>39.9</v>
      </c>
      <c r="Z1686" s="9" t="s">
        <v>106</v>
      </c>
      <c r="AA1686" s="9">
        <v>68</v>
      </c>
      <c r="AB1686" s="9">
        <v>69.400000000000006</v>
      </c>
      <c r="AC1686" s="9" t="s">
        <v>5100</v>
      </c>
      <c r="AD1686" s="9" t="s">
        <v>5100</v>
      </c>
    </row>
    <row r="1687" spans="1:30">
      <c r="A1687" s="9" t="s">
        <v>3836</v>
      </c>
      <c r="B1687" s="9" t="s">
        <v>4086</v>
      </c>
      <c r="C1687" s="9" t="s">
        <v>105</v>
      </c>
      <c r="D1687" s="9">
        <v>17</v>
      </c>
      <c r="E1687" s="9" t="s">
        <v>106</v>
      </c>
      <c r="F1687" s="9" t="s">
        <v>106</v>
      </c>
      <c r="G1687" s="9" t="s">
        <v>106</v>
      </c>
      <c r="H1687" s="9">
        <v>19.399999999999999</v>
      </c>
      <c r="I1687" s="9">
        <v>4</v>
      </c>
      <c r="J1687" s="9" t="s">
        <v>122</v>
      </c>
      <c r="K1687" s="9" t="s">
        <v>4070</v>
      </c>
      <c r="L1687" t="str">
        <f>IF(OR(J1687="Cattle",J1687="Zebu Cattle"),IF(COUNTIF(lists!$M$2:$M$258, K1687) &gt; 0,"bos.indicus",IF(COUNTIF(lists!$L$2:$L$258, K1687) &gt; 0,"cross.bred","pure.bred.exotic")),"NA")</f>
        <v>pure.bred.exotic</v>
      </c>
      <c r="O1687" s="9" t="s">
        <v>4194</v>
      </c>
      <c r="P1687" s="9" t="s">
        <v>4045</v>
      </c>
      <c r="Q1687" s="9" t="s">
        <v>3809</v>
      </c>
      <c r="R1687" s="9" t="s">
        <v>3830</v>
      </c>
      <c r="S1687" s="9">
        <v>160</v>
      </c>
      <c r="T1687" s="9" t="s">
        <v>106</v>
      </c>
      <c r="U1687" s="9">
        <v>162</v>
      </c>
      <c r="V1687" s="9" t="s">
        <v>106</v>
      </c>
      <c r="W1687" s="9" t="s">
        <v>106</v>
      </c>
      <c r="X1687" s="9">
        <v>307</v>
      </c>
      <c r="Y1687" s="9">
        <v>40</v>
      </c>
      <c r="Z1687" s="9" t="s">
        <v>106</v>
      </c>
      <c r="AA1687" s="9">
        <v>66.400000000000006</v>
      </c>
      <c r="AB1687" s="9">
        <v>68.5</v>
      </c>
      <c r="AC1687" s="9" t="s">
        <v>5100</v>
      </c>
      <c r="AD1687" s="9" t="s">
        <v>5100</v>
      </c>
    </row>
    <row r="1688" spans="1:30">
      <c r="A1688" s="9" t="s">
        <v>3836</v>
      </c>
      <c r="B1688" s="9" t="s">
        <v>4087</v>
      </c>
      <c r="C1688" s="9" t="s">
        <v>105</v>
      </c>
      <c r="D1688" s="9">
        <v>18.2</v>
      </c>
      <c r="E1688" s="9" t="s">
        <v>106</v>
      </c>
      <c r="F1688" s="9" t="s">
        <v>106</v>
      </c>
      <c r="G1688" s="9" t="s">
        <v>106</v>
      </c>
      <c r="H1688" s="9">
        <v>19.8</v>
      </c>
      <c r="I1688" s="9">
        <v>4</v>
      </c>
      <c r="J1688" s="9" t="s">
        <v>122</v>
      </c>
      <c r="K1688" s="9" t="s">
        <v>4070</v>
      </c>
      <c r="L1688" t="str">
        <f>IF(OR(J1688="Cattle",J1688="Zebu Cattle"),IF(COUNTIF(lists!$M$2:$M$258, K1688) &gt; 0,"bos.indicus",IF(COUNTIF(lists!$L$2:$L$258, K1688) &gt; 0,"cross.bred","pure.bred.exotic")),"NA")</f>
        <v>pure.bred.exotic</v>
      </c>
      <c r="O1688" s="9" t="s">
        <v>4194</v>
      </c>
      <c r="P1688" s="9" t="s">
        <v>4045</v>
      </c>
      <c r="Q1688" s="9" t="s">
        <v>3809</v>
      </c>
      <c r="R1688" s="9" t="s">
        <v>3830</v>
      </c>
      <c r="S1688" s="9">
        <v>163</v>
      </c>
      <c r="T1688" s="9" t="s">
        <v>106</v>
      </c>
      <c r="U1688" s="9">
        <v>163</v>
      </c>
      <c r="V1688" s="9" t="s">
        <v>106</v>
      </c>
      <c r="W1688" s="9" t="s">
        <v>106</v>
      </c>
      <c r="X1688" s="9">
        <v>310</v>
      </c>
      <c r="Y1688" s="9">
        <v>41.4</v>
      </c>
      <c r="Z1688" s="9" t="s">
        <v>106</v>
      </c>
      <c r="AA1688" s="9">
        <v>68.400000000000006</v>
      </c>
      <c r="AB1688" s="9">
        <v>70</v>
      </c>
      <c r="AC1688" s="9" t="s">
        <v>5100</v>
      </c>
      <c r="AD1688" s="9" t="s">
        <v>5100</v>
      </c>
    </row>
    <row r="1689" spans="1:30">
      <c r="A1689" s="9" t="s">
        <v>3836</v>
      </c>
      <c r="B1689" s="9" t="s">
        <v>4088</v>
      </c>
      <c r="C1689" s="9" t="s">
        <v>105</v>
      </c>
      <c r="D1689" s="9">
        <v>18.399999999999999</v>
      </c>
      <c r="E1689" s="9" t="s">
        <v>106</v>
      </c>
      <c r="F1689" s="9" t="s">
        <v>106</v>
      </c>
      <c r="G1689" s="9" t="s">
        <v>106</v>
      </c>
      <c r="H1689" s="9">
        <v>18.7</v>
      </c>
      <c r="I1689" s="9">
        <v>4</v>
      </c>
      <c r="J1689" s="9" t="s">
        <v>122</v>
      </c>
      <c r="K1689" s="9" t="s">
        <v>4070</v>
      </c>
      <c r="L1689" t="str">
        <f>IF(OR(J1689="Cattle",J1689="Zebu Cattle"),IF(COUNTIF(lists!$M$2:$M$258, K1689) &gt; 0,"bos.indicus",IF(COUNTIF(lists!$L$2:$L$258, K1689) &gt; 0,"cross.bred","pure.bred.exotic")),"NA")</f>
        <v>pure.bred.exotic</v>
      </c>
      <c r="O1689" s="9" t="s">
        <v>4194</v>
      </c>
      <c r="P1689" s="9" t="s">
        <v>4045</v>
      </c>
      <c r="Q1689" s="9" t="s">
        <v>3809</v>
      </c>
      <c r="R1689" s="9" t="s">
        <v>3830</v>
      </c>
      <c r="S1689" s="9">
        <v>157</v>
      </c>
      <c r="T1689" s="9" t="s">
        <v>106</v>
      </c>
      <c r="U1689" s="9">
        <v>160</v>
      </c>
      <c r="V1689" s="9" t="s">
        <v>106</v>
      </c>
      <c r="W1689" s="9" t="s">
        <v>106</v>
      </c>
      <c r="X1689" s="9">
        <v>297</v>
      </c>
      <c r="Y1689" s="9">
        <v>37.4</v>
      </c>
      <c r="Z1689" s="9" t="s">
        <v>106</v>
      </c>
      <c r="AA1689" s="9">
        <v>65.599999999999994</v>
      </c>
      <c r="AB1689" s="9">
        <v>68.900000000000006</v>
      </c>
      <c r="AC1689" s="9" t="s">
        <v>5100</v>
      </c>
      <c r="AD1689" s="9" t="s">
        <v>5100</v>
      </c>
    </row>
    <row r="1690" spans="1:30">
      <c r="A1690" s="9" t="s">
        <v>3869</v>
      </c>
      <c r="B1690" s="9" t="s">
        <v>4089</v>
      </c>
      <c r="C1690" s="9" t="s">
        <v>105</v>
      </c>
      <c r="D1690" s="9">
        <v>21.8</v>
      </c>
      <c r="E1690" s="9" t="s">
        <v>106</v>
      </c>
      <c r="F1690" s="9" t="s">
        <v>106</v>
      </c>
      <c r="G1690" s="9" t="s">
        <v>106</v>
      </c>
      <c r="H1690" s="9">
        <v>18.899999999999999</v>
      </c>
      <c r="I1690" s="9">
        <v>6</v>
      </c>
      <c r="J1690" s="9" t="s">
        <v>122</v>
      </c>
      <c r="K1690" s="9" t="s">
        <v>4070</v>
      </c>
      <c r="L1690" t="str">
        <f>IF(OR(J1690="Cattle",J1690="Zebu Cattle"),IF(COUNTIF(lists!$M$2:$M$258, K1690) &gt; 0,"bos.indicus",IF(COUNTIF(lists!$L$2:$L$258, K1690) &gt; 0,"cross.bred","pure.bred.exotic")),"NA")</f>
        <v>pure.bred.exotic</v>
      </c>
      <c r="O1690" s="9" t="s">
        <v>4194</v>
      </c>
      <c r="P1690" s="9" t="s">
        <v>4045</v>
      </c>
      <c r="Q1690" s="9" t="s">
        <v>3809</v>
      </c>
      <c r="R1690" s="9" t="s">
        <v>3830</v>
      </c>
      <c r="S1690" s="9">
        <v>191</v>
      </c>
      <c r="T1690" s="9" t="s">
        <v>106</v>
      </c>
      <c r="U1690" s="9">
        <v>165</v>
      </c>
      <c r="V1690" s="9" t="s">
        <v>106</v>
      </c>
      <c r="W1690" s="9" t="s">
        <v>106</v>
      </c>
      <c r="X1690" s="9">
        <v>315</v>
      </c>
      <c r="Y1690" s="9">
        <v>50.4</v>
      </c>
      <c r="Z1690" s="9" t="s">
        <v>106</v>
      </c>
      <c r="AA1690" s="9">
        <v>69.400000000000006</v>
      </c>
      <c r="AB1690" s="9" t="s">
        <v>106</v>
      </c>
      <c r="AC1690" s="9" t="s">
        <v>5100</v>
      </c>
      <c r="AD1690" s="9" t="s">
        <v>5100</v>
      </c>
    </row>
    <row r="1691" spans="1:30">
      <c r="A1691" s="9" t="s">
        <v>3869</v>
      </c>
      <c r="B1691" s="9" t="s">
        <v>4090</v>
      </c>
      <c r="C1691" s="9" t="s">
        <v>105</v>
      </c>
      <c r="D1691" s="9">
        <v>23.2</v>
      </c>
      <c r="E1691" s="9" t="s">
        <v>106</v>
      </c>
      <c r="F1691" s="9" t="s">
        <v>106</v>
      </c>
      <c r="G1691" s="9" t="s">
        <v>106</v>
      </c>
      <c r="H1691" s="9">
        <v>20.100000000000001</v>
      </c>
      <c r="I1691" s="9">
        <v>6</v>
      </c>
      <c r="J1691" s="9" t="s">
        <v>122</v>
      </c>
      <c r="K1691" s="9" t="s">
        <v>4070</v>
      </c>
      <c r="L1691" t="str">
        <f>IF(OR(J1691="Cattle",J1691="Zebu Cattle"),IF(COUNTIF(lists!$M$2:$M$258, K1691) &gt; 0,"bos.indicus",IF(COUNTIF(lists!$L$2:$L$258, K1691) &gt; 0,"cross.bred","pure.bred.exotic")),"NA")</f>
        <v>pure.bred.exotic</v>
      </c>
      <c r="O1691" s="9" t="s">
        <v>4194</v>
      </c>
      <c r="P1691" s="9" t="s">
        <v>4045</v>
      </c>
      <c r="Q1691" s="9" t="s">
        <v>3809</v>
      </c>
      <c r="R1691" s="9" t="s">
        <v>3830</v>
      </c>
      <c r="S1691" s="9">
        <v>191</v>
      </c>
      <c r="T1691" s="9" t="s">
        <v>106</v>
      </c>
      <c r="U1691" s="9">
        <v>165</v>
      </c>
      <c r="V1691" s="9" t="s">
        <v>106</v>
      </c>
      <c r="W1691" s="9" t="s">
        <v>106</v>
      </c>
      <c r="X1691" s="9">
        <v>315</v>
      </c>
      <c r="Y1691" s="9">
        <v>50.5</v>
      </c>
      <c r="Z1691" s="9" t="s">
        <v>106</v>
      </c>
      <c r="AA1691" s="9">
        <v>69.3</v>
      </c>
      <c r="AB1691" s="9" t="s">
        <v>106</v>
      </c>
      <c r="AC1691" s="9" t="s">
        <v>5100</v>
      </c>
      <c r="AD1691" s="9" t="s">
        <v>5100</v>
      </c>
    </row>
    <row r="1692" spans="1:30">
      <c r="A1692" s="9" t="s">
        <v>3868</v>
      </c>
      <c r="B1692" s="9" t="s">
        <v>4091</v>
      </c>
      <c r="C1692" s="9" t="s">
        <v>105</v>
      </c>
      <c r="D1692" s="9">
        <v>21.5</v>
      </c>
      <c r="E1692" s="9" t="s">
        <v>106</v>
      </c>
      <c r="F1692" s="9">
        <v>538</v>
      </c>
      <c r="G1692" s="9" t="s">
        <v>106</v>
      </c>
      <c r="H1692" s="9">
        <v>30</v>
      </c>
      <c r="I1692" s="9">
        <v>10</v>
      </c>
      <c r="J1692" s="9" t="s">
        <v>122</v>
      </c>
      <c r="K1692" s="9" t="s">
        <v>4070</v>
      </c>
      <c r="L1692" t="str">
        <f>IF(OR(J1692="Cattle",J1692="Zebu Cattle"),IF(COUNTIF(lists!$M$2:$M$258, K1692) &gt; 0,"bos.indicus",IF(COUNTIF(lists!$L$2:$L$258, K1692) &gt; 0,"cross.bred","pure.bred.exotic")),"NA")</f>
        <v>pure.bred.exotic</v>
      </c>
      <c r="O1692" s="9" t="s">
        <v>4194</v>
      </c>
      <c r="P1692" s="9" t="s">
        <v>4045</v>
      </c>
      <c r="Q1692" s="9" t="s">
        <v>3809</v>
      </c>
      <c r="R1692" s="9" t="s">
        <v>3830</v>
      </c>
      <c r="S1692" s="9" t="s">
        <v>106</v>
      </c>
      <c r="T1692" s="9" t="s">
        <v>106</v>
      </c>
      <c r="U1692" s="9">
        <v>185</v>
      </c>
      <c r="V1692" s="9" t="s">
        <v>106</v>
      </c>
      <c r="W1692" s="9">
        <v>66</v>
      </c>
      <c r="X1692" s="9">
        <v>317</v>
      </c>
      <c r="Y1692" s="9" t="s">
        <v>106</v>
      </c>
      <c r="Z1692" s="9" t="s">
        <v>106</v>
      </c>
      <c r="AA1692" s="9" t="s">
        <v>106</v>
      </c>
      <c r="AB1692" s="9" t="s">
        <v>106</v>
      </c>
      <c r="AC1692" s="9" t="s">
        <v>5100</v>
      </c>
      <c r="AD1692" s="9" t="s">
        <v>5100</v>
      </c>
    </row>
    <row r="1693" spans="1:30">
      <c r="A1693" s="9" t="s">
        <v>3868</v>
      </c>
      <c r="B1693" s="9" t="s">
        <v>4092</v>
      </c>
      <c r="C1693" s="9" t="s">
        <v>105</v>
      </c>
      <c r="D1693" s="9">
        <v>20.100000000000001</v>
      </c>
      <c r="E1693" s="9" t="s">
        <v>106</v>
      </c>
      <c r="F1693" s="9">
        <v>559</v>
      </c>
      <c r="G1693" s="9" t="s">
        <v>106</v>
      </c>
      <c r="H1693" s="9">
        <v>30.8</v>
      </c>
      <c r="I1693" s="9">
        <v>10</v>
      </c>
      <c r="J1693" s="9" t="s">
        <v>122</v>
      </c>
      <c r="K1693" s="9" t="s">
        <v>4070</v>
      </c>
      <c r="L1693" t="str">
        <f>IF(OR(J1693="Cattle",J1693="Zebu Cattle"),IF(COUNTIF(lists!$M$2:$M$258, K1693) &gt; 0,"bos.indicus",IF(COUNTIF(lists!$L$2:$L$258, K1693) &gt; 0,"cross.bred","pure.bred.exotic")),"NA")</f>
        <v>pure.bred.exotic</v>
      </c>
      <c r="O1693" s="9" t="s">
        <v>4194</v>
      </c>
      <c r="P1693" s="9" t="s">
        <v>4045</v>
      </c>
      <c r="Q1693" s="9" t="s">
        <v>3809</v>
      </c>
      <c r="R1693" s="9" t="s">
        <v>3830</v>
      </c>
      <c r="S1693" s="9" t="s">
        <v>106</v>
      </c>
      <c r="T1693" s="9" t="s">
        <v>106</v>
      </c>
      <c r="U1693" s="9">
        <v>185</v>
      </c>
      <c r="V1693" s="9" t="s">
        <v>106</v>
      </c>
      <c r="W1693" s="9">
        <v>66</v>
      </c>
      <c r="X1693" s="9">
        <v>317</v>
      </c>
      <c r="Y1693" s="9" t="s">
        <v>106</v>
      </c>
      <c r="Z1693" s="9" t="s">
        <v>106</v>
      </c>
      <c r="AA1693" s="9" t="s">
        <v>106</v>
      </c>
      <c r="AB1693" s="9" t="s">
        <v>106</v>
      </c>
      <c r="AC1693" s="9" t="s">
        <v>5100</v>
      </c>
      <c r="AD1693" s="9" t="s">
        <v>5100</v>
      </c>
    </row>
    <row r="1694" spans="1:30">
      <c r="A1694" s="9" t="s">
        <v>3868</v>
      </c>
      <c r="B1694" s="9" t="s">
        <v>4093</v>
      </c>
      <c r="C1694" s="9" t="s">
        <v>105</v>
      </c>
      <c r="D1694" s="9">
        <v>20</v>
      </c>
      <c r="E1694" s="9" t="s">
        <v>106</v>
      </c>
      <c r="F1694" s="9">
        <v>536</v>
      </c>
      <c r="G1694" s="9" t="s">
        <v>106</v>
      </c>
      <c r="H1694" s="9">
        <v>28.6</v>
      </c>
      <c r="I1694" s="9">
        <v>10</v>
      </c>
      <c r="J1694" s="9" t="s">
        <v>122</v>
      </c>
      <c r="K1694" s="9" t="s">
        <v>4070</v>
      </c>
      <c r="L1694" t="str">
        <f>IF(OR(J1694="Cattle",J1694="Zebu Cattle"),IF(COUNTIF(lists!$M$2:$M$258, K1694) &gt; 0,"bos.indicus",IF(COUNTIF(lists!$L$2:$L$258, K1694) &gt; 0,"cross.bred","pure.bred.exotic")),"NA")</f>
        <v>pure.bred.exotic</v>
      </c>
      <c r="O1694" s="9" t="s">
        <v>4194</v>
      </c>
      <c r="P1694" s="9" t="s">
        <v>4045</v>
      </c>
      <c r="Q1694" s="9" t="s">
        <v>3809</v>
      </c>
      <c r="R1694" s="9" t="s">
        <v>3830</v>
      </c>
      <c r="S1694" s="9" t="s">
        <v>106</v>
      </c>
      <c r="T1694" s="9" t="s">
        <v>106</v>
      </c>
      <c r="U1694" s="9">
        <v>185</v>
      </c>
      <c r="V1694" s="9" t="s">
        <v>106</v>
      </c>
      <c r="W1694" s="9">
        <v>66</v>
      </c>
      <c r="X1694" s="9">
        <v>317</v>
      </c>
      <c r="Y1694" s="9" t="s">
        <v>106</v>
      </c>
      <c r="Z1694" s="9" t="s">
        <v>106</v>
      </c>
      <c r="AA1694" s="9" t="s">
        <v>106</v>
      </c>
      <c r="AB1694" s="9" t="s">
        <v>106</v>
      </c>
      <c r="AC1694" s="9" t="s">
        <v>5100</v>
      </c>
      <c r="AD1694" s="9" t="s">
        <v>5100</v>
      </c>
    </row>
    <row r="1695" spans="1:30">
      <c r="A1695" s="9" t="s">
        <v>3868</v>
      </c>
      <c r="B1695" s="9" t="s">
        <v>4091</v>
      </c>
      <c r="C1695" s="9" t="s">
        <v>105</v>
      </c>
      <c r="D1695" s="9">
        <v>20.5</v>
      </c>
      <c r="E1695" s="9" t="s">
        <v>106</v>
      </c>
      <c r="F1695" s="9">
        <v>471</v>
      </c>
      <c r="G1695" s="9" t="s">
        <v>106</v>
      </c>
      <c r="H1695" s="9">
        <v>26</v>
      </c>
      <c r="I1695" s="9">
        <v>10</v>
      </c>
      <c r="J1695" s="9" t="s">
        <v>122</v>
      </c>
      <c r="K1695" s="9" t="s">
        <v>4070</v>
      </c>
      <c r="L1695" t="str">
        <f>IF(OR(J1695="Cattle",J1695="Zebu Cattle"),IF(COUNTIF(lists!$M$2:$M$258, K1695) &gt; 0,"bos.indicus",IF(COUNTIF(lists!$L$2:$L$258, K1695) &gt; 0,"cross.bred","pure.bred.exotic")),"NA")</f>
        <v>pure.bred.exotic</v>
      </c>
      <c r="O1695" s="9" t="s">
        <v>4194</v>
      </c>
      <c r="P1695" s="9" t="s">
        <v>4045</v>
      </c>
      <c r="Q1695" s="9" t="s">
        <v>3809</v>
      </c>
      <c r="R1695" s="9" t="s">
        <v>3830</v>
      </c>
      <c r="S1695" s="9" t="s">
        <v>106</v>
      </c>
      <c r="T1695" s="9" t="s">
        <v>106</v>
      </c>
      <c r="U1695" s="9">
        <v>185</v>
      </c>
      <c r="V1695" s="9" t="s">
        <v>106</v>
      </c>
      <c r="W1695" s="9">
        <v>66</v>
      </c>
      <c r="X1695" s="9">
        <v>317</v>
      </c>
      <c r="Y1695" s="9" t="s">
        <v>106</v>
      </c>
      <c r="Z1695" s="9" t="s">
        <v>106</v>
      </c>
      <c r="AA1695" s="9" t="s">
        <v>106</v>
      </c>
      <c r="AB1695" s="9" t="s">
        <v>106</v>
      </c>
      <c r="AC1695" s="9" t="s">
        <v>5100</v>
      </c>
      <c r="AD1695" s="9" t="s">
        <v>5100</v>
      </c>
    </row>
    <row r="1696" spans="1:30">
      <c r="A1696" s="9" t="s">
        <v>3868</v>
      </c>
      <c r="B1696" s="9" t="s">
        <v>4092</v>
      </c>
      <c r="C1696" s="9" t="s">
        <v>105</v>
      </c>
      <c r="D1696" s="9">
        <v>19</v>
      </c>
      <c r="E1696" s="9" t="s">
        <v>106</v>
      </c>
      <c r="F1696" s="9">
        <v>503</v>
      </c>
      <c r="G1696" s="9" t="s">
        <v>106</v>
      </c>
      <c r="H1696" s="9">
        <v>26.9</v>
      </c>
      <c r="I1696" s="9">
        <v>10</v>
      </c>
      <c r="J1696" s="9" t="s">
        <v>122</v>
      </c>
      <c r="K1696" s="9" t="s">
        <v>4070</v>
      </c>
      <c r="L1696" t="str">
        <f>IF(OR(J1696="Cattle",J1696="Zebu Cattle"),IF(COUNTIF(lists!$M$2:$M$258, K1696) &gt; 0,"bos.indicus",IF(COUNTIF(lists!$L$2:$L$258, K1696) &gt; 0,"cross.bred","pure.bred.exotic")),"NA")</f>
        <v>pure.bred.exotic</v>
      </c>
      <c r="O1696" s="9" t="s">
        <v>4194</v>
      </c>
      <c r="P1696" s="9" t="s">
        <v>4045</v>
      </c>
      <c r="Q1696" s="9" t="s">
        <v>3809</v>
      </c>
      <c r="R1696" s="9" t="s">
        <v>3830</v>
      </c>
      <c r="S1696" s="9" t="s">
        <v>106</v>
      </c>
      <c r="T1696" s="9" t="s">
        <v>106</v>
      </c>
      <c r="U1696" s="9">
        <v>185</v>
      </c>
      <c r="V1696" s="9" t="s">
        <v>106</v>
      </c>
      <c r="W1696" s="9">
        <v>66</v>
      </c>
      <c r="X1696" s="9">
        <v>317</v>
      </c>
      <c r="Y1696" s="9" t="s">
        <v>106</v>
      </c>
      <c r="Z1696" s="9" t="s">
        <v>106</v>
      </c>
      <c r="AA1696" s="9" t="s">
        <v>106</v>
      </c>
      <c r="AB1696" s="9" t="s">
        <v>106</v>
      </c>
      <c r="AC1696" s="9" t="s">
        <v>5100</v>
      </c>
      <c r="AD1696" s="9" t="s">
        <v>5100</v>
      </c>
    </row>
    <row r="1697" spans="1:30">
      <c r="A1697" s="9" t="s">
        <v>3868</v>
      </c>
      <c r="B1697" s="9" t="s">
        <v>4093</v>
      </c>
      <c r="C1697" s="9" t="s">
        <v>105</v>
      </c>
      <c r="D1697" s="9">
        <v>18.2</v>
      </c>
      <c r="E1697" s="9" t="s">
        <v>106</v>
      </c>
      <c r="F1697" s="9">
        <v>489</v>
      </c>
      <c r="G1697" s="9" t="s">
        <v>106</v>
      </c>
      <c r="H1697" s="9">
        <v>25.6</v>
      </c>
      <c r="I1697" s="9">
        <v>10</v>
      </c>
      <c r="J1697" s="9" t="s">
        <v>122</v>
      </c>
      <c r="K1697" s="9" t="s">
        <v>4070</v>
      </c>
      <c r="L1697" t="str">
        <f>IF(OR(J1697="Cattle",J1697="Zebu Cattle"),IF(COUNTIF(lists!$M$2:$M$258, K1697) &gt; 0,"bos.indicus",IF(COUNTIF(lists!$L$2:$L$258, K1697) &gt; 0,"cross.bred","pure.bred.exotic")),"NA")</f>
        <v>pure.bred.exotic</v>
      </c>
      <c r="O1697" s="9" t="s">
        <v>4194</v>
      </c>
      <c r="P1697" s="9" t="s">
        <v>4045</v>
      </c>
      <c r="Q1697" s="9" t="s">
        <v>3809</v>
      </c>
      <c r="R1697" s="9" t="s">
        <v>3830</v>
      </c>
      <c r="S1697" s="9" t="s">
        <v>106</v>
      </c>
      <c r="T1697" s="9" t="s">
        <v>106</v>
      </c>
      <c r="U1697" s="9">
        <v>185</v>
      </c>
      <c r="V1697" s="9" t="s">
        <v>106</v>
      </c>
      <c r="W1697" s="9">
        <v>66</v>
      </c>
      <c r="X1697" s="9">
        <v>317</v>
      </c>
      <c r="Y1697" s="9" t="s">
        <v>106</v>
      </c>
      <c r="Z1697" s="9" t="s">
        <v>106</v>
      </c>
      <c r="AA1697" s="9" t="s">
        <v>106</v>
      </c>
      <c r="AB1697" s="9" t="s">
        <v>106</v>
      </c>
      <c r="AC1697" s="9" t="s">
        <v>5100</v>
      </c>
      <c r="AD1697" s="9" t="s">
        <v>5100</v>
      </c>
    </row>
    <row r="1698" spans="1:30">
      <c r="A1698" s="9" t="s">
        <v>3970</v>
      </c>
      <c r="B1698" s="9" t="s">
        <v>4095</v>
      </c>
      <c r="C1698" s="9" t="s">
        <v>105</v>
      </c>
      <c r="D1698" s="9">
        <v>6.85</v>
      </c>
      <c r="E1698" s="9" t="s">
        <v>106</v>
      </c>
      <c r="F1698" s="9">
        <v>277.5</v>
      </c>
      <c r="G1698" s="9">
        <v>1.0900000000000001</v>
      </c>
      <c r="H1698" s="9" t="s">
        <v>106</v>
      </c>
      <c r="I1698" s="9">
        <v>4</v>
      </c>
      <c r="J1698" s="9" t="s">
        <v>122</v>
      </c>
      <c r="K1698" s="9" t="s">
        <v>4099</v>
      </c>
      <c r="L1698" t="str">
        <f>IF(OR(J1698="Cattle",J1698="Zebu Cattle"),IF(COUNTIF(lists!$M$2:$M$258, K1698) &gt; 0,"bos.indicus",IF(COUNTIF(lists!$L$2:$L$258, K1698) &gt; 0,"cross.bred","pure.bred.exotic")),"NA")</f>
        <v>bos.indicus</v>
      </c>
      <c r="O1698" s="9" t="s">
        <v>4193</v>
      </c>
      <c r="P1698" s="9" t="s">
        <v>4100</v>
      </c>
      <c r="Q1698" s="9" t="s">
        <v>3810</v>
      </c>
      <c r="R1698" s="9" t="s">
        <v>3830</v>
      </c>
      <c r="S1698" s="65">
        <v>61.488321167883214</v>
      </c>
      <c r="T1698" s="65">
        <v>80.390510948905117</v>
      </c>
      <c r="U1698" s="65">
        <v>107.44525547445255</v>
      </c>
      <c r="V1698" s="65">
        <v>922.35547445255474</v>
      </c>
      <c r="W1698" s="65">
        <v>20.54744525547445</v>
      </c>
      <c r="X1698" s="65">
        <v>655.4321167883212</v>
      </c>
      <c r="Y1698" s="9" t="s">
        <v>106</v>
      </c>
      <c r="Z1698" s="9" t="s">
        <v>106</v>
      </c>
      <c r="AA1698" s="9" t="s">
        <v>106</v>
      </c>
      <c r="AB1698" s="9" t="s">
        <v>106</v>
      </c>
      <c r="AC1698" s="9" t="s">
        <v>5100</v>
      </c>
      <c r="AD1698" s="9" t="s">
        <v>5100</v>
      </c>
    </row>
    <row r="1699" spans="1:30">
      <c r="A1699" s="9" t="s">
        <v>3970</v>
      </c>
      <c r="B1699" s="9" t="s">
        <v>4096</v>
      </c>
      <c r="C1699" s="9" t="s">
        <v>105</v>
      </c>
      <c r="D1699" s="9">
        <v>6.96</v>
      </c>
      <c r="E1699" s="9" t="s">
        <v>106</v>
      </c>
      <c r="F1699" s="9">
        <v>266</v>
      </c>
      <c r="G1699" s="9">
        <v>0.83</v>
      </c>
      <c r="H1699" s="9" t="s">
        <v>106</v>
      </c>
      <c r="I1699" s="9">
        <v>4</v>
      </c>
      <c r="J1699" s="9" t="s">
        <v>122</v>
      </c>
      <c r="K1699" s="9" t="s">
        <v>4099</v>
      </c>
      <c r="L1699" t="str">
        <f>IF(OR(J1699="Cattle",J1699="Zebu Cattle"),IF(COUNTIF(lists!$M$2:$M$258, K1699) &gt; 0,"bos.indicus",IF(COUNTIF(lists!$L$2:$L$258, K1699) &gt; 0,"cross.bred","pure.bred.exotic")),"NA")</f>
        <v>bos.indicus</v>
      </c>
      <c r="O1699" s="9" t="s">
        <v>4193</v>
      </c>
      <c r="P1699" s="9" t="s">
        <v>4100</v>
      </c>
      <c r="Q1699" s="9" t="s">
        <v>3810</v>
      </c>
      <c r="R1699" s="9" t="s">
        <v>3830</v>
      </c>
      <c r="S1699" s="65">
        <v>64.07442528735632</v>
      </c>
      <c r="T1699" s="65">
        <v>76.751436781609186</v>
      </c>
      <c r="U1699" s="65">
        <v>108.92672413793103</v>
      </c>
      <c r="V1699" s="65">
        <v>799.60143678160921</v>
      </c>
      <c r="W1699" s="65">
        <v>22.576149425287355</v>
      </c>
      <c r="X1699" s="65">
        <v>644.364367816092</v>
      </c>
      <c r="Y1699" s="9" t="s">
        <v>106</v>
      </c>
      <c r="Z1699" s="9" t="s">
        <v>106</v>
      </c>
      <c r="AA1699" s="9" t="s">
        <v>106</v>
      </c>
      <c r="AB1699" s="9" t="s">
        <v>106</v>
      </c>
      <c r="AC1699" s="9" t="s">
        <v>5100</v>
      </c>
      <c r="AD1699" s="9" t="s">
        <v>5100</v>
      </c>
    </row>
    <row r="1700" spans="1:30">
      <c r="A1700" s="9" t="s">
        <v>3970</v>
      </c>
      <c r="B1700" s="9" t="s">
        <v>4097</v>
      </c>
      <c r="C1700" s="9" t="s">
        <v>105</v>
      </c>
      <c r="D1700" s="9">
        <v>7.37</v>
      </c>
      <c r="E1700" s="9" t="s">
        <v>106</v>
      </c>
      <c r="F1700" s="9">
        <v>263.16500000000002</v>
      </c>
      <c r="G1700" s="9">
        <v>0.75</v>
      </c>
      <c r="H1700" s="9" t="s">
        <v>106</v>
      </c>
      <c r="I1700" s="9">
        <v>4</v>
      </c>
      <c r="J1700" s="9" t="s">
        <v>122</v>
      </c>
      <c r="K1700" s="9" t="s">
        <v>4099</v>
      </c>
      <c r="L1700" t="str">
        <f>IF(OR(J1700="Cattle",J1700="Zebu Cattle"),IF(COUNTIF(lists!$M$2:$M$258, K1700) &gt; 0,"bos.indicus",IF(COUNTIF(lists!$L$2:$L$258, K1700) &gt; 0,"cross.bred","pure.bred.exotic")),"NA")</f>
        <v>bos.indicus</v>
      </c>
      <c r="O1700" s="9" t="s">
        <v>4193</v>
      </c>
      <c r="P1700" s="9" t="s">
        <v>4100</v>
      </c>
      <c r="Q1700" s="9" t="s">
        <v>3810</v>
      </c>
      <c r="R1700" s="9" t="s">
        <v>3830</v>
      </c>
      <c r="S1700" s="65">
        <v>67.764179104477606</v>
      </c>
      <c r="T1700" s="65">
        <v>73.112537313432824</v>
      </c>
      <c r="U1700" s="65">
        <v>109.02537313432836</v>
      </c>
      <c r="V1700" s="65">
        <v>664.034328358209</v>
      </c>
      <c r="W1700" s="65">
        <v>24.513432835820893</v>
      </c>
      <c r="X1700" s="65">
        <v>637.19552238805966</v>
      </c>
      <c r="Y1700" s="9" t="s">
        <v>106</v>
      </c>
      <c r="Z1700" s="9" t="s">
        <v>106</v>
      </c>
      <c r="AA1700" s="9" t="s">
        <v>106</v>
      </c>
      <c r="AB1700" s="9" t="s">
        <v>106</v>
      </c>
      <c r="AC1700" s="9" t="s">
        <v>5100</v>
      </c>
      <c r="AD1700" s="9" t="s">
        <v>5100</v>
      </c>
    </row>
    <row r="1701" spans="1:30">
      <c r="A1701" s="9" t="s">
        <v>3970</v>
      </c>
      <c r="B1701" s="9" t="s">
        <v>4098</v>
      </c>
      <c r="C1701" s="9" t="s">
        <v>105</v>
      </c>
      <c r="D1701" s="9">
        <v>8.0299999999999994</v>
      </c>
      <c r="E1701" s="9" t="s">
        <v>106</v>
      </c>
      <c r="F1701" s="9">
        <v>265.83499999999998</v>
      </c>
      <c r="G1701" s="9">
        <v>0.8</v>
      </c>
      <c r="H1701" s="9" t="s">
        <v>106</v>
      </c>
      <c r="I1701" s="9">
        <v>4</v>
      </c>
      <c r="J1701" s="9" t="s">
        <v>122</v>
      </c>
      <c r="K1701" s="9" t="s">
        <v>4099</v>
      </c>
      <c r="L1701" t="str">
        <f>IF(OR(J1701="Cattle",J1701="Zebu Cattle"),IF(COUNTIF(lists!$M$2:$M$258, K1701) &gt; 0,"bos.indicus",IF(COUNTIF(lists!$L$2:$L$258, K1701) &gt; 0,"cross.bred","pure.bred.exotic")),"NA")</f>
        <v>bos.indicus</v>
      </c>
      <c r="O1701" s="9" t="s">
        <v>4193</v>
      </c>
      <c r="P1701" s="9" t="s">
        <v>4100</v>
      </c>
      <c r="Q1701" s="9" t="s">
        <v>3810</v>
      </c>
      <c r="R1701" s="9" t="s">
        <v>3830</v>
      </c>
      <c r="S1701" s="65">
        <v>72.090784557907838</v>
      </c>
      <c r="T1701" s="65">
        <v>69.355541718555415</v>
      </c>
      <c r="U1701" s="65">
        <v>108.59277708592778</v>
      </c>
      <c r="V1701" s="65">
        <v>518.05193026151937</v>
      </c>
      <c r="W1701" s="65">
        <v>26.501867995018682</v>
      </c>
      <c r="X1701" s="65">
        <v>631.22316313823171</v>
      </c>
      <c r="Y1701" s="9" t="s">
        <v>106</v>
      </c>
      <c r="Z1701" s="9" t="s">
        <v>106</v>
      </c>
      <c r="AA1701" s="9" t="s">
        <v>106</v>
      </c>
      <c r="AB1701" s="9" t="s">
        <v>106</v>
      </c>
      <c r="AC1701" s="9" t="s">
        <v>5100</v>
      </c>
      <c r="AD1701" s="9" t="s">
        <v>5100</v>
      </c>
    </row>
    <row r="1702" spans="1:30">
      <c r="A1702" s="9" t="s">
        <v>3842</v>
      </c>
      <c r="B1702" s="9" t="s">
        <v>4101</v>
      </c>
      <c r="C1702" s="9" t="s">
        <v>105</v>
      </c>
      <c r="D1702" s="9">
        <v>3.3</v>
      </c>
      <c r="E1702" s="9" t="s">
        <v>106</v>
      </c>
      <c r="F1702" s="9">
        <v>139.4</v>
      </c>
      <c r="G1702" s="9" t="s">
        <v>106</v>
      </c>
      <c r="H1702" s="9" t="s">
        <v>106</v>
      </c>
      <c r="I1702" s="9">
        <v>10</v>
      </c>
      <c r="J1702" s="9" t="s">
        <v>122</v>
      </c>
      <c r="K1702" s="9" t="s">
        <v>4104</v>
      </c>
      <c r="L1702" t="str">
        <f>IF(OR(J1702="Cattle",J1702="Zebu Cattle"),IF(COUNTIF(lists!$M$2:$M$258, K1702) &gt; 0,"bos.indicus",IF(COUNTIF(lists!$L$2:$L$258, K1702) &gt; 0,"cross.bred","pure.bred.exotic")),"NA")</f>
        <v>bos.indicus</v>
      </c>
      <c r="O1702" s="9" t="s">
        <v>4193</v>
      </c>
      <c r="P1702" s="9" t="s">
        <v>4105</v>
      </c>
      <c r="Q1702" s="9" t="s">
        <v>3810</v>
      </c>
      <c r="R1702" s="9" t="s">
        <v>3828</v>
      </c>
      <c r="S1702" s="9">
        <v>455.1</v>
      </c>
      <c r="T1702" s="9" t="s">
        <v>106</v>
      </c>
      <c r="U1702" s="9">
        <v>41</v>
      </c>
      <c r="V1702" s="9">
        <v>828.2</v>
      </c>
      <c r="W1702" s="9" t="s">
        <v>106</v>
      </c>
      <c r="X1702" s="9">
        <v>746.9</v>
      </c>
      <c r="Y1702" s="9">
        <v>54</v>
      </c>
      <c r="Z1702" s="9" t="s">
        <v>106</v>
      </c>
      <c r="AA1702" s="9">
        <v>50</v>
      </c>
      <c r="AB1702" s="9">
        <v>53</v>
      </c>
      <c r="AC1702" s="9" t="s">
        <v>5100</v>
      </c>
      <c r="AD1702" s="9" t="s">
        <v>5100</v>
      </c>
    </row>
    <row r="1703" spans="1:30">
      <c r="A1703" s="9" t="s">
        <v>3842</v>
      </c>
      <c r="B1703" s="9" t="s">
        <v>4102</v>
      </c>
      <c r="C1703" s="9" t="s">
        <v>105</v>
      </c>
      <c r="D1703" s="9">
        <v>2.4</v>
      </c>
      <c r="E1703" s="9" t="s">
        <v>106</v>
      </c>
      <c r="F1703" s="9">
        <v>145.30000000000001</v>
      </c>
      <c r="G1703" s="9" t="s">
        <v>106</v>
      </c>
      <c r="H1703" s="9" t="s">
        <v>106</v>
      </c>
      <c r="I1703" s="9">
        <v>10</v>
      </c>
      <c r="J1703" s="9" t="s">
        <v>122</v>
      </c>
      <c r="K1703" s="9" t="s">
        <v>4104</v>
      </c>
      <c r="L1703" t="str">
        <f>IF(OR(J1703="Cattle",J1703="Zebu Cattle"),IF(COUNTIF(lists!$M$2:$M$258, K1703) &gt; 0,"bos.indicus",IF(COUNTIF(lists!$L$2:$L$258, K1703) &gt; 0,"cross.bred","pure.bred.exotic")),"NA")</f>
        <v>bos.indicus</v>
      </c>
      <c r="O1703" s="9" t="s">
        <v>4193</v>
      </c>
      <c r="P1703" s="9" t="s">
        <v>4105</v>
      </c>
      <c r="Q1703" s="9" t="s">
        <v>3810</v>
      </c>
      <c r="R1703" s="9" t="s">
        <v>3828</v>
      </c>
      <c r="S1703" s="9">
        <v>451.9</v>
      </c>
      <c r="T1703" s="9" t="s">
        <v>106</v>
      </c>
      <c r="U1703" s="9">
        <v>28.4</v>
      </c>
      <c r="V1703" s="9">
        <v>928.1</v>
      </c>
      <c r="W1703" s="9" t="s">
        <v>106</v>
      </c>
      <c r="X1703" s="9">
        <v>725.9</v>
      </c>
      <c r="Y1703" s="9">
        <v>52</v>
      </c>
      <c r="Z1703" s="9" t="s">
        <v>106</v>
      </c>
      <c r="AA1703" s="9">
        <v>46.5</v>
      </c>
      <c r="AB1703" s="9">
        <v>50</v>
      </c>
      <c r="AC1703" s="9" t="s">
        <v>5100</v>
      </c>
      <c r="AD1703" s="9" t="s">
        <v>5100</v>
      </c>
    </row>
    <row r="1704" spans="1:30">
      <c r="A1704" s="9" t="s">
        <v>3842</v>
      </c>
      <c r="B1704" s="9" t="s">
        <v>4103</v>
      </c>
      <c r="C1704" s="9" t="s">
        <v>105</v>
      </c>
      <c r="D1704" s="9">
        <v>2.4</v>
      </c>
      <c r="E1704" s="9" t="s">
        <v>106</v>
      </c>
      <c r="F1704" s="9">
        <v>130.4</v>
      </c>
      <c r="G1704" s="9" t="s">
        <v>106</v>
      </c>
      <c r="H1704" s="9" t="s">
        <v>106</v>
      </c>
      <c r="I1704" s="9">
        <v>10</v>
      </c>
      <c r="J1704" s="9" t="s">
        <v>122</v>
      </c>
      <c r="K1704" s="9" t="s">
        <v>4104</v>
      </c>
      <c r="L1704" t="str">
        <f>IF(OR(J1704="Cattle",J1704="Zebu Cattle"),IF(COUNTIF(lists!$M$2:$M$258, K1704) &gt; 0,"bos.indicus",IF(COUNTIF(lists!$L$2:$L$258, K1704) &gt; 0,"cross.bred","pure.bred.exotic")),"NA")</f>
        <v>bos.indicus</v>
      </c>
      <c r="O1704" s="9" t="s">
        <v>4193</v>
      </c>
      <c r="P1704" s="9" t="s">
        <v>4105</v>
      </c>
      <c r="Q1704" s="9" t="s">
        <v>3810</v>
      </c>
      <c r="R1704" s="9" t="s">
        <v>3828</v>
      </c>
      <c r="S1704" s="9">
        <v>466.1</v>
      </c>
      <c r="T1704" s="9" t="s">
        <v>106</v>
      </c>
      <c r="U1704" s="9">
        <v>26.5</v>
      </c>
      <c r="V1704" s="9">
        <v>934.3</v>
      </c>
      <c r="W1704" s="9" t="s">
        <v>106</v>
      </c>
      <c r="X1704" s="9">
        <v>744.9</v>
      </c>
      <c r="Y1704" s="9">
        <v>51</v>
      </c>
      <c r="Z1704" s="9" t="s">
        <v>106</v>
      </c>
      <c r="AA1704" s="9">
        <v>47</v>
      </c>
      <c r="AB1704" s="9">
        <v>49</v>
      </c>
      <c r="AC1704" s="9" t="s">
        <v>5100</v>
      </c>
      <c r="AD1704" s="9" t="s">
        <v>5100</v>
      </c>
    </row>
    <row r="1705" spans="1:30">
      <c r="A1705" s="9" t="s">
        <v>3842</v>
      </c>
      <c r="B1705" s="9" t="s">
        <v>4622</v>
      </c>
      <c r="C1705" s="9" t="s">
        <v>105</v>
      </c>
      <c r="D1705" s="9">
        <v>2</v>
      </c>
      <c r="E1705" s="9" t="s">
        <v>106</v>
      </c>
      <c r="F1705" s="9">
        <v>139.4</v>
      </c>
      <c r="G1705" s="9" t="s">
        <v>106</v>
      </c>
      <c r="H1705" s="9" t="s">
        <v>106</v>
      </c>
      <c r="I1705" s="9">
        <v>10</v>
      </c>
      <c r="J1705" s="9" t="s">
        <v>122</v>
      </c>
      <c r="K1705" s="9" t="s">
        <v>4104</v>
      </c>
      <c r="L1705" t="str">
        <f>IF(OR(J1705="Cattle",J1705="Zebu Cattle"),IF(COUNTIF(lists!$M$2:$M$258, K1705) &gt; 0,"bos.indicus",IF(COUNTIF(lists!$L$2:$L$258, K1705) &gt; 0,"cross.bred","pure.bred.exotic")),"NA")</f>
        <v>bos.indicus</v>
      </c>
      <c r="O1705" s="9" t="s">
        <v>4193</v>
      </c>
      <c r="P1705" s="9" t="s">
        <v>4105</v>
      </c>
      <c r="Q1705" s="9" t="s">
        <v>3810</v>
      </c>
      <c r="R1705" s="9" t="s">
        <v>3828</v>
      </c>
      <c r="S1705" s="9">
        <v>475.1</v>
      </c>
      <c r="T1705" s="9" t="s">
        <v>106</v>
      </c>
      <c r="U1705" s="9">
        <v>26</v>
      </c>
      <c r="V1705" s="9">
        <v>952</v>
      </c>
      <c r="W1705" s="9" t="s">
        <v>106</v>
      </c>
      <c r="X1705" s="9">
        <v>753.7</v>
      </c>
      <c r="Y1705" s="9">
        <v>51</v>
      </c>
      <c r="Z1705" s="9" t="s">
        <v>106</v>
      </c>
      <c r="AA1705" s="9">
        <v>46</v>
      </c>
      <c r="AB1705" s="9">
        <v>49</v>
      </c>
      <c r="AC1705" s="9" t="s">
        <v>5100</v>
      </c>
      <c r="AD1705" s="9" t="s">
        <v>5100</v>
      </c>
    </row>
    <row r="1706" spans="1:30">
      <c r="A1706" s="9" t="s">
        <v>3842</v>
      </c>
      <c r="B1706" s="9" t="s">
        <v>4103</v>
      </c>
      <c r="C1706" s="9" t="s">
        <v>105</v>
      </c>
      <c r="D1706" s="9">
        <v>3.1</v>
      </c>
      <c r="E1706" s="9" t="s">
        <v>106</v>
      </c>
      <c r="F1706" s="9">
        <v>145.30000000000001</v>
      </c>
      <c r="G1706" s="9" t="s">
        <v>106</v>
      </c>
      <c r="H1706" s="9" t="s">
        <v>106</v>
      </c>
      <c r="I1706" s="9">
        <v>10</v>
      </c>
      <c r="J1706" s="9" t="s">
        <v>122</v>
      </c>
      <c r="K1706" s="9" t="s">
        <v>4104</v>
      </c>
      <c r="L1706" t="str">
        <f>IF(OR(J1706="Cattle",J1706="Zebu Cattle"),IF(COUNTIF(lists!$M$2:$M$258, K1706) &gt; 0,"bos.indicus",IF(COUNTIF(lists!$L$2:$L$258, K1706) &gt; 0,"cross.bred","pure.bred.exotic")),"NA")</f>
        <v>bos.indicus</v>
      </c>
      <c r="O1706" s="9" t="s">
        <v>4193</v>
      </c>
      <c r="P1706" s="9" t="s">
        <v>4105</v>
      </c>
      <c r="Q1706" s="9" t="s">
        <v>3810</v>
      </c>
      <c r="R1706" s="9" t="s">
        <v>3828</v>
      </c>
      <c r="S1706" s="9">
        <v>387.3</v>
      </c>
      <c r="T1706" s="9" t="s">
        <v>106</v>
      </c>
      <c r="U1706" s="9">
        <v>73.099999999999994</v>
      </c>
      <c r="V1706" s="9">
        <v>321.8</v>
      </c>
      <c r="W1706" s="9" t="s">
        <v>106</v>
      </c>
      <c r="X1706" s="9">
        <v>647.5</v>
      </c>
      <c r="Y1706" s="9">
        <v>62</v>
      </c>
      <c r="Z1706" s="9" t="s">
        <v>106</v>
      </c>
      <c r="AA1706" s="9">
        <v>61</v>
      </c>
      <c r="AB1706" s="9">
        <v>61</v>
      </c>
      <c r="AC1706" s="9" t="s">
        <v>5100</v>
      </c>
      <c r="AD1706" s="9" t="s">
        <v>5100</v>
      </c>
    </row>
    <row r="1707" spans="1:30">
      <c r="A1707" s="9" t="s">
        <v>3842</v>
      </c>
      <c r="B1707" s="9" t="s">
        <v>4103</v>
      </c>
      <c r="C1707" s="9" t="s">
        <v>105</v>
      </c>
      <c r="D1707" s="9">
        <v>2.7</v>
      </c>
      <c r="E1707" s="9" t="s">
        <v>106</v>
      </c>
      <c r="F1707" s="9">
        <v>130.4</v>
      </c>
      <c r="G1707" s="9" t="s">
        <v>106</v>
      </c>
      <c r="H1707" s="9" t="s">
        <v>106</v>
      </c>
      <c r="I1707" s="9">
        <v>10</v>
      </c>
      <c r="J1707" s="9" t="s">
        <v>122</v>
      </c>
      <c r="K1707" s="9" t="s">
        <v>4104</v>
      </c>
      <c r="L1707" t="str">
        <f>IF(OR(J1707="Cattle",J1707="Zebu Cattle"),IF(COUNTIF(lists!$M$2:$M$258, K1707) &gt; 0,"bos.indicus",IF(COUNTIF(lists!$L$2:$L$258, K1707) &gt; 0,"cross.bred","pure.bred.exotic")),"NA")</f>
        <v>bos.indicus</v>
      </c>
      <c r="O1707" s="9" t="s">
        <v>4193</v>
      </c>
      <c r="P1707" s="9" t="s">
        <v>4105</v>
      </c>
      <c r="Q1707" s="9" t="s">
        <v>3810</v>
      </c>
      <c r="R1707" s="9" t="s">
        <v>3828</v>
      </c>
      <c r="S1707" s="9">
        <v>406.6</v>
      </c>
      <c r="T1707" s="9" t="s">
        <v>106</v>
      </c>
      <c r="U1707" s="9">
        <v>57.7</v>
      </c>
      <c r="V1707" s="9">
        <v>330.2</v>
      </c>
      <c r="W1707" s="9" t="s">
        <v>106</v>
      </c>
      <c r="X1707" s="9">
        <v>672.3</v>
      </c>
      <c r="Y1707" s="9">
        <v>57</v>
      </c>
      <c r="Z1707" s="9" t="s">
        <v>106</v>
      </c>
      <c r="AA1707" s="9">
        <v>53</v>
      </c>
      <c r="AB1707" s="9">
        <v>53</v>
      </c>
      <c r="AC1707" s="9" t="s">
        <v>5100</v>
      </c>
      <c r="AD1707" s="9" t="s">
        <v>5100</v>
      </c>
    </row>
    <row r="1708" spans="1:30">
      <c r="A1708" s="9" t="s">
        <v>3843</v>
      </c>
      <c r="B1708" s="9" t="s">
        <v>4107</v>
      </c>
      <c r="C1708" s="9" t="s">
        <v>105</v>
      </c>
      <c r="D1708" s="9">
        <v>2.41</v>
      </c>
      <c r="E1708" s="9" t="s">
        <v>106</v>
      </c>
      <c r="F1708" s="68">
        <v>142</v>
      </c>
      <c r="G1708" s="9" t="s">
        <v>106</v>
      </c>
      <c r="H1708" s="9" t="s">
        <v>106</v>
      </c>
      <c r="I1708" s="9">
        <v>10</v>
      </c>
      <c r="J1708" s="9" t="s">
        <v>122</v>
      </c>
      <c r="K1708" s="9" t="s">
        <v>4104</v>
      </c>
      <c r="L1708" t="str">
        <f>IF(OR(J1708="Cattle",J1708="Zebu Cattle"),IF(COUNTIF(lists!$M$2:$M$258, K1708) &gt; 0,"bos.indicus",IF(COUNTIF(lists!$L$2:$L$258, K1708) &gt; 0,"cross.bred","pure.bred.exotic")),"NA")</f>
        <v>bos.indicus</v>
      </c>
      <c r="O1708" s="9" t="s">
        <v>4193</v>
      </c>
      <c r="P1708" s="9" t="s">
        <v>4105</v>
      </c>
      <c r="Q1708" s="9" t="s">
        <v>3810</v>
      </c>
      <c r="R1708" s="9" t="s">
        <v>3828</v>
      </c>
      <c r="S1708" s="9">
        <v>429</v>
      </c>
      <c r="T1708" s="9" t="s">
        <v>106</v>
      </c>
      <c r="U1708" s="9">
        <v>27</v>
      </c>
      <c r="V1708" s="9" t="s">
        <v>106</v>
      </c>
      <c r="W1708" s="9" t="s">
        <v>106</v>
      </c>
      <c r="X1708" s="9">
        <v>689</v>
      </c>
      <c r="Y1708" s="9">
        <v>59.2</v>
      </c>
      <c r="Z1708" s="9">
        <v>80.8</v>
      </c>
      <c r="AA1708" s="9">
        <v>46</v>
      </c>
      <c r="AB1708" s="9">
        <v>50</v>
      </c>
      <c r="AC1708" s="9" t="s">
        <v>5100</v>
      </c>
      <c r="AD1708" s="9" t="s">
        <v>5100</v>
      </c>
    </row>
    <row r="1709" spans="1:30">
      <c r="A1709" s="9" t="s">
        <v>3843</v>
      </c>
      <c r="B1709" s="9" t="s">
        <v>4108</v>
      </c>
      <c r="C1709" s="9" t="s">
        <v>105</v>
      </c>
      <c r="D1709" s="9">
        <v>2.21</v>
      </c>
      <c r="E1709" s="9" t="s">
        <v>106</v>
      </c>
      <c r="F1709" s="68">
        <v>142</v>
      </c>
      <c r="G1709" s="9" t="s">
        <v>106</v>
      </c>
      <c r="H1709" s="9" t="s">
        <v>106</v>
      </c>
      <c r="I1709" s="9">
        <v>5</v>
      </c>
      <c r="J1709" s="9" t="s">
        <v>122</v>
      </c>
      <c r="K1709" s="9" t="s">
        <v>4104</v>
      </c>
      <c r="L1709" t="str">
        <f>IF(OR(J1709="Cattle",J1709="Zebu Cattle"),IF(COUNTIF(lists!$M$2:$M$258, K1709) &gt; 0,"bos.indicus",IF(COUNTIF(lists!$L$2:$L$258, K1709) &gt; 0,"cross.bred","pure.bred.exotic")),"NA")</f>
        <v>bos.indicus</v>
      </c>
      <c r="O1709" s="9" t="s">
        <v>4193</v>
      </c>
      <c r="P1709" s="9" t="s">
        <v>4105</v>
      </c>
      <c r="Q1709" s="9" t="s">
        <v>3810</v>
      </c>
      <c r="R1709" s="9" t="s">
        <v>3828</v>
      </c>
      <c r="S1709" s="9">
        <v>415</v>
      </c>
      <c r="T1709" s="9" t="s">
        <v>106</v>
      </c>
      <c r="U1709" s="9">
        <v>26</v>
      </c>
      <c r="V1709" s="9" t="s">
        <v>106</v>
      </c>
      <c r="W1709" s="9" t="s">
        <v>106</v>
      </c>
      <c r="X1709" s="9">
        <v>668</v>
      </c>
      <c r="Y1709" s="9">
        <v>55.4</v>
      </c>
      <c r="Z1709" s="9">
        <v>80</v>
      </c>
      <c r="AA1709" s="9">
        <v>46.7</v>
      </c>
      <c r="AB1709" s="9">
        <v>48</v>
      </c>
      <c r="AC1709" s="9" t="s">
        <v>5100</v>
      </c>
      <c r="AD1709" s="9" t="s">
        <v>5100</v>
      </c>
    </row>
    <row r="1710" spans="1:30">
      <c r="A1710" s="9" t="s">
        <v>3843</v>
      </c>
      <c r="B1710" s="9" t="s">
        <v>4109</v>
      </c>
      <c r="C1710" s="9" t="s">
        <v>105</v>
      </c>
      <c r="D1710" s="9">
        <v>2.4900000000000002</v>
      </c>
      <c r="E1710" s="9" t="s">
        <v>106</v>
      </c>
      <c r="F1710" s="68">
        <v>142</v>
      </c>
      <c r="G1710" s="9" t="s">
        <v>106</v>
      </c>
      <c r="H1710" s="9" t="s">
        <v>106</v>
      </c>
      <c r="I1710" s="9">
        <v>5</v>
      </c>
      <c r="J1710" s="9" t="s">
        <v>122</v>
      </c>
      <c r="K1710" s="9" t="s">
        <v>4104</v>
      </c>
      <c r="L1710" t="str">
        <f>IF(OR(J1710="Cattle",J1710="Zebu Cattle"),IF(COUNTIF(lists!$M$2:$M$258, K1710) &gt; 0,"bos.indicus",IF(COUNTIF(lists!$L$2:$L$258, K1710) &gt; 0,"cross.bred","pure.bred.exotic")),"NA")</f>
        <v>bos.indicus</v>
      </c>
      <c r="O1710" s="9" t="s">
        <v>4193</v>
      </c>
      <c r="P1710" s="9" t="s">
        <v>4105</v>
      </c>
      <c r="Q1710" s="9" t="s">
        <v>3810</v>
      </c>
      <c r="R1710" s="9" t="s">
        <v>3828</v>
      </c>
      <c r="S1710" s="9">
        <v>395</v>
      </c>
      <c r="T1710" s="9" t="s">
        <v>106</v>
      </c>
      <c r="U1710" s="9">
        <v>31.8</v>
      </c>
      <c r="V1710" s="9" t="s">
        <v>106</v>
      </c>
      <c r="W1710" s="9" t="s">
        <v>106</v>
      </c>
      <c r="X1710" s="9">
        <v>644</v>
      </c>
      <c r="Y1710" s="9">
        <v>54.9</v>
      </c>
      <c r="Z1710" s="9">
        <v>85.4</v>
      </c>
      <c r="AA1710" s="9">
        <v>51.1</v>
      </c>
      <c r="AB1710" s="9">
        <v>54.6</v>
      </c>
      <c r="AC1710" s="9" t="s">
        <v>5100</v>
      </c>
      <c r="AD1710" s="9" t="s">
        <v>5100</v>
      </c>
    </row>
    <row r="1711" spans="1:30">
      <c r="A1711" s="9" t="s">
        <v>3843</v>
      </c>
      <c r="B1711" s="9" t="s">
        <v>4110</v>
      </c>
      <c r="C1711" s="9" t="s">
        <v>105</v>
      </c>
      <c r="D1711" s="9">
        <v>2.35</v>
      </c>
      <c r="E1711" s="9" t="s">
        <v>106</v>
      </c>
      <c r="F1711" s="68">
        <v>142</v>
      </c>
      <c r="G1711" s="9" t="s">
        <v>106</v>
      </c>
      <c r="H1711" s="9" t="s">
        <v>106</v>
      </c>
      <c r="I1711" s="9">
        <v>5</v>
      </c>
      <c r="J1711" s="9" t="s">
        <v>122</v>
      </c>
      <c r="K1711" s="9" t="s">
        <v>4104</v>
      </c>
      <c r="L1711" t="str">
        <f>IF(OR(J1711="Cattle",J1711="Zebu Cattle"),IF(COUNTIF(lists!$M$2:$M$258, K1711) &gt; 0,"bos.indicus",IF(COUNTIF(lists!$L$2:$L$258, K1711) &gt; 0,"cross.bred","pure.bred.exotic")),"NA")</f>
        <v>bos.indicus</v>
      </c>
      <c r="O1711" s="9" t="s">
        <v>4193</v>
      </c>
      <c r="P1711" s="9" t="s">
        <v>4105</v>
      </c>
      <c r="Q1711" s="9" t="s">
        <v>3810</v>
      </c>
      <c r="R1711" s="9" t="s">
        <v>3828</v>
      </c>
      <c r="S1711" s="9">
        <v>396</v>
      </c>
      <c r="T1711" s="9" t="s">
        <v>106</v>
      </c>
      <c r="U1711" s="9">
        <v>28.4</v>
      </c>
      <c r="V1711" s="9" t="s">
        <v>106</v>
      </c>
      <c r="W1711" s="9" t="s">
        <v>106</v>
      </c>
      <c r="X1711" s="9">
        <v>638</v>
      </c>
      <c r="Y1711" s="9">
        <v>52.7</v>
      </c>
      <c r="Z1711" s="9">
        <v>84.5</v>
      </c>
      <c r="AA1711" s="9">
        <v>48.6</v>
      </c>
      <c r="AB1711" s="9">
        <v>52</v>
      </c>
      <c r="AC1711" s="9" t="s">
        <v>5100</v>
      </c>
      <c r="AD1711" s="9" t="s">
        <v>5100</v>
      </c>
    </row>
    <row r="1712" spans="1:30">
      <c r="A1712" s="9" t="s">
        <v>3843</v>
      </c>
      <c r="B1712" s="9" t="s">
        <v>4106</v>
      </c>
      <c r="C1712" s="9" t="s">
        <v>105</v>
      </c>
      <c r="D1712" s="9">
        <v>2.86</v>
      </c>
      <c r="E1712" s="9" t="s">
        <v>106</v>
      </c>
      <c r="F1712" s="68">
        <v>142</v>
      </c>
      <c r="G1712" s="9" t="s">
        <v>106</v>
      </c>
      <c r="H1712" s="9" t="s">
        <v>106</v>
      </c>
      <c r="I1712" s="9">
        <v>5</v>
      </c>
      <c r="J1712" s="9" t="s">
        <v>122</v>
      </c>
      <c r="K1712" s="9" t="s">
        <v>4104</v>
      </c>
      <c r="L1712" t="str">
        <f>IF(OR(J1712="Cattle",J1712="Zebu Cattle"),IF(COUNTIF(lists!$M$2:$M$258, K1712) &gt; 0,"bos.indicus",IF(COUNTIF(lists!$L$2:$L$258, K1712) &gt; 0,"cross.bred","pure.bred.exotic")),"NA")</f>
        <v>bos.indicus</v>
      </c>
      <c r="O1712" s="9" t="s">
        <v>4193</v>
      </c>
      <c r="P1712" s="9" t="s">
        <v>4105</v>
      </c>
      <c r="Q1712" s="9" t="s">
        <v>3810</v>
      </c>
      <c r="R1712" s="9" t="s">
        <v>3828</v>
      </c>
      <c r="S1712" s="9">
        <v>393</v>
      </c>
      <c r="T1712" s="9" t="s">
        <v>106</v>
      </c>
      <c r="U1712" s="9">
        <v>29.9</v>
      </c>
      <c r="V1712" s="9" t="s">
        <v>106</v>
      </c>
      <c r="W1712" s="9" t="s">
        <v>106</v>
      </c>
      <c r="X1712" s="9">
        <v>628</v>
      </c>
      <c r="Y1712" s="9">
        <v>60</v>
      </c>
      <c r="Z1712" s="9">
        <v>69.7</v>
      </c>
      <c r="AA1712" s="9">
        <v>45.9</v>
      </c>
      <c r="AB1712" s="9">
        <v>52.9</v>
      </c>
      <c r="AC1712" s="9" t="s">
        <v>5100</v>
      </c>
      <c r="AD1712" s="9" t="s">
        <v>5100</v>
      </c>
    </row>
    <row r="1713" spans="1:31">
      <c r="A1713" s="9" t="s">
        <v>3843</v>
      </c>
      <c r="B1713" s="9" t="s">
        <v>4111</v>
      </c>
      <c r="C1713" s="9" t="s">
        <v>105</v>
      </c>
      <c r="D1713" s="9">
        <v>3.36</v>
      </c>
      <c r="E1713" s="9" t="s">
        <v>106</v>
      </c>
      <c r="F1713" s="68">
        <v>142</v>
      </c>
      <c r="G1713" s="9" t="s">
        <v>106</v>
      </c>
      <c r="H1713" s="9" t="s">
        <v>106</v>
      </c>
      <c r="I1713" s="9">
        <v>10</v>
      </c>
      <c r="J1713" s="9" t="s">
        <v>122</v>
      </c>
      <c r="K1713" s="9" t="s">
        <v>4104</v>
      </c>
      <c r="L1713" t="str">
        <f>IF(OR(J1713="Cattle",J1713="Zebu Cattle"),IF(COUNTIF(lists!$M$2:$M$258, K1713) &gt; 0,"bos.indicus",IF(COUNTIF(lists!$L$2:$L$258, K1713) &gt; 0,"cross.bred","pure.bred.exotic")),"NA")</f>
        <v>bos.indicus</v>
      </c>
      <c r="O1713" s="9" t="s">
        <v>4193</v>
      </c>
      <c r="P1713" s="9" t="s">
        <v>4105</v>
      </c>
      <c r="Q1713" s="9" t="s">
        <v>3810</v>
      </c>
      <c r="R1713" s="9" t="s">
        <v>3828</v>
      </c>
      <c r="S1713" s="9">
        <v>408</v>
      </c>
      <c r="T1713" s="9" t="s">
        <v>106</v>
      </c>
      <c r="U1713" s="9">
        <v>37</v>
      </c>
      <c r="V1713" s="9" t="s">
        <v>106</v>
      </c>
      <c r="W1713" s="9" t="s">
        <v>106</v>
      </c>
      <c r="X1713" s="9">
        <v>670</v>
      </c>
      <c r="Y1713" s="9">
        <v>58.2</v>
      </c>
      <c r="Z1713" s="9">
        <v>65.7</v>
      </c>
      <c r="AA1713" s="9">
        <v>48.7</v>
      </c>
      <c r="AB1713" s="9">
        <v>52.3</v>
      </c>
      <c r="AC1713" s="9" t="s">
        <v>5100</v>
      </c>
      <c r="AD1713" s="9" t="s">
        <v>5100</v>
      </c>
    </row>
    <row r="1714" spans="1:31">
      <c r="A1714" s="9" t="s">
        <v>3843</v>
      </c>
      <c r="B1714" s="9" t="s">
        <v>4112</v>
      </c>
      <c r="C1714" s="9" t="s">
        <v>105</v>
      </c>
      <c r="D1714" s="9">
        <v>3.45</v>
      </c>
      <c r="E1714" s="9" t="s">
        <v>106</v>
      </c>
      <c r="F1714" s="68">
        <v>142</v>
      </c>
      <c r="G1714" s="9" t="s">
        <v>106</v>
      </c>
      <c r="H1714" s="9" t="s">
        <v>106</v>
      </c>
      <c r="I1714" s="9">
        <v>5</v>
      </c>
      <c r="J1714" s="9" t="s">
        <v>122</v>
      </c>
      <c r="K1714" s="9" t="s">
        <v>4104</v>
      </c>
      <c r="L1714" t="str">
        <f>IF(OR(J1714="Cattle",J1714="Zebu Cattle"),IF(COUNTIF(lists!$M$2:$M$258, K1714) &gt; 0,"bos.indicus",IF(COUNTIF(lists!$L$2:$L$258, K1714) &gt; 0,"cross.bred","pure.bred.exotic")),"NA")</f>
        <v>bos.indicus</v>
      </c>
      <c r="O1714" s="9" t="s">
        <v>4193</v>
      </c>
      <c r="P1714" s="9" t="s">
        <v>4105</v>
      </c>
      <c r="Q1714" s="9" t="s">
        <v>3810</v>
      </c>
      <c r="R1714" s="9" t="s">
        <v>3828</v>
      </c>
      <c r="S1714" s="9">
        <v>392</v>
      </c>
      <c r="T1714" s="9" t="s">
        <v>106</v>
      </c>
      <c r="U1714" s="9">
        <v>66</v>
      </c>
      <c r="V1714" s="9" t="s">
        <v>106</v>
      </c>
      <c r="W1714" s="9" t="s">
        <v>106</v>
      </c>
      <c r="X1714" s="9">
        <v>609</v>
      </c>
      <c r="Y1714" s="9">
        <v>52.8</v>
      </c>
      <c r="Z1714" s="9">
        <v>80.900000000000006</v>
      </c>
      <c r="AA1714" s="9">
        <v>48.6</v>
      </c>
      <c r="AB1714" s="9">
        <v>51.5</v>
      </c>
      <c r="AC1714" s="9" t="s">
        <v>5100</v>
      </c>
      <c r="AD1714" s="9" t="s">
        <v>5100</v>
      </c>
    </row>
    <row r="1715" spans="1:31">
      <c r="A1715" s="9" t="s">
        <v>3843</v>
      </c>
      <c r="B1715" s="9" t="s">
        <v>4113</v>
      </c>
      <c r="C1715" s="9" t="s">
        <v>105</v>
      </c>
      <c r="D1715" s="9">
        <v>3.76</v>
      </c>
      <c r="E1715" s="9" t="s">
        <v>106</v>
      </c>
      <c r="F1715" s="68">
        <v>142</v>
      </c>
      <c r="G1715" s="9" t="s">
        <v>106</v>
      </c>
      <c r="H1715" s="9" t="s">
        <v>106</v>
      </c>
      <c r="I1715" s="9">
        <v>5</v>
      </c>
      <c r="J1715" s="9" t="s">
        <v>122</v>
      </c>
      <c r="K1715" s="9" t="s">
        <v>4104</v>
      </c>
      <c r="L1715" t="str">
        <f>IF(OR(J1715="Cattle",J1715="Zebu Cattle"),IF(COUNTIF(lists!$M$2:$M$258, K1715) &gt; 0,"bos.indicus",IF(COUNTIF(lists!$L$2:$L$258, K1715) &gt; 0,"cross.bred","pure.bred.exotic")),"NA")</f>
        <v>bos.indicus</v>
      </c>
      <c r="O1715" s="9" t="s">
        <v>4193</v>
      </c>
      <c r="P1715" s="9" t="s">
        <v>4105</v>
      </c>
      <c r="Q1715" s="9" t="s">
        <v>3810</v>
      </c>
      <c r="R1715" s="9" t="s">
        <v>3828</v>
      </c>
      <c r="S1715" s="9">
        <v>398</v>
      </c>
      <c r="T1715" s="9" t="s">
        <v>106</v>
      </c>
      <c r="U1715" s="9">
        <v>59</v>
      </c>
      <c r="V1715" s="9" t="s">
        <v>106</v>
      </c>
      <c r="W1715" s="9" t="s">
        <v>106</v>
      </c>
      <c r="X1715" s="9">
        <v>614</v>
      </c>
      <c r="Y1715" s="9">
        <v>56.2</v>
      </c>
      <c r="Z1715" s="9">
        <v>89.4</v>
      </c>
      <c r="AA1715" s="9">
        <v>50.9</v>
      </c>
      <c r="AB1715" s="9">
        <v>54</v>
      </c>
      <c r="AC1715" s="9" t="s">
        <v>5100</v>
      </c>
      <c r="AD1715" s="9" t="s">
        <v>5100</v>
      </c>
    </row>
    <row r="1716" spans="1:31">
      <c r="A1716" s="9" t="s">
        <v>3844</v>
      </c>
      <c r="B1716" s="9" t="s">
        <v>4115</v>
      </c>
      <c r="C1716" s="9" t="s">
        <v>105</v>
      </c>
      <c r="D1716" s="9">
        <v>2.419</v>
      </c>
      <c r="E1716" s="9" t="s">
        <v>106</v>
      </c>
      <c r="F1716" s="68">
        <v>143.69999999999999</v>
      </c>
      <c r="G1716" s="9" t="s">
        <v>106</v>
      </c>
      <c r="H1716" s="9" t="s">
        <v>106</v>
      </c>
      <c r="I1716" s="9">
        <v>10</v>
      </c>
      <c r="J1716" s="9" t="s">
        <v>122</v>
      </c>
      <c r="K1716" s="9" t="s">
        <v>4104</v>
      </c>
      <c r="L1716" t="str">
        <f>IF(OR(J1716="Cattle",J1716="Zebu Cattle"),IF(COUNTIF(lists!$M$2:$M$258, K1716) &gt; 0,"bos.indicus",IF(COUNTIF(lists!$L$2:$L$258, K1716) &gt; 0,"cross.bred","pure.bred.exotic")),"NA")</f>
        <v>bos.indicus</v>
      </c>
      <c r="O1716" s="9" t="s">
        <v>4193</v>
      </c>
      <c r="P1716" s="9" t="s">
        <v>4105</v>
      </c>
      <c r="Q1716" s="9" t="s">
        <v>3810</v>
      </c>
      <c r="R1716" s="9" t="s">
        <v>3828</v>
      </c>
      <c r="S1716" s="9">
        <v>459</v>
      </c>
      <c r="T1716" s="9">
        <v>130</v>
      </c>
      <c r="U1716" s="9">
        <v>28</v>
      </c>
      <c r="V1716" s="9">
        <v>943</v>
      </c>
      <c r="W1716" s="9" t="s">
        <v>106</v>
      </c>
      <c r="X1716" s="9">
        <v>735</v>
      </c>
      <c r="Y1716" s="9">
        <v>58.4</v>
      </c>
      <c r="Z1716" s="9">
        <v>82</v>
      </c>
      <c r="AA1716" s="9">
        <v>46.4</v>
      </c>
      <c r="AB1716" s="9">
        <v>49.7</v>
      </c>
      <c r="AC1716" s="9" t="s">
        <v>5100</v>
      </c>
      <c r="AD1716" s="9" t="s">
        <v>5100</v>
      </c>
    </row>
    <row r="1717" spans="1:31">
      <c r="A1717" s="9" t="s">
        <v>3844</v>
      </c>
      <c r="B1717" s="9" t="s">
        <v>4116</v>
      </c>
      <c r="C1717" s="9" t="s">
        <v>105</v>
      </c>
      <c r="D1717" s="9">
        <v>2.2799999999999998</v>
      </c>
      <c r="E1717" s="9" t="s">
        <v>106</v>
      </c>
      <c r="F1717" s="68">
        <v>143.69999999999999</v>
      </c>
      <c r="G1717" s="9" t="s">
        <v>106</v>
      </c>
      <c r="H1717" s="9" t="s">
        <v>106</v>
      </c>
      <c r="I1717" s="9">
        <v>10</v>
      </c>
      <c r="J1717" s="9" t="s">
        <v>122</v>
      </c>
      <c r="K1717" s="9" t="s">
        <v>4104</v>
      </c>
      <c r="L1717" t="str">
        <f>IF(OR(J1717="Cattle",J1717="Zebu Cattle"),IF(COUNTIF(lists!$M$2:$M$258, K1717) &gt; 0,"bos.indicus",IF(COUNTIF(lists!$L$2:$L$258, K1717) &gt; 0,"cross.bred","pure.bred.exotic")),"NA")</f>
        <v>bos.indicus</v>
      </c>
      <c r="O1717" s="9" t="s">
        <v>4193</v>
      </c>
      <c r="P1717" s="9" t="s">
        <v>4105</v>
      </c>
      <c r="Q1717" s="9" t="s">
        <v>3810</v>
      </c>
      <c r="R1717" s="9" t="s">
        <v>3828</v>
      </c>
      <c r="S1717" s="9">
        <v>457</v>
      </c>
      <c r="T1717" s="9">
        <v>80</v>
      </c>
      <c r="U1717" s="9">
        <v>24</v>
      </c>
      <c r="V1717" s="9">
        <v>870</v>
      </c>
      <c r="W1717" s="9" t="s">
        <v>106</v>
      </c>
      <c r="X1717" s="9">
        <v>773</v>
      </c>
      <c r="Y1717" s="9">
        <v>54.6</v>
      </c>
      <c r="Z1717" s="9">
        <v>81</v>
      </c>
      <c r="AA1717" s="9">
        <v>48</v>
      </c>
      <c r="AB1717" s="9">
        <v>50</v>
      </c>
      <c r="AC1717" s="9" t="s">
        <v>5100</v>
      </c>
      <c r="AD1717" s="9" t="s">
        <v>5100</v>
      </c>
    </row>
    <row r="1718" spans="1:31">
      <c r="A1718" s="9" t="s">
        <v>3844</v>
      </c>
      <c r="B1718" s="9" t="s">
        <v>4117</v>
      </c>
      <c r="C1718" s="9" t="s">
        <v>105</v>
      </c>
      <c r="D1718" s="9">
        <v>3.1949999999999998</v>
      </c>
      <c r="E1718" s="9" t="s">
        <v>106</v>
      </c>
      <c r="F1718" s="68">
        <v>143.69999999999999</v>
      </c>
      <c r="G1718" s="9" t="s">
        <v>106</v>
      </c>
      <c r="H1718" s="9" t="s">
        <v>106</v>
      </c>
      <c r="I1718" s="9">
        <v>10</v>
      </c>
      <c r="J1718" s="9" t="s">
        <v>122</v>
      </c>
      <c r="K1718" s="9" t="s">
        <v>4104</v>
      </c>
      <c r="L1718" t="str">
        <f>IF(OR(J1718="Cattle",J1718="Zebu Cattle"),IF(COUNTIF(lists!$M$2:$M$258, K1718) &gt; 0,"bos.indicus",IF(COUNTIF(lists!$L$2:$L$258, K1718) &gt; 0,"cross.bred","pure.bred.exotic")),"NA")</f>
        <v>bos.indicus</v>
      </c>
      <c r="O1718" s="9" t="s">
        <v>4193</v>
      </c>
      <c r="P1718" s="9" t="s">
        <v>4105</v>
      </c>
      <c r="Q1718" s="9" t="s">
        <v>3810</v>
      </c>
      <c r="R1718" s="9" t="s">
        <v>3828</v>
      </c>
      <c r="S1718" s="9">
        <v>443</v>
      </c>
      <c r="T1718" s="9">
        <v>115</v>
      </c>
      <c r="U1718" s="9">
        <v>37</v>
      </c>
      <c r="V1718" s="9">
        <v>931</v>
      </c>
      <c r="W1718" s="9" t="s">
        <v>106</v>
      </c>
      <c r="X1718" s="9">
        <v>726</v>
      </c>
      <c r="Y1718" s="9">
        <v>58.9</v>
      </c>
      <c r="Z1718" s="9">
        <v>73</v>
      </c>
      <c r="AA1718" s="9">
        <v>49.3</v>
      </c>
      <c r="AB1718" s="9">
        <v>52.7</v>
      </c>
      <c r="AC1718" s="9" t="s">
        <v>5100</v>
      </c>
      <c r="AD1718" s="9" t="s">
        <v>5100</v>
      </c>
    </row>
    <row r="1719" spans="1:31">
      <c r="A1719" s="9" t="s">
        <v>3844</v>
      </c>
      <c r="B1719" s="9" t="s">
        <v>4114</v>
      </c>
      <c r="C1719" s="9" t="s">
        <v>105</v>
      </c>
      <c r="D1719" s="9">
        <v>1.913</v>
      </c>
      <c r="E1719" s="9" t="s">
        <v>106</v>
      </c>
      <c r="F1719" s="68">
        <v>143.69999999999999</v>
      </c>
      <c r="G1719" s="9" t="s">
        <v>106</v>
      </c>
      <c r="H1719" s="9" t="s">
        <v>106</v>
      </c>
      <c r="I1719" s="9">
        <v>10</v>
      </c>
      <c r="J1719" s="9" t="s">
        <v>122</v>
      </c>
      <c r="K1719" s="9" t="s">
        <v>4104</v>
      </c>
      <c r="L1719" t="str">
        <f>IF(OR(J1719="Cattle",J1719="Zebu Cattle"),IF(COUNTIF(lists!$M$2:$M$258, K1719) &gt; 0,"bos.indicus",IF(COUNTIF(lists!$L$2:$L$258, K1719) &gt; 0,"cross.bred","pure.bred.exotic")),"NA")</f>
        <v>bos.indicus</v>
      </c>
      <c r="O1719" s="9" t="s">
        <v>4193</v>
      </c>
      <c r="P1719" s="9" t="s">
        <v>4105</v>
      </c>
      <c r="Q1719" s="9" t="s">
        <v>3810</v>
      </c>
      <c r="R1719" s="9" t="s">
        <v>3828</v>
      </c>
      <c r="S1719" s="9">
        <v>479</v>
      </c>
      <c r="T1719" s="9">
        <v>92</v>
      </c>
      <c r="U1719" s="9">
        <v>21</v>
      </c>
      <c r="V1719" s="9">
        <v>875</v>
      </c>
      <c r="W1719" s="9" t="s">
        <v>106</v>
      </c>
      <c r="X1719" s="9">
        <v>795</v>
      </c>
      <c r="Y1719" s="9">
        <v>56.3</v>
      </c>
      <c r="Z1719" s="9">
        <v>98</v>
      </c>
      <c r="AA1719" s="9">
        <v>45</v>
      </c>
      <c r="AB1719" s="9">
        <v>46.4</v>
      </c>
      <c r="AC1719" s="9" t="s">
        <v>5100</v>
      </c>
      <c r="AD1719" s="9" t="s">
        <v>5100</v>
      </c>
    </row>
    <row r="1720" spans="1:31">
      <c r="A1720" s="9" t="s">
        <v>3932</v>
      </c>
      <c r="B1720" s="9" t="s">
        <v>4118</v>
      </c>
      <c r="C1720" s="9" t="s">
        <v>105</v>
      </c>
      <c r="D1720" s="9">
        <v>12.77</v>
      </c>
      <c r="E1720" s="9">
        <v>1.24</v>
      </c>
      <c r="F1720" s="9">
        <v>443.61500000000001</v>
      </c>
      <c r="G1720" s="9" t="s">
        <v>106</v>
      </c>
      <c r="H1720" s="9">
        <v>10.41</v>
      </c>
      <c r="I1720" s="9">
        <v>3</v>
      </c>
      <c r="J1720" s="9" t="s">
        <v>122</v>
      </c>
      <c r="K1720" s="9" t="s">
        <v>4122</v>
      </c>
      <c r="L1720" t="str">
        <f>IF(OR(J1720="Cattle",J1720="Zebu Cattle"),IF(COUNTIF(lists!$M$2:$M$258, K1720) &gt; 0,"bos.indicus",IF(COUNTIF(lists!$L$2:$L$258, K1720) &gt; 0,"cross.bred","pure.bred.exotic")),"NA")</f>
        <v>cross.bred</v>
      </c>
      <c r="O1720" s="9" t="s">
        <v>124</v>
      </c>
      <c r="P1720" s="9" t="s">
        <v>4045</v>
      </c>
      <c r="Q1720" s="9" t="s">
        <v>3809</v>
      </c>
      <c r="R1720" s="9" t="s">
        <v>3830</v>
      </c>
      <c r="S1720" s="9" t="s">
        <v>106</v>
      </c>
      <c r="T1720" s="9" t="s">
        <v>106</v>
      </c>
      <c r="U1720" s="9" t="s">
        <v>106</v>
      </c>
      <c r="V1720" s="9" t="s">
        <v>106</v>
      </c>
      <c r="W1720" s="9" t="s">
        <v>106</v>
      </c>
      <c r="X1720" s="9" t="s">
        <v>106</v>
      </c>
      <c r="Y1720" s="9">
        <v>47.75</v>
      </c>
      <c r="Z1720" s="9" t="s">
        <v>106</v>
      </c>
      <c r="AA1720" s="9">
        <v>54.18</v>
      </c>
      <c r="AB1720" s="9">
        <v>51.5</v>
      </c>
      <c r="AC1720" s="9" t="s">
        <v>5100</v>
      </c>
      <c r="AD1720" s="9" t="s">
        <v>5100</v>
      </c>
    </row>
    <row r="1721" spans="1:31">
      <c r="A1721" s="9" t="s">
        <v>3932</v>
      </c>
      <c r="B1721" s="9" t="s">
        <v>4119</v>
      </c>
      <c r="C1721" s="9" t="s">
        <v>105</v>
      </c>
      <c r="D1721" s="9">
        <v>13.74</v>
      </c>
      <c r="E1721" s="9">
        <v>1.3</v>
      </c>
      <c r="F1721" s="9">
        <v>442.755</v>
      </c>
      <c r="G1721" s="9" t="s">
        <v>106</v>
      </c>
      <c r="H1721" s="9">
        <v>10.56</v>
      </c>
      <c r="I1721" s="9">
        <v>3</v>
      </c>
      <c r="J1721" s="9" t="s">
        <v>122</v>
      </c>
      <c r="K1721" s="9" t="s">
        <v>4122</v>
      </c>
      <c r="L1721" t="str">
        <f>IF(OR(J1721="Cattle",J1721="Zebu Cattle"),IF(COUNTIF(lists!$M$2:$M$258, K1721) &gt; 0,"bos.indicus",IF(COUNTIF(lists!$L$2:$L$258, K1721) &gt; 0,"cross.bred","pure.bred.exotic")),"NA")</f>
        <v>cross.bred</v>
      </c>
      <c r="O1721" s="9" t="s">
        <v>124</v>
      </c>
      <c r="P1721" s="9" t="s">
        <v>4045</v>
      </c>
      <c r="Q1721" s="9" t="s">
        <v>3809</v>
      </c>
      <c r="R1721" s="9" t="s">
        <v>3830</v>
      </c>
      <c r="S1721" s="9" t="s">
        <v>106</v>
      </c>
      <c r="T1721" s="9" t="s">
        <v>106</v>
      </c>
      <c r="U1721" s="9" t="s">
        <v>106</v>
      </c>
      <c r="V1721" s="9" t="s">
        <v>106</v>
      </c>
      <c r="W1721" s="9" t="s">
        <v>106</v>
      </c>
      <c r="X1721" s="9" t="s">
        <v>106</v>
      </c>
      <c r="Y1721" s="9">
        <v>50.05</v>
      </c>
      <c r="Z1721" s="9" t="s">
        <v>106</v>
      </c>
      <c r="AA1721" s="9">
        <v>57.2</v>
      </c>
      <c r="AB1721" s="9">
        <v>61</v>
      </c>
      <c r="AC1721" s="9" t="s">
        <v>5100</v>
      </c>
      <c r="AD1721" s="9" t="s">
        <v>5100</v>
      </c>
    </row>
    <row r="1722" spans="1:31">
      <c r="A1722" s="9" t="s">
        <v>3932</v>
      </c>
      <c r="B1722" s="9" t="s">
        <v>4120</v>
      </c>
      <c r="C1722" s="9" t="s">
        <v>105</v>
      </c>
      <c r="D1722" s="9">
        <v>14.28</v>
      </c>
      <c r="E1722" s="9">
        <v>1.05</v>
      </c>
      <c r="F1722" s="9">
        <v>442.685</v>
      </c>
      <c r="G1722" s="9" t="s">
        <v>106</v>
      </c>
      <c r="H1722" s="9">
        <v>11.59</v>
      </c>
      <c r="I1722" s="9">
        <v>3</v>
      </c>
      <c r="J1722" s="9" t="s">
        <v>122</v>
      </c>
      <c r="K1722" s="9" t="s">
        <v>4122</v>
      </c>
      <c r="L1722" t="str">
        <f>IF(OR(J1722="Cattle",J1722="Zebu Cattle"),IF(COUNTIF(lists!$M$2:$M$258, K1722) &gt; 0,"bos.indicus",IF(COUNTIF(lists!$L$2:$L$258, K1722) &gt; 0,"cross.bred","pure.bred.exotic")),"NA")</f>
        <v>cross.bred</v>
      </c>
      <c r="O1722" s="9" t="s">
        <v>124</v>
      </c>
      <c r="P1722" s="9" t="s">
        <v>4045</v>
      </c>
      <c r="Q1722" s="9" t="s">
        <v>3809</v>
      </c>
      <c r="R1722" s="9" t="s">
        <v>3830</v>
      </c>
      <c r="S1722" s="9" t="s">
        <v>106</v>
      </c>
      <c r="T1722" s="9" t="s">
        <v>106</v>
      </c>
      <c r="U1722" s="9" t="s">
        <v>106</v>
      </c>
      <c r="V1722" s="9" t="s">
        <v>106</v>
      </c>
      <c r="W1722" s="9" t="s">
        <v>106</v>
      </c>
      <c r="X1722" s="9" t="s">
        <v>106</v>
      </c>
      <c r="Y1722" s="9">
        <v>55</v>
      </c>
      <c r="Z1722" s="9" t="s">
        <v>106</v>
      </c>
      <c r="AA1722" s="9">
        <v>61.28</v>
      </c>
      <c r="AB1722" s="9">
        <v>64</v>
      </c>
      <c r="AC1722" s="9" t="s">
        <v>5100</v>
      </c>
      <c r="AD1722" s="9" t="s">
        <v>5100</v>
      </c>
    </row>
    <row r="1723" spans="1:31">
      <c r="A1723" s="9" t="s">
        <v>3932</v>
      </c>
      <c r="B1723" s="9" t="s">
        <v>4121</v>
      </c>
      <c r="C1723" s="9" t="s">
        <v>105</v>
      </c>
      <c r="D1723" s="9">
        <v>14.77</v>
      </c>
      <c r="E1723" s="9">
        <v>1.1000000000000001</v>
      </c>
      <c r="F1723" s="9">
        <v>443.40499999999997</v>
      </c>
      <c r="G1723" s="9" t="s">
        <v>106</v>
      </c>
      <c r="H1723" s="9">
        <v>12.1</v>
      </c>
      <c r="I1723" s="9">
        <v>3</v>
      </c>
      <c r="J1723" s="9" t="s">
        <v>122</v>
      </c>
      <c r="K1723" s="9" t="s">
        <v>4122</v>
      </c>
      <c r="L1723" t="str">
        <f>IF(OR(J1723="Cattle",J1723="Zebu Cattle"),IF(COUNTIF(lists!$M$2:$M$258, K1723) &gt; 0,"bos.indicus",IF(COUNTIF(lists!$L$2:$L$258, K1723) &gt; 0,"cross.bred","pure.bred.exotic")),"NA")</f>
        <v>cross.bred</v>
      </c>
      <c r="O1723" s="9" t="s">
        <v>124</v>
      </c>
      <c r="P1723" s="9" t="s">
        <v>4045</v>
      </c>
      <c r="Q1723" s="9" t="s">
        <v>3809</v>
      </c>
      <c r="R1723" s="9" t="s">
        <v>3830</v>
      </c>
      <c r="S1723" s="9" t="s">
        <v>106</v>
      </c>
      <c r="T1723" s="9" t="s">
        <v>106</v>
      </c>
      <c r="U1723" s="9" t="s">
        <v>106</v>
      </c>
      <c r="V1723" s="9" t="s">
        <v>106</v>
      </c>
      <c r="W1723" s="9" t="s">
        <v>106</v>
      </c>
      <c r="X1723" s="9" t="s">
        <v>106</v>
      </c>
      <c r="Y1723" s="9">
        <v>58.25</v>
      </c>
      <c r="Z1723" s="9" t="s">
        <v>106</v>
      </c>
      <c r="AA1723" s="9">
        <v>64.319999999999993</v>
      </c>
      <c r="AB1723" s="9">
        <v>67</v>
      </c>
      <c r="AC1723" s="9" t="s">
        <v>5100</v>
      </c>
      <c r="AD1723" s="9" t="s">
        <v>5100</v>
      </c>
    </row>
    <row r="1724" spans="1:31">
      <c r="A1724" s="9" t="s">
        <v>3845</v>
      </c>
      <c r="B1724" s="9" t="s">
        <v>4123</v>
      </c>
      <c r="C1724" s="9" t="s">
        <v>105</v>
      </c>
      <c r="D1724" s="9">
        <v>12.6</v>
      </c>
      <c r="E1724" s="9" t="s">
        <v>106</v>
      </c>
      <c r="F1724" s="70">
        <v>392</v>
      </c>
      <c r="G1724" s="71">
        <v>-0.10199999999999999</v>
      </c>
      <c r="H1724" s="71">
        <v>10.9</v>
      </c>
      <c r="I1724" s="9">
        <v>12</v>
      </c>
      <c r="J1724" s="9" t="s">
        <v>122</v>
      </c>
      <c r="K1724" s="71" t="s">
        <v>4126</v>
      </c>
      <c r="L1724" t="str">
        <f>IF(OR(J1724="Cattle",J1724="Zebu Cattle"),IF(COUNTIF(lists!$M$2:$M$258, K1724) &gt; 0,"bos.indicus",IF(COUNTIF(lists!$L$2:$L$258, K1724) &gt; 0,"cross.bred","pure.bred.exotic")),"NA")</f>
        <v>cross.bred</v>
      </c>
      <c r="O1724" s="9" t="s">
        <v>124</v>
      </c>
      <c r="P1724" s="9" t="s">
        <v>4045</v>
      </c>
      <c r="Q1724" s="9" t="s">
        <v>3809</v>
      </c>
      <c r="R1724" s="9" t="s">
        <v>3830</v>
      </c>
      <c r="S1724" s="9">
        <v>273</v>
      </c>
      <c r="T1724" s="9">
        <v>125</v>
      </c>
      <c r="U1724" s="9">
        <v>102</v>
      </c>
      <c r="V1724" s="9">
        <v>897</v>
      </c>
      <c r="W1724" s="9" t="s">
        <v>106</v>
      </c>
      <c r="X1724" s="9">
        <v>518</v>
      </c>
      <c r="Y1724" s="9">
        <v>69</v>
      </c>
      <c r="Z1724" s="9">
        <v>49</v>
      </c>
      <c r="AA1724" s="9">
        <v>70</v>
      </c>
      <c r="AB1724" s="9">
        <v>72</v>
      </c>
      <c r="AC1724" s="9" t="s">
        <v>5100</v>
      </c>
      <c r="AD1724" s="9" t="s">
        <v>5100</v>
      </c>
    </row>
    <row r="1725" spans="1:31">
      <c r="A1725" s="9" t="s">
        <v>3845</v>
      </c>
      <c r="B1725" s="9" t="s">
        <v>4124</v>
      </c>
      <c r="C1725" s="9" t="s">
        <v>105</v>
      </c>
      <c r="D1725" s="9">
        <v>11.1</v>
      </c>
      <c r="E1725" s="9" t="s">
        <v>106</v>
      </c>
      <c r="F1725" s="70">
        <v>392</v>
      </c>
      <c r="G1725" s="71">
        <v>-0.217</v>
      </c>
      <c r="H1725" s="71">
        <v>11.2</v>
      </c>
      <c r="I1725" s="9">
        <v>12</v>
      </c>
      <c r="J1725" s="9" t="s">
        <v>122</v>
      </c>
      <c r="K1725" s="71" t="s">
        <v>4126</v>
      </c>
      <c r="L1725" t="str">
        <f>IF(OR(J1725="Cattle",J1725="Zebu Cattle"),IF(COUNTIF(lists!$M$2:$M$258, K1725) &gt; 0,"bos.indicus",IF(COUNTIF(lists!$L$2:$L$258, K1725) &gt; 0,"cross.bred","pure.bred.exotic")),"NA")</f>
        <v>cross.bred</v>
      </c>
      <c r="O1725" s="9" t="s">
        <v>124</v>
      </c>
      <c r="P1725" s="9" t="s">
        <v>4045</v>
      </c>
      <c r="Q1725" s="9" t="s">
        <v>3809</v>
      </c>
      <c r="R1725" s="9" t="s">
        <v>3830</v>
      </c>
      <c r="S1725" s="9">
        <v>223</v>
      </c>
      <c r="T1725" s="9">
        <v>90</v>
      </c>
      <c r="U1725" s="9">
        <v>118</v>
      </c>
      <c r="V1725" s="9">
        <v>880</v>
      </c>
      <c r="W1725" s="9" t="s">
        <v>106</v>
      </c>
      <c r="X1725" s="9">
        <v>466</v>
      </c>
      <c r="Y1725" s="9">
        <v>70</v>
      </c>
      <c r="Z1725" s="9">
        <v>49</v>
      </c>
      <c r="AA1725" s="9">
        <v>75</v>
      </c>
      <c r="AB1725" s="9">
        <v>77</v>
      </c>
      <c r="AC1725" s="9" t="s">
        <v>5100</v>
      </c>
      <c r="AD1725" s="9" t="s">
        <v>5100</v>
      </c>
    </row>
    <row r="1726" spans="1:31">
      <c r="A1726" s="9" t="s">
        <v>3845</v>
      </c>
      <c r="B1726" s="9" t="s">
        <v>4125</v>
      </c>
      <c r="C1726" s="9" t="s">
        <v>105</v>
      </c>
      <c r="D1726" s="9">
        <v>11.3</v>
      </c>
      <c r="E1726" s="9" t="s">
        <v>106</v>
      </c>
      <c r="F1726" s="70">
        <v>392</v>
      </c>
      <c r="G1726" s="71">
        <v>-0.129</v>
      </c>
      <c r="H1726" s="71">
        <v>11.2</v>
      </c>
      <c r="I1726" s="9">
        <v>12</v>
      </c>
      <c r="J1726" s="9" t="s">
        <v>122</v>
      </c>
      <c r="K1726" s="71" t="s">
        <v>4126</v>
      </c>
      <c r="L1726" t="str">
        <f>IF(OR(J1726="Cattle",J1726="Zebu Cattle"),IF(COUNTIF(lists!$M$2:$M$258, K1726) &gt; 0,"bos.indicus",IF(COUNTIF(lists!$L$2:$L$258, K1726) &gt; 0,"cross.bred","pure.bred.exotic")),"NA")</f>
        <v>cross.bred</v>
      </c>
      <c r="O1726" s="9" t="s">
        <v>124</v>
      </c>
      <c r="P1726" s="9" t="s">
        <v>4045</v>
      </c>
      <c r="Q1726" s="9" t="s">
        <v>3809</v>
      </c>
      <c r="R1726" s="9" t="s">
        <v>3830</v>
      </c>
      <c r="S1726" s="9">
        <v>224</v>
      </c>
      <c r="T1726" s="9">
        <v>81</v>
      </c>
      <c r="U1726" s="9">
        <v>116</v>
      </c>
      <c r="V1726" s="9">
        <v>880</v>
      </c>
      <c r="W1726" s="9" t="s">
        <v>106</v>
      </c>
      <c r="X1726" s="9">
        <v>463</v>
      </c>
      <c r="Y1726" s="9">
        <v>69</v>
      </c>
      <c r="Z1726" s="9">
        <v>43</v>
      </c>
      <c r="AA1726" s="9">
        <v>74</v>
      </c>
      <c r="AB1726" s="9">
        <v>76</v>
      </c>
      <c r="AC1726" s="9" t="s">
        <v>5100</v>
      </c>
      <c r="AD1726" s="9" t="s">
        <v>5100</v>
      </c>
      <c r="AE1726" s="72"/>
    </row>
    <row r="1727" spans="1:31">
      <c r="A1727" s="9" t="s">
        <v>3885</v>
      </c>
      <c r="B1727" s="71" t="s">
        <v>4127</v>
      </c>
      <c r="C1727" s="9" t="s">
        <v>105</v>
      </c>
      <c r="D1727" s="9">
        <v>4.75</v>
      </c>
      <c r="E1727" s="9" t="s">
        <v>106</v>
      </c>
      <c r="F1727" s="71">
        <v>202.155</v>
      </c>
      <c r="G1727" s="71">
        <v>5.7200000000000001E-2</v>
      </c>
      <c r="H1727" s="71">
        <v>2.62</v>
      </c>
      <c r="I1727" s="9">
        <v>4</v>
      </c>
      <c r="J1727" s="9" t="s">
        <v>122</v>
      </c>
      <c r="K1727" s="9" t="s">
        <v>390</v>
      </c>
      <c r="L1727" t="str">
        <f>IF(OR(J1727="Cattle",J1727="Zebu Cattle"),IF(COUNTIF(lists!$M$2:$M$258, K1727) &gt; 0,"bos.indicus",IF(COUNTIF(lists!$L$2:$L$258, K1727) &gt; 0,"cross.bred","pure.bred.exotic")),"NA")</f>
        <v>bos.indicus</v>
      </c>
      <c r="O1727" s="9" t="s">
        <v>4193</v>
      </c>
      <c r="P1727" s="9" t="s">
        <v>4045</v>
      </c>
      <c r="Q1727" s="9" t="s">
        <v>3809</v>
      </c>
      <c r="R1727" s="9" t="s">
        <v>3830</v>
      </c>
      <c r="S1727" s="9">
        <v>439.4</v>
      </c>
      <c r="T1727" s="9">
        <v>78.7</v>
      </c>
      <c r="U1727" s="9">
        <v>81.7</v>
      </c>
      <c r="V1727" s="9">
        <v>921.6</v>
      </c>
      <c r="W1727" s="9" t="s">
        <v>106</v>
      </c>
      <c r="X1727" s="9">
        <v>707.2</v>
      </c>
      <c r="Y1727" s="9" t="s">
        <v>106</v>
      </c>
      <c r="Z1727" s="9">
        <v>87</v>
      </c>
      <c r="AA1727" s="9" t="s">
        <v>106</v>
      </c>
      <c r="AB1727" s="9" t="s">
        <v>106</v>
      </c>
      <c r="AC1727" s="9" t="s">
        <v>5100</v>
      </c>
      <c r="AD1727" s="9" t="s">
        <v>5100</v>
      </c>
    </row>
    <row r="1728" spans="1:31">
      <c r="A1728" s="9" t="s">
        <v>3885</v>
      </c>
      <c r="B1728" s="71" t="s">
        <v>4128</v>
      </c>
      <c r="C1728" s="9" t="s">
        <v>105</v>
      </c>
      <c r="D1728" s="9">
        <v>5.71</v>
      </c>
      <c r="E1728" s="9" t="s">
        <v>106</v>
      </c>
      <c r="F1728" s="71">
        <v>203.06</v>
      </c>
      <c r="G1728" s="71">
        <v>5.33E-2</v>
      </c>
      <c r="H1728" s="71">
        <v>3.02</v>
      </c>
      <c r="I1728" s="9">
        <v>4</v>
      </c>
      <c r="J1728" s="9" t="s">
        <v>122</v>
      </c>
      <c r="K1728" s="9" t="s">
        <v>390</v>
      </c>
      <c r="L1728" t="str">
        <f>IF(OR(J1728="Cattle",J1728="Zebu Cattle"),IF(COUNTIF(lists!$M$2:$M$258, K1728) &gt; 0,"bos.indicus",IF(COUNTIF(lists!$L$2:$L$258, K1728) &gt; 0,"cross.bred","pure.bred.exotic")),"NA")</f>
        <v>bos.indicus</v>
      </c>
      <c r="O1728" s="9" t="s">
        <v>4193</v>
      </c>
      <c r="P1728" s="9" t="s">
        <v>4045</v>
      </c>
      <c r="Q1728" s="9" t="s">
        <v>3809</v>
      </c>
      <c r="R1728" s="9" t="s">
        <v>3830</v>
      </c>
      <c r="S1728" s="9">
        <v>358.7</v>
      </c>
      <c r="T1728" s="9">
        <v>81.7</v>
      </c>
      <c r="U1728" s="9">
        <v>106.4</v>
      </c>
      <c r="V1728" s="9">
        <v>918.9</v>
      </c>
      <c r="W1728" s="9" t="s">
        <v>106</v>
      </c>
      <c r="X1728" s="9">
        <v>610.29999999999995</v>
      </c>
      <c r="Y1728" s="9" t="s">
        <v>106</v>
      </c>
      <c r="Z1728" s="9">
        <v>72.8</v>
      </c>
      <c r="AA1728" s="9" t="s">
        <v>106</v>
      </c>
      <c r="AB1728" s="9" t="s">
        <v>106</v>
      </c>
      <c r="AC1728" s="9" t="s">
        <v>5100</v>
      </c>
      <c r="AD1728" s="9" t="s">
        <v>5100</v>
      </c>
    </row>
    <row r="1729" spans="1:30">
      <c r="A1729" s="9" t="s">
        <v>3885</v>
      </c>
      <c r="B1729" s="71" t="s">
        <v>4129</v>
      </c>
      <c r="C1729" s="9" t="s">
        <v>105</v>
      </c>
      <c r="D1729" s="9">
        <v>6.67</v>
      </c>
      <c r="E1729" s="9" t="s">
        <v>106</v>
      </c>
      <c r="F1729" s="71">
        <v>204.77</v>
      </c>
      <c r="G1729" s="71">
        <v>5.6500000000000002E-2</v>
      </c>
      <c r="H1729" s="71">
        <v>3.27</v>
      </c>
      <c r="I1729" s="9">
        <v>4</v>
      </c>
      <c r="J1729" s="9" t="s">
        <v>122</v>
      </c>
      <c r="K1729" s="9" t="s">
        <v>390</v>
      </c>
      <c r="L1729" t="str">
        <f>IF(OR(J1729="Cattle",J1729="Zebu Cattle"),IF(COUNTIF(lists!$M$2:$M$258, K1729) &gt; 0,"bos.indicus",IF(COUNTIF(lists!$L$2:$L$258, K1729) &gt; 0,"cross.bred","pure.bred.exotic")),"NA")</f>
        <v>bos.indicus</v>
      </c>
      <c r="O1729" s="9" t="s">
        <v>4193</v>
      </c>
      <c r="P1729" s="9" t="s">
        <v>4045</v>
      </c>
      <c r="Q1729" s="9" t="s">
        <v>3809</v>
      </c>
      <c r="R1729" s="9" t="s">
        <v>3830</v>
      </c>
      <c r="S1729" s="9">
        <v>326.10000000000002</v>
      </c>
      <c r="T1729" s="9">
        <v>83</v>
      </c>
      <c r="U1729" s="9">
        <v>116.4</v>
      </c>
      <c r="V1729" s="9">
        <v>917.9</v>
      </c>
      <c r="W1729" s="9" t="s">
        <v>106</v>
      </c>
      <c r="X1729" s="9">
        <v>571.20000000000005</v>
      </c>
      <c r="Y1729" s="9" t="s">
        <v>106</v>
      </c>
      <c r="Z1729" s="9">
        <v>67</v>
      </c>
      <c r="AA1729" s="9" t="s">
        <v>106</v>
      </c>
      <c r="AB1729" s="9" t="s">
        <v>106</v>
      </c>
      <c r="AC1729" s="9" t="s">
        <v>5100</v>
      </c>
      <c r="AD1729" s="9" t="s">
        <v>5100</v>
      </c>
    </row>
    <row r="1730" spans="1:30">
      <c r="A1730" s="9" t="s">
        <v>3885</v>
      </c>
      <c r="B1730" s="71" t="s">
        <v>4130</v>
      </c>
      <c r="C1730" s="9" t="s">
        <v>105</v>
      </c>
      <c r="D1730" s="9">
        <v>6.79</v>
      </c>
      <c r="E1730" s="9" t="s">
        <v>106</v>
      </c>
      <c r="F1730" s="71">
        <v>205.47499999999999</v>
      </c>
      <c r="G1730" s="71">
        <v>6.5699999999999995E-2</v>
      </c>
      <c r="H1730" s="71">
        <v>3.55</v>
      </c>
      <c r="I1730" s="9">
        <v>4</v>
      </c>
      <c r="J1730" s="9" t="s">
        <v>122</v>
      </c>
      <c r="K1730" s="9" t="s">
        <v>390</v>
      </c>
      <c r="L1730" t="str">
        <f>IF(OR(J1730="Cattle",J1730="Zebu Cattle"),IF(COUNTIF(lists!$M$2:$M$258, K1730) &gt; 0,"bos.indicus",IF(COUNTIF(lists!$L$2:$L$258, K1730) &gt; 0,"cross.bred","pure.bred.exotic")),"NA")</f>
        <v>bos.indicus</v>
      </c>
      <c r="O1730" s="9" t="s">
        <v>4193</v>
      </c>
      <c r="P1730" s="9" t="s">
        <v>4045</v>
      </c>
      <c r="Q1730" s="9" t="s">
        <v>3809</v>
      </c>
      <c r="R1730" s="9" t="s">
        <v>3830</v>
      </c>
      <c r="S1730" s="9">
        <v>279.8</v>
      </c>
      <c r="T1730" s="9">
        <v>84.7</v>
      </c>
      <c r="U1730" s="9">
        <v>130.6</v>
      </c>
      <c r="V1730" s="9">
        <v>916.4</v>
      </c>
      <c r="W1730" s="9" t="s">
        <v>106</v>
      </c>
      <c r="X1730" s="9">
        <v>515.6</v>
      </c>
      <c r="Y1730" s="9" t="s">
        <v>106</v>
      </c>
      <c r="Z1730" s="9">
        <v>58.8</v>
      </c>
      <c r="AA1730" s="9" t="s">
        <v>106</v>
      </c>
      <c r="AB1730" s="9" t="s">
        <v>106</v>
      </c>
      <c r="AC1730" s="9" t="s">
        <v>5100</v>
      </c>
      <c r="AD1730" s="9" t="s">
        <v>5100</v>
      </c>
    </row>
    <row r="1731" spans="1:30">
      <c r="A1731" s="9" t="s">
        <v>4019</v>
      </c>
      <c r="B1731" s="9" t="s">
        <v>4131</v>
      </c>
      <c r="C1731" s="9" t="s">
        <v>105</v>
      </c>
      <c r="D1731" s="9">
        <v>4.6219999999999999</v>
      </c>
      <c r="E1731" s="9" t="s">
        <v>106</v>
      </c>
      <c r="F1731" s="71">
        <v>162.30000000000001</v>
      </c>
      <c r="G1731" s="71">
        <v>0.2</v>
      </c>
      <c r="H1731" s="71" t="s">
        <v>106</v>
      </c>
      <c r="I1731" s="9">
        <v>12</v>
      </c>
      <c r="J1731" s="9" t="s">
        <v>122</v>
      </c>
      <c r="K1731" s="9" t="s">
        <v>4788</v>
      </c>
      <c r="L1731" t="str">
        <f>IF(OR(J1731="Cattle",J1731="Zebu Cattle"),IF(COUNTIF(lists!$M$2:$M$258, K1731) &gt; 0,"bos.indicus",IF(COUNTIF(lists!$L$2:$L$258, K1731) &gt; 0,"cross.bred","pure.bred.exotic")),"NA")</f>
        <v>bos.indicus</v>
      </c>
      <c r="O1731" s="9" t="s">
        <v>4193</v>
      </c>
      <c r="P1731" s="9" t="s">
        <v>4135</v>
      </c>
      <c r="Q1731" s="9" t="s">
        <v>3813</v>
      </c>
      <c r="R1731" s="9" t="s">
        <v>3830</v>
      </c>
      <c r="S1731" s="9" t="s">
        <v>106</v>
      </c>
      <c r="T1731" s="9">
        <v>78.599999999999994</v>
      </c>
      <c r="U1731" s="9">
        <v>67.400000000000006</v>
      </c>
      <c r="V1731" s="9">
        <v>904</v>
      </c>
      <c r="W1731" s="9" t="s">
        <v>106</v>
      </c>
      <c r="X1731" s="9" t="s">
        <v>106</v>
      </c>
      <c r="Y1731" s="9" t="s">
        <v>106</v>
      </c>
      <c r="Z1731" s="9" t="s">
        <v>106</v>
      </c>
      <c r="AA1731" s="9">
        <v>57.1</v>
      </c>
      <c r="AB1731" s="9">
        <v>60</v>
      </c>
      <c r="AC1731" s="9" t="s">
        <v>5100</v>
      </c>
      <c r="AD1731" s="9" t="s">
        <v>5100</v>
      </c>
    </row>
    <row r="1732" spans="1:30">
      <c r="A1732" s="9" t="s">
        <v>4019</v>
      </c>
      <c r="B1732" s="9" t="s">
        <v>4132</v>
      </c>
      <c r="C1732" s="9" t="s">
        <v>105</v>
      </c>
      <c r="D1732" s="9">
        <v>3.8780000000000001</v>
      </c>
      <c r="E1732" s="9" t="s">
        <v>106</v>
      </c>
      <c r="F1732" s="71">
        <v>162.30000000000001</v>
      </c>
      <c r="G1732" s="71">
        <v>-0.1</v>
      </c>
      <c r="H1732" s="71" t="s">
        <v>106</v>
      </c>
      <c r="I1732" s="9">
        <v>12</v>
      </c>
      <c r="J1732" s="9" t="s">
        <v>122</v>
      </c>
      <c r="K1732" s="9" t="s">
        <v>4788</v>
      </c>
      <c r="L1732" t="str">
        <f>IF(OR(J1732="Cattle",J1732="Zebu Cattle"),IF(COUNTIF(lists!$M$2:$M$258, K1732) &gt; 0,"bos.indicus",IF(COUNTIF(lists!$L$2:$L$258, K1732) &gt; 0,"cross.bred","pure.bred.exotic")),"NA")</f>
        <v>bos.indicus</v>
      </c>
      <c r="O1732" s="9" t="s">
        <v>4193</v>
      </c>
      <c r="P1732" s="9" t="s">
        <v>4135</v>
      </c>
      <c r="Q1732" s="9" t="s">
        <v>3813</v>
      </c>
      <c r="R1732" s="9" t="s">
        <v>3830</v>
      </c>
      <c r="S1732" s="9" t="s">
        <v>106</v>
      </c>
      <c r="T1732" s="9">
        <v>78.599999999999994</v>
      </c>
      <c r="U1732" s="9">
        <v>67.400000000000006</v>
      </c>
      <c r="V1732" s="9">
        <v>904</v>
      </c>
      <c r="W1732" s="9" t="s">
        <v>106</v>
      </c>
      <c r="X1732" s="9" t="s">
        <v>106</v>
      </c>
      <c r="Y1732" s="9" t="s">
        <v>106</v>
      </c>
      <c r="Z1732" s="9" t="s">
        <v>106</v>
      </c>
      <c r="AA1732" s="9">
        <v>56.7</v>
      </c>
      <c r="AB1732" s="9">
        <v>60.4</v>
      </c>
      <c r="AC1732" s="9" t="s">
        <v>5100</v>
      </c>
      <c r="AD1732" s="9" t="s">
        <v>5100</v>
      </c>
    </row>
    <row r="1733" spans="1:30">
      <c r="A1733" s="9" t="s">
        <v>4019</v>
      </c>
      <c r="B1733" s="9" t="s">
        <v>4133</v>
      </c>
      <c r="C1733" s="9" t="s">
        <v>105</v>
      </c>
      <c r="D1733" s="9">
        <v>3.11</v>
      </c>
      <c r="E1733" s="9" t="s">
        <v>106</v>
      </c>
      <c r="F1733" s="71">
        <v>162.30000000000001</v>
      </c>
      <c r="G1733" s="71">
        <v>-0.31</v>
      </c>
      <c r="H1733" s="71" t="s">
        <v>106</v>
      </c>
      <c r="I1733" s="9">
        <v>12</v>
      </c>
      <c r="J1733" s="9" t="s">
        <v>122</v>
      </c>
      <c r="K1733" s="9" t="s">
        <v>4788</v>
      </c>
      <c r="L1733" t="str">
        <f>IF(OR(J1733="Cattle",J1733="Zebu Cattle"),IF(COUNTIF(lists!$M$2:$M$258, K1733) &gt; 0,"bos.indicus",IF(COUNTIF(lists!$L$2:$L$258, K1733) &gt; 0,"cross.bred","pure.bred.exotic")),"NA")</f>
        <v>bos.indicus</v>
      </c>
      <c r="O1733" s="9" t="s">
        <v>4193</v>
      </c>
      <c r="P1733" s="9" t="s">
        <v>4135</v>
      </c>
      <c r="Q1733" s="9" t="s">
        <v>3813</v>
      </c>
      <c r="R1733" s="9" t="s">
        <v>3830</v>
      </c>
      <c r="S1733" s="9" t="s">
        <v>106</v>
      </c>
      <c r="T1733" s="9">
        <v>78.599999999999994</v>
      </c>
      <c r="U1733" s="9">
        <v>67.400000000000006</v>
      </c>
      <c r="V1733" s="9">
        <v>904</v>
      </c>
      <c r="W1733" s="9" t="s">
        <v>106</v>
      </c>
      <c r="X1733" s="9" t="s">
        <v>106</v>
      </c>
      <c r="Y1733" s="9" t="s">
        <v>106</v>
      </c>
      <c r="Z1733" s="9" t="s">
        <v>106</v>
      </c>
      <c r="AA1733" s="9">
        <v>56.2</v>
      </c>
      <c r="AB1733" s="9">
        <v>61.5</v>
      </c>
      <c r="AC1733" s="9" t="s">
        <v>5100</v>
      </c>
      <c r="AD1733" s="9" t="s">
        <v>5100</v>
      </c>
    </row>
    <row r="1734" spans="1:30">
      <c r="A1734" s="9" t="s">
        <v>4019</v>
      </c>
      <c r="B1734" s="9" t="s">
        <v>4134</v>
      </c>
      <c r="C1734" s="9" t="s">
        <v>105</v>
      </c>
      <c r="D1734" s="9">
        <v>2.077</v>
      </c>
      <c r="E1734" s="9" t="s">
        <v>106</v>
      </c>
      <c r="F1734" s="71">
        <v>162.30000000000001</v>
      </c>
      <c r="G1734" s="71">
        <v>-0.71499999999999997</v>
      </c>
      <c r="H1734" s="71" t="s">
        <v>106</v>
      </c>
      <c r="I1734" s="9">
        <v>12</v>
      </c>
      <c r="J1734" s="9" t="s">
        <v>122</v>
      </c>
      <c r="K1734" s="9" t="s">
        <v>4788</v>
      </c>
      <c r="L1734" t="str">
        <f>IF(OR(J1734="Cattle",J1734="Zebu Cattle"),IF(COUNTIF(lists!$M$2:$M$258, K1734) &gt; 0,"bos.indicus",IF(COUNTIF(lists!$L$2:$L$258, K1734) &gt; 0,"cross.bred","pure.bred.exotic")),"NA")</f>
        <v>bos.indicus</v>
      </c>
      <c r="O1734" s="9" t="s">
        <v>4193</v>
      </c>
      <c r="P1734" s="9" t="s">
        <v>4135</v>
      </c>
      <c r="Q1734" s="9" t="s">
        <v>3813</v>
      </c>
      <c r="R1734" s="9" t="s">
        <v>3830</v>
      </c>
      <c r="S1734" s="9" t="s">
        <v>106</v>
      </c>
      <c r="T1734" s="9">
        <v>78.599999999999994</v>
      </c>
      <c r="U1734" s="9">
        <v>67.400000000000006</v>
      </c>
      <c r="V1734" s="9">
        <v>904</v>
      </c>
      <c r="W1734" s="9" t="s">
        <v>106</v>
      </c>
      <c r="X1734" s="9" t="s">
        <v>106</v>
      </c>
      <c r="Y1734" s="9" t="s">
        <v>106</v>
      </c>
      <c r="Z1734" s="9" t="s">
        <v>106</v>
      </c>
      <c r="AA1734" s="9">
        <v>55.3</v>
      </c>
      <c r="AB1734" s="9">
        <v>56.6</v>
      </c>
      <c r="AC1734" s="9" t="s">
        <v>5100</v>
      </c>
      <c r="AD1734" s="9" t="s">
        <v>5100</v>
      </c>
    </row>
    <row r="1735" spans="1:30">
      <c r="A1735" s="9" t="s">
        <v>3895</v>
      </c>
      <c r="B1735" s="9" t="s">
        <v>4136</v>
      </c>
      <c r="C1735" s="9" t="s">
        <v>105</v>
      </c>
      <c r="D1735" s="9">
        <v>6.34</v>
      </c>
      <c r="E1735" s="9" t="s">
        <v>106</v>
      </c>
      <c r="F1735" s="71">
        <v>262.2</v>
      </c>
      <c r="G1735" s="71">
        <v>1.3299999999999999E-2</v>
      </c>
      <c r="H1735" s="71">
        <v>2.34</v>
      </c>
      <c r="I1735" s="9">
        <v>3</v>
      </c>
      <c r="J1735" s="9" t="s">
        <v>122</v>
      </c>
      <c r="K1735" s="9" t="s">
        <v>356</v>
      </c>
      <c r="L1735" t="str">
        <f>IF(OR(J1735="Cattle",J1735="Zebu Cattle"),IF(COUNTIF(lists!$M$2:$M$258, K1735) &gt; 0,"bos.indicus",IF(COUNTIF(lists!$L$2:$L$258, K1735) &gt; 0,"cross.bred","pure.bred.exotic")),"NA")</f>
        <v>bos.indicus</v>
      </c>
      <c r="O1735" s="9" t="s">
        <v>4193</v>
      </c>
      <c r="P1735" s="9" t="s">
        <v>4045</v>
      </c>
      <c r="Q1735" s="9" t="s">
        <v>3809</v>
      </c>
      <c r="R1735" s="9" t="s">
        <v>3830</v>
      </c>
      <c r="S1735" s="9">
        <v>341.8</v>
      </c>
      <c r="T1735" s="9">
        <v>154.6</v>
      </c>
      <c r="U1735" s="9">
        <v>66.599999999999994</v>
      </c>
      <c r="V1735" s="9">
        <v>917.8</v>
      </c>
      <c r="W1735" s="9" t="s">
        <v>106</v>
      </c>
      <c r="X1735" s="9">
        <v>611.79999999999995</v>
      </c>
      <c r="Y1735" s="9" t="s">
        <v>106</v>
      </c>
      <c r="Z1735" s="9">
        <v>29.11</v>
      </c>
      <c r="AA1735" s="9" t="s">
        <v>106</v>
      </c>
      <c r="AB1735" s="9" t="s">
        <v>106</v>
      </c>
      <c r="AC1735" s="9" t="s">
        <v>5100</v>
      </c>
      <c r="AD1735" s="9" t="s">
        <v>5100</v>
      </c>
    </row>
    <row r="1736" spans="1:30">
      <c r="A1736" s="9" t="s">
        <v>3895</v>
      </c>
      <c r="B1736" s="9" t="s">
        <v>4137</v>
      </c>
      <c r="C1736" s="9" t="s">
        <v>105</v>
      </c>
      <c r="D1736" s="9">
        <v>7.98</v>
      </c>
      <c r="E1736" s="9" t="s">
        <v>106</v>
      </c>
      <c r="F1736" s="71">
        <v>245.64</v>
      </c>
      <c r="G1736" s="71">
        <v>2.07E-2</v>
      </c>
      <c r="H1736" s="71">
        <v>2.4</v>
      </c>
      <c r="I1736" s="9">
        <v>3</v>
      </c>
      <c r="J1736" s="9" t="s">
        <v>122</v>
      </c>
      <c r="K1736" s="9" t="s">
        <v>356</v>
      </c>
      <c r="L1736" t="str">
        <f>IF(OR(J1736="Cattle",J1736="Zebu Cattle"),IF(COUNTIF(lists!$M$2:$M$258, K1736) &gt; 0,"bos.indicus",IF(COUNTIF(lists!$L$2:$L$258, K1736) &gt; 0,"cross.bred","pure.bred.exotic")),"NA")</f>
        <v>bos.indicus</v>
      </c>
      <c r="O1736" s="9" t="s">
        <v>4193</v>
      </c>
      <c r="P1736" s="9" t="s">
        <v>4045</v>
      </c>
      <c r="Q1736" s="9" t="s">
        <v>3809</v>
      </c>
      <c r="R1736" s="9" t="s">
        <v>3830</v>
      </c>
      <c r="S1736" s="9">
        <v>380</v>
      </c>
      <c r="T1736" s="9">
        <v>199.5</v>
      </c>
      <c r="U1736" s="9">
        <v>75.7</v>
      </c>
      <c r="V1736" s="9">
        <v>925</v>
      </c>
      <c r="W1736" s="9" t="s">
        <v>106</v>
      </c>
      <c r="X1736" s="9">
        <v>619.70000000000005</v>
      </c>
      <c r="Y1736" s="9" t="s">
        <v>106</v>
      </c>
      <c r="Z1736" s="9">
        <v>49.3</v>
      </c>
      <c r="AA1736" s="9" t="s">
        <v>106</v>
      </c>
      <c r="AB1736" s="9" t="s">
        <v>106</v>
      </c>
      <c r="AC1736" s="9" t="s">
        <v>5100</v>
      </c>
      <c r="AD1736" s="9" t="s">
        <v>5100</v>
      </c>
    </row>
    <row r="1737" spans="1:30">
      <c r="A1737" s="9" t="s">
        <v>3895</v>
      </c>
      <c r="B1737" s="9" t="s">
        <v>4138</v>
      </c>
      <c r="C1737" s="9" t="s">
        <v>105</v>
      </c>
      <c r="D1737" s="9">
        <v>8.52</v>
      </c>
      <c r="E1737" s="9" t="s">
        <v>106</v>
      </c>
      <c r="F1737" s="71">
        <v>255.08500000000001</v>
      </c>
      <c r="G1737" s="71">
        <v>2.7699999999999999E-2</v>
      </c>
      <c r="H1737" s="71">
        <v>2.82</v>
      </c>
      <c r="I1737" s="9">
        <v>3</v>
      </c>
      <c r="J1737" s="9" t="s">
        <v>122</v>
      </c>
      <c r="K1737" s="9" t="s">
        <v>356</v>
      </c>
      <c r="L1737" t="str">
        <f>IF(OR(J1737="Cattle",J1737="Zebu Cattle"),IF(COUNTIF(lists!$M$2:$M$258, K1737) &gt; 0,"bos.indicus",IF(COUNTIF(lists!$L$2:$L$258, K1737) &gt; 0,"cross.bred","pure.bred.exotic")),"NA")</f>
        <v>bos.indicus</v>
      </c>
      <c r="O1737" s="9" t="s">
        <v>4193</v>
      </c>
      <c r="P1737" s="9" t="s">
        <v>4045</v>
      </c>
      <c r="Q1737" s="9" t="s">
        <v>3809</v>
      </c>
      <c r="R1737" s="9" t="s">
        <v>3830</v>
      </c>
      <c r="S1737" s="9">
        <v>343.7</v>
      </c>
      <c r="T1737" s="9">
        <v>185.4</v>
      </c>
      <c r="U1737" s="9">
        <v>70.7</v>
      </c>
      <c r="V1737" s="9">
        <v>925.1</v>
      </c>
      <c r="W1737" s="9" t="s">
        <v>106</v>
      </c>
      <c r="X1737" s="9">
        <v>531.1</v>
      </c>
      <c r="Y1737" s="9" t="s">
        <v>106</v>
      </c>
      <c r="Z1737" s="9">
        <v>38.200000000000003</v>
      </c>
      <c r="AA1737" s="9" t="s">
        <v>106</v>
      </c>
      <c r="AB1737" s="9" t="s">
        <v>106</v>
      </c>
      <c r="AC1737" s="9" t="s">
        <v>5100</v>
      </c>
      <c r="AD1737" s="9" t="s">
        <v>5100</v>
      </c>
    </row>
    <row r="1738" spans="1:30">
      <c r="A1738" s="9" t="s">
        <v>4020</v>
      </c>
      <c r="B1738" s="9" t="s">
        <v>4139</v>
      </c>
      <c r="C1738" s="9" t="s">
        <v>105</v>
      </c>
      <c r="D1738" s="9">
        <v>9.4</v>
      </c>
      <c r="E1738" s="9">
        <v>1.3</v>
      </c>
      <c r="F1738" s="73">
        <v>364</v>
      </c>
      <c r="G1738" s="71" t="s">
        <v>106</v>
      </c>
      <c r="H1738" s="71">
        <v>5.8</v>
      </c>
      <c r="I1738" s="9">
        <v>5</v>
      </c>
      <c r="J1738" s="9" t="s">
        <v>122</v>
      </c>
      <c r="K1738" s="9" t="s">
        <v>4148</v>
      </c>
      <c r="L1738" t="str">
        <f>IF(OR(J1738="Cattle",J1738="Zebu Cattle"),IF(COUNTIF(lists!$M$2:$M$258, K1738) &gt; 0,"bos.indicus",IF(COUNTIF(lists!$L$2:$L$258, K1738) &gt; 0,"cross.bred","pure.bred.exotic")),"NA")</f>
        <v>cross.bred</v>
      </c>
      <c r="O1738" s="9" t="s">
        <v>124</v>
      </c>
      <c r="P1738" s="9" t="s">
        <v>4045</v>
      </c>
      <c r="Q1738" s="9" t="s">
        <v>3809</v>
      </c>
      <c r="R1738" s="9" t="s">
        <v>3830</v>
      </c>
      <c r="S1738" s="9" t="s">
        <v>106</v>
      </c>
      <c r="T1738" s="9" t="s">
        <v>106</v>
      </c>
      <c r="U1738" s="9">
        <v>140</v>
      </c>
      <c r="V1738" s="9">
        <v>880</v>
      </c>
      <c r="W1738" s="9" t="s">
        <v>106</v>
      </c>
      <c r="X1738" s="9" t="s">
        <v>106</v>
      </c>
      <c r="Y1738" s="9" t="s">
        <v>106</v>
      </c>
      <c r="Z1738" s="9" t="s">
        <v>106</v>
      </c>
      <c r="AA1738" s="9" t="s">
        <v>106</v>
      </c>
      <c r="AB1738" s="9" t="s">
        <v>106</v>
      </c>
      <c r="AC1738" s="9" t="s">
        <v>5100</v>
      </c>
      <c r="AD1738" s="9" t="s">
        <v>5100</v>
      </c>
    </row>
    <row r="1739" spans="1:30">
      <c r="A1739" s="9" t="s">
        <v>4020</v>
      </c>
      <c r="B1739" s="9" t="s">
        <v>4140</v>
      </c>
      <c r="C1739" s="9" t="s">
        <v>105</v>
      </c>
      <c r="D1739" s="9">
        <v>9.8000000000000007</v>
      </c>
      <c r="E1739" s="9">
        <v>1.2</v>
      </c>
      <c r="F1739" s="73">
        <v>364</v>
      </c>
      <c r="G1739" s="71" t="s">
        <v>106</v>
      </c>
      <c r="H1739" s="71">
        <v>7.2</v>
      </c>
      <c r="I1739" s="9">
        <v>5</v>
      </c>
      <c r="J1739" s="9" t="s">
        <v>122</v>
      </c>
      <c r="K1739" s="9" t="s">
        <v>4148</v>
      </c>
      <c r="L1739" t="str">
        <f>IF(OR(J1739="Cattle",J1739="Zebu Cattle"),IF(COUNTIF(lists!$M$2:$M$258, K1739) &gt; 0,"bos.indicus",IF(COUNTIF(lists!$L$2:$L$258, K1739) &gt; 0,"cross.bred","pure.bred.exotic")),"NA")</f>
        <v>cross.bred</v>
      </c>
      <c r="O1739" s="9" t="s">
        <v>124</v>
      </c>
      <c r="P1739" s="9" t="s">
        <v>4045</v>
      </c>
      <c r="Q1739" s="9" t="s">
        <v>3809</v>
      </c>
      <c r="R1739" s="9" t="s">
        <v>3830</v>
      </c>
      <c r="S1739" s="9">
        <v>427</v>
      </c>
      <c r="T1739" s="9">
        <v>137</v>
      </c>
      <c r="U1739" s="9">
        <v>157</v>
      </c>
      <c r="V1739" s="9">
        <v>957</v>
      </c>
      <c r="W1739" s="9" t="s">
        <v>106</v>
      </c>
      <c r="X1739" s="9">
        <v>718</v>
      </c>
      <c r="Y1739" s="9" t="s">
        <v>106</v>
      </c>
      <c r="Z1739" s="9" t="s">
        <v>106</v>
      </c>
      <c r="AA1739" s="9" t="s">
        <v>106</v>
      </c>
      <c r="AB1739" s="9" t="s">
        <v>106</v>
      </c>
      <c r="AC1739" s="9" t="s">
        <v>5100</v>
      </c>
      <c r="AD1739" s="9" t="s">
        <v>5100</v>
      </c>
    </row>
    <row r="1740" spans="1:30">
      <c r="A1740" s="9" t="s">
        <v>4020</v>
      </c>
      <c r="B1740" s="9" t="s">
        <v>4141</v>
      </c>
      <c r="C1740" s="9" t="s">
        <v>105</v>
      </c>
      <c r="D1740" s="9">
        <v>6.1</v>
      </c>
      <c r="E1740" s="9">
        <v>1.7</v>
      </c>
      <c r="F1740" s="73">
        <v>364</v>
      </c>
      <c r="G1740" s="71" t="s">
        <v>106</v>
      </c>
      <c r="H1740" s="71">
        <v>3.8</v>
      </c>
      <c r="I1740" s="9">
        <v>5</v>
      </c>
      <c r="J1740" s="9" t="s">
        <v>122</v>
      </c>
      <c r="K1740" s="9" t="s">
        <v>4148</v>
      </c>
      <c r="L1740" t="str">
        <f>IF(OR(J1740="Cattle",J1740="Zebu Cattle"),IF(COUNTIF(lists!$M$2:$M$258, K1740) &gt; 0,"bos.indicus",IF(COUNTIF(lists!$L$2:$L$258, K1740) &gt; 0,"cross.bred","pure.bred.exotic")),"NA")</f>
        <v>cross.bred</v>
      </c>
      <c r="O1740" s="9" t="s">
        <v>124</v>
      </c>
      <c r="P1740" s="9" t="s">
        <v>4045</v>
      </c>
      <c r="Q1740" s="9" t="s">
        <v>3809</v>
      </c>
      <c r="R1740" s="9" t="s">
        <v>3830</v>
      </c>
      <c r="S1740" s="9">
        <v>476</v>
      </c>
      <c r="T1740" s="9">
        <v>81</v>
      </c>
      <c r="U1740" s="9">
        <v>37</v>
      </c>
      <c r="V1740" s="9">
        <v>963</v>
      </c>
      <c r="W1740" s="9" t="s">
        <v>106</v>
      </c>
      <c r="X1740" s="9">
        <v>772</v>
      </c>
      <c r="Y1740" s="9" t="s">
        <v>106</v>
      </c>
      <c r="Z1740" s="9" t="s">
        <v>106</v>
      </c>
      <c r="AA1740" s="9" t="s">
        <v>106</v>
      </c>
      <c r="AB1740" s="9" t="s">
        <v>106</v>
      </c>
      <c r="AC1740" s="9" t="s">
        <v>5100</v>
      </c>
      <c r="AD1740" s="9" t="s">
        <v>5100</v>
      </c>
    </row>
    <row r="1741" spans="1:30">
      <c r="A1741" s="9" t="s">
        <v>4020</v>
      </c>
      <c r="B1741" s="9" t="s">
        <v>4142</v>
      </c>
      <c r="C1741" s="9" t="s">
        <v>105</v>
      </c>
      <c r="D1741" s="9">
        <v>9.9</v>
      </c>
      <c r="E1741" s="9">
        <v>1.1000000000000001</v>
      </c>
      <c r="F1741" s="73">
        <v>364</v>
      </c>
      <c r="G1741" s="71" t="s">
        <v>106</v>
      </c>
      <c r="H1741" s="71">
        <v>7</v>
      </c>
      <c r="I1741" s="9">
        <v>5</v>
      </c>
      <c r="J1741" s="9" t="s">
        <v>122</v>
      </c>
      <c r="K1741" s="9" t="s">
        <v>4148</v>
      </c>
      <c r="L1741" t="str">
        <f>IF(OR(J1741="Cattle",J1741="Zebu Cattle"),IF(COUNTIF(lists!$M$2:$M$258, K1741) &gt; 0,"bos.indicus",IF(COUNTIF(lists!$L$2:$L$258, K1741) &gt; 0,"cross.bred","pure.bred.exotic")),"NA")</f>
        <v>cross.bred</v>
      </c>
      <c r="O1741" s="9" t="s">
        <v>124</v>
      </c>
      <c r="P1741" s="9" t="s">
        <v>4045</v>
      </c>
      <c r="Q1741" s="9" t="s">
        <v>3809</v>
      </c>
      <c r="R1741" s="9" t="s">
        <v>3830</v>
      </c>
      <c r="S1741" s="9">
        <v>515</v>
      </c>
      <c r="T1741" s="9">
        <v>75</v>
      </c>
      <c r="U1741" s="9">
        <v>137</v>
      </c>
      <c r="V1741" s="9">
        <v>963</v>
      </c>
      <c r="W1741" s="9" t="s">
        <v>106</v>
      </c>
      <c r="X1741" s="9">
        <v>631</v>
      </c>
      <c r="Y1741" s="9" t="s">
        <v>106</v>
      </c>
      <c r="Z1741" s="9" t="s">
        <v>106</v>
      </c>
      <c r="AA1741" s="9" t="s">
        <v>106</v>
      </c>
      <c r="AB1741" s="9" t="s">
        <v>106</v>
      </c>
      <c r="AC1741" s="9" t="s">
        <v>5100</v>
      </c>
      <c r="AD1741" s="9" t="s">
        <v>5100</v>
      </c>
    </row>
    <row r="1742" spans="1:30">
      <c r="A1742" s="9" t="s">
        <v>4020</v>
      </c>
      <c r="B1742" s="9" t="s">
        <v>4143</v>
      </c>
      <c r="C1742" s="9" t="s">
        <v>105</v>
      </c>
      <c r="D1742" s="9">
        <v>7</v>
      </c>
      <c r="E1742" s="9">
        <v>1.4</v>
      </c>
      <c r="F1742" s="73">
        <v>364</v>
      </c>
      <c r="G1742" s="71" t="s">
        <v>106</v>
      </c>
      <c r="H1742" s="71">
        <v>3.6</v>
      </c>
      <c r="I1742" s="9">
        <v>5</v>
      </c>
      <c r="J1742" s="9" t="s">
        <v>122</v>
      </c>
      <c r="K1742" s="9" t="s">
        <v>4148</v>
      </c>
      <c r="L1742" t="str">
        <f>IF(OR(J1742="Cattle",J1742="Zebu Cattle"),IF(COUNTIF(lists!$M$2:$M$258, K1742) &gt; 0,"bos.indicus",IF(COUNTIF(lists!$L$2:$L$258, K1742) &gt; 0,"cross.bred","pure.bred.exotic")),"NA")</f>
        <v>cross.bred</v>
      </c>
      <c r="O1742" s="9" t="s">
        <v>124</v>
      </c>
      <c r="P1742" s="9" t="s">
        <v>4045</v>
      </c>
      <c r="Q1742" s="9" t="s">
        <v>3809</v>
      </c>
      <c r="R1742" s="9" t="s">
        <v>3830</v>
      </c>
      <c r="S1742" s="9">
        <v>482</v>
      </c>
      <c r="T1742" s="9">
        <v>86</v>
      </c>
      <c r="U1742" s="9">
        <v>42</v>
      </c>
      <c r="V1742" s="9">
        <v>976</v>
      </c>
      <c r="W1742" s="9" t="s">
        <v>106</v>
      </c>
      <c r="X1742" s="9">
        <v>762</v>
      </c>
      <c r="Y1742" s="9" t="s">
        <v>106</v>
      </c>
      <c r="Z1742" s="9" t="s">
        <v>106</v>
      </c>
      <c r="AA1742" s="9" t="s">
        <v>106</v>
      </c>
      <c r="AB1742" s="9" t="s">
        <v>106</v>
      </c>
      <c r="AC1742" s="9" t="s">
        <v>5100</v>
      </c>
      <c r="AD1742" s="9" t="s">
        <v>5100</v>
      </c>
    </row>
    <row r="1743" spans="1:30">
      <c r="A1743" s="9" t="s">
        <v>3947</v>
      </c>
      <c r="B1743" s="9" t="s">
        <v>4144</v>
      </c>
      <c r="C1743" s="9" t="s">
        <v>105</v>
      </c>
      <c r="D1743" s="9">
        <v>4.9000000000000004</v>
      </c>
      <c r="E1743" s="9" t="s">
        <v>106</v>
      </c>
      <c r="F1743" s="73">
        <v>258</v>
      </c>
      <c r="G1743" s="71" t="s">
        <v>106</v>
      </c>
      <c r="H1743" s="71">
        <v>1.05</v>
      </c>
      <c r="I1743" s="9">
        <v>5</v>
      </c>
      <c r="J1743" s="9" t="s">
        <v>122</v>
      </c>
      <c r="K1743" s="9" t="s">
        <v>356</v>
      </c>
      <c r="L1743" t="str">
        <f>IF(OR(J1743="Cattle",J1743="Zebu Cattle"),IF(COUNTIF(lists!$M$2:$M$258, K1743) &gt; 0,"bos.indicus",IF(COUNTIF(lists!$L$2:$L$258, K1743) &gt; 0,"cross.bred","pure.bred.exotic")),"NA")</f>
        <v>bos.indicus</v>
      </c>
      <c r="O1743" s="9" t="s">
        <v>4193</v>
      </c>
      <c r="P1743" s="9" t="s">
        <v>4045</v>
      </c>
      <c r="Q1743" s="9" t="s">
        <v>3809</v>
      </c>
      <c r="R1743" s="9" t="s">
        <v>3830</v>
      </c>
      <c r="S1743" s="9">
        <v>508</v>
      </c>
      <c r="T1743" s="9">
        <v>156.5</v>
      </c>
      <c r="U1743" s="9">
        <v>43.3</v>
      </c>
      <c r="V1743" s="9">
        <v>930.6</v>
      </c>
      <c r="W1743" s="9" t="s">
        <v>106</v>
      </c>
      <c r="X1743" s="9">
        <v>791.1</v>
      </c>
      <c r="Y1743" s="9" t="s">
        <v>106</v>
      </c>
      <c r="Z1743" s="9" t="s">
        <v>106</v>
      </c>
      <c r="AA1743" s="9" t="s">
        <v>106</v>
      </c>
      <c r="AB1743" s="9" t="s">
        <v>106</v>
      </c>
      <c r="AC1743" s="9" t="s">
        <v>5100</v>
      </c>
      <c r="AD1743" s="9" t="s">
        <v>5100</v>
      </c>
    </row>
    <row r="1744" spans="1:30">
      <c r="A1744" s="9" t="s">
        <v>3947</v>
      </c>
      <c r="B1744" s="9" t="s">
        <v>4145</v>
      </c>
      <c r="C1744" s="9" t="s">
        <v>105</v>
      </c>
      <c r="D1744" s="9">
        <v>5.0599999999999996</v>
      </c>
      <c r="E1744" s="9" t="s">
        <v>106</v>
      </c>
      <c r="F1744" s="73">
        <v>258</v>
      </c>
      <c r="G1744" s="71" t="s">
        <v>106</v>
      </c>
      <c r="H1744" s="71">
        <v>1.2</v>
      </c>
      <c r="I1744" s="9">
        <v>5</v>
      </c>
      <c r="J1744" s="9" t="s">
        <v>122</v>
      </c>
      <c r="K1744" s="9" t="s">
        <v>356</v>
      </c>
      <c r="L1744" t="str">
        <f>IF(OR(J1744="Cattle",J1744="Zebu Cattle"),IF(COUNTIF(lists!$M$2:$M$258, K1744) &gt; 0,"bos.indicus",IF(COUNTIF(lists!$L$2:$L$258, K1744) &gt; 0,"cross.bred","pure.bred.exotic")),"NA")</f>
        <v>bos.indicus</v>
      </c>
      <c r="O1744" s="9" t="s">
        <v>4193</v>
      </c>
      <c r="P1744" s="9" t="s">
        <v>4045</v>
      </c>
      <c r="Q1744" s="9" t="s">
        <v>3809</v>
      </c>
      <c r="R1744" s="9" t="s">
        <v>3830</v>
      </c>
      <c r="S1744" s="9">
        <v>503.9</v>
      </c>
      <c r="T1744" s="9">
        <v>149.6</v>
      </c>
      <c r="U1744" s="9">
        <v>50.5</v>
      </c>
      <c r="V1744" s="9">
        <v>930.8</v>
      </c>
      <c r="W1744" s="9" t="s">
        <v>106</v>
      </c>
      <c r="X1744" s="9">
        <v>782.4</v>
      </c>
      <c r="Y1744" s="9" t="s">
        <v>106</v>
      </c>
      <c r="Z1744" s="9" t="s">
        <v>106</v>
      </c>
      <c r="AA1744" s="9" t="s">
        <v>106</v>
      </c>
      <c r="AB1744" s="9" t="s">
        <v>106</v>
      </c>
      <c r="AC1744" s="9" t="s">
        <v>5100</v>
      </c>
      <c r="AD1744" s="9" t="s">
        <v>5100</v>
      </c>
    </row>
    <row r="1745" spans="1:30">
      <c r="A1745" s="9" t="s">
        <v>3947</v>
      </c>
      <c r="B1745" s="9" t="s">
        <v>4146</v>
      </c>
      <c r="C1745" s="9" t="s">
        <v>105</v>
      </c>
      <c r="D1745" s="9">
        <v>5.63</v>
      </c>
      <c r="E1745" s="9" t="s">
        <v>106</v>
      </c>
      <c r="F1745" s="73">
        <v>258</v>
      </c>
      <c r="G1745" s="71" t="s">
        <v>106</v>
      </c>
      <c r="H1745" s="71">
        <v>1.62</v>
      </c>
      <c r="I1745" s="9">
        <v>5</v>
      </c>
      <c r="J1745" s="9" t="s">
        <v>122</v>
      </c>
      <c r="K1745" s="9" t="s">
        <v>356</v>
      </c>
      <c r="L1745" t="str">
        <f>IF(OR(J1745="Cattle",J1745="Zebu Cattle"),IF(COUNTIF(lists!$M$2:$M$258, K1745) &gt; 0,"bos.indicus",IF(COUNTIF(lists!$L$2:$L$258, K1745) &gt; 0,"cross.bred","pure.bred.exotic")),"NA")</f>
        <v>bos.indicus</v>
      </c>
      <c r="O1745" s="9" t="s">
        <v>4193</v>
      </c>
      <c r="P1745" s="9" t="s">
        <v>4045</v>
      </c>
      <c r="Q1745" s="9" t="s">
        <v>3809</v>
      </c>
      <c r="R1745" s="9" t="s">
        <v>3830</v>
      </c>
      <c r="S1745" s="9">
        <v>479.3</v>
      </c>
      <c r="T1745" s="9">
        <v>151.5</v>
      </c>
      <c r="U1745" s="9">
        <v>50.6</v>
      </c>
      <c r="V1745" s="9">
        <v>929.5</v>
      </c>
      <c r="W1745" s="9" t="s">
        <v>106</v>
      </c>
      <c r="X1745" s="9">
        <v>764.2</v>
      </c>
      <c r="Y1745" s="9" t="s">
        <v>106</v>
      </c>
      <c r="Z1745" s="9" t="s">
        <v>106</v>
      </c>
      <c r="AA1745" s="9" t="s">
        <v>106</v>
      </c>
      <c r="AB1745" s="9" t="s">
        <v>106</v>
      </c>
      <c r="AC1745" s="9" t="s">
        <v>5100</v>
      </c>
      <c r="AD1745" s="9" t="s">
        <v>5100</v>
      </c>
    </row>
    <row r="1746" spans="1:30">
      <c r="A1746" s="9" t="s">
        <v>3947</v>
      </c>
      <c r="B1746" s="9" t="s">
        <v>4147</v>
      </c>
      <c r="C1746" s="9" t="s">
        <v>105</v>
      </c>
      <c r="D1746" s="9">
        <v>5.76</v>
      </c>
      <c r="E1746" s="9" t="s">
        <v>106</v>
      </c>
      <c r="F1746" s="73">
        <v>258</v>
      </c>
      <c r="G1746" s="71" t="s">
        <v>106</v>
      </c>
      <c r="H1746" s="71">
        <v>1.85</v>
      </c>
      <c r="I1746" s="9">
        <v>5</v>
      </c>
      <c r="J1746" s="9" t="s">
        <v>122</v>
      </c>
      <c r="K1746" s="9" t="s">
        <v>356</v>
      </c>
      <c r="L1746" t="str">
        <f>IF(OR(J1746="Cattle",J1746="Zebu Cattle"),IF(COUNTIF(lists!$M$2:$M$258, K1746) &gt; 0,"bos.indicus",IF(COUNTIF(lists!$L$2:$L$258, K1746) &gt; 0,"cross.bred","pure.bred.exotic")),"NA")</f>
        <v>bos.indicus</v>
      </c>
      <c r="O1746" s="9" t="s">
        <v>4193</v>
      </c>
      <c r="P1746" s="9" t="s">
        <v>4045</v>
      </c>
      <c r="Q1746" s="9" t="s">
        <v>3809</v>
      </c>
      <c r="R1746" s="9" t="s">
        <v>3830</v>
      </c>
      <c r="S1746" s="9">
        <v>481.6</v>
      </c>
      <c r="T1746" s="9">
        <v>152.30000000000001</v>
      </c>
      <c r="U1746" s="9">
        <v>56.4</v>
      </c>
      <c r="V1746" s="9">
        <v>929</v>
      </c>
      <c r="W1746" s="9" t="s">
        <v>106</v>
      </c>
      <c r="X1746" s="9">
        <v>760.8</v>
      </c>
      <c r="Y1746" s="9" t="s">
        <v>106</v>
      </c>
      <c r="Z1746" s="9" t="s">
        <v>106</v>
      </c>
      <c r="AA1746" s="9" t="s">
        <v>106</v>
      </c>
      <c r="AB1746" s="9" t="s">
        <v>106</v>
      </c>
      <c r="AC1746" s="9" t="s">
        <v>5100</v>
      </c>
      <c r="AD1746" s="9" t="s">
        <v>5100</v>
      </c>
    </row>
    <row r="1747" spans="1:30">
      <c r="A1747" s="9" t="s">
        <v>3931</v>
      </c>
      <c r="B1747" s="9" t="s">
        <v>4149</v>
      </c>
      <c r="C1747" s="9" t="s">
        <v>105</v>
      </c>
      <c r="D1747" s="9">
        <v>7.8</v>
      </c>
      <c r="E1747" s="9" t="s">
        <v>106</v>
      </c>
      <c r="F1747" s="73">
        <v>411</v>
      </c>
      <c r="G1747" s="71" t="s">
        <v>106</v>
      </c>
      <c r="H1747" s="71" t="s">
        <v>106</v>
      </c>
      <c r="I1747" s="9">
        <v>4</v>
      </c>
      <c r="J1747" s="9" t="s">
        <v>122</v>
      </c>
      <c r="K1747" s="9" t="s">
        <v>4165</v>
      </c>
      <c r="L1747" t="str">
        <f>IF(OR(J1747="Cattle",J1747="Zebu Cattle"),IF(COUNTIF(lists!$M$2:$M$258, K1747) &gt; 0,"bos.indicus",IF(COUNTIF(lists!$L$2:$L$258, K1747) &gt; 0,"cross.bred","pure.bred.exotic")),"NA")</f>
        <v>pure.bred.exotic</v>
      </c>
      <c r="O1747" s="9" t="s">
        <v>4194</v>
      </c>
      <c r="P1747" s="9" t="s">
        <v>4069</v>
      </c>
      <c r="Q1747" s="9" t="s">
        <v>3810</v>
      </c>
      <c r="R1747" s="9" t="s">
        <v>3830</v>
      </c>
      <c r="S1747" s="9">
        <v>311</v>
      </c>
      <c r="T1747" s="9">
        <v>158</v>
      </c>
      <c r="U1747" s="9">
        <v>91</v>
      </c>
      <c r="V1747" s="9">
        <v>150</v>
      </c>
      <c r="W1747" s="9" t="s">
        <v>106</v>
      </c>
      <c r="X1747" s="9">
        <v>603</v>
      </c>
      <c r="Y1747" s="9" t="s">
        <v>106</v>
      </c>
      <c r="Z1747" s="9">
        <v>28</v>
      </c>
      <c r="AA1747" s="9" t="s">
        <v>106</v>
      </c>
      <c r="AB1747" s="9" t="s">
        <v>106</v>
      </c>
      <c r="AC1747" s="9" t="s">
        <v>5100</v>
      </c>
      <c r="AD1747" s="9" t="s">
        <v>5100</v>
      </c>
    </row>
    <row r="1748" spans="1:30">
      <c r="A1748" s="9" t="s">
        <v>3931</v>
      </c>
      <c r="B1748" s="9" t="s">
        <v>4150</v>
      </c>
      <c r="C1748" s="9" t="s">
        <v>105</v>
      </c>
      <c r="D1748" s="9">
        <v>8.1</v>
      </c>
      <c r="E1748" s="9" t="s">
        <v>106</v>
      </c>
      <c r="F1748" s="73">
        <v>411</v>
      </c>
      <c r="G1748" s="71" t="s">
        <v>106</v>
      </c>
      <c r="H1748" s="71" t="s">
        <v>106</v>
      </c>
      <c r="I1748" s="9">
        <v>4</v>
      </c>
      <c r="J1748" s="9" t="s">
        <v>122</v>
      </c>
      <c r="K1748" s="9" t="s">
        <v>4165</v>
      </c>
      <c r="L1748" t="str">
        <f>IF(OR(J1748="Cattle",J1748="Zebu Cattle"),IF(COUNTIF(lists!$M$2:$M$258, K1748) &gt; 0,"bos.indicus",IF(COUNTIF(lists!$L$2:$L$258, K1748) &gt; 0,"cross.bred","pure.bred.exotic")),"NA")</f>
        <v>pure.bred.exotic</v>
      </c>
      <c r="O1748" s="9" t="s">
        <v>4194</v>
      </c>
      <c r="P1748" s="9" t="s">
        <v>4069</v>
      </c>
      <c r="Q1748" s="9" t="s">
        <v>3810</v>
      </c>
      <c r="R1748" s="9" t="s">
        <v>3830</v>
      </c>
      <c r="S1748" s="9">
        <v>315</v>
      </c>
      <c r="T1748" s="9">
        <v>153</v>
      </c>
      <c r="U1748" s="9">
        <v>97</v>
      </c>
      <c r="V1748" s="9">
        <v>154</v>
      </c>
      <c r="W1748" s="9" t="s">
        <v>106</v>
      </c>
      <c r="X1748" s="9">
        <v>591</v>
      </c>
      <c r="Y1748" s="9" t="s">
        <v>106</v>
      </c>
      <c r="Z1748" s="9">
        <v>40</v>
      </c>
      <c r="AA1748" s="9" t="s">
        <v>106</v>
      </c>
      <c r="AB1748" s="9" t="s">
        <v>106</v>
      </c>
      <c r="AC1748" s="9" t="s">
        <v>5100</v>
      </c>
      <c r="AD1748" s="9" t="s">
        <v>5100</v>
      </c>
    </row>
    <row r="1749" spans="1:30">
      <c r="A1749" s="9" t="s">
        <v>3931</v>
      </c>
      <c r="B1749" s="9" t="s">
        <v>4151</v>
      </c>
      <c r="C1749" s="9" t="s">
        <v>105</v>
      </c>
      <c r="D1749" s="9">
        <v>8.6999999999999993</v>
      </c>
      <c r="E1749" s="9" t="s">
        <v>106</v>
      </c>
      <c r="F1749" s="73">
        <v>411</v>
      </c>
      <c r="G1749" s="71" t="s">
        <v>106</v>
      </c>
      <c r="H1749" s="71" t="s">
        <v>106</v>
      </c>
      <c r="I1749" s="9">
        <v>4</v>
      </c>
      <c r="J1749" s="9" t="s">
        <v>122</v>
      </c>
      <c r="K1749" s="9" t="s">
        <v>4165</v>
      </c>
      <c r="L1749" t="str">
        <f>IF(OR(J1749="Cattle",J1749="Zebu Cattle"),IF(COUNTIF(lists!$M$2:$M$258, K1749) &gt; 0,"bos.indicus",IF(COUNTIF(lists!$L$2:$L$258, K1749) &gt; 0,"cross.bred","pure.bred.exotic")),"NA")</f>
        <v>pure.bred.exotic</v>
      </c>
      <c r="O1749" s="9" t="s">
        <v>4194</v>
      </c>
      <c r="P1749" s="9" t="s">
        <v>4069</v>
      </c>
      <c r="Q1749" s="9" t="s">
        <v>3810</v>
      </c>
      <c r="R1749" s="9" t="s">
        <v>3830</v>
      </c>
      <c r="S1749" s="9">
        <v>319</v>
      </c>
      <c r="T1749" s="9">
        <v>147</v>
      </c>
      <c r="U1749" s="9">
        <v>108</v>
      </c>
      <c r="V1749" s="9">
        <v>162</v>
      </c>
      <c r="W1749" s="9" t="s">
        <v>106</v>
      </c>
      <c r="X1749" s="9">
        <v>583</v>
      </c>
      <c r="Y1749" s="9" t="s">
        <v>106</v>
      </c>
      <c r="Z1749" s="9">
        <v>46</v>
      </c>
      <c r="AA1749" s="9" t="s">
        <v>106</v>
      </c>
      <c r="AB1749" s="9" t="s">
        <v>106</v>
      </c>
      <c r="AC1749" s="9" t="s">
        <v>5100</v>
      </c>
      <c r="AD1749" s="9" t="s">
        <v>5100</v>
      </c>
    </row>
    <row r="1750" spans="1:30">
      <c r="A1750" s="9" t="s">
        <v>3931</v>
      </c>
      <c r="B1750" s="9" t="s">
        <v>4152</v>
      </c>
      <c r="C1750" s="9" t="s">
        <v>105</v>
      </c>
      <c r="D1750" s="9">
        <v>9.4</v>
      </c>
      <c r="E1750" s="9" t="s">
        <v>106</v>
      </c>
      <c r="F1750" s="73">
        <v>411</v>
      </c>
      <c r="G1750" s="71" t="s">
        <v>106</v>
      </c>
      <c r="H1750" s="71" t="s">
        <v>106</v>
      </c>
      <c r="I1750" s="9">
        <v>4</v>
      </c>
      <c r="J1750" s="9" t="s">
        <v>122</v>
      </c>
      <c r="K1750" s="9" t="s">
        <v>4165</v>
      </c>
      <c r="L1750" t="str">
        <f>IF(OR(J1750="Cattle",J1750="Zebu Cattle"),IF(COUNTIF(lists!$M$2:$M$258, K1750) &gt; 0,"bos.indicus",IF(COUNTIF(lists!$L$2:$L$258, K1750) &gt; 0,"cross.bred","pure.bred.exotic")),"NA")</f>
        <v>pure.bred.exotic</v>
      </c>
      <c r="O1750" s="9" t="s">
        <v>4194</v>
      </c>
      <c r="P1750" s="9" t="s">
        <v>4069</v>
      </c>
      <c r="Q1750" s="9" t="s">
        <v>3810</v>
      </c>
      <c r="R1750" s="9" t="s">
        <v>3830</v>
      </c>
      <c r="S1750" s="9">
        <v>323</v>
      </c>
      <c r="T1750" s="9">
        <v>143</v>
      </c>
      <c r="U1750" s="9">
        <v>117</v>
      </c>
      <c r="V1750" s="9">
        <v>175</v>
      </c>
      <c r="W1750" s="9" t="s">
        <v>106</v>
      </c>
      <c r="X1750" s="9">
        <v>575</v>
      </c>
      <c r="Y1750" s="9" t="s">
        <v>106</v>
      </c>
      <c r="Z1750" s="9">
        <v>52</v>
      </c>
      <c r="AA1750" s="9" t="s">
        <v>106</v>
      </c>
      <c r="AB1750" s="9" t="s">
        <v>106</v>
      </c>
      <c r="AC1750" s="9" t="s">
        <v>5100</v>
      </c>
      <c r="AD1750" s="9" t="s">
        <v>5100</v>
      </c>
    </row>
    <row r="1751" spans="1:30">
      <c r="A1751" s="9" t="s">
        <v>3931</v>
      </c>
      <c r="B1751" s="9" t="s">
        <v>4153</v>
      </c>
      <c r="C1751" s="9" t="s">
        <v>105</v>
      </c>
      <c r="D1751" s="9">
        <v>8.1999999999999993</v>
      </c>
      <c r="E1751" s="9" t="s">
        <v>106</v>
      </c>
      <c r="F1751" s="73">
        <v>411</v>
      </c>
      <c r="G1751" s="71" t="s">
        <v>106</v>
      </c>
      <c r="H1751" s="71" t="s">
        <v>106</v>
      </c>
      <c r="I1751" s="9">
        <v>4</v>
      </c>
      <c r="J1751" s="9" t="s">
        <v>122</v>
      </c>
      <c r="K1751" s="9" t="s">
        <v>4165</v>
      </c>
      <c r="L1751" t="str">
        <f>IF(OR(J1751="Cattle",J1751="Zebu Cattle"),IF(COUNTIF(lists!$M$2:$M$258, K1751) &gt; 0,"bos.indicus",IF(COUNTIF(lists!$L$2:$L$258, K1751) &gt; 0,"cross.bred","pure.bred.exotic")),"NA")</f>
        <v>pure.bred.exotic</v>
      </c>
      <c r="O1751" s="9" t="s">
        <v>4194</v>
      </c>
      <c r="P1751" s="9" t="s">
        <v>4069</v>
      </c>
      <c r="Q1751" s="9" t="s">
        <v>3810</v>
      </c>
      <c r="R1751" s="9" t="s">
        <v>3830</v>
      </c>
      <c r="S1751" s="9">
        <v>318</v>
      </c>
      <c r="T1751" s="9">
        <v>161</v>
      </c>
      <c r="U1751" s="9">
        <v>89</v>
      </c>
      <c r="V1751" s="9">
        <v>146</v>
      </c>
      <c r="W1751" s="9" t="s">
        <v>106</v>
      </c>
      <c r="X1751" s="9">
        <v>614</v>
      </c>
      <c r="Y1751" s="9" t="s">
        <v>106</v>
      </c>
      <c r="Z1751" s="9">
        <v>29</v>
      </c>
      <c r="AA1751" s="9" t="s">
        <v>106</v>
      </c>
      <c r="AB1751" s="9" t="s">
        <v>106</v>
      </c>
      <c r="AC1751" s="9" t="s">
        <v>5100</v>
      </c>
      <c r="AD1751" s="9" t="s">
        <v>5100</v>
      </c>
    </row>
    <row r="1752" spans="1:30">
      <c r="A1752" s="9" t="s">
        <v>3931</v>
      </c>
      <c r="B1752" s="9" t="s">
        <v>4154</v>
      </c>
      <c r="C1752" s="9" t="s">
        <v>105</v>
      </c>
      <c r="D1752" s="9">
        <v>8.6</v>
      </c>
      <c r="E1752" s="9" t="s">
        <v>106</v>
      </c>
      <c r="F1752" s="73">
        <v>411</v>
      </c>
      <c r="G1752" s="71" t="s">
        <v>106</v>
      </c>
      <c r="H1752" s="71" t="s">
        <v>106</v>
      </c>
      <c r="I1752" s="9">
        <v>4</v>
      </c>
      <c r="J1752" s="9" t="s">
        <v>122</v>
      </c>
      <c r="K1752" s="9" t="s">
        <v>4165</v>
      </c>
      <c r="L1752" t="str">
        <f>IF(OR(J1752="Cattle",J1752="Zebu Cattle"),IF(COUNTIF(lists!$M$2:$M$258, K1752) &gt; 0,"bos.indicus",IF(COUNTIF(lists!$L$2:$L$258, K1752) &gt; 0,"cross.bred","pure.bred.exotic")),"NA")</f>
        <v>pure.bred.exotic</v>
      </c>
      <c r="O1752" s="9" t="s">
        <v>4194</v>
      </c>
      <c r="P1752" s="9" t="s">
        <v>4069</v>
      </c>
      <c r="Q1752" s="9" t="s">
        <v>3810</v>
      </c>
      <c r="R1752" s="9" t="s">
        <v>3830</v>
      </c>
      <c r="S1752" s="9">
        <v>319</v>
      </c>
      <c r="T1752" s="9">
        <v>157</v>
      </c>
      <c r="U1752" s="9">
        <v>99</v>
      </c>
      <c r="V1752" s="9">
        <v>141</v>
      </c>
      <c r="W1752" s="9" t="s">
        <v>106</v>
      </c>
      <c r="X1752" s="9">
        <v>581</v>
      </c>
      <c r="Y1752" s="9" t="s">
        <v>106</v>
      </c>
      <c r="Z1752" s="9">
        <v>30</v>
      </c>
      <c r="AA1752" s="9" t="s">
        <v>106</v>
      </c>
      <c r="AB1752" s="9" t="s">
        <v>106</v>
      </c>
      <c r="AC1752" s="9" t="s">
        <v>5100</v>
      </c>
      <c r="AD1752" s="9" t="s">
        <v>5100</v>
      </c>
    </row>
    <row r="1753" spans="1:30">
      <c r="A1753" s="9" t="s">
        <v>3931</v>
      </c>
      <c r="B1753" s="9" t="s">
        <v>4155</v>
      </c>
      <c r="C1753" s="9" t="s">
        <v>105</v>
      </c>
      <c r="D1753" s="9">
        <v>8.6999999999999993</v>
      </c>
      <c r="E1753" s="9" t="s">
        <v>106</v>
      </c>
      <c r="F1753" s="73">
        <v>411</v>
      </c>
      <c r="G1753" s="71" t="s">
        <v>106</v>
      </c>
      <c r="H1753" s="71" t="s">
        <v>106</v>
      </c>
      <c r="I1753" s="9">
        <v>4</v>
      </c>
      <c r="J1753" s="9" t="s">
        <v>122</v>
      </c>
      <c r="K1753" s="9" t="s">
        <v>4165</v>
      </c>
      <c r="L1753" t="str">
        <f>IF(OR(J1753="Cattle",J1753="Zebu Cattle"),IF(COUNTIF(lists!$M$2:$M$258, K1753) &gt; 0,"bos.indicus",IF(COUNTIF(lists!$L$2:$L$258, K1753) &gt; 0,"cross.bred","pure.bred.exotic")),"NA")</f>
        <v>pure.bred.exotic</v>
      </c>
      <c r="O1753" s="9" t="s">
        <v>4194</v>
      </c>
      <c r="P1753" s="9" t="s">
        <v>4069</v>
      </c>
      <c r="Q1753" s="9" t="s">
        <v>3810</v>
      </c>
      <c r="R1753" s="9" t="s">
        <v>3830</v>
      </c>
      <c r="S1753" s="9">
        <v>320</v>
      </c>
      <c r="T1753" s="9">
        <v>153</v>
      </c>
      <c r="U1753" s="9">
        <v>109</v>
      </c>
      <c r="V1753" s="9">
        <v>136</v>
      </c>
      <c r="W1753" s="9" t="s">
        <v>106</v>
      </c>
      <c r="X1753" s="9">
        <v>573</v>
      </c>
      <c r="Y1753" s="9" t="s">
        <v>106</v>
      </c>
      <c r="Z1753" s="9">
        <v>30</v>
      </c>
      <c r="AA1753" s="9" t="s">
        <v>106</v>
      </c>
      <c r="AB1753" s="9" t="s">
        <v>106</v>
      </c>
      <c r="AC1753" s="9" t="s">
        <v>5100</v>
      </c>
      <c r="AD1753" s="9" t="s">
        <v>5100</v>
      </c>
    </row>
    <row r="1754" spans="1:30">
      <c r="A1754" s="9" t="s">
        <v>3931</v>
      </c>
      <c r="B1754" s="9" t="s">
        <v>4156</v>
      </c>
      <c r="C1754" s="9" t="s">
        <v>105</v>
      </c>
      <c r="D1754" s="9">
        <v>9.6999999999999993</v>
      </c>
      <c r="E1754" s="9" t="s">
        <v>106</v>
      </c>
      <c r="F1754" s="73">
        <v>411</v>
      </c>
      <c r="G1754" s="71" t="s">
        <v>106</v>
      </c>
      <c r="H1754" s="71" t="s">
        <v>106</v>
      </c>
      <c r="I1754" s="9">
        <v>4</v>
      </c>
      <c r="J1754" s="9" t="s">
        <v>122</v>
      </c>
      <c r="K1754" s="9" t="s">
        <v>4165</v>
      </c>
      <c r="L1754" t="str">
        <f>IF(OR(J1754="Cattle",J1754="Zebu Cattle"),IF(COUNTIF(lists!$M$2:$M$258, K1754) &gt; 0,"bos.indicus",IF(COUNTIF(lists!$L$2:$L$258, K1754) &gt; 0,"cross.bred","pure.bred.exotic")),"NA")</f>
        <v>pure.bred.exotic</v>
      </c>
      <c r="O1754" s="9" t="s">
        <v>4194</v>
      </c>
      <c r="P1754" s="9" t="s">
        <v>4069</v>
      </c>
      <c r="Q1754" s="9" t="s">
        <v>3810</v>
      </c>
      <c r="R1754" s="9" t="s">
        <v>3830</v>
      </c>
      <c r="S1754" s="9">
        <v>321</v>
      </c>
      <c r="T1754" s="9">
        <v>149</v>
      </c>
      <c r="U1754" s="9">
        <v>120</v>
      </c>
      <c r="V1754" s="9">
        <v>128</v>
      </c>
      <c r="W1754" s="9" t="s">
        <v>106</v>
      </c>
      <c r="X1754" s="9">
        <v>565</v>
      </c>
      <c r="Y1754" s="9" t="s">
        <v>106</v>
      </c>
      <c r="Z1754" s="9">
        <v>31</v>
      </c>
      <c r="AA1754" s="9" t="s">
        <v>106</v>
      </c>
      <c r="AB1754" s="9" t="s">
        <v>106</v>
      </c>
      <c r="AC1754" s="9" t="s">
        <v>5100</v>
      </c>
      <c r="AD1754" s="9" t="s">
        <v>5100</v>
      </c>
    </row>
    <row r="1755" spans="1:30">
      <c r="A1755" s="9" t="s">
        <v>3972</v>
      </c>
      <c r="B1755" s="9" t="s">
        <v>4157</v>
      </c>
      <c r="C1755" s="9" t="s">
        <v>105</v>
      </c>
      <c r="D1755" s="9">
        <v>1.25</v>
      </c>
      <c r="E1755" s="59">
        <f>SQRT(I1755)*0.0119</f>
        <v>3.3658282784479666E-2</v>
      </c>
      <c r="F1755" s="71">
        <v>126</v>
      </c>
      <c r="G1755" s="71">
        <v>0.69599999999999995</v>
      </c>
      <c r="H1755" s="71" t="s">
        <v>106</v>
      </c>
      <c r="I1755" s="9">
        <v>8</v>
      </c>
      <c r="J1755" s="9" t="s">
        <v>122</v>
      </c>
      <c r="K1755" s="9" t="s">
        <v>4161</v>
      </c>
      <c r="L1755" t="str">
        <f>IF(OR(J1755="Cattle",J1755="Zebu Cattle"),IF(COUNTIF(lists!$M$2:$M$258, K1755) &gt; 0,"bos.indicus",IF(COUNTIF(lists!$L$2:$L$258, K1755) &gt; 0,"cross.bred","pure.bred.exotic")),"NA")</f>
        <v>bos.indicus</v>
      </c>
      <c r="O1755" s="9" t="s">
        <v>4193</v>
      </c>
      <c r="P1755" s="16" t="s">
        <v>4160</v>
      </c>
      <c r="Q1755" s="9" t="s">
        <v>3806</v>
      </c>
      <c r="R1755" s="9" t="s">
        <v>3828</v>
      </c>
      <c r="S1755" s="9">
        <v>221</v>
      </c>
      <c r="T1755" s="9">
        <v>56.7</v>
      </c>
      <c r="U1755" s="9">
        <v>162</v>
      </c>
      <c r="V1755" s="9">
        <v>957</v>
      </c>
      <c r="W1755" s="9">
        <v>113</v>
      </c>
      <c r="X1755" s="9">
        <v>504</v>
      </c>
      <c r="Y1755" s="9" t="s">
        <v>106</v>
      </c>
      <c r="Z1755" s="9" t="s">
        <v>106</v>
      </c>
      <c r="AA1755" s="9">
        <v>56</v>
      </c>
      <c r="AB1755" s="9">
        <v>58.5</v>
      </c>
      <c r="AC1755" s="9" t="s">
        <v>5100</v>
      </c>
      <c r="AD1755" s="9" t="s">
        <v>5100</v>
      </c>
    </row>
    <row r="1756" spans="1:30">
      <c r="A1756" s="78" t="s">
        <v>3972</v>
      </c>
      <c r="B1756" s="78" t="s">
        <v>4158</v>
      </c>
      <c r="C1756" s="9" t="s">
        <v>105</v>
      </c>
      <c r="D1756" s="9">
        <v>1.26</v>
      </c>
      <c r="E1756" s="59">
        <f>SQRT(I1756)*0.0132</f>
        <v>3.7335238046649712E-2</v>
      </c>
      <c r="F1756" s="71">
        <v>126.5</v>
      </c>
      <c r="G1756" s="71">
        <v>0.73</v>
      </c>
      <c r="H1756" s="71" t="s">
        <v>106</v>
      </c>
      <c r="I1756" s="9">
        <v>8</v>
      </c>
      <c r="J1756" s="9" t="s">
        <v>122</v>
      </c>
      <c r="K1756" s="9" t="s">
        <v>4161</v>
      </c>
      <c r="L1756" t="str">
        <f>IF(OR(J1756="Cattle",J1756="Zebu Cattle"),IF(COUNTIF(lists!$M$2:$M$258, K1756) &gt; 0,"bos.indicus",IF(COUNTIF(lists!$L$2:$L$258, K1756) &gt; 0,"cross.bred","pure.bred.exotic")),"NA")</f>
        <v>bos.indicus</v>
      </c>
      <c r="O1756" s="9" t="s">
        <v>4193</v>
      </c>
      <c r="P1756" s="16" t="s">
        <v>4160</v>
      </c>
      <c r="Q1756" s="9" t="s">
        <v>3806</v>
      </c>
      <c r="R1756" s="9" t="s">
        <v>3828</v>
      </c>
      <c r="S1756" s="9">
        <v>245</v>
      </c>
      <c r="T1756" s="9">
        <v>108</v>
      </c>
      <c r="U1756" s="9">
        <v>160</v>
      </c>
      <c r="V1756" s="9">
        <v>962</v>
      </c>
      <c r="W1756" s="9">
        <v>93.1</v>
      </c>
      <c r="X1756" s="9">
        <v>394</v>
      </c>
      <c r="Y1756" s="9" t="s">
        <v>106</v>
      </c>
      <c r="Z1756" s="9" t="s">
        <v>106</v>
      </c>
      <c r="AA1756" s="9">
        <v>59.8</v>
      </c>
      <c r="AB1756" s="9">
        <v>64.5</v>
      </c>
      <c r="AC1756" s="9" t="s">
        <v>5100</v>
      </c>
      <c r="AD1756" s="9" t="s">
        <v>5100</v>
      </c>
    </row>
    <row r="1757" spans="1:30">
      <c r="A1757" s="9" t="s">
        <v>3972</v>
      </c>
      <c r="B1757" s="9" t="s">
        <v>4159</v>
      </c>
      <c r="C1757" s="9" t="s">
        <v>105</v>
      </c>
      <c r="D1757" s="9">
        <v>1.004</v>
      </c>
      <c r="E1757" s="59">
        <f>SQRT(I1757)*0.00884</f>
        <v>2.5003295782756323E-2</v>
      </c>
      <c r="F1757" s="71">
        <v>121</v>
      </c>
      <c r="G1757" s="71">
        <v>0.56899999999999995</v>
      </c>
      <c r="H1757" s="71" t="s">
        <v>106</v>
      </c>
      <c r="I1757" s="9">
        <v>8</v>
      </c>
      <c r="J1757" s="9" t="s">
        <v>122</v>
      </c>
      <c r="K1757" s="9" t="s">
        <v>4161</v>
      </c>
      <c r="L1757" t="str">
        <f>IF(OR(J1757="Cattle",J1757="Zebu Cattle"),IF(COUNTIF(lists!$M$2:$M$258, K1757) &gt; 0,"bos.indicus",IF(COUNTIF(lists!$L$2:$L$258, K1757) &gt; 0,"cross.bred","pure.bred.exotic")),"NA")</f>
        <v>bos.indicus</v>
      </c>
      <c r="O1757" s="9" t="s">
        <v>4193</v>
      </c>
      <c r="P1757" s="16" t="s">
        <v>4160</v>
      </c>
      <c r="Q1757" s="9" t="s">
        <v>3806</v>
      </c>
      <c r="R1757" s="9" t="s">
        <v>3828</v>
      </c>
      <c r="S1757" s="9">
        <v>287</v>
      </c>
      <c r="T1757" s="9">
        <v>175</v>
      </c>
      <c r="U1757" s="9">
        <v>163</v>
      </c>
      <c r="V1757" s="9">
        <v>967</v>
      </c>
      <c r="W1757" s="9">
        <v>61.4</v>
      </c>
      <c r="X1757" s="9">
        <v>414</v>
      </c>
      <c r="Y1757" s="9" t="s">
        <v>106</v>
      </c>
      <c r="Z1757" s="9" t="s">
        <v>106</v>
      </c>
      <c r="AA1757" s="9">
        <v>52.1</v>
      </c>
      <c r="AB1757" s="9">
        <v>63.5</v>
      </c>
      <c r="AC1757" s="9" t="s">
        <v>5100</v>
      </c>
      <c r="AD1757" s="9" t="s">
        <v>5100</v>
      </c>
    </row>
    <row r="1758" spans="1:30">
      <c r="A1758" s="9" t="s">
        <v>3897</v>
      </c>
      <c r="B1758" s="9" t="s">
        <v>4623</v>
      </c>
      <c r="C1758" s="9" t="s">
        <v>105</v>
      </c>
      <c r="D1758" s="9">
        <v>3.18</v>
      </c>
      <c r="E1758" s="9" t="s">
        <v>106</v>
      </c>
      <c r="F1758" s="73">
        <v>146</v>
      </c>
      <c r="G1758" s="71">
        <v>8.2000000000000003E-2</v>
      </c>
      <c r="H1758" s="71" t="s">
        <v>106</v>
      </c>
      <c r="I1758" s="9">
        <v>8</v>
      </c>
      <c r="J1758" s="9" t="s">
        <v>122</v>
      </c>
      <c r="K1758" s="9" t="s">
        <v>441</v>
      </c>
      <c r="L1758" t="str">
        <f>IF(OR(J1758="Cattle",J1758="Zebu Cattle"),IF(COUNTIF(lists!$M$2:$M$258, K1758) &gt; 0,"bos.indicus",IF(COUNTIF(lists!$L$2:$L$258, K1758) &gt; 0,"cross.bred","pure.bred.exotic")),"NA")</f>
        <v>bos.indicus</v>
      </c>
      <c r="O1758" s="9" t="s">
        <v>4193</v>
      </c>
      <c r="P1758" s="9" t="s">
        <v>4162</v>
      </c>
      <c r="Q1758" s="9" t="s">
        <v>3804</v>
      </c>
      <c r="R1758" s="9" t="s">
        <v>3828</v>
      </c>
      <c r="S1758" s="9">
        <v>505</v>
      </c>
      <c r="T1758" s="9">
        <v>107.2</v>
      </c>
      <c r="U1758" s="9">
        <v>151</v>
      </c>
      <c r="V1758" s="9">
        <v>917.2</v>
      </c>
      <c r="W1758" s="9">
        <v>33.4</v>
      </c>
      <c r="X1758" s="9">
        <v>622.6</v>
      </c>
      <c r="Y1758" s="9">
        <v>46</v>
      </c>
      <c r="Z1758" s="9">
        <v>155.6</v>
      </c>
      <c r="AA1758" s="9">
        <v>43</v>
      </c>
      <c r="AB1758" s="9">
        <v>50</v>
      </c>
      <c r="AC1758" s="9" t="s">
        <v>5100</v>
      </c>
      <c r="AD1758" s="9" t="s">
        <v>5100</v>
      </c>
    </row>
    <row r="1759" spans="1:30">
      <c r="A1759" s="9" t="s">
        <v>3897</v>
      </c>
      <c r="B1759" s="9" t="s">
        <v>4624</v>
      </c>
      <c r="C1759" s="9" t="s">
        <v>105</v>
      </c>
      <c r="D1759" s="9">
        <v>3.47</v>
      </c>
      <c r="E1759" s="9" t="s">
        <v>106</v>
      </c>
      <c r="F1759" s="73">
        <v>146</v>
      </c>
      <c r="G1759" s="71">
        <v>0.27</v>
      </c>
      <c r="H1759" s="71" t="s">
        <v>106</v>
      </c>
      <c r="I1759" s="9">
        <v>8</v>
      </c>
      <c r="J1759" s="9" t="s">
        <v>122</v>
      </c>
      <c r="K1759" s="9" t="s">
        <v>441</v>
      </c>
      <c r="L1759" t="str">
        <f>IF(OR(J1759="Cattle",J1759="Zebu Cattle"),IF(COUNTIF(lists!$M$2:$M$258, K1759) &gt; 0,"bos.indicus",IF(COUNTIF(lists!$L$2:$L$258, K1759) &gt; 0,"cross.bred","pure.bred.exotic")),"NA")</f>
        <v>bos.indicus</v>
      </c>
      <c r="O1759" s="9" t="s">
        <v>4193</v>
      </c>
      <c r="P1759" s="9" t="s">
        <v>4162</v>
      </c>
      <c r="Q1759" s="9" t="s">
        <v>3804</v>
      </c>
      <c r="R1759" s="9" t="s">
        <v>3828</v>
      </c>
      <c r="S1759" s="9">
        <v>505</v>
      </c>
      <c r="T1759" s="9">
        <v>107.2</v>
      </c>
      <c r="U1759" s="9">
        <v>151</v>
      </c>
      <c r="V1759" s="9">
        <v>917.2</v>
      </c>
      <c r="W1759" s="9">
        <v>33.4</v>
      </c>
      <c r="X1759" s="9">
        <v>622.6</v>
      </c>
      <c r="Y1759" s="9">
        <v>59</v>
      </c>
      <c r="Z1759" s="9">
        <v>155.6</v>
      </c>
      <c r="AA1759" s="9">
        <v>62</v>
      </c>
      <c r="AB1759" s="9">
        <v>65</v>
      </c>
      <c r="AC1759" s="9" t="s">
        <v>5100</v>
      </c>
      <c r="AD1759" s="9" t="s">
        <v>5100</v>
      </c>
    </row>
    <row r="1760" spans="1:30">
      <c r="A1760" s="9" t="s">
        <v>3897</v>
      </c>
      <c r="B1760" s="9" t="s">
        <v>4625</v>
      </c>
      <c r="C1760" s="9" t="s">
        <v>105</v>
      </c>
      <c r="D1760" s="9">
        <v>3.4</v>
      </c>
      <c r="E1760" s="9" t="s">
        <v>106</v>
      </c>
      <c r="F1760" s="73">
        <v>146</v>
      </c>
      <c r="G1760" s="71">
        <v>9.1999999999999998E-2</v>
      </c>
      <c r="H1760" s="71" t="s">
        <v>106</v>
      </c>
      <c r="I1760" s="9">
        <v>8</v>
      </c>
      <c r="J1760" s="9" t="s">
        <v>122</v>
      </c>
      <c r="K1760" s="9" t="s">
        <v>441</v>
      </c>
      <c r="L1760" t="str">
        <f>IF(OR(J1760="Cattle",J1760="Zebu Cattle"),IF(COUNTIF(lists!$M$2:$M$258, K1760) &gt; 0,"bos.indicus",IF(COUNTIF(lists!$L$2:$L$258, K1760) &gt; 0,"cross.bred","pure.bred.exotic")),"NA")</f>
        <v>bos.indicus</v>
      </c>
      <c r="O1760" s="9" t="s">
        <v>4193</v>
      </c>
      <c r="P1760" s="9" t="s">
        <v>4162</v>
      </c>
      <c r="Q1760" s="9" t="s">
        <v>3804</v>
      </c>
      <c r="R1760" s="9" t="s">
        <v>3828</v>
      </c>
      <c r="S1760" s="9">
        <v>456.2</v>
      </c>
      <c r="T1760" s="9">
        <v>105.2</v>
      </c>
      <c r="U1760" s="9">
        <v>124.2</v>
      </c>
      <c r="V1760" s="9">
        <v>913.6</v>
      </c>
      <c r="W1760" s="9">
        <v>31.8</v>
      </c>
      <c r="X1760" s="9">
        <v>546.20000000000005</v>
      </c>
      <c r="Y1760" s="9">
        <v>45</v>
      </c>
      <c r="Z1760" s="9">
        <v>126</v>
      </c>
      <c r="AA1760" s="9">
        <v>46</v>
      </c>
      <c r="AB1760" s="9">
        <v>56</v>
      </c>
      <c r="AC1760" s="9" t="s">
        <v>5100</v>
      </c>
      <c r="AD1760" s="9" t="s">
        <v>5100</v>
      </c>
    </row>
    <row r="1761" spans="1:30">
      <c r="A1761" s="9" t="s">
        <v>3897</v>
      </c>
      <c r="B1761" s="9" t="s">
        <v>4626</v>
      </c>
      <c r="C1761" s="9" t="s">
        <v>105</v>
      </c>
      <c r="D1761" s="9">
        <v>3.56</v>
      </c>
      <c r="E1761" s="9" t="s">
        <v>106</v>
      </c>
      <c r="F1761" s="73">
        <v>146</v>
      </c>
      <c r="G1761" s="71">
        <v>0.29299999999999998</v>
      </c>
      <c r="H1761" s="71" t="s">
        <v>106</v>
      </c>
      <c r="I1761" s="9">
        <v>8</v>
      </c>
      <c r="J1761" s="9" t="s">
        <v>122</v>
      </c>
      <c r="K1761" s="9" t="s">
        <v>441</v>
      </c>
      <c r="L1761" t="str">
        <f>IF(OR(J1761="Cattle",J1761="Zebu Cattle"),IF(COUNTIF(lists!$M$2:$M$258, K1761) &gt; 0,"bos.indicus",IF(COUNTIF(lists!$L$2:$L$258, K1761) &gt; 0,"cross.bred","pure.bred.exotic")),"NA")</f>
        <v>bos.indicus</v>
      </c>
      <c r="O1761" s="9" t="s">
        <v>4193</v>
      </c>
      <c r="P1761" s="9" t="s">
        <v>4162</v>
      </c>
      <c r="Q1761" s="9" t="s">
        <v>3804</v>
      </c>
      <c r="R1761" s="9" t="s">
        <v>3828</v>
      </c>
      <c r="S1761" s="9">
        <v>456.2</v>
      </c>
      <c r="T1761" s="9">
        <v>105.2</v>
      </c>
      <c r="U1761" s="9">
        <v>124.2</v>
      </c>
      <c r="V1761" s="9">
        <v>913.6</v>
      </c>
      <c r="W1761" s="9">
        <v>31.8</v>
      </c>
      <c r="X1761" s="9">
        <v>546.20000000000005</v>
      </c>
      <c r="Y1761" s="9">
        <v>57</v>
      </c>
      <c r="Z1761" s="9">
        <v>126</v>
      </c>
      <c r="AA1761" s="9">
        <v>60</v>
      </c>
      <c r="AB1761" s="9">
        <v>65</v>
      </c>
      <c r="AC1761" s="9" t="s">
        <v>5100</v>
      </c>
      <c r="AD1761" s="9" t="s">
        <v>5100</v>
      </c>
    </row>
    <row r="1762" spans="1:30">
      <c r="A1762" s="9" t="s">
        <v>3897</v>
      </c>
      <c r="B1762" s="9" t="s">
        <v>4627</v>
      </c>
      <c r="C1762" s="9" t="s">
        <v>105</v>
      </c>
      <c r="D1762" s="9">
        <v>3.03</v>
      </c>
      <c r="E1762" s="9" t="s">
        <v>106</v>
      </c>
      <c r="F1762" s="73">
        <v>146</v>
      </c>
      <c r="G1762" s="71">
        <v>0.06</v>
      </c>
      <c r="H1762" s="71" t="s">
        <v>106</v>
      </c>
      <c r="I1762" s="9">
        <v>8</v>
      </c>
      <c r="J1762" s="9" t="s">
        <v>122</v>
      </c>
      <c r="K1762" s="9" t="s">
        <v>441</v>
      </c>
      <c r="L1762" t="str">
        <f>IF(OR(J1762="Cattle",J1762="Zebu Cattle"),IF(COUNTIF(lists!$M$2:$M$258, K1762) &gt; 0,"bos.indicus",IF(COUNTIF(lists!$L$2:$L$258, K1762) &gt; 0,"cross.bred","pure.bred.exotic")),"NA")</f>
        <v>bos.indicus</v>
      </c>
      <c r="O1762" s="9" t="s">
        <v>4193</v>
      </c>
      <c r="P1762" s="9" t="s">
        <v>4162</v>
      </c>
      <c r="Q1762" s="9" t="s">
        <v>3804</v>
      </c>
      <c r="R1762" s="9" t="s">
        <v>3828</v>
      </c>
      <c r="S1762" s="9">
        <v>466.2</v>
      </c>
      <c r="T1762" s="9">
        <v>105.6</v>
      </c>
      <c r="U1762" s="9">
        <v>91</v>
      </c>
      <c r="V1762" s="9">
        <v>915.2</v>
      </c>
      <c r="W1762" s="9">
        <v>39.799999999999997</v>
      </c>
      <c r="X1762" s="9">
        <v>551.4</v>
      </c>
      <c r="Y1762" s="9">
        <v>47</v>
      </c>
      <c r="Z1762" s="9">
        <v>116</v>
      </c>
      <c r="AA1762" s="9">
        <v>45</v>
      </c>
      <c r="AB1762" s="9">
        <v>51</v>
      </c>
      <c r="AC1762" s="9" t="s">
        <v>5100</v>
      </c>
      <c r="AD1762" s="9" t="s">
        <v>5100</v>
      </c>
    </row>
    <row r="1763" spans="1:30">
      <c r="A1763" s="9" t="s">
        <v>3897</v>
      </c>
      <c r="B1763" s="9" t="s">
        <v>4628</v>
      </c>
      <c r="C1763" s="9" t="s">
        <v>105</v>
      </c>
      <c r="D1763" s="9">
        <v>3.34</v>
      </c>
      <c r="E1763" s="9" t="s">
        <v>106</v>
      </c>
      <c r="F1763" s="73">
        <v>146</v>
      </c>
      <c r="G1763" s="71">
        <v>0.20899999999999999</v>
      </c>
      <c r="H1763" s="71" t="s">
        <v>106</v>
      </c>
      <c r="I1763" s="9">
        <v>8</v>
      </c>
      <c r="J1763" s="9" t="s">
        <v>122</v>
      </c>
      <c r="K1763" s="9" t="s">
        <v>441</v>
      </c>
      <c r="L1763" t="str">
        <f>IF(OR(J1763="Cattle",J1763="Zebu Cattle"),IF(COUNTIF(lists!$M$2:$M$258, K1763) &gt; 0,"bos.indicus",IF(COUNTIF(lists!$L$2:$L$258, K1763) &gt; 0,"cross.bred","pure.bred.exotic")),"NA")</f>
        <v>bos.indicus</v>
      </c>
      <c r="O1763" s="9" t="s">
        <v>4193</v>
      </c>
      <c r="P1763" s="9" t="s">
        <v>4162</v>
      </c>
      <c r="Q1763" s="9" t="s">
        <v>3804</v>
      </c>
      <c r="R1763" s="9" t="s">
        <v>3828</v>
      </c>
      <c r="S1763" s="9">
        <v>466.2</v>
      </c>
      <c r="T1763" s="9">
        <v>105.6</v>
      </c>
      <c r="U1763" s="9">
        <v>91</v>
      </c>
      <c r="V1763" s="9">
        <v>915.2</v>
      </c>
      <c r="W1763" s="9">
        <v>39.799999999999997</v>
      </c>
      <c r="X1763" s="9">
        <v>551.4</v>
      </c>
      <c r="Y1763" s="9">
        <v>58</v>
      </c>
      <c r="Z1763" s="9">
        <v>116</v>
      </c>
      <c r="AA1763" s="9">
        <v>65</v>
      </c>
      <c r="AB1763" s="9">
        <v>61</v>
      </c>
      <c r="AC1763" s="9" t="s">
        <v>5100</v>
      </c>
      <c r="AD1763" s="9" t="s">
        <v>5100</v>
      </c>
    </row>
    <row r="1764" spans="1:30">
      <c r="A1764" s="9" t="s">
        <v>3897</v>
      </c>
      <c r="B1764" s="9" t="s">
        <v>4629</v>
      </c>
      <c r="C1764" s="9" t="s">
        <v>105</v>
      </c>
      <c r="D1764" s="9">
        <v>3.09</v>
      </c>
      <c r="E1764" s="9" t="s">
        <v>106</v>
      </c>
      <c r="F1764" s="73">
        <v>146</v>
      </c>
      <c r="G1764" s="71">
        <v>8.6999999999999994E-2</v>
      </c>
      <c r="H1764" s="71" t="s">
        <v>106</v>
      </c>
      <c r="I1764" s="9">
        <v>8</v>
      </c>
      <c r="J1764" s="9" t="s">
        <v>122</v>
      </c>
      <c r="K1764" s="9" t="s">
        <v>441</v>
      </c>
      <c r="L1764" t="str">
        <f>IF(OR(J1764="Cattle",J1764="Zebu Cattle"),IF(COUNTIF(lists!$M$2:$M$258, K1764) &gt; 0,"bos.indicus",IF(COUNTIF(lists!$L$2:$L$258, K1764) &gt; 0,"cross.bred","pure.bred.exotic")),"NA")</f>
        <v>bos.indicus</v>
      </c>
      <c r="O1764" s="9" t="s">
        <v>4193</v>
      </c>
      <c r="P1764" s="9" t="s">
        <v>4162</v>
      </c>
      <c r="Q1764" s="9" t="s">
        <v>3804</v>
      </c>
      <c r="R1764" s="9" t="s">
        <v>3828</v>
      </c>
      <c r="S1764" s="9">
        <v>466.6</v>
      </c>
      <c r="T1764" s="9">
        <v>106.8</v>
      </c>
      <c r="U1764" s="9">
        <v>94.6</v>
      </c>
      <c r="V1764" s="9">
        <v>914.8</v>
      </c>
      <c r="W1764" s="9">
        <v>31.4</v>
      </c>
      <c r="X1764" s="9">
        <v>571.4</v>
      </c>
      <c r="Y1764" s="9">
        <v>50</v>
      </c>
      <c r="Z1764" s="9">
        <v>126.4</v>
      </c>
      <c r="AA1764" s="9">
        <v>44</v>
      </c>
      <c r="AB1764" s="9">
        <v>51</v>
      </c>
      <c r="AC1764" s="9" t="s">
        <v>5100</v>
      </c>
      <c r="AD1764" s="9" t="s">
        <v>5100</v>
      </c>
    </row>
    <row r="1765" spans="1:30">
      <c r="A1765" s="9" t="s">
        <v>3897</v>
      </c>
      <c r="B1765" s="9" t="s">
        <v>4630</v>
      </c>
      <c r="C1765" s="9" t="s">
        <v>105</v>
      </c>
      <c r="D1765" s="9">
        <v>3.29</v>
      </c>
      <c r="E1765" s="9" t="s">
        <v>106</v>
      </c>
      <c r="F1765" s="73">
        <v>146</v>
      </c>
      <c r="G1765" s="71">
        <v>0.26100000000000001</v>
      </c>
      <c r="H1765" s="71" t="s">
        <v>106</v>
      </c>
      <c r="I1765" s="9">
        <v>8</v>
      </c>
      <c r="J1765" s="9" t="s">
        <v>122</v>
      </c>
      <c r="K1765" s="9" t="s">
        <v>441</v>
      </c>
      <c r="L1765" t="str">
        <f>IF(OR(J1765="Cattle",J1765="Zebu Cattle"),IF(COUNTIF(lists!$M$2:$M$258, K1765) &gt; 0,"bos.indicus",IF(COUNTIF(lists!$L$2:$L$258, K1765) &gt; 0,"cross.bred","pure.bred.exotic")),"NA")</f>
        <v>bos.indicus</v>
      </c>
      <c r="O1765" s="9" t="s">
        <v>4193</v>
      </c>
      <c r="P1765" s="9" t="s">
        <v>4162</v>
      </c>
      <c r="Q1765" s="9" t="s">
        <v>3804</v>
      </c>
      <c r="R1765" s="9" t="s">
        <v>3828</v>
      </c>
      <c r="S1765" s="9">
        <v>466.6</v>
      </c>
      <c r="T1765" s="9">
        <v>106.8</v>
      </c>
      <c r="U1765" s="9">
        <v>94.6</v>
      </c>
      <c r="V1765" s="9">
        <v>914.8</v>
      </c>
      <c r="W1765" s="9">
        <v>31.4</v>
      </c>
      <c r="X1765" s="9">
        <v>571.4</v>
      </c>
      <c r="Y1765" s="9">
        <v>61</v>
      </c>
      <c r="Z1765" s="9">
        <v>126.4</v>
      </c>
      <c r="AA1765" s="9">
        <v>61</v>
      </c>
      <c r="AB1765" s="9">
        <v>68</v>
      </c>
      <c r="AC1765" s="9" t="s">
        <v>5100</v>
      </c>
      <c r="AD1765" s="9" t="s">
        <v>5100</v>
      </c>
    </row>
    <row r="1766" spans="1:30">
      <c r="A1766" s="9" t="s">
        <v>3846</v>
      </c>
      <c r="B1766" s="9" t="s">
        <v>4163</v>
      </c>
      <c r="C1766" s="9" t="s">
        <v>105</v>
      </c>
      <c r="D1766" s="9">
        <v>13.6</v>
      </c>
      <c r="E1766" s="9" t="s">
        <v>106</v>
      </c>
      <c r="F1766" s="71">
        <v>622.55999999999995</v>
      </c>
      <c r="G1766" s="71">
        <v>-5.3699999999999998E-2</v>
      </c>
      <c r="H1766" s="71">
        <v>7.41</v>
      </c>
      <c r="I1766" s="9">
        <v>16</v>
      </c>
      <c r="J1766" s="9" t="s">
        <v>122</v>
      </c>
      <c r="K1766" s="9" t="s">
        <v>4789</v>
      </c>
      <c r="L1766" t="str">
        <f>IF(OR(J1766="Cattle",J1766="Zebu Cattle"),IF(COUNTIF(lists!$M$2:$M$258, K1766) &gt; 0,"bos.indicus",IF(COUNTIF(lists!$L$2:$L$258, K1766) &gt; 0,"cross.bred","pure.bred.exotic")),"NA")</f>
        <v>pure.bred.exotic</v>
      </c>
      <c r="O1766" s="9" t="s">
        <v>4194</v>
      </c>
      <c r="P1766" s="9" t="s">
        <v>4045</v>
      </c>
      <c r="Q1766" s="9" t="s">
        <v>3809</v>
      </c>
      <c r="R1766" s="9" t="s">
        <v>3829</v>
      </c>
      <c r="S1766" s="9" t="s">
        <v>106</v>
      </c>
      <c r="T1766" s="9" t="s">
        <v>106</v>
      </c>
      <c r="U1766" s="9">
        <v>186</v>
      </c>
      <c r="V1766" s="9">
        <v>880</v>
      </c>
      <c r="W1766" s="9">
        <v>36.200000000000003</v>
      </c>
      <c r="X1766" s="9">
        <v>248</v>
      </c>
      <c r="Y1766" s="9" t="s">
        <v>106</v>
      </c>
      <c r="Z1766" s="9" t="s">
        <v>106</v>
      </c>
      <c r="AA1766" s="9" t="s">
        <v>106</v>
      </c>
      <c r="AB1766" s="9" t="s">
        <v>106</v>
      </c>
      <c r="AC1766" s="9" t="s">
        <v>5100</v>
      </c>
      <c r="AD1766" s="9" t="s">
        <v>5100</v>
      </c>
    </row>
    <row r="1767" spans="1:30">
      <c r="A1767" s="9" t="s">
        <v>3846</v>
      </c>
      <c r="B1767" s="9" t="s">
        <v>4164</v>
      </c>
      <c r="C1767" s="9" t="s">
        <v>105</v>
      </c>
      <c r="D1767" s="9">
        <v>14.3</v>
      </c>
      <c r="E1767" s="9" t="s">
        <v>106</v>
      </c>
      <c r="F1767" s="71">
        <v>623.08000000000004</v>
      </c>
      <c r="G1767" s="71">
        <v>-6.4000000000000001E-2</v>
      </c>
      <c r="H1767" s="71">
        <v>8.2799999999999994</v>
      </c>
      <c r="I1767" s="9">
        <v>16</v>
      </c>
      <c r="J1767" s="9" t="s">
        <v>122</v>
      </c>
      <c r="K1767" s="9" t="s">
        <v>4789</v>
      </c>
      <c r="L1767" t="str">
        <f>IF(OR(J1767="Cattle",J1767="Zebu Cattle"),IF(COUNTIF(lists!$M$2:$M$258, K1767) &gt; 0,"bos.indicus",IF(COUNTIF(lists!$L$2:$L$258, K1767) &gt; 0,"cross.bred","pure.bred.exotic")),"NA")</f>
        <v>pure.bred.exotic</v>
      </c>
      <c r="O1767" s="9" t="s">
        <v>4194</v>
      </c>
      <c r="P1767" s="9" t="s">
        <v>4045</v>
      </c>
      <c r="Q1767" s="9" t="s">
        <v>3809</v>
      </c>
      <c r="R1767" s="9" t="s">
        <v>3829</v>
      </c>
      <c r="S1767" s="9" t="s">
        <v>106</v>
      </c>
      <c r="T1767" s="9" t="s">
        <v>106</v>
      </c>
      <c r="U1767" s="9">
        <v>186</v>
      </c>
      <c r="V1767" s="9">
        <v>880</v>
      </c>
      <c r="W1767" s="9">
        <v>36.200000000000003</v>
      </c>
      <c r="X1767" s="9">
        <v>248</v>
      </c>
      <c r="Y1767" s="9" t="s">
        <v>106</v>
      </c>
      <c r="Z1767" s="9" t="s">
        <v>106</v>
      </c>
      <c r="AA1767" s="9" t="s">
        <v>106</v>
      </c>
      <c r="AB1767" s="9" t="s">
        <v>106</v>
      </c>
      <c r="AC1767" s="9" t="s">
        <v>5100</v>
      </c>
      <c r="AD1767" s="9" t="s">
        <v>5100</v>
      </c>
    </row>
    <row r="1768" spans="1:30">
      <c r="A1768" s="9" t="s">
        <v>3817</v>
      </c>
      <c r="B1768" s="9" t="s">
        <v>4166</v>
      </c>
      <c r="C1768" s="9" t="s">
        <v>105</v>
      </c>
      <c r="D1768" s="9">
        <v>9.5</v>
      </c>
      <c r="E1768" s="9" t="s">
        <v>106</v>
      </c>
      <c r="F1768" s="9">
        <v>365.4</v>
      </c>
      <c r="G1768" s="9">
        <v>-0.11899999999999999</v>
      </c>
      <c r="H1768" s="9">
        <v>6.68</v>
      </c>
      <c r="I1768" s="9">
        <v>8</v>
      </c>
      <c r="J1768" s="9" t="s">
        <v>122</v>
      </c>
      <c r="K1768" s="9" t="s">
        <v>4126</v>
      </c>
      <c r="L1768" t="str">
        <f>IF(OR(J1768="Cattle",J1768="Zebu Cattle"),IF(COUNTIF(lists!$M$2:$M$258, K1768) &gt; 0,"bos.indicus",IF(COUNTIF(lists!$L$2:$L$258, K1768) &gt; 0,"cross.bred","pure.bred.exotic")),"NA")</f>
        <v>cross.bred</v>
      </c>
      <c r="O1768" s="9" t="s">
        <v>124</v>
      </c>
      <c r="P1768" s="9" t="s">
        <v>4045</v>
      </c>
      <c r="Q1768" s="9" t="s">
        <v>3809</v>
      </c>
      <c r="R1768" s="9" t="s">
        <v>3830</v>
      </c>
      <c r="S1768" s="9" t="s">
        <v>106</v>
      </c>
      <c r="T1768" s="9" t="s">
        <v>106</v>
      </c>
      <c r="U1768" s="9">
        <v>137.9</v>
      </c>
      <c r="V1768" s="9">
        <v>927.7</v>
      </c>
      <c r="W1768" s="9" t="s">
        <v>106</v>
      </c>
      <c r="X1768" s="9">
        <v>660.4</v>
      </c>
      <c r="Y1768" s="9">
        <v>58.7</v>
      </c>
      <c r="Z1768" s="9" t="s">
        <v>106</v>
      </c>
      <c r="AA1768" s="9">
        <v>59.1</v>
      </c>
      <c r="AB1768" s="9" t="s">
        <v>106</v>
      </c>
      <c r="AC1768" s="9" t="s">
        <v>5100</v>
      </c>
      <c r="AD1768" s="9" t="s">
        <v>5100</v>
      </c>
    </row>
    <row r="1769" spans="1:30">
      <c r="A1769" s="9" t="s">
        <v>3817</v>
      </c>
      <c r="B1769" s="9" t="s">
        <v>4167</v>
      </c>
      <c r="C1769" s="9" t="s">
        <v>105</v>
      </c>
      <c r="D1769" s="9">
        <v>9.1999999999999993</v>
      </c>
      <c r="E1769" s="9" t="s">
        <v>106</v>
      </c>
      <c r="F1769" s="9">
        <v>353.8</v>
      </c>
      <c r="G1769" s="9">
        <v>-0.121</v>
      </c>
      <c r="H1769" s="9">
        <v>6.54</v>
      </c>
      <c r="I1769" s="9">
        <v>8</v>
      </c>
      <c r="J1769" s="9" t="s">
        <v>122</v>
      </c>
      <c r="K1769" s="9" t="s">
        <v>4126</v>
      </c>
      <c r="L1769" t="str">
        <f>IF(OR(J1769="Cattle",J1769="Zebu Cattle"),IF(COUNTIF(lists!$M$2:$M$258, K1769) &gt; 0,"bos.indicus",IF(COUNTIF(lists!$L$2:$L$258, K1769) &gt; 0,"cross.bred","pure.bred.exotic")),"NA")</f>
        <v>cross.bred</v>
      </c>
      <c r="O1769" s="9" t="s">
        <v>124</v>
      </c>
      <c r="P1769" s="9" t="s">
        <v>4045</v>
      </c>
      <c r="Q1769" s="9" t="s">
        <v>3809</v>
      </c>
      <c r="R1769" s="9" t="s">
        <v>3830</v>
      </c>
      <c r="S1769" s="9" t="s">
        <v>106</v>
      </c>
      <c r="T1769" s="9" t="s">
        <v>106</v>
      </c>
      <c r="U1769" s="9">
        <v>130.85</v>
      </c>
      <c r="V1769" s="9">
        <v>928</v>
      </c>
      <c r="W1769" s="9" t="s">
        <v>106</v>
      </c>
      <c r="X1769" s="9">
        <v>667</v>
      </c>
      <c r="Y1769" s="9">
        <v>61.2</v>
      </c>
      <c r="Z1769" s="9" t="s">
        <v>106</v>
      </c>
      <c r="AA1769" s="9">
        <v>58.4</v>
      </c>
      <c r="AB1769" s="9" t="s">
        <v>106</v>
      </c>
      <c r="AC1769" s="9" t="s">
        <v>5100</v>
      </c>
      <c r="AD1769" s="9" t="s">
        <v>5100</v>
      </c>
    </row>
    <row r="1770" spans="1:30">
      <c r="A1770" s="9" t="s">
        <v>3817</v>
      </c>
      <c r="B1770" s="9" t="s">
        <v>4168</v>
      </c>
      <c r="C1770" s="9" t="s">
        <v>105</v>
      </c>
      <c r="D1770" s="9">
        <v>10.199999999999999</v>
      </c>
      <c r="E1770" s="9" t="s">
        <v>106</v>
      </c>
      <c r="F1770" s="9">
        <v>364.3</v>
      </c>
      <c r="G1770" s="9">
        <v>-0.10199999999999999</v>
      </c>
      <c r="H1770" s="9">
        <v>6.45</v>
      </c>
      <c r="I1770" s="9">
        <v>8</v>
      </c>
      <c r="J1770" s="9" t="s">
        <v>122</v>
      </c>
      <c r="K1770" s="9" t="s">
        <v>4126</v>
      </c>
      <c r="L1770" t="str">
        <f>IF(OR(J1770="Cattle",J1770="Zebu Cattle"),IF(COUNTIF(lists!$M$2:$M$258, K1770) &gt; 0,"bos.indicus",IF(COUNTIF(lists!$L$2:$L$258, K1770) &gt; 0,"cross.bred","pure.bred.exotic")),"NA")</f>
        <v>cross.bred</v>
      </c>
      <c r="O1770" s="9" t="s">
        <v>124</v>
      </c>
      <c r="P1770" s="9" t="s">
        <v>4045</v>
      </c>
      <c r="Q1770" s="9" t="s">
        <v>3809</v>
      </c>
      <c r="R1770" s="9" t="s">
        <v>3830</v>
      </c>
      <c r="S1770" s="9" t="s">
        <v>106</v>
      </c>
      <c r="T1770" s="9" t="s">
        <v>106</v>
      </c>
      <c r="U1770" s="9">
        <v>133.06</v>
      </c>
      <c r="V1770" s="9">
        <v>928.6</v>
      </c>
      <c r="W1770" s="9" t="s">
        <v>106</v>
      </c>
      <c r="X1770" s="9">
        <v>672.7</v>
      </c>
      <c r="Y1770" s="9">
        <v>64.3</v>
      </c>
      <c r="Z1770" s="9" t="s">
        <v>106</v>
      </c>
      <c r="AA1770" s="9">
        <v>63.9</v>
      </c>
      <c r="AB1770" s="9" t="s">
        <v>106</v>
      </c>
      <c r="AC1770" s="9" t="s">
        <v>5100</v>
      </c>
      <c r="AD1770" s="9" t="s">
        <v>5100</v>
      </c>
    </row>
    <row r="1771" spans="1:30">
      <c r="A1771" s="9" t="s">
        <v>3817</v>
      </c>
      <c r="B1771" s="9" t="s">
        <v>4169</v>
      </c>
      <c r="C1771" s="9" t="s">
        <v>105</v>
      </c>
      <c r="D1771" s="9">
        <v>9.5</v>
      </c>
      <c r="E1771" s="9" t="s">
        <v>106</v>
      </c>
      <c r="F1771" s="9">
        <v>365.4</v>
      </c>
      <c r="G1771" s="9">
        <v>-0.13300000000000001</v>
      </c>
      <c r="H1771" s="9">
        <v>6.24</v>
      </c>
      <c r="I1771" s="9">
        <v>8</v>
      </c>
      <c r="J1771" s="9" t="s">
        <v>122</v>
      </c>
      <c r="K1771" s="9" t="s">
        <v>4126</v>
      </c>
      <c r="L1771" t="str">
        <f>IF(OR(J1771="Cattle",J1771="Zebu Cattle"),IF(COUNTIF(lists!$M$2:$M$258, K1771) &gt; 0,"bos.indicus",IF(COUNTIF(lists!$L$2:$L$258, K1771) &gt; 0,"cross.bred","pure.bred.exotic")),"NA")</f>
        <v>cross.bred</v>
      </c>
      <c r="O1771" s="9" t="s">
        <v>124</v>
      </c>
      <c r="P1771" s="9" t="s">
        <v>4045</v>
      </c>
      <c r="Q1771" s="9" t="s">
        <v>3809</v>
      </c>
      <c r="R1771" s="9" t="s">
        <v>3830</v>
      </c>
      <c r="S1771" s="9" t="s">
        <v>106</v>
      </c>
      <c r="T1771" s="9" t="s">
        <v>106</v>
      </c>
      <c r="U1771" s="9">
        <v>135.02000000000001</v>
      </c>
      <c r="V1771" s="9">
        <v>929.02</v>
      </c>
      <c r="W1771" s="9" t="s">
        <v>106</v>
      </c>
      <c r="X1771" s="9">
        <v>678.3</v>
      </c>
      <c r="Y1771" s="9">
        <v>63.2</v>
      </c>
      <c r="Z1771" s="9" t="s">
        <v>106</v>
      </c>
      <c r="AA1771" s="9">
        <v>61.4</v>
      </c>
      <c r="AB1771" s="9" t="s">
        <v>106</v>
      </c>
      <c r="AC1771" s="9" t="s">
        <v>5100</v>
      </c>
      <c r="AD1771" s="9" t="s">
        <v>5100</v>
      </c>
    </row>
    <row r="1772" spans="1:30">
      <c r="A1772" s="9" t="s">
        <v>3934</v>
      </c>
      <c r="B1772" s="9" t="s">
        <v>4170</v>
      </c>
      <c r="C1772" s="9" t="s">
        <v>105</v>
      </c>
      <c r="D1772" s="9">
        <v>8.91</v>
      </c>
      <c r="E1772" s="9" t="s">
        <v>106</v>
      </c>
      <c r="F1772" s="61">
        <v>335</v>
      </c>
      <c r="G1772" s="62">
        <v>0.32600000000000001</v>
      </c>
      <c r="H1772" s="63">
        <v>1.84</v>
      </c>
      <c r="I1772" s="9">
        <v>12</v>
      </c>
      <c r="J1772" s="9" t="s">
        <v>122</v>
      </c>
      <c r="K1772" s="9" t="s">
        <v>4173</v>
      </c>
      <c r="L1772" t="str">
        <f>IF(OR(J1772="Cattle",J1772="Zebu Cattle"),IF(COUNTIF(lists!$M$2:$M$258, K1772) &gt; 0,"bos.indicus",IF(COUNTIF(lists!$L$2:$L$258, K1772) &gt; 0,"cross.bred","pure.bred.exotic")),"NA")</f>
        <v>cross.bred</v>
      </c>
      <c r="O1772" s="9" t="s">
        <v>124</v>
      </c>
      <c r="P1772" s="9" t="s">
        <v>4045</v>
      </c>
      <c r="Q1772" s="9" t="s">
        <v>3809</v>
      </c>
      <c r="R1772" s="9" t="s">
        <v>3830</v>
      </c>
      <c r="S1772" s="9">
        <v>317</v>
      </c>
      <c r="T1772" s="9">
        <v>85</v>
      </c>
      <c r="U1772" s="9">
        <v>74</v>
      </c>
      <c r="V1772" s="9">
        <v>804</v>
      </c>
      <c r="W1772" s="9">
        <v>7.6</v>
      </c>
      <c r="X1772" s="9">
        <v>590</v>
      </c>
      <c r="Y1772" s="9">
        <v>64.900000000000006</v>
      </c>
      <c r="Z1772" s="9">
        <v>41</v>
      </c>
      <c r="AA1772" s="9">
        <v>63.7</v>
      </c>
      <c r="AB1772" s="9">
        <v>66.7</v>
      </c>
      <c r="AC1772" s="9" t="s">
        <v>5100</v>
      </c>
      <c r="AD1772" s="9" t="s">
        <v>5100</v>
      </c>
    </row>
    <row r="1773" spans="1:30">
      <c r="A1773" s="9" t="s">
        <v>3934</v>
      </c>
      <c r="B1773" s="9" t="s">
        <v>4171</v>
      </c>
      <c r="C1773" s="9" t="s">
        <v>105</v>
      </c>
      <c r="D1773" s="9">
        <v>7.74</v>
      </c>
      <c r="E1773" s="9" t="s">
        <v>106</v>
      </c>
      <c r="F1773" s="61">
        <v>335</v>
      </c>
      <c r="G1773" s="62">
        <v>0.193</v>
      </c>
      <c r="H1773" s="63">
        <v>1.39</v>
      </c>
      <c r="I1773" s="9">
        <v>12</v>
      </c>
      <c r="J1773" s="9" t="s">
        <v>122</v>
      </c>
      <c r="K1773" s="9" t="s">
        <v>4173</v>
      </c>
      <c r="L1773" t="str">
        <f>IF(OR(J1773="Cattle",J1773="Zebu Cattle"),IF(COUNTIF(lists!$M$2:$M$258, K1773) &gt; 0,"bos.indicus",IF(COUNTIF(lists!$L$2:$L$258, K1773) &gt; 0,"cross.bred","pure.bred.exotic")),"NA")</f>
        <v>cross.bred</v>
      </c>
      <c r="O1773" s="9" t="s">
        <v>124</v>
      </c>
      <c r="P1773" s="9" t="s">
        <v>4045</v>
      </c>
      <c r="Q1773" s="9" t="s">
        <v>3809</v>
      </c>
      <c r="R1773" s="9" t="s">
        <v>3830</v>
      </c>
      <c r="S1773" s="9">
        <v>369</v>
      </c>
      <c r="T1773" s="9">
        <v>74</v>
      </c>
      <c r="U1773" s="9">
        <v>97</v>
      </c>
      <c r="V1773" s="9">
        <v>809</v>
      </c>
      <c r="W1773" s="9">
        <v>7.6</v>
      </c>
      <c r="X1773" s="9">
        <v>568</v>
      </c>
      <c r="Y1773" s="9">
        <v>56.2</v>
      </c>
      <c r="Z1773" s="9">
        <v>68</v>
      </c>
      <c r="AA1773" s="9">
        <v>59.3</v>
      </c>
      <c r="AB1773" s="9">
        <v>61.3</v>
      </c>
      <c r="AC1773" s="9" t="s">
        <v>5100</v>
      </c>
      <c r="AD1773" s="9" t="s">
        <v>5100</v>
      </c>
    </row>
    <row r="1774" spans="1:30">
      <c r="A1774" s="9" t="s">
        <v>3934</v>
      </c>
      <c r="B1774" s="9" t="s">
        <v>4172</v>
      </c>
      <c r="C1774" s="9" t="s">
        <v>105</v>
      </c>
      <c r="D1774" s="9">
        <v>10.85</v>
      </c>
      <c r="E1774" s="9" t="s">
        <v>106</v>
      </c>
      <c r="F1774" s="61">
        <v>335</v>
      </c>
      <c r="G1774" s="62">
        <v>0.67100000000000004</v>
      </c>
      <c r="H1774" s="63">
        <v>2.84</v>
      </c>
      <c r="I1774" s="9">
        <v>12</v>
      </c>
      <c r="J1774" s="9" t="s">
        <v>122</v>
      </c>
      <c r="K1774" s="9" t="s">
        <v>4173</v>
      </c>
      <c r="L1774" t="str">
        <f>IF(OR(J1774="Cattle",J1774="Zebu Cattle"),IF(COUNTIF(lists!$M$2:$M$258, K1774) &gt; 0,"bos.indicus",IF(COUNTIF(lists!$L$2:$L$258, K1774) &gt; 0,"cross.bred","pure.bred.exotic")),"NA")</f>
        <v>cross.bred</v>
      </c>
      <c r="O1774" s="9" t="s">
        <v>124</v>
      </c>
      <c r="P1774" s="9" t="s">
        <v>4045</v>
      </c>
      <c r="Q1774" s="9" t="s">
        <v>3809</v>
      </c>
      <c r="R1774" s="9" t="s">
        <v>3830</v>
      </c>
      <c r="S1774" s="9">
        <v>263</v>
      </c>
      <c r="T1774" s="9">
        <v>84</v>
      </c>
      <c r="U1774" s="9">
        <v>105</v>
      </c>
      <c r="V1774" s="9">
        <v>831</v>
      </c>
      <c r="W1774" s="9">
        <v>13.8</v>
      </c>
      <c r="X1774" s="9">
        <v>510</v>
      </c>
      <c r="Y1774" s="9">
        <v>61.8</v>
      </c>
      <c r="Z1774" s="9">
        <v>37</v>
      </c>
      <c r="AA1774" s="9">
        <v>66.2</v>
      </c>
      <c r="AB1774" s="9">
        <v>69.400000000000006</v>
      </c>
      <c r="AC1774" s="9" t="s">
        <v>5100</v>
      </c>
      <c r="AD1774" s="9" t="s">
        <v>5100</v>
      </c>
    </row>
    <row r="1775" spans="1:30">
      <c r="A1775" s="9" t="s">
        <v>3976</v>
      </c>
      <c r="B1775" s="9" t="s">
        <v>237</v>
      </c>
      <c r="C1775" s="9" t="s">
        <v>105</v>
      </c>
      <c r="D1775" s="9">
        <v>9.06</v>
      </c>
      <c r="E1775" s="9" t="s">
        <v>106</v>
      </c>
      <c r="F1775" s="9">
        <v>253</v>
      </c>
      <c r="G1775" s="9">
        <v>0.96</v>
      </c>
      <c r="H1775" s="9" t="s">
        <v>106</v>
      </c>
      <c r="I1775" s="9">
        <v>10</v>
      </c>
      <c r="J1775" s="9" t="s">
        <v>122</v>
      </c>
      <c r="K1775" s="9" t="s">
        <v>237</v>
      </c>
      <c r="L1775" t="str">
        <f>IF(OR(J1775="Cattle",J1775="Zebu Cattle"),IF(COUNTIF(lists!$M$2:$M$258, K1775) &gt; 0,"bos.indicus",IF(COUNTIF(lists!$L$2:$L$258, K1775) &gt; 0,"cross.bred","pure.bred.exotic")),"NA")</f>
        <v>bos.indicus</v>
      </c>
      <c r="O1775" s="9" t="s">
        <v>4193</v>
      </c>
      <c r="P1775" s="9" t="s">
        <v>4176</v>
      </c>
      <c r="Q1775" s="9" t="s">
        <v>3804</v>
      </c>
      <c r="R1775" s="9" t="s">
        <v>3829</v>
      </c>
      <c r="S1775" s="9" t="s">
        <v>106</v>
      </c>
      <c r="T1775" s="9" t="s">
        <v>106</v>
      </c>
      <c r="U1775" s="9" t="s">
        <v>106</v>
      </c>
      <c r="V1775" s="9" t="s">
        <v>106</v>
      </c>
      <c r="W1775" s="9" t="s">
        <v>106</v>
      </c>
      <c r="X1775" s="9" t="s">
        <v>106</v>
      </c>
      <c r="Y1775" s="9" t="s">
        <v>106</v>
      </c>
      <c r="Z1775" s="9" t="s">
        <v>106</v>
      </c>
      <c r="AA1775" s="9" t="s">
        <v>106</v>
      </c>
      <c r="AB1775" s="9" t="s">
        <v>106</v>
      </c>
      <c r="AC1775" s="9" t="s">
        <v>5100</v>
      </c>
      <c r="AD1775" s="9" t="s">
        <v>5100</v>
      </c>
    </row>
    <row r="1776" spans="1:30">
      <c r="A1776" s="9" t="s">
        <v>3976</v>
      </c>
      <c r="B1776" s="9" t="s">
        <v>548</v>
      </c>
      <c r="C1776" s="9" t="s">
        <v>105</v>
      </c>
      <c r="D1776" s="9">
        <v>8.99</v>
      </c>
      <c r="E1776" s="9" t="s">
        <v>106</v>
      </c>
      <c r="F1776" s="9">
        <v>254.5</v>
      </c>
      <c r="G1776" s="9">
        <v>1</v>
      </c>
      <c r="H1776" s="9" t="s">
        <v>106</v>
      </c>
      <c r="I1776" s="9">
        <v>10</v>
      </c>
      <c r="J1776" s="9" t="s">
        <v>122</v>
      </c>
      <c r="K1776" s="9" t="s">
        <v>548</v>
      </c>
      <c r="L1776" t="str">
        <f>IF(OR(J1776="Cattle",J1776="Zebu Cattle"),IF(COUNTIF(lists!$M$2:$M$258, K1776) &gt; 0,"bos.indicus",IF(COUNTIF(lists!$L$2:$L$258, K1776) &gt; 0,"cross.bred","pure.bred.exotic")),"NA")</f>
        <v>bos.indicus</v>
      </c>
      <c r="O1776" s="9" t="s">
        <v>4193</v>
      </c>
      <c r="P1776" s="9" t="s">
        <v>4176</v>
      </c>
      <c r="Q1776" s="9" t="s">
        <v>3804</v>
      </c>
      <c r="R1776" s="9" t="s">
        <v>3829</v>
      </c>
      <c r="S1776" s="9" t="s">
        <v>106</v>
      </c>
      <c r="T1776" s="9" t="s">
        <v>106</v>
      </c>
      <c r="U1776" s="9" t="s">
        <v>106</v>
      </c>
      <c r="V1776" s="9" t="s">
        <v>106</v>
      </c>
      <c r="W1776" s="9" t="s">
        <v>106</v>
      </c>
      <c r="X1776" s="9" t="s">
        <v>106</v>
      </c>
      <c r="Y1776" s="9" t="s">
        <v>106</v>
      </c>
      <c r="Z1776" s="9" t="s">
        <v>106</v>
      </c>
      <c r="AA1776" s="9" t="s">
        <v>106</v>
      </c>
      <c r="AB1776" s="9" t="s">
        <v>106</v>
      </c>
      <c r="AC1776" s="9" t="s">
        <v>5100</v>
      </c>
      <c r="AD1776" s="9" t="s">
        <v>5100</v>
      </c>
    </row>
    <row r="1777" spans="1:30">
      <c r="A1777" s="9" t="s">
        <v>3976</v>
      </c>
      <c r="B1777" s="9" t="s">
        <v>4174</v>
      </c>
      <c r="C1777" s="9" t="s">
        <v>105</v>
      </c>
      <c r="D1777" s="9">
        <v>8.99</v>
      </c>
      <c r="E1777" s="9" t="s">
        <v>106</v>
      </c>
      <c r="F1777" s="9">
        <v>255</v>
      </c>
      <c r="G1777" s="9">
        <v>1</v>
      </c>
      <c r="H1777" s="9" t="s">
        <v>106</v>
      </c>
      <c r="I1777" s="9">
        <v>10</v>
      </c>
      <c r="J1777" s="9" t="s">
        <v>122</v>
      </c>
      <c r="K1777" s="9" t="s">
        <v>4174</v>
      </c>
      <c r="L1777" t="str">
        <f>IF(OR(J1777="Cattle",J1777="Zebu Cattle"),IF(COUNTIF(lists!$M$2:$M$258, K1777) &gt; 0,"bos.indicus",IF(COUNTIF(lists!$L$2:$L$258, K1777) &gt; 0,"cross.bred","pure.bred.exotic")),"NA")</f>
        <v>bos.indicus</v>
      </c>
      <c r="O1777" s="9" t="s">
        <v>4193</v>
      </c>
      <c r="P1777" s="9" t="s">
        <v>4176</v>
      </c>
      <c r="Q1777" s="9" t="s">
        <v>3804</v>
      </c>
      <c r="R1777" s="9" t="s">
        <v>3829</v>
      </c>
      <c r="S1777" s="9" t="s">
        <v>106</v>
      </c>
      <c r="T1777" s="9" t="s">
        <v>106</v>
      </c>
      <c r="U1777" s="9" t="s">
        <v>106</v>
      </c>
      <c r="V1777" s="9" t="s">
        <v>106</v>
      </c>
      <c r="W1777" s="9" t="s">
        <v>106</v>
      </c>
      <c r="X1777" s="9" t="s">
        <v>106</v>
      </c>
      <c r="Y1777" s="9" t="s">
        <v>106</v>
      </c>
      <c r="Z1777" s="9" t="s">
        <v>106</v>
      </c>
      <c r="AA1777" s="9" t="s">
        <v>106</v>
      </c>
      <c r="AB1777" s="9" t="s">
        <v>106</v>
      </c>
      <c r="AC1777" s="9" t="s">
        <v>5100</v>
      </c>
      <c r="AD1777" s="9" t="s">
        <v>5100</v>
      </c>
    </row>
    <row r="1778" spans="1:30">
      <c r="A1778" s="9" t="s">
        <v>3976</v>
      </c>
      <c r="B1778" s="9" t="s">
        <v>698</v>
      </c>
      <c r="C1778" s="9" t="s">
        <v>105</v>
      </c>
      <c r="D1778" s="9">
        <v>8.98</v>
      </c>
      <c r="E1778" s="9" t="s">
        <v>106</v>
      </c>
      <c r="F1778" s="9">
        <v>254.5</v>
      </c>
      <c r="G1778" s="9">
        <v>0.99</v>
      </c>
      <c r="H1778" s="9" t="s">
        <v>106</v>
      </c>
      <c r="I1778" s="9">
        <v>10</v>
      </c>
      <c r="J1778" s="9" t="s">
        <v>122</v>
      </c>
      <c r="K1778" s="9" t="s">
        <v>698</v>
      </c>
      <c r="L1778" t="str">
        <f>IF(OR(J1778="Cattle",J1778="Zebu Cattle"),IF(COUNTIF(lists!$M$2:$M$258, K1778) &gt; 0,"bos.indicus",IF(COUNTIF(lists!$L$2:$L$258, K1778) &gt; 0,"cross.bred","pure.bred.exotic")),"NA")</f>
        <v>bos.indicus</v>
      </c>
      <c r="O1778" s="9" t="s">
        <v>4193</v>
      </c>
      <c r="P1778" s="9" t="s">
        <v>4176</v>
      </c>
      <c r="Q1778" s="9" t="s">
        <v>3804</v>
      </c>
      <c r="R1778" s="9" t="s">
        <v>3829</v>
      </c>
      <c r="S1778" s="9" t="s">
        <v>106</v>
      </c>
      <c r="T1778" s="9" t="s">
        <v>106</v>
      </c>
      <c r="U1778" s="9" t="s">
        <v>106</v>
      </c>
      <c r="V1778" s="9" t="s">
        <v>106</v>
      </c>
      <c r="W1778" s="9" t="s">
        <v>106</v>
      </c>
      <c r="X1778" s="9" t="s">
        <v>106</v>
      </c>
      <c r="Y1778" s="9" t="s">
        <v>106</v>
      </c>
      <c r="Z1778" s="9" t="s">
        <v>106</v>
      </c>
      <c r="AA1778" s="9" t="s">
        <v>106</v>
      </c>
      <c r="AB1778" s="9" t="s">
        <v>106</v>
      </c>
      <c r="AC1778" s="9" t="s">
        <v>5100</v>
      </c>
      <c r="AD1778" s="9" t="s">
        <v>5100</v>
      </c>
    </row>
    <row r="1779" spans="1:30">
      <c r="A1779" s="9" t="s">
        <v>3847</v>
      </c>
      <c r="B1779" s="9" t="s">
        <v>4174</v>
      </c>
      <c r="C1779" s="9" t="s">
        <v>105</v>
      </c>
      <c r="D1779" s="9">
        <v>8.91</v>
      </c>
      <c r="E1779" s="9" t="s">
        <v>106</v>
      </c>
      <c r="F1779" s="9">
        <v>309.5</v>
      </c>
      <c r="G1779" s="9">
        <v>1.25</v>
      </c>
      <c r="H1779" s="9" t="s">
        <v>106</v>
      </c>
      <c r="I1779" s="9">
        <v>20</v>
      </c>
      <c r="J1779" s="9" t="s">
        <v>122</v>
      </c>
      <c r="K1779" s="9" t="s">
        <v>237</v>
      </c>
      <c r="L1779" t="str">
        <f>IF(OR(J1779="Cattle",J1779="Zebu Cattle"),IF(COUNTIF(lists!$M$2:$M$258, K1779) &gt; 0,"bos.indicus",IF(COUNTIF(lists!$L$2:$L$258, K1779) &gt; 0,"cross.bred","pure.bred.exotic")),"NA")</f>
        <v>bos.indicus</v>
      </c>
      <c r="O1779" s="9" t="s">
        <v>4193</v>
      </c>
      <c r="P1779" s="9" t="s">
        <v>4181</v>
      </c>
      <c r="Q1779" s="9" t="s">
        <v>3804</v>
      </c>
      <c r="R1779" s="9" t="s">
        <v>3829</v>
      </c>
      <c r="S1779" s="9" t="s">
        <v>106</v>
      </c>
      <c r="T1779" s="9">
        <v>63.4</v>
      </c>
      <c r="U1779" s="9">
        <v>98.8</v>
      </c>
      <c r="V1779" s="9" t="s">
        <v>106</v>
      </c>
      <c r="W1779" s="68">
        <v>113.8</v>
      </c>
      <c r="X1779" s="9">
        <v>494</v>
      </c>
      <c r="Y1779" s="9" t="s">
        <v>106</v>
      </c>
      <c r="Z1779" s="9" t="s">
        <v>106</v>
      </c>
      <c r="AA1779" s="9" t="s">
        <v>106</v>
      </c>
      <c r="AB1779" s="9" t="s">
        <v>106</v>
      </c>
      <c r="AC1779" s="9" t="s">
        <v>5100</v>
      </c>
      <c r="AD1779" s="9" t="s">
        <v>5100</v>
      </c>
    </row>
    <row r="1780" spans="1:30">
      <c r="A1780" s="9" t="s">
        <v>3847</v>
      </c>
      <c r="B1780" s="9" t="s">
        <v>237</v>
      </c>
      <c r="C1780" s="9" t="s">
        <v>105</v>
      </c>
      <c r="D1780" s="9">
        <v>8.92</v>
      </c>
      <c r="E1780" s="9" t="s">
        <v>106</v>
      </c>
      <c r="F1780" s="9">
        <v>302</v>
      </c>
      <c r="G1780" s="9">
        <v>1.26</v>
      </c>
      <c r="H1780" s="9" t="s">
        <v>106</v>
      </c>
      <c r="I1780" s="9">
        <v>20</v>
      </c>
      <c r="J1780" s="9" t="s">
        <v>122</v>
      </c>
      <c r="K1780" s="9" t="s">
        <v>4179</v>
      </c>
      <c r="L1780" t="str">
        <f>IF(OR(J1780="Cattle",J1780="Zebu Cattle"),IF(COUNTIF(lists!$M$2:$M$258, K1780) &gt; 0,"bos.indicus",IF(COUNTIF(lists!$L$2:$L$258, K1780) &gt; 0,"cross.bred","pure.bred.exotic")),"NA")</f>
        <v>bos.indicus</v>
      </c>
      <c r="O1780" s="9" t="s">
        <v>4193</v>
      </c>
      <c r="P1780" s="9" t="s">
        <v>4181</v>
      </c>
      <c r="Q1780" s="9" t="s">
        <v>3804</v>
      </c>
      <c r="R1780" s="9" t="s">
        <v>3829</v>
      </c>
      <c r="S1780" s="9" t="s">
        <v>106</v>
      </c>
      <c r="T1780" s="9">
        <v>63.4</v>
      </c>
      <c r="U1780" s="9">
        <v>98.8</v>
      </c>
      <c r="V1780" s="9" t="s">
        <v>106</v>
      </c>
      <c r="W1780" s="68">
        <v>113.8</v>
      </c>
      <c r="X1780" s="9">
        <v>494</v>
      </c>
      <c r="Y1780" s="9" t="s">
        <v>106</v>
      </c>
      <c r="Z1780" s="9" t="s">
        <v>106</v>
      </c>
      <c r="AA1780" s="9" t="s">
        <v>106</v>
      </c>
      <c r="AB1780" s="9" t="s">
        <v>106</v>
      </c>
      <c r="AC1780" s="9" t="s">
        <v>5100</v>
      </c>
      <c r="AD1780" s="9" t="s">
        <v>5100</v>
      </c>
    </row>
    <row r="1781" spans="1:30">
      <c r="A1781" s="9" t="s">
        <v>3847</v>
      </c>
      <c r="B1781" s="9" t="s">
        <v>4177</v>
      </c>
      <c r="C1781" s="9" t="s">
        <v>105</v>
      </c>
      <c r="D1781" s="9">
        <v>9.93</v>
      </c>
      <c r="E1781" s="9" t="s">
        <v>106</v>
      </c>
      <c r="F1781" s="9">
        <v>306.5</v>
      </c>
      <c r="G1781" s="9">
        <v>1.33</v>
      </c>
      <c r="H1781" s="9" t="s">
        <v>106</v>
      </c>
      <c r="I1781" s="9">
        <v>20</v>
      </c>
      <c r="J1781" s="9" t="s">
        <v>122</v>
      </c>
      <c r="K1781" s="9" t="s">
        <v>4180</v>
      </c>
      <c r="L1781" t="str">
        <f>IF(OR(J1781="Cattle",J1781="Zebu Cattle"),IF(COUNTIF(lists!$M$2:$M$258, K1781) &gt; 0,"bos.indicus",IF(COUNTIF(lists!$L$2:$L$258, K1781) &gt; 0,"cross.bred","pure.bred.exotic")),"NA")</f>
        <v>bos.indicus</v>
      </c>
      <c r="O1781" s="9" t="s">
        <v>4193</v>
      </c>
      <c r="P1781" s="9" t="s">
        <v>4181</v>
      </c>
      <c r="Q1781" s="9" t="s">
        <v>3804</v>
      </c>
      <c r="R1781" s="9" t="s">
        <v>3829</v>
      </c>
      <c r="S1781" s="9" t="s">
        <v>106</v>
      </c>
      <c r="T1781" s="9">
        <v>78.099999999999994</v>
      </c>
      <c r="U1781" s="9">
        <v>64.959999999999994</v>
      </c>
      <c r="V1781" s="9" t="s">
        <v>106</v>
      </c>
      <c r="W1781" s="68">
        <v>53.6</v>
      </c>
      <c r="X1781" s="9">
        <v>435.6</v>
      </c>
      <c r="Y1781" s="9" t="s">
        <v>106</v>
      </c>
      <c r="Z1781" s="9" t="s">
        <v>106</v>
      </c>
      <c r="AA1781" s="9" t="s">
        <v>106</v>
      </c>
      <c r="AB1781" s="9" t="s">
        <v>106</v>
      </c>
      <c r="AC1781" s="9" t="s">
        <v>5100</v>
      </c>
      <c r="AD1781" s="9" t="s">
        <v>5100</v>
      </c>
    </row>
    <row r="1782" spans="1:30">
      <c r="A1782" s="9" t="s">
        <v>3847</v>
      </c>
      <c r="B1782" s="9" t="s">
        <v>4178</v>
      </c>
      <c r="C1782" s="9" t="s">
        <v>105</v>
      </c>
      <c r="D1782" s="9">
        <v>7.89</v>
      </c>
      <c r="E1782" s="9" t="s">
        <v>106</v>
      </c>
      <c r="F1782" s="9">
        <v>305.5</v>
      </c>
      <c r="G1782" s="9">
        <v>1.18</v>
      </c>
      <c r="H1782" s="9" t="s">
        <v>106</v>
      </c>
      <c r="I1782" s="9">
        <v>20</v>
      </c>
      <c r="J1782" s="9" t="s">
        <v>122</v>
      </c>
      <c r="K1782" s="9" t="s">
        <v>4180</v>
      </c>
      <c r="L1782" t="str">
        <f>IF(OR(J1782="Cattle",J1782="Zebu Cattle"),IF(COUNTIF(lists!$M$2:$M$258, K1782) &gt; 0,"bos.indicus",IF(COUNTIF(lists!$L$2:$L$258, K1782) &gt; 0,"cross.bred","pure.bred.exotic")),"NA")</f>
        <v>bos.indicus</v>
      </c>
      <c r="O1782" s="9" t="s">
        <v>4193</v>
      </c>
      <c r="P1782" s="9" t="s">
        <v>4181</v>
      </c>
      <c r="Q1782" s="9" t="s">
        <v>3804</v>
      </c>
      <c r="R1782" s="9" t="s">
        <v>3829</v>
      </c>
      <c r="S1782" s="9" t="s">
        <v>106</v>
      </c>
      <c r="T1782" s="9">
        <v>78.099999999999994</v>
      </c>
      <c r="U1782" s="9">
        <v>114.3</v>
      </c>
      <c r="V1782" s="9" t="s">
        <v>106</v>
      </c>
      <c r="W1782" s="68">
        <v>140.30000000000001</v>
      </c>
      <c r="X1782" s="9">
        <v>435.6</v>
      </c>
      <c r="Y1782" s="9" t="s">
        <v>106</v>
      </c>
      <c r="Z1782" s="9" t="s">
        <v>106</v>
      </c>
      <c r="AA1782" s="9" t="s">
        <v>106</v>
      </c>
      <c r="AB1782" s="9" t="s">
        <v>106</v>
      </c>
      <c r="AC1782" s="9" t="s">
        <v>5100</v>
      </c>
      <c r="AD1782" s="9" t="s">
        <v>5100</v>
      </c>
    </row>
    <row r="1783" spans="1:30">
      <c r="A1783" s="9" t="s">
        <v>3819</v>
      </c>
      <c r="B1783" s="9" t="s">
        <v>4182</v>
      </c>
      <c r="C1783" s="9" t="s">
        <v>105</v>
      </c>
      <c r="D1783" s="9">
        <v>5.53</v>
      </c>
      <c r="E1783" s="9" t="s">
        <v>106</v>
      </c>
      <c r="F1783" s="9">
        <v>209.5</v>
      </c>
      <c r="G1783" s="9">
        <v>-5.8999999999999997E-2</v>
      </c>
      <c r="H1783" s="9">
        <v>3.16</v>
      </c>
      <c r="I1783" s="9">
        <v>5</v>
      </c>
      <c r="J1783" s="9" t="s">
        <v>122</v>
      </c>
      <c r="K1783" s="9" t="s">
        <v>390</v>
      </c>
      <c r="L1783" t="str">
        <f>IF(OR(J1783="Cattle",J1783="Zebu Cattle"),IF(COUNTIF(lists!$M$2:$M$258, K1783) &gt; 0,"bos.indicus",IF(COUNTIF(lists!$L$2:$L$258, K1783) &gt; 0,"cross.bred","pure.bred.exotic")),"NA")</f>
        <v>bos.indicus</v>
      </c>
      <c r="O1783" s="9" t="s">
        <v>4193</v>
      </c>
      <c r="P1783" s="9" t="s">
        <v>4198</v>
      </c>
      <c r="Q1783" s="9" t="s">
        <v>3809</v>
      </c>
      <c r="R1783" s="9" t="s">
        <v>3829</v>
      </c>
      <c r="S1783" s="9">
        <v>382.7</v>
      </c>
      <c r="T1783" s="9">
        <v>94.7</v>
      </c>
      <c r="U1783" s="9">
        <v>161.9</v>
      </c>
      <c r="V1783" s="9">
        <v>926.6</v>
      </c>
      <c r="W1783" s="9" t="s">
        <v>106</v>
      </c>
      <c r="X1783" s="9">
        <v>593.29999999999995</v>
      </c>
      <c r="Y1783" s="9">
        <v>46.94</v>
      </c>
      <c r="Z1783" s="9">
        <v>49.3</v>
      </c>
      <c r="AA1783" s="9">
        <v>56.46</v>
      </c>
      <c r="AB1783" s="9">
        <v>59.58</v>
      </c>
      <c r="AC1783" s="9" t="s">
        <v>5100</v>
      </c>
      <c r="AD1783" s="9" t="s">
        <v>5100</v>
      </c>
    </row>
    <row r="1784" spans="1:30">
      <c r="A1784" s="9" t="s">
        <v>3819</v>
      </c>
      <c r="B1784" s="9" t="s">
        <v>4183</v>
      </c>
      <c r="C1784" s="9" t="s">
        <v>105</v>
      </c>
      <c r="D1784" s="9">
        <v>5.49</v>
      </c>
      <c r="E1784" s="9" t="s">
        <v>106</v>
      </c>
      <c r="F1784" s="9">
        <v>208.8</v>
      </c>
      <c r="G1784" s="9">
        <v>-5.3999999999999999E-2</v>
      </c>
      <c r="H1784" s="9">
        <v>3.08</v>
      </c>
      <c r="I1784" s="9">
        <v>5</v>
      </c>
      <c r="J1784" s="9" t="s">
        <v>122</v>
      </c>
      <c r="K1784" s="9" t="s">
        <v>390</v>
      </c>
      <c r="L1784" t="str">
        <f>IF(OR(J1784="Cattle",J1784="Zebu Cattle"),IF(COUNTIF(lists!$M$2:$M$258, K1784) &gt; 0,"bos.indicus",IF(COUNTIF(lists!$L$2:$L$258, K1784) &gt; 0,"cross.bred","pure.bred.exotic")),"NA")</f>
        <v>bos.indicus</v>
      </c>
      <c r="O1784" s="9" t="s">
        <v>4193</v>
      </c>
      <c r="P1784" s="9" t="s">
        <v>4198</v>
      </c>
      <c r="Q1784" s="9" t="s">
        <v>3809</v>
      </c>
      <c r="R1784" s="9" t="s">
        <v>3829</v>
      </c>
      <c r="S1784" s="9">
        <v>394.5</v>
      </c>
      <c r="T1784" s="9">
        <v>98.9</v>
      </c>
      <c r="U1784" s="9">
        <v>158.4</v>
      </c>
      <c r="V1784" s="9">
        <v>924.8</v>
      </c>
      <c r="W1784" s="9" t="s">
        <v>106</v>
      </c>
      <c r="X1784" s="9">
        <v>605.4</v>
      </c>
      <c r="Y1784" s="9">
        <v>54.31</v>
      </c>
      <c r="Z1784" s="9">
        <v>52</v>
      </c>
      <c r="AA1784" s="9">
        <v>57.06</v>
      </c>
      <c r="AB1784" s="9">
        <v>59.86</v>
      </c>
      <c r="AC1784" s="9" t="s">
        <v>5100</v>
      </c>
      <c r="AD1784" s="9" t="s">
        <v>5100</v>
      </c>
    </row>
    <row r="1785" spans="1:30">
      <c r="A1785" s="9" t="s">
        <v>3819</v>
      </c>
      <c r="B1785" s="9" t="s">
        <v>4184</v>
      </c>
      <c r="C1785" s="9" t="s">
        <v>105</v>
      </c>
      <c r="D1785" s="9">
        <v>6</v>
      </c>
      <c r="E1785" s="9" t="s">
        <v>106</v>
      </c>
      <c r="F1785" s="9">
        <v>206.2</v>
      </c>
      <c r="G1785" s="9">
        <v>-5.3999999999999999E-2</v>
      </c>
      <c r="H1785" s="9">
        <v>3.31</v>
      </c>
      <c r="I1785" s="9">
        <v>5</v>
      </c>
      <c r="J1785" s="9" t="s">
        <v>122</v>
      </c>
      <c r="K1785" s="9" t="s">
        <v>390</v>
      </c>
      <c r="L1785" t="str">
        <f>IF(OR(J1785="Cattle",J1785="Zebu Cattle"),IF(COUNTIF(lists!$M$2:$M$258, K1785) &gt; 0,"bos.indicus",IF(COUNTIF(lists!$L$2:$L$258, K1785) &gt; 0,"cross.bred","pure.bred.exotic")),"NA")</f>
        <v>bos.indicus</v>
      </c>
      <c r="O1785" s="9" t="s">
        <v>4193</v>
      </c>
      <c r="P1785" s="9" t="s">
        <v>4198</v>
      </c>
      <c r="Q1785" s="9" t="s">
        <v>3809</v>
      </c>
      <c r="R1785" s="9" t="s">
        <v>3829</v>
      </c>
      <c r="S1785" s="9">
        <v>406.3</v>
      </c>
      <c r="T1785" s="9">
        <v>103.1</v>
      </c>
      <c r="U1785" s="9">
        <v>154.9</v>
      </c>
      <c r="V1785" s="9">
        <v>923.1</v>
      </c>
      <c r="W1785" s="9" t="s">
        <v>106</v>
      </c>
      <c r="X1785" s="9">
        <v>617.5</v>
      </c>
      <c r="Y1785" s="9">
        <v>49.63</v>
      </c>
      <c r="Z1785" s="9">
        <v>54.7</v>
      </c>
      <c r="AA1785" s="9">
        <v>60.65</v>
      </c>
      <c r="AB1785" s="9">
        <v>62.87</v>
      </c>
      <c r="AC1785" s="9" t="s">
        <v>5100</v>
      </c>
      <c r="AD1785" s="9" t="s">
        <v>5100</v>
      </c>
    </row>
    <row r="1786" spans="1:30">
      <c r="A1786" s="9" t="s">
        <v>3819</v>
      </c>
      <c r="B1786" s="9" t="s">
        <v>4185</v>
      </c>
      <c r="C1786" s="9" t="s">
        <v>105</v>
      </c>
      <c r="D1786" s="9">
        <v>5.38</v>
      </c>
      <c r="E1786" s="9" t="s">
        <v>106</v>
      </c>
      <c r="F1786" s="9">
        <v>206.1</v>
      </c>
      <c r="G1786" s="9">
        <v>-5.1999999999999998E-2</v>
      </c>
      <c r="H1786" s="9">
        <v>2.75</v>
      </c>
      <c r="I1786" s="9">
        <v>5</v>
      </c>
      <c r="J1786" s="9" t="s">
        <v>122</v>
      </c>
      <c r="K1786" s="9" t="s">
        <v>390</v>
      </c>
      <c r="L1786" t="str">
        <f>IF(OR(J1786="Cattle",J1786="Zebu Cattle"),IF(COUNTIF(lists!$M$2:$M$258, K1786) &gt; 0,"bos.indicus",IF(COUNTIF(lists!$L$2:$L$258, K1786) &gt; 0,"cross.bred","pure.bred.exotic")),"NA")</f>
        <v>bos.indicus</v>
      </c>
      <c r="O1786" s="9" t="s">
        <v>4193</v>
      </c>
      <c r="P1786" s="9" t="s">
        <v>4198</v>
      </c>
      <c r="Q1786" s="9" t="s">
        <v>3809</v>
      </c>
      <c r="R1786" s="9" t="s">
        <v>3829</v>
      </c>
      <c r="S1786" s="9">
        <v>418.1</v>
      </c>
      <c r="T1786" s="9">
        <v>107.3</v>
      </c>
      <c r="U1786" s="9">
        <v>151.4</v>
      </c>
      <c r="V1786" s="9">
        <v>921.4</v>
      </c>
      <c r="W1786" s="9" t="s">
        <v>106</v>
      </c>
      <c r="X1786" s="9">
        <v>629.70000000000005</v>
      </c>
      <c r="Y1786" s="9">
        <v>51.78</v>
      </c>
      <c r="Z1786" s="9">
        <v>57.5</v>
      </c>
      <c r="AA1786" s="9">
        <v>54.43</v>
      </c>
      <c r="AB1786" s="9">
        <v>57.03</v>
      </c>
      <c r="AC1786" s="9" t="s">
        <v>5100</v>
      </c>
      <c r="AD1786" s="9" t="s">
        <v>5100</v>
      </c>
    </row>
    <row r="1787" spans="1:30">
      <c r="A1787" s="9" t="s">
        <v>3819</v>
      </c>
      <c r="B1787" s="9" t="s">
        <v>4186</v>
      </c>
      <c r="C1787" s="9" t="s">
        <v>105</v>
      </c>
      <c r="D1787" s="9">
        <v>4.8600000000000003</v>
      </c>
      <c r="E1787" s="9" t="s">
        <v>106</v>
      </c>
      <c r="F1787" s="9">
        <v>200</v>
      </c>
      <c r="G1787" s="9">
        <v>-4.9000000000000002E-2</v>
      </c>
      <c r="H1787" s="9">
        <v>2.4300000000000002</v>
      </c>
      <c r="I1787" s="9">
        <v>5</v>
      </c>
      <c r="J1787" s="9" t="s">
        <v>122</v>
      </c>
      <c r="K1787" s="9" t="s">
        <v>390</v>
      </c>
      <c r="L1787" t="str">
        <f>IF(OR(J1787="Cattle",J1787="Zebu Cattle"),IF(COUNTIF(lists!$M$2:$M$258, K1787) &gt; 0,"bos.indicus",IF(COUNTIF(lists!$L$2:$L$258, K1787) &gt; 0,"cross.bred","pure.bred.exotic")),"NA")</f>
        <v>bos.indicus</v>
      </c>
      <c r="O1787" s="9" t="s">
        <v>4193</v>
      </c>
      <c r="P1787" s="9" t="s">
        <v>4198</v>
      </c>
      <c r="Q1787" s="9" t="s">
        <v>3809</v>
      </c>
      <c r="R1787" s="9" t="s">
        <v>3829</v>
      </c>
      <c r="S1787" s="9">
        <v>429.8</v>
      </c>
      <c r="T1787" s="9">
        <v>111.5</v>
      </c>
      <c r="U1787" s="9">
        <v>147.9</v>
      </c>
      <c r="V1787" s="9">
        <v>919.7</v>
      </c>
      <c r="W1787" s="9" t="s">
        <v>106</v>
      </c>
      <c r="X1787" s="9">
        <v>641.79999999999995</v>
      </c>
      <c r="Y1787" s="9">
        <v>49.96</v>
      </c>
      <c r="Z1787" s="9">
        <v>60.2</v>
      </c>
      <c r="AA1787" s="9">
        <v>47.18</v>
      </c>
      <c r="AB1787" s="9">
        <v>49.86</v>
      </c>
      <c r="AC1787" s="9" t="s">
        <v>5100</v>
      </c>
      <c r="AD1787" s="9" t="s">
        <v>5100</v>
      </c>
    </row>
    <row r="1788" spans="1:30">
      <c r="A1788" s="9" t="s">
        <v>3818</v>
      </c>
      <c r="B1788" s="9" t="s">
        <v>4187</v>
      </c>
      <c r="C1788" s="9" t="s">
        <v>105</v>
      </c>
      <c r="D1788" s="9">
        <v>11.41</v>
      </c>
      <c r="E1788" s="9" t="s">
        <v>106</v>
      </c>
      <c r="F1788" s="9" t="s">
        <v>106</v>
      </c>
      <c r="G1788" s="9" t="s">
        <v>106</v>
      </c>
      <c r="H1788" s="9">
        <v>8.34</v>
      </c>
      <c r="I1788" s="9">
        <v>12</v>
      </c>
      <c r="J1788" s="9" t="s">
        <v>122</v>
      </c>
      <c r="K1788" s="9" t="s">
        <v>4191</v>
      </c>
      <c r="L1788" t="str">
        <f>IF(OR(J1788="Cattle",J1788="Zebu Cattle"),IF(COUNTIF(lists!$M$2:$M$258, K1788) &gt; 0,"bos.indicus",IF(COUNTIF(lists!$L$2:$L$258, K1788) &gt; 0,"cross.bred","pure.bred.exotic")),"NA")</f>
        <v>cross.bred</v>
      </c>
      <c r="O1788" s="9" t="s">
        <v>124</v>
      </c>
      <c r="P1788" s="9" t="s">
        <v>4198</v>
      </c>
      <c r="Q1788" s="9" t="s">
        <v>3809</v>
      </c>
      <c r="R1788" s="9" t="s">
        <v>3829</v>
      </c>
      <c r="S1788" s="9">
        <v>299.2</v>
      </c>
      <c r="T1788" s="9" t="s">
        <v>106</v>
      </c>
      <c r="U1788" s="9">
        <v>149.69999999999999</v>
      </c>
      <c r="V1788" s="9" t="s">
        <v>106</v>
      </c>
      <c r="W1788" s="9" t="s">
        <v>106</v>
      </c>
      <c r="X1788" s="9">
        <v>518.9</v>
      </c>
      <c r="Y1788" s="9" t="s">
        <v>106</v>
      </c>
      <c r="Z1788" s="9" t="s">
        <v>106</v>
      </c>
      <c r="AA1788" s="9" t="s">
        <v>106</v>
      </c>
      <c r="AB1788" s="9" t="s">
        <v>106</v>
      </c>
      <c r="AC1788" s="9" t="s">
        <v>5100</v>
      </c>
      <c r="AD1788" s="9" t="s">
        <v>5100</v>
      </c>
    </row>
    <row r="1789" spans="1:30">
      <c r="A1789" s="9" t="s">
        <v>3818</v>
      </c>
      <c r="B1789" s="9" t="s">
        <v>4188</v>
      </c>
      <c r="C1789" s="9" t="s">
        <v>105</v>
      </c>
      <c r="D1789" s="9">
        <v>11.75</v>
      </c>
      <c r="E1789" s="9" t="s">
        <v>106</v>
      </c>
      <c r="F1789" s="9" t="s">
        <v>106</v>
      </c>
      <c r="G1789" s="9" t="s">
        <v>106</v>
      </c>
      <c r="H1789" s="9">
        <v>8.16</v>
      </c>
      <c r="I1789" s="9">
        <v>12</v>
      </c>
      <c r="J1789" s="9" t="s">
        <v>122</v>
      </c>
      <c r="K1789" s="9" t="s">
        <v>4191</v>
      </c>
      <c r="L1789" t="str">
        <f>IF(OR(J1789="Cattle",J1789="Zebu Cattle"),IF(COUNTIF(lists!$M$2:$M$258, K1789) &gt; 0,"bos.indicus",IF(COUNTIF(lists!$L$2:$L$258, K1789) &gt; 0,"cross.bred","pure.bred.exotic")),"NA")</f>
        <v>cross.bred</v>
      </c>
      <c r="O1789" s="9" t="s">
        <v>124</v>
      </c>
      <c r="P1789" s="9" t="s">
        <v>4198</v>
      </c>
      <c r="Q1789" s="9" t="s">
        <v>3809</v>
      </c>
      <c r="R1789" s="9" t="s">
        <v>3829</v>
      </c>
      <c r="S1789" s="9">
        <v>296.39999999999998</v>
      </c>
      <c r="T1789" s="9" t="s">
        <v>106</v>
      </c>
      <c r="U1789" s="9">
        <v>150.9</v>
      </c>
      <c r="V1789" s="9" t="s">
        <v>106</v>
      </c>
      <c r="W1789" s="9" t="s">
        <v>106</v>
      </c>
      <c r="X1789" s="9">
        <v>515.6</v>
      </c>
      <c r="Y1789" s="9" t="s">
        <v>106</v>
      </c>
      <c r="Z1789" s="9" t="s">
        <v>106</v>
      </c>
      <c r="AA1789" s="9" t="s">
        <v>106</v>
      </c>
      <c r="AB1789" s="9" t="s">
        <v>106</v>
      </c>
      <c r="AC1789" s="9" t="s">
        <v>5100</v>
      </c>
      <c r="AD1789" s="9" t="s">
        <v>5100</v>
      </c>
    </row>
    <row r="1790" spans="1:30">
      <c r="A1790" s="9" t="s">
        <v>3818</v>
      </c>
      <c r="B1790" s="9" t="s">
        <v>4189</v>
      </c>
      <c r="C1790" s="9" t="s">
        <v>105</v>
      </c>
      <c r="D1790" s="9">
        <v>11.63</v>
      </c>
      <c r="E1790" s="9" t="s">
        <v>106</v>
      </c>
      <c r="F1790" s="9" t="s">
        <v>106</v>
      </c>
      <c r="G1790" s="9" t="s">
        <v>106</v>
      </c>
      <c r="H1790" s="9">
        <v>8.1999999999999993</v>
      </c>
      <c r="I1790" s="9">
        <v>12</v>
      </c>
      <c r="J1790" s="9" t="s">
        <v>122</v>
      </c>
      <c r="K1790" s="9" t="s">
        <v>4191</v>
      </c>
      <c r="L1790" t="str">
        <f>IF(OR(J1790="Cattle",J1790="Zebu Cattle"),IF(COUNTIF(lists!$M$2:$M$258, K1790) &gt; 0,"bos.indicus",IF(COUNTIF(lists!$L$2:$L$258, K1790) &gt; 0,"cross.bred","pure.bred.exotic")),"NA")</f>
        <v>cross.bred</v>
      </c>
      <c r="O1790" s="9" t="s">
        <v>124</v>
      </c>
      <c r="P1790" s="9" t="s">
        <v>4198</v>
      </c>
      <c r="Q1790" s="9" t="s">
        <v>3809</v>
      </c>
      <c r="R1790" s="9" t="s">
        <v>3829</v>
      </c>
      <c r="S1790" s="9">
        <v>294.5</v>
      </c>
      <c r="T1790" s="9" t="s">
        <v>106</v>
      </c>
      <c r="U1790" s="9">
        <v>151.6</v>
      </c>
      <c r="V1790" s="9" t="s">
        <v>106</v>
      </c>
      <c r="W1790" s="9" t="s">
        <v>106</v>
      </c>
      <c r="X1790" s="9">
        <v>513.5</v>
      </c>
      <c r="Y1790" s="9" t="s">
        <v>106</v>
      </c>
      <c r="Z1790" s="9" t="s">
        <v>106</v>
      </c>
      <c r="AA1790" s="9" t="s">
        <v>106</v>
      </c>
      <c r="AB1790" s="9" t="s">
        <v>106</v>
      </c>
      <c r="AC1790" s="9" t="s">
        <v>5100</v>
      </c>
      <c r="AD1790" s="9" t="s">
        <v>5100</v>
      </c>
    </row>
    <row r="1791" spans="1:30">
      <c r="A1791" s="9" t="s">
        <v>3818</v>
      </c>
      <c r="B1791" s="9" t="s">
        <v>4190</v>
      </c>
      <c r="C1791" s="9" t="s">
        <v>105</v>
      </c>
      <c r="D1791" s="9">
        <v>11.21</v>
      </c>
      <c r="E1791" s="9" t="s">
        <v>106</v>
      </c>
      <c r="F1791" s="9" t="s">
        <v>106</v>
      </c>
      <c r="G1791" s="9" t="s">
        <v>106</v>
      </c>
      <c r="H1791" s="9">
        <v>7.46</v>
      </c>
      <c r="I1791" s="9">
        <v>12</v>
      </c>
      <c r="J1791" s="9" t="s">
        <v>122</v>
      </c>
      <c r="K1791" s="9" t="s">
        <v>4191</v>
      </c>
      <c r="L1791" t="str">
        <f>IF(OR(J1791="Cattle",J1791="Zebu Cattle"),IF(COUNTIF(lists!$M$2:$M$258, K1791) &gt; 0,"bos.indicus",IF(COUNTIF(lists!$L$2:$L$258, K1791) &gt; 0,"cross.bred","pure.bred.exotic")),"NA")</f>
        <v>cross.bred</v>
      </c>
      <c r="O1791" s="9" t="s">
        <v>124</v>
      </c>
      <c r="P1791" s="9" t="s">
        <v>4198</v>
      </c>
      <c r="Q1791" s="9" t="s">
        <v>3809</v>
      </c>
      <c r="R1791" s="9" t="s">
        <v>3829</v>
      </c>
      <c r="S1791" s="9">
        <v>293.5</v>
      </c>
      <c r="T1791" s="9" t="s">
        <v>106</v>
      </c>
      <c r="U1791" s="9">
        <v>152.19999999999999</v>
      </c>
      <c r="V1791" s="9" t="s">
        <v>106</v>
      </c>
      <c r="W1791" s="9" t="s">
        <v>106</v>
      </c>
      <c r="X1791" s="9">
        <v>512.29999999999995</v>
      </c>
      <c r="Y1791" s="9" t="s">
        <v>106</v>
      </c>
      <c r="Z1791" s="9" t="s">
        <v>106</v>
      </c>
      <c r="AA1791" s="9" t="s">
        <v>106</v>
      </c>
      <c r="AB1791" s="9" t="s">
        <v>106</v>
      </c>
      <c r="AC1791" s="9" t="s">
        <v>5100</v>
      </c>
      <c r="AD1791" s="9" t="s">
        <v>5100</v>
      </c>
    </row>
    <row r="1792" spans="1:30">
      <c r="A1792" s="9" t="s">
        <v>3935</v>
      </c>
      <c r="B1792" s="9" t="s">
        <v>4195</v>
      </c>
      <c r="C1792" s="9" t="s">
        <v>105</v>
      </c>
      <c r="D1792" s="9">
        <v>4.53</v>
      </c>
      <c r="E1792" s="9" t="s">
        <v>106</v>
      </c>
      <c r="F1792" s="9" t="s">
        <v>106</v>
      </c>
      <c r="G1792" s="59">
        <v>-1.47E-2</v>
      </c>
      <c r="H1792" s="59">
        <v>6.2587000000000002</v>
      </c>
      <c r="I1792" s="9">
        <v>8</v>
      </c>
      <c r="J1792" s="9" t="s">
        <v>122</v>
      </c>
      <c r="K1792" s="9" t="s">
        <v>4197</v>
      </c>
      <c r="L1792" t="str">
        <f>IF(OR(J1792="Cattle",J1792="Zebu Cattle"),IF(COUNTIF(lists!$M$2:$M$258, K1792) &gt; 0,"bos.indicus",IF(COUNTIF(lists!$L$2:$L$258, K1792) &gt; 0,"cross.bred","pure.bred.exotic")),"NA")</f>
        <v>cross.bred</v>
      </c>
      <c r="O1792" s="9" t="s">
        <v>124</v>
      </c>
      <c r="P1792" s="9" t="s">
        <v>4198</v>
      </c>
      <c r="Q1792" s="9" t="s">
        <v>3809</v>
      </c>
      <c r="R1792" s="9" t="s">
        <v>3829</v>
      </c>
      <c r="S1792" s="9">
        <v>491</v>
      </c>
      <c r="T1792" s="9">
        <v>51</v>
      </c>
      <c r="U1792" s="9">
        <v>102</v>
      </c>
      <c r="V1792" s="9">
        <v>928.2</v>
      </c>
      <c r="W1792" s="9" t="s">
        <v>106</v>
      </c>
      <c r="X1792" s="9">
        <v>779</v>
      </c>
      <c r="Y1792" s="9" t="s">
        <v>106</v>
      </c>
      <c r="Z1792" s="9">
        <v>95</v>
      </c>
      <c r="AA1792" s="9" t="s">
        <v>106</v>
      </c>
      <c r="AB1792" s="9" t="s">
        <v>106</v>
      </c>
      <c r="AC1792" s="9" t="s">
        <v>5100</v>
      </c>
      <c r="AD1792" s="9" t="s">
        <v>5100</v>
      </c>
    </row>
    <row r="1793" spans="1:30">
      <c r="A1793" s="9" t="s">
        <v>3935</v>
      </c>
      <c r="B1793" s="9" t="s">
        <v>4196</v>
      </c>
      <c r="C1793" s="9" t="s">
        <v>105</v>
      </c>
      <c r="D1793" s="9">
        <v>6.22</v>
      </c>
      <c r="E1793" s="9" t="s">
        <v>106</v>
      </c>
      <c r="F1793" s="9" t="s">
        <v>106</v>
      </c>
      <c r="G1793" s="59">
        <v>0.1472</v>
      </c>
      <c r="H1793" s="59">
        <v>7.8547000000000002</v>
      </c>
      <c r="I1793" s="9">
        <v>8</v>
      </c>
      <c r="J1793" s="9" t="s">
        <v>122</v>
      </c>
      <c r="K1793" s="9" t="s">
        <v>4197</v>
      </c>
      <c r="L1793" t="str">
        <f>IF(OR(J1793="Cattle",J1793="Zebu Cattle"),IF(COUNTIF(lists!$M$2:$M$258, K1793) &gt; 0,"bos.indicus",IF(COUNTIF(lists!$L$2:$L$258, K1793) &gt; 0,"cross.bred","pure.bred.exotic")),"NA")</f>
        <v>cross.bred</v>
      </c>
      <c r="O1793" s="9" t="s">
        <v>124</v>
      </c>
      <c r="P1793" s="9" t="s">
        <v>4198</v>
      </c>
      <c r="Q1793" s="9" t="s">
        <v>3809</v>
      </c>
      <c r="R1793" s="9" t="s">
        <v>3829</v>
      </c>
      <c r="S1793" s="9">
        <v>506</v>
      </c>
      <c r="T1793" s="9">
        <v>58</v>
      </c>
      <c r="U1793" s="9">
        <v>164</v>
      </c>
      <c r="V1793" s="9">
        <v>921</v>
      </c>
      <c r="W1793" s="9" t="s">
        <v>106</v>
      </c>
      <c r="X1793" s="9">
        <v>687</v>
      </c>
      <c r="Y1793" s="9" t="s">
        <v>106</v>
      </c>
      <c r="Z1793" s="9">
        <v>122</v>
      </c>
      <c r="AA1793" s="9" t="s">
        <v>106</v>
      </c>
      <c r="AB1793" s="9" t="s">
        <v>106</v>
      </c>
      <c r="AC1793" s="9" t="s">
        <v>5100</v>
      </c>
      <c r="AD1793" s="9" t="s">
        <v>5100</v>
      </c>
    </row>
    <row r="1794" spans="1:30">
      <c r="A1794" s="9" t="s">
        <v>3955</v>
      </c>
      <c r="B1794" s="9" t="s">
        <v>4199</v>
      </c>
      <c r="C1794" s="9" t="s">
        <v>105</v>
      </c>
      <c r="D1794" s="9">
        <v>8.3000000000000007</v>
      </c>
      <c r="E1794" s="9" t="s">
        <v>106</v>
      </c>
      <c r="F1794" s="9">
        <v>202.5</v>
      </c>
      <c r="G1794" s="9">
        <v>0.69</v>
      </c>
      <c r="H1794" s="9" t="s">
        <v>106</v>
      </c>
      <c r="I1794" s="9">
        <v>12</v>
      </c>
      <c r="J1794" s="9" t="s">
        <v>122</v>
      </c>
      <c r="K1794" s="9" t="s">
        <v>4161</v>
      </c>
      <c r="L1794" t="str">
        <f>IF(OR(J1794="Cattle",J1794="Zebu Cattle"),IF(COUNTIF(lists!$M$2:$M$258, K1794) &gt; 0,"bos.indicus",IF(COUNTIF(lists!$L$2:$L$258, K1794) &gt; 0,"cross.bred","pure.bred.exotic")),"NA")</f>
        <v>bos.indicus</v>
      </c>
      <c r="O1794" s="9" t="s">
        <v>4193</v>
      </c>
      <c r="P1794" s="9" t="s">
        <v>4210</v>
      </c>
      <c r="Q1794" s="9" t="s">
        <v>3813</v>
      </c>
      <c r="R1794" s="9" t="s">
        <v>3829</v>
      </c>
      <c r="S1794" s="9">
        <v>341</v>
      </c>
      <c r="T1794" s="9" t="s">
        <v>106</v>
      </c>
      <c r="U1794" s="9">
        <v>83</v>
      </c>
      <c r="V1794" s="9" t="s">
        <v>106</v>
      </c>
      <c r="W1794" s="9" t="s">
        <v>106</v>
      </c>
      <c r="X1794" s="9">
        <v>578</v>
      </c>
      <c r="Y1794" s="9" t="s">
        <v>106</v>
      </c>
      <c r="Z1794" s="9" t="s">
        <v>106</v>
      </c>
      <c r="AA1794" s="9" t="s">
        <v>106</v>
      </c>
      <c r="AB1794" s="9" t="s">
        <v>106</v>
      </c>
      <c r="AC1794" s="9" t="s">
        <v>5099</v>
      </c>
      <c r="AD1794" s="9" t="s">
        <v>5099</v>
      </c>
    </row>
    <row r="1795" spans="1:30">
      <c r="A1795" s="9" t="s">
        <v>3955</v>
      </c>
      <c r="B1795" s="9" t="s">
        <v>4200</v>
      </c>
      <c r="C1795" s="9" t="s">
        <v>105</v>
      </c>
      <c r="D1795" s="9">
        <v>7.7</v>
      </c>
      <c r="E1795" s="9" t="s">
        <v>106</v>
      </c>
      <c r="F1795" s="9">
        <v>208</v>
      </c>
      <c r="G1795" s="9">
        <v>0.8</v>
      </c>
      <c r="H1795" s="9" t="s">
        <v>106</v>
      </c>
      <c r="I1795" s="9">
        <v>12</v>
      </c>
      <c r="J1795" s="9" t="s">
        <v>122</v>
      </c>
      <c r="K1795" s="9" t="s">
        <v>4161</v>
      </c>
      <c r="L1795" t="str">
        <f>IF(OR(J1795="Cattle",J1795="Zebu Cattle"),IF(COUNTIF(lists!$M$2:$M$258, K1795) &gt; 0,"bos.indicus",IF(COUNTIF(lists!$L$2:$L$258, K1795) &gt; 0,"cross.bred","pure.bred.exotic")),"NA")</f>
        <v>bos.indicus</v>
      </c>
      <c r="O1795" s="9" t="s">
        <v>4193</v>
      </c>
      <c r="P1795" s="9" t="s">
        <v>4210</v>
      </c>
      <c r="Q1795" s="9" t="s">
        <v>3813</v>
      </c>
      <c r="R1795" s="9" t="s">
        <v>3829</v>
      </c>
      <c r="S1795" s="9">
        <v>263</v>
      </c>
      <c r="T1795" s="9" t="s">
        <v>106</v>
      </c>
      <c r="U1795" s="9">
        <v>97</v>
      </c>
      <c r="V1795" s="9" t="s">
        <v>106</v>
      </c>
      <c r="W1795" s="9" t="s">
        <v>106</v>
      </c>
      <c r="X1795" s="9">
        <v>480</v>
      </c>
      <c r="Y1795" s="9" t="s">
        <v>106</v>
      </c>
      <c r="Z1795" s="9" t="s">
        <v>106</v>
      </c>
      <c r="AA1795" s="9" t="s">
        <v>106</v>
      </c>
      <c r="AB1795" s="9" t="s">
        <v>106</v>
      </c>
      <c r="AC1795" s="9" t="s">
        <v>5099</v>
      </c>
      <c r="AD1795" s="9" t="s">
        <v>5099</v>
      </c>
    </row>
    <row r="1796" spans="1:30">
      <c r="A1796" s="9" t="s">
        <v>3955</v>
      </c>
      <c r="B1796" s="9" t="s">
        <v>4201</v>
      </c>
      <c r="C1796" s="9" t="s">
        <v>105</v>
      </c>
      <c r="D1796" s="9">
        <v>6.6</v>
      </c>
      <c r="E1796" s="9" t="s">
        <v>106</v>
      </c>
      <c r="F1796" s="9">
        <v>195.5</v>
      </c>
      <c r="G1796" s="9">
        <v>0.56999999999999995</v>
      </c>
      <c r="H1796" s="9" t="s">
        <v>106</v>
      </c>
      <c r="I1796" s="9">
        <v>12</v>
      </c>
      <c r="J1796" s="9" t="s">
        <v>122</v>
      </c>
      <c r="K1796" s="9" t="s">
        <v>4161</v>
      </c>
      <c r="L1796" t="str">
        <f>IF(OR(J1796="Cattle",J1796="Zebu Cattle"),IF(COUNTIF(lists!$M$2:$M$258, K1796) &gt; 0,"bos.indicus",IF(COUNTIF(lists!$L$2:$L$258, K1796) &gt; 0,"cross.bred","pure.bred.exotic")),"NA")</f>
        <v>bos.indicus</v>
      </c>
      <c r="O1796" s="9" t="s">
        <v>4193</v>
      </c>
      <c r="P1796" s="9" t="s">
        <v>4210</v>
      </c>
      <c r="Q1796" s="9" t="s">
        <v>3813</v>
      </c>
      <c r="R1796" s="9" t="s">
        <v>3829</v>
      </c>
      <c r="S1796" s="9">
        <v>187</v>
      </c>
      <c r="T1796" s="9" t="s">
        <v>106</v>
      </c>
      <c r="U1796" s="9">
        <v>107</v>
      </c>
      <c r="V1796" s="9" t="s">
        <v>106</v>
      </c>
      <c r="W1796" s="9" t="s">
        <v>106</v>
      </c>
      <c r="X1796" s="9">
        <v>397</v>
      </c>
      <c r="Y1796" s="9" t="s">
        <v>106</v>
      </c>
      <c r="Z1796" s="9" t="s">
        <v>106</v>
      </c>
      <c r="AA1796" s="9" t="s">
        <v>106</v>
      </c>
      <c r="AB1796" s="9" t="s">
        <v>106</v>
      </c>
      <c r="AC1796" s="9" t="s">
        <v>5100</v>
      </c>
      <c r="AD1796" s="9" t="s">
        <v>5100</v>
      </c>
    </row>
    <row r="1797" spans="1:30">
      <c r="A1797" s="9" t="s">
        <v>3955</v>
      </c>
      <c r="B1797" s="9" t="s">
        <v>4202</v>
      </c>
      <c r="C1797" s="9" t="s">
        <v>105</v>
      </c>
      <c r="D1797" s="9">
        <v>6.9</v>
      </c>
      <c r="E1797" s="9" t="s">
        <v>106</v>
      </c>
      <c r="F1797" s="9">
        <v>206.5</v>
      </c>
      <c r="G1797" s="9">
        <v>0.77</v>
      </c>
      <c r="H1797" s="9" t="s">
        <v>106</v>
      </c>
      <c r="I1797" s="9">
        <v>12</v>
      </c>
      <c r="J1797" s="9" t="s">
        <v>122</v>
      </c>
      <c r="K1797" s="9" t="s">
        <v>4161</v>
      </c>
      <c r="L1797" t="str">
        <f>IF(OR(J1797="Cattle",J1797="Zebu Cattle"),IF(COUNTIF(lists!$M$2:$M$258, K1797) &gt; 0,"bos.indicus",IF(COUNTIF(lists!$L$2:$L$258, K1797) &gt; 0,"cross.bred","pure.bred.exotic")),"NA")</f>
        <v>bos.indicus</v>
      </c>
      <c r="O1797" s="9" t="s">
        <v>4193</v>
      </c>
      <c r="P1797" s="9" t="s">
        <v>4210</v>
      </c>
      <c r="Q1797" s="9" t="s">
        <v>3813</v>
      </c>
      <c r="R1797" s="9" t="s">
        <v>3829</v>
      </c>
      <c r="S1797" s="9">
        <v>167</v>
      </c>
      <c r="T1797" s="9" t="s">
        <v>106</v>
      </c>
      <c r="U1797" s="9">
        <v>111</v>
      </c>
      <c r="V1797" s="9" t="s">
        <v>106</v>
      </c>
      <c r="W1797" s="9" t="s">
        <v>106</v>
      </c>
      <c r="X1797" s="9">
        <v>369</v>
      </c>
      <c r="Y1797" s="9" t="s">
        <v>106</v>
      </c>
      <c r="Z1797" s="9" t="s">
        <v>106</v>
      </c>
      <c r="AA1797" s="9" t="s">
        <v>106</v>
      </c>
      <c r="AB1797" s="9" t="s">
        <v>106</v>
      </c>
      <c r="AC1797" s="9" t="s">
        <v>5100</v>
      </c>
      <c r="AD1797" s="9" t="s">
        <v>5100</v>
      </c>
    </row>
    <row r="1798" spans="1:30">
      <c r="A1798" s="9" t="s">
        <v>3955</v>
      </c>
      <c r="B1798" s="9" t="s">
        <v>4203</v>
      </c>
      <c r="C1798" s="9" t="s">
        <v>105</v>
      </c>
      <c r="D1798" s="9">
        <v>7.5</v>
      </c>
      <c r="E1798" s="9" t="s">
        <v>106</v>
      </c>
      <c r="F1798" s="9">
        <v>212</v>
      </c>
      <c r="G1798" s="9">
        <v>0.86</v>
      </c>
      <c r="H1798" s="9" t="s">
        <v>106</v>
      </c>
      <c r="I1798" s="9">
        <v>12</v>
      </c>
      <c r="J1798" s="9" t="s">
        <v>122</v>
      </c>
      <c r="K1798" s="9" t="s">
        <v>4161</v>
      </c>
      <c r="L1798" t="str">
        <f>IF(OR(J1798="Cattle",J1798="Zebu Cattle"),IF(COUNTIF(lists!$M$2:$M$258, K1798) &gt; 0,"bos.indicus",IF(COUNTIF(lists!$L$2:$L$258, K1798) &gt; 0,"cross.bred","pure.bred.exotic")),"NA")</f>
        <v>bos.indicus</v>
      </c>
      <c r="O1798" s="9" t="s">
        <v>4193</v>
      </c>
      <c r="P1798" s="9" t="s">
        <v>4210</v>
      </c>
      <c r="Q1798" s="9" t="s">
        <v>3813</v>
      </c>
      <c r="R1798" s="9" t="s">
        <v>3829</v>
      </c>
      <c r="S1798" s="9">
        <v>134</v>
      </c>
      <c r="T1798" s="9" t="s">
        <v>106</v>
      </c>
      <c r="U1798" s="9">
        <v>118</v>
      </c>
      <c r="V1798" s="9" t="s">
        <v>106</v>
      </c>
      <c r="W1798" s="9" t="s">
        <v>106</v>
      </c>
      <c r="X1798" s="9">
        <v>326</v>
      </c>
      <c r="Y1798" s="9" t="s">
        <v>106</v>
      </c>
      <c r="Z1798" s="9" t="s">
        <v>106</v>
      </c>
      <c r="AA1798" s="9" t="s">
        <v>106</v>
      </c>
      <c r="AB1798" s="9" t="s">
        <v>106</v>
      </c>
      <c r="AC1798" s="9" t="s">
        <v>5100</v>
      </c>
      <c r="AD1798" s="9" t="s">
        <v>5100</v>
      </c>
    </row>
    <row r="1799" spans="1:30">
      <c r="A1799" s="9" t="s">
        <v>3955</v>
      </c>
      <c r="B1799" s="9" t="s">
        <v>4204</v>
      </c>
      <c r="C1799" s="9" t="s">
        <v>105</v>
      </c>
      <c r="D1799" s="9">
        <v>7.7</v>
      </c>
      <c r="E1799" s="9" t="s">
        <v>106</v>
      </c>
      <c r="F1799" s="9">
        <v>126</v>
      </c>
      <c r="G1799" s="9">
        <v>0.56000000000000005</v>
      </c>
      <c r="H1799" s="9" t="s">
        <v>106</v>
      </c>
      <c r="I1799" s="9">
        <v>12</v>
      </c>
      <c r="J1799" s="9" t="s">
        <v>122</v>
      </c>
      <c r="K1799" s="9" t="s">
        <v>4209</v>
      </c>
      <c r="L1799" t="str">
        <f>IF(OR(J1799="Cattle",J1799="Zebu Cattle"),IF(COUNTIF(lists!$M$2:$M$258, K1799) &gt; 0,"bos.indicus",IF(COUNTIF(lists!$L$2:$L$258, K1799) &gt; 0,"cross.bred","pure.bred.exotic")),"NA")</f>
        <v>bos.indicus</v>
      </c>
      <c r="O1799" s="9" t="s">
        <v>4193</v>
      </c>
      <c r="P1799" s="9" t="s">
        <v>4211</v>
      </c>
      <c r="Q1799" s="9" t="s">
        <v>3813</v>
      </c>
      <c r="R1799" s="9" t="s">
        <v>3829</v>
      </c>
      <c r="S1799" s="9">
        <v>341</v>
      </c>
      <c r="T1799" s="9" t="s">
        <v>106</v>
      </c>
      <c r="U1799" s="9">
        <v>83</v>
      </c>
      <c r="V1799" s="9" t="s">
        <v>106</v>
      </c>
      <c r="W1799" s="9" t="s">
        <v>106</v>
      </c>
      <c r="X1799" s="9">
        <v>578</v>
      </c>
      <c r="Y1799" s="9" t="s">
        <v>106</v>
      </c>
      <c r="Z1799" s="9" t="s">
        <v>106</v>
      </c>
      <c r="AA1799" s="9" t="s">
        <v>106</v>
      </c>
      <c r="AB1799" s="9" t="s">
        <v>106</v>
      </c>
      <c r="AC1799" s="78" t="s">
        <v>5099</v>
      </c>
      <c r="AD1799" s="78" t="s">
        <v>5099</v>
      </c>
    </row>
    <row r="1800" spans="1:30">
      <c r="A1800" s="9" t="s">
        <v>3955</v>
      </c>
      <c r="B1800" s="9" t="s">
        <v>4205</v>
      </c>
      <c r="C1800" s="9" t="s">
        <v>105</v>
      </c>
      <c r="D1800" s="9">
        <v>7.2</v>
      </c>
      <c r="E1800" s="9" t="s">
        <v>106</v>
      </c>
      <c r="F1800" s="9">
        <v>131.5</v>
      </c>
      <c r="G1800" s="9">
        <v>0.63</v>
      </c>
      <c r="H1800" s="9" t="s">
        <v>106</v>
      </c>
      <c r="I1800" s="9">
        <v>12</v>
      </c>
      <c r="J1800" s="9" t="s">
        <v>122</v>
      </c>
      <c r="K1800" s="9" t="s">
        <v>4209</v>
      </c>
      <c r="L1800" t="str">
        <f>IF(OR(J1800="Cattle",J1800="Zebu Cattle"),IF(COUNTIF(lists!$M$2:$M$258, K1800) &gt; 0,"bos.indicus",IF(COUNTIF(lists!$L$2:$L$258, K1800) &gt; 0,"cross.bred","pure.bred.exotic")),"NA")</f>
        <v>bos.indicus</v>
      </c>
      <c r="O1800" s="9" t="s">
        <v>4193</v>
      </c>
      <c r="P1800" s="9" t="s">
        <v>4211</v>
      </c>
      <c r="Q1800" s="9" t="s">
        <v>3813</v>
      </c>
      <c r="R1800" s="9" t="s">
        <v>3829</v>
      </c>
      <c r="S1800" s="9">
        <v>271</v>
      </c>
      <c r="T1800" s="9" t="s">
        <v>106</v>
      </c>
      <c r="U1800" s="9">
        <v>95</v>
      </c>
      <c r="V1800" s="9" t="s">
        <v>106</v>
      </c>
      <c r="W1800" s="9" t="s">
        <v>106</v>
      </c>
      <c r="X1800" s="9">
        <v>491</v>
      </c>
      <c r="Y1800" s="9" t="s">
        <v>106</v>
      </c>
      <c r="Z1800" s="9" t="s">
        <v>106</v>
      </c>
      <c r="AA1800" s="9" t="s">
        <v>106</v>
      </c>
      <c r="AB1800" s="9" t="s">
        <v>106</v>
      </c>
      <c r="AC1800" s="78" t="s">
        <v>5099</v>
      </c>
      <c r="AD1800" s="78" t="s">
        <v>5099</v>
      </c>
    </row>
    <row r="1801" spans="1:30">
      <c r="A1801" s="9" t="s">
        <v>3955</v>
      </c>
      <c r="B1801" s="9" t="s">
        <v>4206</v>
      </c>
      <c r="C1801" s="9" t="s">
        <v>105</v>
      </c>
      <c r="D1801" s="9">
        <v>5.0999999999999996</v>
      </c>
      <c r="E1801" s="9" t="s">
        <v>106</v>
      </c>
      <c r="F1801" s="9">
        <v>122</v>
      </c>
      <c r="G1801" s="9">
        <v>0.54</v>
      </c>
      <c r="H1801" s="9" t="s">
        <v>106</v>
      </c>
      <c r="I1801" s="9">
        <v>12</v>
      </c>
      <c r="J1801" s="9" t="s">
        <v>122</v>
      </c>
      <c r="K1801" s="9" t="s">
        <v>4209</v>
      </c>
      <c r="L1801" t="str">
        <f>IF(OR(J1801="Cattle",J1801="Zebu Cattle"),IF(COUNTIF(lists!$M$2:$M$258, K1801) &gt; 0,"bos.indicus",IF(COUNTIF(lists!$L$2:$L$258, K1801) &gt; 0,"cross.bred","pure.bred.exotic")),"NA")</f>
        <v>bos.indicus</v>
      </c>
      <c r="O1801" s="9" t="s">
        <v>4193</v>
      </c>
      <c r="P1801" s="9" t="s">
        <v>4211</v>
      </c>
      <c r="Q1801" s="9" t="s">
        <v>3813</v>
      </c>
      <c r="R1801" s="9" t="s">
        <v>3829</v>
      </c>
      <c r="S1801" s="9">
        <v>212</v>
      </c>
      <c r="T1801" s="9" t="s">
        <v>106</v>
      </c>
      <c r="U1801" s="9">
        <v>102</v>
      </c>
      <c r="V1801" s="9" t="s">
        <v>106</v>
      </c>
      <c r="W1801" s="9" t="s">
        <v>106</v>
      </c>
      <c r="X1801" s="9">
        <v>430</v>
      </c>
      <c r="Y1801" s="9" t="s">
        <v>106</v>
      </c>
      <c r="Z1801" s="9" t="s">
        <v>106</v>
      </c>
      <c r="AA1801" s="9" t="s">
        <v>106</v>
      </c>
      <c r="AB1801" s="9" t="s">
        <v>106</v>
      </c>
      <c r="AC1801" s="9" t="s">
        <v>5100</v>
      </c>
      <c r="AD1801" s="9" t="s">
        <v>5100</v>
      </c>
    </row>
    <row r="1802" spans="1:30">
      <c r="A1802" s="9" t="s">
        <v>3955</v>
      </c>
      <c r="B1802" s="9" t="s">
        <v>4207</v>
      </c>
      <c r="C1802" s="9" t="s">
        <v>105</v>
      </c>
      <c r="D1802" s="9">
        <v>5.6</v>
      </c>
      <c r="E1802" s="9" t="s">
        <v>106</v>
      </c>
      <c r="F1802" s="9">
        <v>133</v>
      </c>
      <c r="G1802" s="9">
        <v>0.57999999999999996</v>
      </c>
      <c r="H1802" s="9" t="s">
        <v>106</v>
      </c>
      <c r="I1802" s="9">
        <v>12</v>
      </c>
      <c r="J1802" s="9" t="s">
        <v>122</v>
      </c>
      <c r="K1802" s="9" t="s">
        <v>4209</v>
      </c>
      <c r="L1802" t="str">
        <f>IF(OR(J1802="Cattle",J1802="Zebu Cattle"),IF(COUNTIF(lists!$M$2:$M$258, K1802) &gt; 0,"bos.indicus",IF(COUNTIF(lists!$L$2:$L$258, K1802) &gt; 0,"cross.bred","pure.bred.exotic")),"NA")</f>
        <v>bos.indicus</v>
      </c>
      <c r="O1802" s="9" t="s">
        <v>4193</v>
      </c>
      <c r="P1802" s="9" t="s">
        <v>4211</v>
      </c>
      <c r="Q1802" s="9" t="s">
        <v>3813</v>
      </c>
      <c r="R1802" s="9" t="s">
        <v>3829</v>
      </c>
      <c r="S1802" s="9">
        <v>154</v>
      </c>
      <c r="T1802" s="9" t="s">
        <v>106</v>
      </c>
      <c r="U1802" s="9">
        <v>114</v>
      </c>
      <c r="V1802" s="9" t="s">
        <v>106</v>
      </c>
      <c r="W1802" s="9" t="s">
        <v>106</v>
      </c>
      <c r="X1802" s="9">
        <v>353</v>
      </c>
      <c r="Y1802" s="9" t="s">
        <v>106</v>
      </c>
      <c r="Z1802" s="9" t="s">
        <v>106</v>
      </c>
      <c r="AA1802" s="9" t="s">
        <v>106</v>
      </c>
      <c r="AB1802" s="9" t="s">
        <v>106</v>
      </c>
      <c r="AC1802" s="9" t="s">
        <v>5100</v>
      </c>
      <c r="AD1802" s="9" t="s">
        <v>5100</v>
      </c>
    </row>
    <row r="1803" spans="1:30">
      <c r="A1803" s="9" t="s">
        <v>3955</v>
      </c>
      <c r="B1803" s="9" t="s">
        <v>4208</v>
      </c>
      <c r="C1803" s="9" t="s">
        <v>105</v>
      </c>
      <c r="D1803" s="9">
        <v>6.3</v>
      </c>
      <c r="E1803" s="9" t="s">
        <v>106</v>
      </c>
      <c r="F1803" s="9">
        <v>139.5</v>
      </c>
      <c r="G1803" s="9">
        <v>0.81</v>
      </c>
      <c r="H1803" s="9" t="s">
        <v>106</v>
      </c>
      <c r="I1803" s="9">
        <v>12</v>
      </c>
      <c r="J1803" s="9" t="s">
        <v>122</v>
      </c>
      <c r="K1803" s="9" t="s">
        <v>4209</v>
      </c>
      <c r="L1803" t="str">
        <f>IF(OR(J1803="Cattle",J1803="Zebu Cattle"),IF(COUNTIF(lists!$M$2:$M$258, K1803) &gt; 0,"bos.indicus",IF(COUNTIF(lists!$L$2:$L$258, K1803) &gt; 0,"cross.bred","pure.bred.exotic")),"NA")</f>
        <v>bos.indicus</v>
      </c>
      <c r="O1803" s="9" t="s">
        <v>4193</v>
      </c>
      <c r="P1803" s="9" t="s">
        <v>4211</v>
      </c>
      <c r="Q1803" s="9" t="s">
        <v>3813</v>
      </c>
      <c r="R1803" s="9" t="s">
        <v>3829</v>
      </c>
      <c r="S1803" s="9">
        <v>138</v>
      </c>
      <c r="T1803" s="9" t="s">
        <v>106</v>
      </c>
      <c r="U1803" s="9">
        <v>117</v>
      </c>
      <c r="V1803" s="9" t="s">
        <v>106</v>
      </c>
      <c r="W1803" s="9" t="s">
        <v>106</v>
      </c>
      <c r="X1803" s="9">
        <v>331</v>
      </c>
      <c r="Y1803" s="9" t="s">
        <v>106</v>
      </c>
      <c r="Z1803" s="9" t="s">
        <v>106</v>
      </c>
      <c r="AA1803" s="9" t="s">
        <v>106</v>
      </c>
      <c r="AB1803" s="9" t="s">
        <v>106</v>
      </c>
      <c r="AC1803" s="9" t="s">
        <v>5100</v>
      </c>
      <c r="AD1803" s="9" t="s">
        <v>5100</v>
      </c>
    </row>
    <row r="1804" spans="1:30">
      <c r="A1804" s="9" t="s">
        <v>3859</v>
      </c>
      <c r="B1804" s="9" t="s">
        <v>4212</v>
      </c>
      <c r="C1804" s="9" t="s">
        <v>105</v>
      </c>
      <c r="D1804" s="9">
        <v>8.4190000000000005</v>
      </c>
      <c r="E1804" s="9" t="s">
        <v>106</v>
      </c>
      <c r="F1804" s="9">
        <v>225.95500000000001</v>
      </c>
      <c r="G1804" s="9">
        <v>1.26</v>
      </c>
      <c r="H1804" s="9" t="s">
        <v>106</v>
      </c>
      <c r="I1804" s="9">
        <v>11</v>
      </c>
      <c r="J1804" s="9" t="s">
        <v>122</v>
      </c>
      <c r="K1804" s="9" t="s">
        <v>936</v>
      </c>
      <c r="L1804" t="str">
        <f>IF(OR(J1804="Cattle",J1804="Zebu Cattle"),IF(COUNTIF(lists!$M$2:$M$258, K1804) &gt; 0,"bos.indicus",IF(COUNTIF(lists!$L$2:$L$258, K1804) &gt; 0,"cross.bred","pure.bred.exotic")),"NA")</f>
        <v>bos.indicus</v>
      </c>
      <c r="O1804" s="9" t="s">
        <v>4193</v>
      </c>
      <c r="P1804" s="9" t="s">
        <v>4217</v>
      </c>
      <c r="Q1804" s="9" t="s">
        <v>3800</v>
      </c>
      <c r="R1804" s="9" t="s">
        <v>3828</v>
      </c>
      <c r="S1804" s="9" t="s">
        <v>106</v>
      </c>
      <c r="T1804" s="9" t="s">
        <v>106</v>
      </c>
      <c r="U1804" s="9">
        <v>135.4</v>
      </c>
      <c r="V1804" s="9">
        <v>931</v>
      </c>
      <c r="W1804" s="9" t="s">
        <v>106</v>
      </c>
      <c r="X1804" s="9" t="s">
        <v>106</v>
      </c>
      <c r="Y1804" s="9" t="s">
        <v>106</v>
      </c>
      <c r="Z1804" s="9" t="s">
        <v>106</v>
      </c>
      <c r="AA1804" s="9" t="s">
        <v>106</v>
      </c>
      <c r="AB1804" s="9" t="s">
        <v>106</v>
      </c>
      <c r="AC1804" s="9" t="s">
        <v>5100</v>
      </c>
      <c r="AD1804" s="9" t="s">
        <v>5100</v>
      </c>
    </row>
    <row r="1805" spans="1:30">
      <c r="A1805" s="9" t="s">
        <v>3859</v>
      </c>
      <c r="B1805" s="9" t="s">
        <v>4213</v>
      </c>
      <c r="C1805" s="9" t="s">
        <v>105</v>
      </c>
      <c r="D1805" s="9">
        <v>10.609</v>
      </c>
      <c r="E1805" s="9" t="s">
        <v>106</v>
      </c>
      <c r="F1805" s="9">
        <v>305.935</v>
      </c>
      <c r="G1805" s="9">
        <v>1.48</v>
      </c>
      <c r="H1805" s="9" t="s">
        <v>106</v>
      </c>
      <c r="I1805" s="9">
        <v>11</v>
      </c>
      <c r="J1805" s="9" t="s">
        <v>122</v>
      </c>
      <c r="K1805" s="9" t="s">
        <v>4215</v>
      </c>
      <c r="L1805" t="str">
        <f>IF(OR(J1805="Cattle",J1805="Zebu Cattle"),IF(COUNTIF(lists!$M$2:$M$258, K1805) &gt; 0,"bos.indicus",IF(COUNTIF(lists!$L$2:$L$258, K1805) &gt; 0,"cross.bred","pure.bred.exotic")),"NA")</f>
        <v>cross.bred</v>
      </c>
      <c r="O1805" s="9" t="s">
        <v>124</v>
      </c>
      <c r="P1805" s="9" t="s">
        <v>4217</v>
      </c>
      <c r="Q1805" s="9" t="s">
        <v>3800</v>
      </c>
      <c r="R1805" s="9" t="s">
        <v>3828</v>
      </c>
      <c r="S1805" s="9" t="s">
        <v>106</v>
      </c>
      <c r="T1805" s="9" t="s">
        <v>106</v>
      </c>
      <c r="U1805" s="9">
        <v>135.4</v>
      </c>
      <c r="V1805" s="9">
        <v>931</v>
      </c>
      <c r="W1805" s="9" t="s">
        <v>106</v>
      </c>
      <c r="X1805" s="9" t="s">
        <v>106</v>
      </c>
      <c r="Y1805" s="9" t="s">
        <v>106</v>
      </c>
      <c r="Z1805" s="9" t="s">
        <v>106</v>
      </c>
      <c r="AA1805" s="9" t="s">
        <v>106</v>
      </c>
      <c r="AB1805" s="9" t="s">
        <v>106</v>
      </c>
      <c r="AC1805" s="9" t="s">
        <v>5100</v>
      </c>
      <c r="AD1805" s="9" t="s">
        <v>5100</v>
      </c>
    </row>
    <row r="1806" spans="1:30">
      <c r="A1806" s="9" t="s">
        <v>3859</v>
      </c>
      <c r="B1806" s="9" t="s">
        <v>4214</v>
      </c>
      <c r="C1806" s="9" t="s">
        <v>105</v>
      </c>
      <c r="D1806" s="9">
        <v>10.57</v>
      </c>
      <c r="E1806" s="9" t="s">
        <v>106</v>
      </c>
      <c r="F1806" s="9">
        <v>338.935</v>
      </c>
      <c r="G1806" s="9">
        <v>1.41</v>
      </c>
      <c r="H1806" s="9" t="s">
        <v>106</v>
      </c>
      <c r="I1806" s="9">
        <v>11</v>
      </c>
      <c r="J1806" s="9" t="s">
        <v>122</v>
      </c>
      <c r="K1806" s="9" t="s">
        <v>4216</v>
      </c>
      <c r="L1806" t="str">
        <f>IF(OR(J1806="Cattle",J1806="Zebu Cattle"),IF(COUNTIF(lists!$M$2:$M$258, K1806) &gt; 0,"bos.indicus",IF(COUNTIF(lists!$L$2:$L$258, K1806) &gt; 0,"cross.bred","pure.bred.exotic")),"NA")</f>
        <v>pure.bred.exotic</v>
      </c>
      <c r="O1806" s="9" t="s">
        <v>4194</v>
      </c>
      <c r="P1806" s="9" t="s">
        <v>4217</v>
      </c>
      <c r="Q1806" s="9" t="s">
        <v>3800</v>
      </c>
      <c r="R1806" s="9" t="s">
        <v>3828</v>
      </c>
      <c r="S1806" s="9" t="s">
        <v>106</v>
      </c>
      <c r="T1806" s="9" t="s">
        <v>106</v>
      </c>
      <c r="U1806" s="9">
        <v>135.4</v>
      </c>
      <c r="V1806" s="9">
        <v>931</v>
      </c>
      <c r="W1806" s="9" t="s">
        <v>106</v>
      </c>
      <c r="X1806" s="9" t="s">
        <v>106</v>
      </c>
      <c r="Y1806" s="9" t="s">
        <v>106</v>
      </c>
      <c r="Z1806" s="9" t="s">
        <v>106</v>
      </c>
      <c r="AA1806" s="9" t="s">
        <v>106</v>
      </c>
      <c r="AB1806" s="9" t="s">
        <v>106</v>
      </c>
      <c r="AC1806" s="9" t="s">
        <v>5100</v>
      </c>
      <c r="AD1806" s="9" t="s">
        <v>5100</v>
      </c>
    </row>
    <row r="1807" spans="1:30">
      <c r="A1807" s="9" t="s">
        <v>3860</v>
      </c>
      <c r="B1807" s="9" t="s">
        <v>4218</v>
      </c>
      <c r="C1807" s="9" t="s">
        <v>105</v>
      </c>
      <c r="D1807" s="9">
        <v>6.78</v>
      </c>
      <c r="E1807" s="9" t="s">
        <v>106</v>
      </c>
      <c r="F1807" s="9">
        <v>291</v>
      </c>
      <c r="G1807" s="9">
        <v>1.8</v>
      </c>
      <c r="H1807" s="9" t="s">
        <v>106</v>
      </c>
      <c r="I1807" s="9">
        <v>8</v>
      </c>
      <c r="J1807" s="9" t="s">
        <v>122</v>
      </c>
      <c r="K1807" s="9" t="s">
        <v>4221</v>
      </c>
      <c r="L1807" t="str">
        <f>IF(OR(J1807="Cattle",J1807="Zebu Cattle"),IF(COUNTIF(lists!$M$2:$M$258, K1807) &gt; 0,"bos.indicus",IF(COUNTIF(lists!$L$2:$L$258, K1807) &gt; 0,"cross.bred","pure.bred.exotic")),"NA")</f>
        <v>pure.bred.exotic</v>
      </c>
      <c r="O1807" s="9" t="s">
        <v>4194</v>
      </c>
      <c r="P1807" s="9" t="s">
        <v>4222</v>
      </c>
      <c r="Q1807" s="9" t="s">
        <v>3813</v>
      </c>
      <c r="R1807" s="9" t="s">
        <v>3828</v>
      </c>
      <c r="S1807" s="9" t="s">
        <v>106</v>
      </c>
      <c r="T1807" s="9" t="s">
        <v>106</v>
      </c>
      <c r="U1807" s="9" t="s">
        <v>106</v>
      </c>
      <c r="V1807" s="9" t="s">
        <v>106</v>
      </c>
      <c r="W1807" s="9" t="s">
        <v>106</v>
      </c>
      <c r="X1807" s="9" t="s">
        <v>106</v>
      </c>
      <c r="Y1807" s="9" t="s">
        <v>106</v>
      </c>
      <c r="Z1807" s="9" t="s">
        <v>106</v>
      </c>
      <c r="AA1807" s="9" t="s">
        <v>106</v>
      </c>
      <c r="AB1807" s="9" t="s">
        <v>106</v>
      </c>
      <c r="AC1807" s="9" t="s">
        <v>5100</v>
      </c>
      <c r="AD1807" s="9" t="s">
        <v>5100</v>
      </c>
    </row>
    <row r="1808" spans="1:30">
      <c r="A1808" s="9" t="s">
        <v>3860</v>
      </c>
      <c r="B1808" s="9" t="s">
        <v>4219</v>
      </c>
      <c r="C1808" s="9" t="s">
        <v>105</v>
      </c>
      <c r="D1808" s="9">
        <v>6.33</v>
      </c>
      <c r="E1808" s="9" t="s">
        <v>106</v>
      </c>
      <c r="F1808" s="9">
        <v>281.89999999999998</v>
      </c>
      <c r="G1808" s="9">
        <v>1.72</v>
      </c>
      <c r="H1808" s="9" t="s">
        <v>106</v>
      </c>
      <c r="I1808" s="9">
        <v>8</v>
      </c>
      <c r="J1808" s="9" t="s">
        <v>122</v>
      </c>
      <c r="K1808" s="9" t="s">
        <v>4221</v>
      </c>
      <c r="L1808" t="str">
        <f>IF(OR(J1808="Cattle",J1808="Zebu Cattle"),IF(COUNTIF(lists!$M$2:$M$258, K1808) &gt; 0,"bos.indicus",IF(COUNTIF(lists!$L$2:$L$258, K1808) &gt; 0,"cross.bred","pure.bred.exotic")),"NA")</f>
        <v>pure.bred.exotic</v>
      </c>
      <c r="O1808" s="9" t="s">
        <v>4194</v>
      </c>
      <c r="P1808" s="9" t="s">
        <v>4222</v>
      </c>
      <c r="Q1808" s="9" t="s">
        <v>3813</v>
      </c>
      <c r="R1808" s="9" t="s">
        <v>3828</v>
      </c>
      <c r="S1808" s="9" t="s">
        <v>106</v>
      </c>
      <c r="T1808" s="9" t="s">
        <v>106</v>
      </c>
      <c r="U1808" s="9" t="s">
        <v>106</v>
      </c>
      <c r="V1808" s="9" t="s">
        <v>106</v>
      </c>
      <c r="W1808" s="9" t="s">
        <v>106</v>
      </c>
      <c r="X1808" s="9" t="s">
        <v>106</v>
      </c>
      <c r="Y1808" s="9" t="s">
        <v>106</v>
      </c>
      <c r="Z1808" s="9" t="s">
        <v>106</v>
      </c>
      <c r="AA1808" s="9" t="s">
        <v>106</v>
      </c>
      <c r="AB1808" s="9" t="s">
        <v>106</v>
      </c>
      <c r="AC1808" s="9" t="s">
        <v>5100</v>
      </c>
      <c r="AD1808" s="9" t="s">
        <v>5100</v>
      </c>
    </row>
    <row r="1809" spans="1:30">
      <c r="A1809" s="9" t="s">
        <v>3860</v>
      </c>
      <c r="B1809" s="9" t="s">
        <v>4220</v>
      </c>
      <c r="C1809" s="9" t="s">
        <v>105</v>
      </c>
      <c r="D1809" s="9">
        <v>4.47</v>
      </c>
      <c r="E1809" s="9" t="s">
        <v>106</v>
      </c>
      <c r="F1809" s="9">
        <v>241.23</v>
      </c>
      <c r="G1809" s="9">
        <v>0.53</v>
      </c>
      <c r="H1809" s="9" t="s">
        <v>106</v>
      </c>
      <c r="I1809" s="9">
        <v>8</v>
      </c>
      <c r="J1809" s="9" t="s">
        <v>122</v>
      </c>
      <c r="K1809" s="9" t="s">
        <v>4221</v>
      </c>
      <c r="L1809" t="str">
        <f>IF(OR(J1809="Cattle",J1809="Zebu Cattle"),IF(COUNTIF(lists!$M$2:$M$258, K1809) &gt; 0,"bos.indicus",IF(COUNTIF(lists!$L$2:$L$258, K1809) &gt; 0,"cross.bred","pure.bred.exotic")),"NA")</f>
        <v>pure.bred.exotic</v>
      </c>
      <c r="O1809" s="9" t="s">
        <v>4194</v>
      </c>
      <c r="P1809" s="9" t="s">
        <v>4222</v>
      </c>
      <c r="Q1809" s="9" t="s">
        <v>3813</v>
      </c>
      <c r="R1809" s="9" t="s">
        <v>3828</v>
      </c>
      <c r="S1809" s="9" t="s">
        <v>106</v>
      </c>
      <c r="T1809" s="9" t="s">
        <v>106</v>
      </c>
      <c r="U1809" s="9" t="s">
        <v>106</v>
      </c>
      <c r="V1809" s="9" t="s">
        <v>106</v>
      </c>
      <c r="W1809" s="9" t="s">
        <v>106</v>
      </c>
      <c r="X1809" s="9" t="s">
        <v>106</v>
      </c>
      <c r="Y1809" s="9" t="s">
        <v>106</v>
      </c>
      <c r="Z1809" s="9" t="s">
        <v>106</v>
      </c>
      <c r="AA1809" s="9" t="s">
        <v>106</v>
      </c>
      <c r="AB1809" s="9" t="s">
        <v>106</v>
      </c>
      <c r="AC1809" s="9" t="s">
        <v>5100</v>
      </c>
      <c r="AD1809" s="9" t="s">
        <v>5100</v>
      </c>
    </row>
    <row r="1810" spans="1:30">
      <c r="A1810" s="9" t="s">
        <v>3861</v>
      </c>
      <c r="B1810" s="9" t="s">
        <v>4223</v>
      </c>
      <c r="C1810" s="9" t="s">
        <v>105</v>
      </c>
      <c r="D1810" s="9">
        <v>25.5</v>
      </c>
      <c r="E1810" s="9" t="s">
        <v>106</v>
      </c>
      <c r="F1810" s="9">
        <v>723</v>
      </c>
      <c r="G1810" s="9" t="s">
        <v>106</v>
      </c>
      <c r="H1810" s="9">
        <v>25.3</v>
      </c>
      <c r="I1810" s="9">
        <v>4</v>
      </c>
      <c r="J1810" s="9" t="s">
        <v>122</v>
      </c>
      <c r="K1810" s="9" t="s">
        <v>4165</v>
      </c>
      <c r="L1810" t="str">
        <f>IF(OR(J1810="Cattle",J1810="Zebu Cattle"),IF(COUNTIF(lists!$M$2:$M$258, K1810) &gt; 0,"bos.indicus",IF(COUNTIF(lists!$L$2:$L$258, K1810) &gt; 0,"cross.bred","pure.bred.exotic")),"NA")</f>
        <v>pure.bred.exotic</v>
      </c>
      <c r="O1810" s="9" t="s">
        <v>4194</v>
      </c>
      <c r="P1810" s="9" t="s">
        <v>4198</v>
      </c>
      <c r="Q1810" s="9" t="s">
        <v>3809</v>
      </c>
      <c r="R1810" s="9" t="s">
        <v>3828</v>
      </c>
      <c r="S1810" s="9" t="s">
        <v>106</v>
      </c>
      <c r="T1810" s="9">
        <v>70</v>
      </c>
      <c r="U1810" s="9">
        <v>173</v>
      </c>
      <c r="V1810" s="9">
        <v>507</v>
      </c>
      <c r="W1810" s="9">
        <v>26</v>
      </c>
      <c r="X1810" s="9">
        <v>315</v>
      </c>
      <c r="Y1810" s="9">
        <v>35.15</v>
      </c>
      <c r="Z1810" s="9">
        <v>43</v>
      </c>
      <c r="AA1810" s="9">
        <v>63.26</v>
      </c>
      <c r="AB1810" s="9">
        <v>64.91</v>
      </c>
      <c r="AC1810" s="9" t="s">
        <v>5100</v>
      </c>
      <c r="AD1810" s="9" t="s">
        <v>5100</v>
      </c>
    </row>
    <row r="1811" spans="1:30">
      <c r="A1811" s="9" t="s">
        <v>3861</v>
      </c>
      <c r="B1811" s="9" t="s">
        <v>4224</v>
      </c>
      <c r="C1811" s="9" t="s">
        <v>105</v>
      </c>
      <c r="D1811" s="9">
        <v>24.81</v>
      </c>
      <c r="E1811" s="9" t="s">
        <v>106</v>
      </c>
      <c r="F1811" s="9">
        <v>706.1</v>
      </c>
      <c r="G1811" s="9" t="s">
        <v>106</v>
      </c>
      <c r="H1811" s="9">
        <v>23.8</v>
      </c>
      <c r="I1811" s="9">
        <v>4</v>
      </c>
      <c r="J1811" s="9" t="s">
        <v>122</v>
      </c>
      <c r="K1811" s="9" t="s">
        <v>4165</v>
      </c>
      <c r="L1811" t="str">
        <f>IF(OR(J1811="Cattle",J1811="Zebu Cattle"),IF(COUNTIF(lists!$M$2:$M$258, K1811) &gt; 0,"bos.indicus",IF(COUNTIF(lists!$L$2:$L$258, K1811) &gt; 0,"cross.bred","pure.bred.exotic")),"NA")</f>
        <v>pure.bred.exotic</v>
      </c>
      <c r="O1811" s="9" t="s">
        <v>4194</v>
      </c>
      <c r="P1811" s="9" t="s">
        <v>4198</v>
      </c>
      <c r="Q1811" s="9" t="s">
        <v>3809</v>
      </c>
      <c r="R1811" s="9" t="s">
        <v>3828</v>
      </c>
      <c r="S1811" s="9" t="s">
        <v>106</v>
      </c>
      <c r="T1811" s="9">
        <v>71</v>
      </c>
      <c r="U1811" s="9">
        <v>174</v>
      </c>
      <c r="V1811" s="9">
        <v>503</v>
      </c>
      <c r="W1811" s="9">
        <v>27</v>
      </c>
      <c r="X1811" s="9">
        <v>321</v>
      </c>
      <c r="Y1811" s="9">
        <v>37.65</v>
      </c>
      <c r="Z1811" s="9">
        <v>43</v>
      </c>
      <c r="AA1811" s="9">
        <v>59.1</v>
      </c>
      <c r="AB1811" s="9">
        <v>60.37</v>
      </c>
      <c r="AC1811" s="9" t="s">
        <v>5100</v>
      </c>
      <c r="AD1811" s="9" t="s">
        <v>5100</v>
      </c>
    </row>
    <row r="1812" spans="1:30">
      <c r="A1812" s="9" t="s">
        <v>3861</v>
      </c>
      <c r="B1812" s="9" t="s">
        <v>4225</v>
      </c>
      <c r="C1812" s="9" t="s">
        <v>105</v>
      </c>
      <c r="D1812" s="9">
        <v>22.58</v>
      </c>
      <c r="E1812" s="9" t="s">
        <v>106</v>
      </c>
      <c r="F1812" s="9">
        <v>720.7</v>
      </c>
      <c r="G1812" s="9" t="s">
        <v>106</v>
      </c>
      <c r="H1812" s="9">
        <v>25.4</v>
      </c>
      <c r="I1812" s="9">
        <v>4</v>
      </c>
      <c r="J1812" s="9" t="s">
        <v>122</v>
      </c>
      <c r="K1812" s="9" t="s">
        <v>4165</v>
      </c>
      <c r="L1812" t="str">
        <f>IF(OR(J1812="Cattle",J1812="Zebu Cattle"),IF(COUNTIF(lists!$M$2:$M$258, K1812) &gt; 0,"bos.indicus",IF(COUNTIF(lists!$L$2:$L$258, K1812) &gt; 0,"cross.bred","pure.bred.exotic")),"NA")</f>
        <v>pure.bred.exotic</v>
      </c>
      <c r="O1812" s="9" t="s">
        <v>4194</v>
      </c>
      <c r="P1812" s="9" t="s">
        <v>4198</v>
      </c>
      <c r="Q1812" s="9" t="s">
        <v>3809</v>
      </c>
      <c r="R1812" s="9" t="s">
        <v>3828</v>
      </c>
      <c r="S1812" s="9" t="s">
        <v>106</v>
      </c>
      <c r="T1812" s="9">
        <v>71</v>
      </c>
      <c r="U1812" s="9">
        <v>189</v>
      </c>
      <c r="V1812" s="9">
        <v>506</v>
      </c>
      <c r="W1812" s="9">
        <v>27</v>
      </c>
      <c r="X1812" s="9">
        <v>308</v>
      </c>
      <c r="Y1812" s="9">
        <v>39.29</v>
      </c>
      <c r="Z1812" s="9">
        <v>43</v>
      </c>
      <c r="AA1812" s="9">
        <v>61.77</v>
      </c>
      <c r="AB1812" s="9">
        <v>63.65</v>
      </c>
      <c r="AC1812" s="9" t="s">
        <v>5100</v>
      </c>
      <c r="AD1812" s="9" t="s">
        <v>5100</v>
      </c>
    </row>
    <row r="1813" spans="1:30">
      <c r="A1813" s="9" t="s">
        <v>3861</v>
      </c>
      <c r="B1813" s="9" t="s">
        <v>4226</v>
      </c>
      <c r="C1813" s="9" t="s">
        <v>105</v>
      </c>
      <c r="D1813" s="9">
        <v>21.39</v>
      </c>
      <c r="E1813" s="9" t="s">
        <v>106</v>
      </c>
      <c r="F1813" s="9">
        <v>692.8</v>
      </c>
      <c r="G1813" s="9" t="s">
        <v>106</v>
      </c>
      <c r="H1813" s="9">
        <v>22.5</v>
      </c>
      <c r="I1813" s="9">
        <v>4</v>
      </c>
      <c r="J1813" s="9" t="s">
        <v>122</v>
      </c>
      <c r="K1813" s="9" t="s">
        <v>4165</v>
      </c>
      <c r="L1813" t="str">
        <f>IF(OR(J1813="Cattle",J1813="Zebu Cattle"),IF(COUNTIF(lists!$M$2:$M$258, K1813) &gt; 0,"bos.indicus",IF(COUNTIF(lists!$L$2:$L$258, K1813) &gt; 0,"cross.bred","pure.bred.exotic")),"NA")</f>
        <v>pure.bred.exotic</v>
      </c>
      <c r="O1813" s="9" t="s">
        <v>4194</v>
      </c>
      <c r="P1813" s="9" t="s">
        <v>4198</v>
      </c>
      <c r="Q1813" s="9" t="s">
        <v>3809</v>
      </c>
      <c r="R1813" s="9" t="s">
        <v>3828</v>
      </c>
      <c r="S1813" s="9" t="s">
        <v>106</v>
      </c>
      <c r="T1813" s="9">
        <v>72</v>
      </c>
      <c r="U1813" s="9">
        <v>192</v>
      </c>
      <c r="V1813" s="9">
        <v>502</v>
      </c>
      <c r="W1813" s="9">
        <v>26</v>
      </c>
      <c r="X1813" s="9">
        <v>315</v>
      </c>
      <c r="Y1813" s="9">
        <v>41.84</v>
      </c>
      <c r="Z1813" s="9">
        <v>44</v>
      </c>
      <c r="AA1813" s="9">
        <v>58.49</v>
      </c>
      <c r="AB1813" s="9">
        <v>59.54</v>
      </c>
      <c r="AC1813" s="9" t="s">
        <v>5100</v>
      </c>
      <c r="AD1813" s="9" t="s">
        <v>5100</v>
      </c>
    </row>
    <row r="1814" spans="1:30">
      <c r="A1814" s="9" t="s">
        <v>3863</v>
      </c>
      <c r="B1814" s="9" t="s">
        <v>4227</v>
      </c>
      <c r="C1814" s="9" t="s">
        <v>105</v>
      </c>
      <c r="D1814" s="9">
        <v>7.5</v>
      </c>
      <c r="E1814" s="9" t="s">
        <v>106</v>
      </c>
      <c r="F1814" s="9" t="s">
        <v>106</v>
      </c>
      <c r="G1814" s="9">
        <v>0.88</v>
      </c>
      <c r="H1814" s="9" t="s">
        <v>106</v>
      </c>
      <c r="I1814" s="9">
        <v>20</v>
      </c>
      <c r="J1814" s="9" t="s">
        <v>122</v>
      </c>
      <c r="K1814" s="9" t="s">
        <v>4230</v>
      </c>
      <c r="L1814" t="str">
        <f>IF(OR(J1814="Cattle",J1814="Zebu Cattle"),IF(COUNTIF(lists!$M$2:$M$258, K1814) &gt; 0,"bos.indicus",IF(COUNTIF(lists!$L$2:$L$258, K1814) &gt; 0,"cross.bred","pure.bred.exotic")),"NA")</f>
        <v>cross.bred</v>
      </c>
      <c r="O1814" s="9" t="s">
        <v>124</v>
      </c>
      <c r="P1814" s="9" t="s">
        <v>4764</v>
      </c>
      <c r="Q1814" s="9" t="s">
        <v>3804</v>
      </c>
      <c r="R1814" s="9" t="s">
        <v>3829</v>
      </c>
      <c r="S1814" s="9" t="s">
        <v>106</v>
      </c>
      <c r="T1814" s="9" t="s">
        <v>106</v>
      </c>
      <c r="U1814" s="9" t="s">
        <v>106</v>
      </c>
      <c r="V1814" s="9" t="s">
        <v>106</v>
      </c>
      <c r="W1814" s="9" t="s">
        <v>106</v>
      </c>
      <c r="X1814" s="9" t="s">
        <v>106</v>
      </c>
      <c r="Y1814" s="9" t="s">
        <v>106</v>
      </c>
      <c r="Z1814" s="9" t="s">
        <v>106</v>
      </c>
      <c r="AA1814" s="9" t="s">
        <v>106</v>
      </c>
      <c r="AB1814" s="9" t="s">
        <v>106</v>
      </c>
      <c r="AC1814" s="9" t="s">
        <v>5100</v>
      </c>
      <c r="AD1814" s="9" t="s">
        <v>5100</v>
      </c>
    </row>
    <row r="1815" spans="1:30">
      <c r="A1815" s="9" t="s">
        <v>3863</v>
      </c>
      <c r="B1815" s="9" t="s">
        <v>4228</v>
      </c>
      <c r="C1815" s="9" t="s">
        <v>105</v>
      </c>
      <c r="D1815" s="9">
        <v>8.1999999999999993</v>
      </c>
      <c r="E1815" s="9" t="s">
        <v>106</v>
      </c>
      <c r="F1815" s="9" t="s">
        <v>106</v>
      </c>
      <c r="G1815" s="9">
        <v>0.94</v>
      </c>
      <c r="H1815" s="9" t="s">
        <v>106</v>
      </c>
      <c r="I1815" s="9">
        <v>20</v>
      </c>
      <c r="J1815" s="9" t="s">
        <v>122</v>
      </c>
      <c r="K1815" s="9" t="s">
        <v>4230</v>
      </c>
      <c r="L1815" t="str">
        <f>IF(OR(J1815="Cattle",J1815="Zebu Cattle"),IF(COUNTIF(lists!$M$2:$M$258, K1815) &gt; 0,"bos.indicus",IF(COUNTIF(lists!$L$2:$L$258, K1815) &gt; 0,"cross.bred","pure.bred.exotic")),"NA")</f>
        <v>cross.bred</v>
      </c>
      <c r="O1815" s="9" t="s">
        <v>124</v>
      </c>
      <c r="P1815" s="9" t="s">
        <v>4764</v>
      </c>
      <c r="Q1815" s="9" t="s">
        <v>3804</v>
      </c>
      <c r="R1815" s="9" t="s">
        <v>3829</v>
      </c>
      <c r="S1815" s="9" t="s">
        <v>106</v>
      </c>
      <c r="T1815" s="9" t="s">
        <v>106</v>
      </c>
      <c r="U1815" s="9" t="s">
        <v>106</v>
      </c>
      <c r="V1815" s="9" t="s">
        <v>106</v>
      </c>
      <c r="W1815" s="9" t="s">
        <v>106</v>
      </c>
      <c r="X1815" s="9" t="s">
        <v>106</v>
      </c>
      <c r="Y1815" s="9" t="s">
        <v>106</v>
      </c>
      <c r="Z1815" s="9" t="s">
        <v>106</v>
      </c>
      <c r="AA1815" s="9" t="s">
        <v>106</v>
      </c>
      <c r="AB1815" s="9" t="s">
        <v>106</v>
      </c>
      <c r="AC1815" s="9" t="s">
        <v>5100</v>
      </c>
      <c r="AD1815" s="9" t="s">
        <v>5100</v>
      </c>
    </row>
    <row r="1816" spans="1:30">
      <c r="A1816" s="9" t="s">
        <v>3863</v>
      </c>
      <c r="B1816" s="9" t="s">
        <v>4229</v>
      </c>
      <c r="C1816" s="9" t="s">
        <v>105</v>
      </c>
      <c r="D1816" s="9">
        <v>8.4</v>
      </c>
      <c r="E1816" s="9" t="s">
        <v>106</v>
      </c>
      <c r="F1816" s="9" t="s">
        <v>106</v>
      </c>
      <c r="G1816" s="9">
        <v>0.98</v>
      </c>
      <c r="H1816" s="9" t="s">
        <v>106</v>
      </c>
      <c r="I1816" s="9">
        <v>20</v>
      </c>
      <c r="J1816" s="9" t="s">
        <v>122</v>
      </c>
      <c r="K1816" s="9" t="s">
        <v>4230</v>
      </c>
      <c r="L1816" t="str">
        <f>IF(OR(J1816="Cattle",J1816="Zebu Cattle"),IF(COUNTIF(lists!$M$2:$M$258, K1816) &gt; 0,"bos.indicus",IF(COUNTIF(lists!$L$2:$L$258, K1816) &gt; 0,"cross.bred","pure.bred.exotic")),"NA")</f>
        <v>cross.bred</v>
      </c>
      <c r="O1816" s="9" t="s">
        <v>124</v>
      </c>
      <c r="P1816" s="9" t="s">
        <v>4764</v>
      </c>
      <c r="Q1816" s="9" t="s">
        <v>3804</v>
      </c>
      <c r="R1816" s="9" t="s">
        <v>3829</v>
      </c>
      <c r="S1816" s="9" t="s">
        <v>106</v>
      </c>
      <c r="T1816" s="9" t="s">
        <v>106</v>
      </c>
      <c r="U1816" s="9" t="s">
        <v>106</v>
      </c>
      <c r="V1816" s="9" t="s">
        <v>106</v>
      </c>
      <c r="W1816" s="9" t="s">
        <v>106</v>
      </c>
      <c r="X1816" s="9" t="s">
        <v>106</v>
      </c>
      <c r="Y1816" s="9" t="s">
        <v>106</v>
      </c>
      <c r="Z1816" s="9" t="s">
        <v>106</v>
      </c>
      <c r="AA1816" s="9" t="s">
        <v>106</v>
      </c>
      <c r="AB1816" s="9" t="s">
        <v>106</v>
      </c>
      <c r="AC1816" s="9" t="s">
        <v>5100</v>
      </c>
      <c r="AD1816" s="9" t="s">
        <v>5100</v>
      </c>
    </row>
    <row r="1817" spans="1:30">
      <c r="A1817" s="9" t="s">
        <v>3977</v>
      </c>
      <c r="B1817" s="9" t="s">
        <v>4231</v>
      </c>
      <c r="C1817" s="9" t="s">
        <v>105</v>
      </c>
      <c r="D1817" s="9">
        <v>14.5</v>
      </c>
      <c r="E1817" s="9" t="s">
        <v>106</v>
      </c>
      <c r="F1817" s="9">
        <v>412</v>
      </c>
      <c r="G1817" s="59">
        <v>0.31111111111111112</v>
      </c>
      <c r="H1817" s="9">
        <v>9.91</v>
      </c>
      <c r="I1817" s="9">
        <v>5</v>
      </c>
      <c r="J1817" s="9" t="s">
        <v>122</v>
      </c>
      <c r="K1817" s="9" t="s">
        <v>4235</v>
      </c>
      <c r="L1817" t="str">
        <f>IF(OR(J1817="Cattle",J1817="Zebu Cattle"),IF(COUNTIF(lists!$M$2:$M$258, K1817) &gt; 0,"bos.indicus",IF(COUNTIF(lists!$L$2:$L$258, K1817) &gt; 0,"cross.bred","pure.bred.exotic")),"NA")</f>
        <v>cross.bred</v>
      </c>
      <c r="O1817" s="9" t="s">
        <v>124</v>
      </c>
      <c r="P1817" s="9" t="s">
        <v>4198</v>
      </c>
      <c r="Q1817" s="9" t="s">
        <v>3809</v>
      </c>
      <c r="R1817" s="9" t="s">
        <v>3830</v>
      </c>
      <c r="S1817" s="9">
        <v>232</v>
      </c>
      <c r="T1817" s="9">
        <v>102.2</v>
      </c>
      <c r="U1817" s="9">
        <v>85.4</v>
      </c>
      <c r="V1817" s="9">
        <v>927.8</v>
      </c>
      <c r="W1817" s="9" t="s">
        <v>106</v>
      </c>
      <c r="X1817" s="9">
        <v>658.3</v>
      </c>
      <c r="Y1817" s="9">
        <v>64.7</v>
      </c>
      <c r="Z1817" s="9">
        <v>52.9</v>
      </c>
      <c r="AA1817" s="9">
        <v>62.3</v>
      </c>
      <c r="AB1817" s="9">
        <v>63.2</v>
      </c>
      <c r="AC1817" s="9" t="s">
        <v>5100</v>
      </c>
      <c r="AD1817" s="9" t="s">
        <v>5100</v>
      </c>
    </row>
    <row r="1818" spans="1:30">
      <c r="A1818" s="9" t="s">
        <v>3977</v>
      </c>
      <c r="B1818" s="9" t="s">
        <v>4232</v>
      </c>
      <c r="C1818" s="9" t="s">
        <v>105</v>
      </c>
      <c r="D1818" s="9">
        <v>15.1</v>
      </c>
      <c r="E1818" s="9" t="s">
        <v>106</v>
      </c>
      <c r="F1818" s="9">
        <v>403.5</v>
      </c>
      <c r="G1818" s="59">
        <v>0.32222222222222219</v>
      </c>
      <c r="H1818" s="9">
        <v>10.17</v>
      </c>
      <c r="I1818" s="9">
        <v>5</v>
      </c>
      <c r="J1818" s="9" t="s">
        <v>122</v>
      </c>
      <c r="K1818" s="9" t="s">
        <v>4235</v>
      </c>
      <c r="L1818" t="str">
        <f>IF(OR(J1818="Cattle",J1818="Zebu Cattle"),IF(COUNTIF(lists!$M$2:$M$258, K1818) &gt; 0,"bos.indicus",IF(COUNTIF(lists!$L$2:$L$258, K1818) &gt; 0,"cross.bred","pure.bred.exotic")),"NA")</f>
        <v>cross.bred</v>
      </c>
      <c r="O1818" s="9" t="s">
        <v>124</v>
      </c>
      <c r="P1818" s="9" t="s">
        <v>4198</v>
      </c>
      <c r="Q1818" s="9" t="s">
        <v>3809</v>
      </c>
      <c r="R1818" s="9" t="s">
        <v>3830</v>
      </c>
      <c r="S1818" s="9">
        <v>226.8</v>
      </c>
      <c r="T1818" s="9">
        <v>97.1</v>
      </c>
      <c r="U1818" s="9">
        <v>88.1</v>
      </c>
      <c r="V1818" s="9">
        <v>929.7</v>
      </c>
      <c r="W1818" s="9" t="s">
        <v>106</v>
      </c>
      <c r="X1818" s="9">
        <v>651.4</v>
      </c>
      <c r="Y1818" s="9">
        <v>65.3</v>
      </c>
      <c r="Z1818" s="9">
        <v>52.1</v>
      </c>
      <c r="AA1818" s="9">
        <v>63.2</v>
      </c>
      <c r="AB1818" s="9">
        <v>64.099999999999994</v>
      </c>
      <c r="AC1818" s="9" t="s">
        <v>5100</v>
      </c>
      <c r="AD1818" s="9" t="s">
        <v>5100</v>
      </c>
    </row>
    <row r="1819" spans="1:30">
      <c r="A1819" s="9" t="s">
        <v>3977</v>
      </c>
      <c r="B1819" s="9" t="s">
        <v>4233</v>
      </c>
      <c r="C1819" s="9" t="s">
        <v>105</v>
      </c>
      <c r="D1819" s="9">
        <v>15.2</v>
      </c>
      <c r="E1819" s="9" t="s">
        <v>106</v>
      </c>
      <c r="F1819" s="9">
        <v>426</v>
      </c>
      <c r="G1819" s="59">
        <v>0.37777777777777782</v>
      </c>
      <c r="H1819" s="9">
        <v>10.33</v>
      </c>
      <c r="I1819" s="9">
        <v>5</v>
      </c>
      <c r="J1819" s="9" t="s">
        <v>122</v>
      </c>
      <c r="K1819" s="9" t="s">
        <v>4235</v>
      </c>
      <c r="L1819" t="str">
        <f>IF(OR(J1819="Cattle",J1819="Zebu Cattle"),IF(COUNTIF(lists!$M$2:$M$258, K1819) &gt; 0,"bos.indicus",IF(COUNTIF(lists!$L$2:$L$258, K1819) &gt; 0,"cross.bred","pure.bred.exotic")),"NA")</f>
        <v>cross.bred</v>
      </c>
      <c r="O1819" s="9" t="s">
        <v>124</v>
      </c>
      <c r="P1819" s="9" t="s">
        <v>4198</v>
      </c>
      <c r="Q1819" s="9" t="s">
        <v>3809</v>
      </c>
      <c r="R1819" s="9" t="s">
        <v>3830</v>
      </c>
      <c r="S1819" s="9">
        <v>221.9</v>
      </c>
      <c r="T1819" s="9">
        <v>91.6</v>
      </c>
      <c r="U1819" s="9">
        <v>90.3</v>
      </c>
      <c r="V1819" s="9">
        <v>930.3</v>
      </c>
      <c r="W1819" s="9" t="s">
        <v>106</v>
      </c>
      <c r="X1819" s="9">
        <v>644.9</v>
      </c>
      <c r="Y1819" s="9">
        <v>66.5</v>
      </c>
      <c r="Z1819" s="9">
        <v>51.3</v>
      </c>
      <c r="AA1819" s="9">
        <v>65.099999999999994</v>
      </c>
      <c r="AB1819" s="9">
        <v>66.2</v>
      </c>
      <c r="AC1819" s="9" t="s">
        <v>5100</v>
      </c>
      <c r="AD1819" s="9" t="s">
        <v>5100</v>
      </c>
    </row>
    <row r="1820" spans="1:30">
      <c r="A1820" s="9" t="s">
        <v>3977</v>
      </c>
      <c r="B1820" s="9" t="s">
        <v>4234</v>
      </c>
      <c r="C1820" s="9" t="s">
        <v>105</v>
      </c>
      <c r="D1820" s="9">
        <v>15.8</v>
      </c>
      <c r="E1820" s="9" t="s">
        <v>106</v>
      </c>
      <c r="F1820" s="9">
        <v>396</v>
      </c>
      <c r="G1820" s="59">
        <v>0.33333333333333331</v>
      </c>
      <c r="H1820" s="9">
        <v>10.43</v>
      </c>
      <c r="I1820" s="9">
        <v>5</v>
      </c>
      <c r="J1820" s="9" t="s">
        <v>122</v>
      </c>
      <c r="K1820" s="9" t="s">
        <v>4235</v>
      </c>
      <c r="L1820" t="str">
        <f>IF(OR(J1820="Cattle",J1820="Zebu Cattle"),IF(COUNTIF(lists!$M$2:$M$258, K1820) &gt; 0,"bos.indicus",IF(COUNTIF(lists!$L$2:$L$258, K1820) &gt; 0,"cross.bred","pure.bred.exotic")),"NA")</f>
        <v>cross.bred</v>
      </c>
      <c r="O1820" s="9" t="s">
        <v>124</v>
      </c>
      <c r="P1820" s="9" t="s">
        <v>4198</v>
      </c>
      <c r="Q1820" s="9" t="s">
        <v>3809</v>
      </c>
      <c r="R1820" s="9" t="s">
        <v>3830</v>
      </c>
      <c r="S1820" s="9">
        <v>215.5</v>
      </c>
      <c r="T1820" s="9">
        <v>86.3</v>
      </c>
      <c r="U1820" s="9">
        <v>93</v>
      </c>
      <c r="V1820" s="9">
        <v>928.9</v>
      </c>
      <c r="W1820" s="9" t="s">
        <v>106</v>
      </c>
      <c r="X1820" s="9">
        <v>634.79999999999995</v>
      </c>
      <c r="Y1820" s="9">
        <v>69.2</v>
      </c>
      <c r="Z1820" s="9">
        <v>50.2</v>
      </c>
      <c r="AA1820" s="9">
        <v>67.5</v>
      </c>
      <c r="AB1820" s="9">
        <v>68.900000000000006</v>
      </c>
      <c r="AC1820" s="9" t="s">
        <v>5100</v>
      </c>
      <c r="AD1820" s="9" t="s">
        <v>5100</v>
      </c>
    </row>
    <row r="1821" spans="1:30">
      <c r="A1821" s="9" t="s">
        <v>3815</v>
      </c>
      <c r="B1821" s="9" t="s">
        <v>4236</v>
      </c>
      <c r="C1821" s="9" t="s">
        <v>105</v>
      </c>
      <c r="D1821" s="9">
        <v>9.4819999999999993</v>
      </c>
      <c r="E1821" s="9" t="s">
        <v>106</v>
      </c>
      <c r="F1821" s="9" t="s">
        <v>106</v>
      </c>
      <c r="G1821" s="9">
        <v>1.863</v>
      </c>
      <c r="H1821" s="9" t="s">
        <v>106</v>
      </c>
      <c r="I1821" s="9">
        <v>6</v>
      </c>
      <c r="J1821" s="9" t="s">
        <v>122</v>
      </c>
      <c r="K1821" s="9" t="s">
        <v>4239</v>
      </c>
      <c r="L1821" t="str">
        <f>IF(OR(J1821="Cattle",J1821="Zebu Cattle"),IF(COUNTIF(lists!$M$2:$M$258, K1821) &gt; 0,"bos.indicus",IF(COUNTIF(lists!$L$2:$L$258, K1821) &gt; 0,"cross.bred","pure.bred.exotic")),"NA")</f>
        <v>cross.bred</v>
      </c>
      <c r="O1821" s="9" t="s">
        <v>124</v>
      </c>
      <c r="P1821" s="9" t="s">
        <v>4765</v>
      </c>
      <c r="Q1821" s="9" t="s">
        <v>3806</v>
      </c>
      <c r="R1821" s="9" t="s">
        <v>3829</v>
      </c>
      <c r="S1821" s="9" t="s">
        <v>106</v>
      </c>
      <c r="T1821" s="9" t="s">
        <v>106</v>
      </c>
      <c r="U1821" s="9" t="s">
        <v>106</v>
      </c>
      <c r="V1821" s="9" t="s">
        <v>106</v>
      </c>
      <c r="W1821" s="9" t="s">
        <v>106</v>
      </c>
      <c r="X1821" s="9" t="s">
        <v>106</v>
      </c>
      <c r="Y1821" s="9" t="s">
        <v>106</v>
      </c>
      <c r="Z1821" s="9" t="s">
        <v>106</v>
      </c>
      <c r="AA1821" s="9" t="s">
        <v>106</v>
      </c>
      <c r="AB1821" s="9" t="s">
        <v>106</v>
      </c>
      <c r="AC1821" s="9" t="s">
        <v>5100</v>
      </c>
      <c r="AD1821" s="9" t="s">
        <v>5100</v>
      </c>
    </row>
    <row r="1822" spans="1:30">
      <c r="A1822" s="9" t="s">
        <v>3815</v>
      </c>
      <c r="B1822" s="9" t="s">
        <v>4237</v>
      </c>
      <c r="C1822" s="9" t="s">
        <v>105</v>
      </c>
      <c r="D1822" s="9">
        <v>10.183</v>
      </c>
      <c r="E1822" s="9" t="s">
        <v>106</v>
      </c>
      <c r="F1822" s="9" t="s">
        <v>106</v>
      </c>
      <c r="G1822" s="9">
        <v>1.6990000000000001</v>
      </c>
      <c r="H1822" s="9" t="s">
        <v>106</v>
      </c>
      <c r="I1822" s="9">
        <v>6</v>
      </c>
      <c r="J1822" s="9" t="s">
        <v>122</v>
      </c>
      <c r="K1822" s="9" t="s">
        <v>4239</v>
      </c>
      <c r="L1822" t="str">
        <f>IF(OR(J1822="Cattle",J1822="Zebu Cattle"),IF(COUNTIF(lists!$M$2:$M$258, K1822) &gt; 0,"bos.indicus",IF(COUNTIF(lists!$L$2:$L$258, K1822) &gt; 0,"cross.bred","pure.bred.exotic")),"NA")</f>
        <v>cross.bred</v>
      </c>
      <c r="O1822" s="9" t="s">
        <v>124</v>
      </c>
      <c r="P1822" s="9" t="s">
        <v>4765</v>
      </c>
      <c r="Q1822" s="9" t="s">
        <v>3806</v>
      </c>
      <c r="R1822" s="9" t="s">
        <v>3829</v>
      </c>
      <c r="S1822" s="9" t="s">
        <v>106</v>
      </c>
      <c r="T1822" s="9" t="s">
        <v>106</v>
      </c>
      <c r="U1822" s="9" t="s">
        <v>106</v>
      </c>
      <c r="V1822" s="9" t="s">
        <v>106</v>
      </c>
      <c r="W1822" s="9" t="s">
        <v>106</v>
      </c>
      <c r="X1822" s="9" t="s">
        <v>106</v>
      </c>
      <c r="Y1822" s="9" t="s">
        <v>106</v>
      </c>
      <c r="Z1822" s="9" t="s">
        <v>106</v>
      </c>
      <c r="AA1822" s="9" t="s">
        <v>106</v>
      </c>
      <c r="AB1822" s="9" t="s">
        <v>106</v>
      </c>
      <c r="AC1822" s="9" t="s">
        <v>5100</v>
      </c>
      <c r="AD1822" s="9" t="s">
        <v>5100</v>
      </c>
    </row>
    <row r="1823" spans="1:30">
      <c r="A1823" s="9" t="s">
        <v>3815</v>
      </c>
      <c r="B1823" s="9" t="s">
        <v>4238</v>
      </c>
      <c r="C1823" s="9" t="s">
        <v>105</v>
      </c>
      <c r="D1823" s="9">
        <v>9.5570000000000004</v>
      </c>
      <c r="E1823" s="9" t="s">
        <v>106</v>
      </c>
      <c r="F1823" s="9" t="s">
        <v>106</v>
      </c>
      <c r="G1823" s="9">
        <v>2.008</v>
      </c>
      <c r="H1823" s="9" t="s">
        <v>106</v>
      </c>
      <c r="I1823" s="9">
        <v>6</v>
      </c>
      <c r="J1823" s="9" t="s">
        <v>122</v>
      </c>
      <c r="K1823" s="9" t="s">
        <v>4239</v>
      </c>
      <c r="L1823" t="str">
        <f>IF(OR(J1823="Cattle",J1823="Zebu Cattle"),IF(COUNTIF(lists!$M$2:$M$258, K1823) &gt; 0,"bos.indicus",IF(COUNTIF(lists!$L$2:$L$258, K1823) &gt; 0,"cross.bred","pure.bred.exotic")),"NA")</f>
        <v>cross.bred</v>
      </c>
      <c r="O1823" s="9" t="s">
        <v>124</v>
      </c>
      <c r="P1823" s="9" t="s">
        <v>4765</v>
      </c>
      <c r="Q1823" s="9" t="s">
        <v>3806</v>
      </c>
      <c r="R1823" s="9" t="s">
        <v>3829</v>
      </c>
      <c r="S1823" s="9" t="s">
        <v>106</v>
      </c>
      <c r="T1823" s="9" t="s">
        <v>106</v>
      </c>
      <c r="U1823" s="9" t="s">
        <v>106</v>
      </c>
      <c r="V1823" s="9" t="s">
        <v>106</v>
      </c>
      <c r="W1823" s="9" t="s">
        <v>106</v>
      </c>
      <c r="X1823" s="9" t="s">
        <v>106</v>
      </c>
      <c r="Y1823" s="9" t="s">
        <v>106</v>
      </c>
      <c r="Z1823" s="9" t="s">
        <v>106</v>
      </c>
      <c r="AA1823" s="9" t="s">
        <v>106</v>
      </c>
      <c r="AB1823" s="9" t="s">
        <v>106</v>
      </c>
      <c r="AC1823" s="9" t="s">
        <v>5100</v>
      </c>
      <c r="AD1823" s="9" t="s">
        <v>5100</v>
      </c>
    </row>
    <row r="1824" spans="1:30">
      <c r="A1824" s="9" t="s">
        <v>3956</v>
      </c>
      <c r="B1824" s="9" t="s">
        <v>4240</v>
      </c>
      <c r="C1824" s="9" t="s">
        <v>105</v>
      </c>
      <c r="D1824" s="9">
        <v>11.2</v>
      </c>
      <c r="E1824" s="9" t="s">
        <v>106</v>
      </c>
      <c r="F1824" s="9">
        <v>540</v>
      </c>
      <c r="G1824" s="9" t="s">
        <v>106</v>
      </c>
      <c r="H1824" s="9" t="s">
        <v>106</v>
      </c>
      <c r="I1824" s="9">
        <v>8</v>
      </c>
      <c r="J1824" s="9" t="s">
        <v>122</v>
      </c>
      <c r="K1824" s="9" t="s">
        <v>4165</v>
      </c>
      <c r="L1824" t="str">
        <f>IF(OR(J1824="Cattle",J1824="Zebu Cattle"),IF(COUNTIF(lists!$M$2:$M$258, K1824) &gt; 0,"bos.indicus",IF(COUNTIF(lists!$L$2:$L$258, K1824) &gt; 0,"cross.bred","pure.bred.exotic")),"NA")</f>
        <v>pure.bred.exotic</v>
      </c>
      <c r="O1824" s="9" t="s">
        <v>4194</v>
      </c>
      <c r="P1824" s="16" t="s">
        <v>4248</v>
      </c>
      <c r="Q1824" s="9" t="s">
        <v>3804</v>
      </c>
      <c r="R1824" s="9" t="s">
        <v>3829</v>
      </c>
      <c r="S1824" s="9" t="s">
        <v>106</v>
      </c>
      <c r="T1824" s="9" t="s">
        <v>106</v>
      </c>
      <c r="U1824" s="9" t="s">
        <v>106</v>
      </c>
      <c r="V1824" s="9" t="s">
        <v>106</v>
      </c>
      <c r="W1824" s="9" t="s">
        <v>106</v>
      </c>
      <c r="X1824" s="9" t="s">
        <v>106</v>
      </c>
      <c r="Y1824" s="9" t="s">
        <v>106</v>
      </c>
      <c r="Z1824" s="9" t="s">
        <v>106</v>
      </c>
      <c r="AA1824" s="9" t="s">
        <v>106</v>
      </c>
      <c r="AB1824" s="9" t="s">
        <v>106</v>
      </c>
      <c r="AC1824" s="9" t="s">
        <v>5100</v>
      </c>
      <c r="AD1824" s="9" t="s">
        <v>5100</v>
      </c>
    </row>
    <row r="1825" spans="1:30">
      <c r="A1825" s="9" t="s">
        <v>3956</v>
      </c>
      <c r="B1825" s="9" t="s">
        <v>4241</v>
      </c>
      <c r="C1825" s="9" t="s">
        <v>105</v>
      </c>
      <c r="D1825" s="9">
        <v>12.4</v>
      </c>
      <c r="E1825" s="9" t="s">
        <v>106</v>
      </c>
      <c r="F1825" s="9">
        <v>560</v>
      </c>
      <c r="G1825" s="9" t="s">
        <v>106</v>
      </c>
      <c r="H1825" s="9" t="s">
        <v>106</v>
      </c>
      <c r="I1825" s="9">
        <v>8</v>
      </c>
      <c r="J1825" s="9" t="s">
        <v>122</v>
      </c>
      <c r="K1825" s="9" t="s">
        <v>4165</v>
      </c>
      <c r="L1825" t="str">
        <f>IF(OR(J1825="Cattle",J1825="Zebu Cattle"),IF(COUNTIF(lists!$M$2:$M$258, K1825) &gt; 0,"bos.indicus",IF(COUNTIF(lists!$L$2:$L$258, K1825) &gt; 0,"cross.bred","pure.bred.exotic")),"NA")</f>
        <v>pure.bred.exotic</v>
      </c>
      <c r="O1825" s="9" t="s">
        <v>4194</v>
      </c>
      <c r="P1825" s="16" t="s">
        <v>4248</v>
      </c>
      <c r="Q1825" s="9" t="s">
        <v>3804</v>
      </c>
      <c r="R1825" s="9" t="s">
        <v>3829</v>
      </c>
      <c r="S1825" s="9" t="s">
        <v>106</v>
      </c>
      <c r="T1825" s="9" t="s">
        <v>106</v>
      </c>
      <c r="U1825" s="9" t="s">
        <v>106</v>
      </c>
      <c r="V1825" s="9" t="s">
        <v>106</v>
      </c>
      <c r="W1825" s="9" t="s">
        <v>106</v>
      </c>
      <c r="X1825" s="9" t="s">
        <v>106</v>
      </c>
      <c r="Y1825" s="9" t="s">
        <v>106</v>
      </c>
      <c r="Z1825" s="9" t="s">
        <v>106</v>
      </c>
      <c r="AA1825" s="9" t="s">
        <v>106</v>
      </c>
      <c r="AB1825" s="9" t="s">
        <v>106</v>
      </c>
      <c r="AC1825" s="9" t="s">
        <v>5100</v>
      </c>
      <c r="AD1825" s="9" t="s">
        <v>5100</v>
      </c>
    </row>
    <row r="1826" spans="1:30">
      <c r="A1826" s="9" t="s">
        <v>3956</v>
      </c>
      <c r="B1826" s="9" t="s">
        <v>4242</v>
      </c>
      <c r="C1826" s="9" t="s">
        <v>105</v>
      </c>
      <c r="D1826" s="9">
        <v>9.8000000000000007</v>
      </c>
      <c r="E1826" s="9" t="s">
        <v>106</v>
      </c>
      <c r="F1826" s="9">
        <v>490</v>
      </c>
      <c r="G1826" s="9" t="s">
        <v>106</v>
      </c>
      <c r="H1826" s="9" t="s">
        <v>106</v>
      </c>
      <c r="I1826" s="9">
        <v>8</v>
      </c>
      <c r="J1826" s="9" t="s">
        <v>122</v>
      </c>
      <c r="K1826" s="9" t="s">
        <v>4165</v>
      </c>
      <c r="L1826" t="str">
        <f>IF(OR(J1826="Cattle",J1826="Zebu Cattle"),IF(COUNTIF(lists!$M$2:$M$258, K1826) &gt; 0,"bos.indicus",IF(COUNTIF(lists!$L$2:$L$258, K1826) &gt; 0,"cross.bred","pure.bred.exotic")),"NA")</f>
        <v>pure.bred.exotic</v>
      </c>
      <c r="O1826" s="9" t="s">
        <v>4194</v>
      </c>
      <c r="P1826" s="16" t="s">
        <v>4248</v>
      </c>
      <c r="Q1826" s="9" t="s">
        <v>3804</v>
      </c>
      <c r="R1826" s="9" t="s">
        <v>3829</v>
      </c>
      <c r="S1826" s="9" t="s">
        <v>106</v>
      </c>
      <c r="T1826" s="9" t="s">
        <v>106</v>
      </c>
      <c r="U1826" s="9" t="s">
        <v>106</v>
      </c>
      <c r="V1826" s="9" t="s">
        <v>106</v>
      </c>
      <c r="W1826" s="9" t="s">
        <v>106</v>
      </c>
      <c r="X1826" s="9" t="s">
        <v>106</v>
      </c>
      <c r="Y1826" s="9" t="s">
        <v>106</v>
      </c>
      <c r="Z1826" s="9" t="s">
        <v>106</v>
      </c>
      <c r="AA1826" s="9" t="s">
        <v>106</v>
      </c>
      <c r="AB1826" s="9" t="s">
        <v>106</v>
      </c>
      <c r="AC1826" s="9" t="s">
        <v>5100</v>
      </c>
      <c r="AD1826" s="9" t="s">
        <v>5100</v>
      </c>
    </row>
    <row r="1827" spans="1:30">
      <c r="A1827" s="9" t="s">
        <v>3956</v>
      </c>
      <c r="B1827" s="9" t="s">
        <v>4243</v>
      </c>
      <c r="C1827" s="9" t="s">
        <v>105</v>
      </c>
      <c r="D1827" s="9">
        <v>10.5</v>
      </c>
      <c r="E1827" s="9" t="s">
        <v>106</v>
      </c>
      <c r="F1827" s="9">
        <v>530</v>
      </c>
      <c r="G1827" s="9" t="s">
        <v>106</v>
      </c>
      <c r="H1827" s="9" t="s">
        <v>106</v>
      </c>
      <c r="I1827" s="9">
        <v>8</v>
      </c>
      <c r="J1827" s="9" t="s">
        <v>122</v>
      </c>
      <c r="K1827" s="9" t="s">
        <v>4165</v>
      </c>
      <c r="L1827" t="str">
        <f>IF(OR(J1827="Cattle",J1827="Zebu Cattle"),IF(COUNTIF(lists!$M$2:$M$258, K1827) &gt; 0,"bos.indicus",IF(COUNTIF(lists!$L$2:$L$258, K1827) &gt; 0,"cross.bred","pure.bred.exotic")),"NA")</f>
        <v>pure.bred.exotic</v>
      </c>
      <c r="O1827" s="9" t="s">
        <v>4194</v>
      </c>
      <c r="P1827" s="16" t="s">
        <v>4248</v>
      </c>
      <c r="Q1827" s="9" t="s">
        <v>3804</v>
      </c>
      <c r="R1827" s="9" t="s">
        <v>3829</v>
      </c>
      <c r="S1827" s="9" t="s">
        <v>106</v>
      </c>
      <c r="T1827" s="9" t="s">
        <v>106</v>
      </c>
      <c r="U1827" s="9" t="s">
        <v>106</v>
      </c>
      <c r="V1827" s="9" t="s">
        <v>106</v>
      </c>
      <c r="W1827" s="9" t="s">
        <v>106</v>
      </c>
      <c r="X1827" s="9" t="s">
        <v>106</v>
      </c>
      <c r="Y1827" s="9" t="s">
        <v>106</v>
      </c>
      <c r="Z1827" s="9" t="s">
        <v>106</v>
      </c>
      <c r="AA1827" s="9" t="s">
        <v>106</v>
      </c>
      <c r="AB1827" s="9" t="s">
        <v>106</v>
      </c>
      <c r="AC1827" s="9" t="s">
        <v>5100</v>
      </c>
      <c r="AD1827" s="9" t="s">
        <v>5100</v>
      </c>
    </row>
    <row r="1828" spans="1:30">
      <c r="A1828" s="9" t="s">
        <v>3956</v>
      </c>
      <c r="B1828" s="9" t="s">
        <v>4244</v>
      </c>
      <c r="C1828" s="9" t="s">
        <v>105</v>
      </c>
      <c r="D1828" s="9">
        <v>13.21</v>
      </c>
      <c r="E1828" s="9" t="s">
        <v>106</v>
      </c>
      <c r="F1828" s="9" t="s">
        <v>106</v>
      </c>
      <c r="G1828" s="9" t="s">
        <v>106</v>
      </c>
      <c r="H1828" s="9">
        <v>20.38</v>
      </c>
      <c r="I1828" s="9">
        <v>8</v>
      </c>
      <c r="J1828" s="9" t="s">
        <v>122</v>
      </c>
      <c r="K1828" s="9" t="s">
        <v>4165</v>
      </c>
      <c r="L1828" t="str">
        <f>IF(OR(J1828="Cattle",J1828="Zebu Cattle"),IF(COUNTIF(lists!$M$2:$M$258, K1828) &gt; 0,"bos.indicus",IF(COUNTIF(lists!$L$2:$L$258, K1828) &gt; 0,"cross.bred","pure.bred.exotic")),"NA")</f>
        <v>pure.bred.exotic</v>
      </c>
      <c r="O1828" s="9" t="s">
        <v>4194</v>
      </c>
      <c r="P1828" s="9" t="s">
        <v>4045</v>
      </c>
      <c r="Q1828" s="9" t="s">
        <v>3809</v>
      </c>
      <c r="R1828" s="9" t="s">
        <v>3829</v>
      </c>
      <c r="S1828" s="9" t="s">
        <v>106</v>
      </c>
      <c r="T1828" s="9" t="s">
        <v>106</v>
      </c>
      <c r="U1828" s="9" t="s">
        <v>106</v>
      </c>
      <c r="V1828" s="9" t="s">
        <v>106</v>
      </c>
      <c r="W1828" s="9" t="s">
        <v>106</v>
      </c>
      <c r="X1828" s="9" t="s">
        <v>106</v>
      </c>
      <c r="Y1828" s="9" t="s">
        <v>106</v>
      </c>
      <c r="Z1828" s="9" t="s">
        <v>106</v>
      </c>
      <c r="AA1828" s="9" t="s">
        <v>106</v>
      </c>
      <c r="AB1828" s="9" t="s">
        <v>106</v>
      </c>
      <c r="AC1828" s="9" t="s">
        <v>5100</v>
      </c>
      <c r="AD1828" s="9" t="s">
        <v>5100</v>
      </c>
    </row>
    <row r="1829" spans="1:30">
      <c r="A1829" s="9" t="s">
        <v>3956</v>
      </c>
      <c r="B1829" s="9" t="s">
        <v>4245</v>
      </c>
      <c r="C1829" s="9" t="s">
        <v>105</v>
      </c>
      <c r="D1829" s="9">
        <v>13.04</v>
      </c>
      <c r="E1829" s="9" t="s">
        <v>106</v>
      </c>
      <c r="F1829" s="9" t="s">
        <v>106</v>
      </c>
      <c r="G1829" s="9" t="s">
        <v>106</v>
      </c>
      <c r="H1829" s="9">
        <v>15.92</v>
      </c>
      <c r="I1829" s="9">
        <v>8</v>
      </c>
      <c r="J1829" s="9" t="s">
        <v>122</v>
      </c>
      <c r="K1829" s="9" t="s">
        <v>4165</v>
      </c>
      <c r="L1829" t="str">
        <f>IF(OR(J1829="Cattle",J1829="Zebu Cattle"),IF(COUNTIF(lists!$M$2:$M$258, K1829) &gt; 0,"bos.indicus",IF(COUNTIF(lists!$L$2:$L$258, K1829) &gt; 0,"cross.bred","pure.bred.exotic")),"NA")</f>
        <v>pure.bred.exotic</v>
      </c>
      <c r="O1829" s="9" t="s">
        <v>4194</v>
      </c>
      <c r="P1829" s="9" t="s">
        <v>4045</v>
      </c>
      <c r="Q1829" s="9" t="s">
        <v>3809</v>
      </c>
      <c r="R1829" s="9" t="s">
        <v>3829</v>
      </c>
      <c r="S1829" s="9" t="s">
        <v>106</v>
      </c>
      <c r="T1829" s="9" t="s">
        <v>106</v>
      </c>
      <c r="U1829" s="9" t="s">
        <v>106</v>
      </c>
      <c r="V1829" s="9" t="s">
        <v>106</v>
      </c>
      <c r="W1829" s="9" t="s">
        <v>106</v>
      </c>
      <c r="X1829" s="9" t="s">
        <v>106</v>
      </c>
      <c r="Y1829" s="9" t="s">
        <v>106</v>
      </c>
      <c r="Z1829" s="9" t="s">
        <v>106</v>
      </c>
      <c r="AA1829" s="9" t="s">
        <v>106</v>
      </c>
      <c r="AB1829" s="9" t="s">
        <v>106</v>
      </c>
      <c r="AC1829" s="9" t="s">
        <v>5100</v>
      </c>
      <c r="AD1829" s="9" t="s">
        <v>5100</v>
      </c>
    </row>
    <row r="1830" spans="1:30">
      <c r="A1830" s="9" t="s">
        <v>3956</v>
      </c>
      <c r="B1830" s="9" t="s">
        <v>4246</v>
      </c>
      <c r="C1830" s="9" t="s">
        <v>105</v>
      </c>
      <c r="D1830" s="9">
        <v>9.1199999999999992</v>
      </c>
      <c r="E1830" s="9" t="s">
        <v>106</v>
      </c>
      <c r="F1830" s="9" t="s">
        <v>106</v>
      </c>
      <c r="G1830" s="9" t="s">
        <v>106</v>
      </c>
      <c r="H1830" s="9">
        <v>7.25</v>
      </c>
      <c r="I1830" s="9">
        <v>8</v>
      </c>
      <c r="J1830" s="9" t="s">
        <v>122</v>
      </c>
      <c r="K1830" s="9" t="s">
        <v>4165</v>
      </c>
      <c r="L1830" t="str">
        <f>IF(OR(J1830="Cattle",J1830="Zebu Cattle"),IF(COUNTIF(lists!$M$2:$M$258, K1830) &gt; 0,"bos.indicus",IF(COUNTIF(lists!$L$2:$L$258, K1830) &gt; 0,"cross.bred","pure.bred.exotic")),"NA")</f>
        <v>pure.bred.exotic</v>
      </c>
      <c r="O1830" s="9" t="s">
        <v>4194</v>
      </c>
      <c r="P1830" s="9" t="s">
        <v>4045</v>
      </c>
      <c r="Q1830" s="9" t="s">
        <v>3809</v>
      </c>
      <c r="R1830" s="9" t="s">
        <v>3829</v>
      </c>
      <c r="S1830" s="9" t="s">
        <v>106</v>
      </c>
      <c r="T1830" s="9" t="s">
        <v>106</v>
      </c>
      <c r="U1830" s="9" t="s">
        <v>106</v>
      </c>
      <c r="V1830" s="9" t="s">
        <v>106</v>
      </c>
      <c r="W1830" s="9" t="s">
        <v>106</v>
      </c>
      <c r="X1830" s="9" t="s">
        <v>106</v>
      </c>
      <c r="Y1830" s="9" t="s">
        <v>106</v>
      </c>
      <c r="Z1830" s="9" t="s">
        <v>106</v>
      </c>
      <c r="AA1830" s="9" t="s">
        <v>106</v>
      </c>
      <c r="AB1830" s="9" t="s">
        <v>106</v>
      </c>
      <c r="AC1830" s="9" t="s">
        <v>5100</v>
      </c>
      <c r="AD1830" s="9" t="s">
        <v>5100</v>
      </c>
    </row>
    <row r="1831" spans="1:30">
      <c r="A1831" s="9" t="s">
        <v>3956</v>
      </c>
      <c r="B1831" s="9" t="s">
        <v>4247</v>
      </c>
      <c r="C1831" s="9" t="s">
        <v>105</v>
      </c>
      <c r="D1831" s="9">
        <v>11.71</v>
      </c>
      <c r="E1831" s="9" t="s">
        <v>106</v>
      </c>
      <c r="F1831" s="9" t="s">
        <v>106</v>
      </c>
      <c r="G1831" s="9" t="s">
        <v>106</v>
      </c>
      <c r="H1831" s="9">
        <v>13.79</v>
      </c>
      <c r="I1831" s="9">
        <v>8</v>
      </c>
      <c r="J1831" s="9" t="s">
        <v>122</v>
      </c>
      <c r="K1831" s="9" t="s">
        <v>4165</v>
      </c>
      <c r="L1831" t="str">
        <f>IF(OR(J1831="Cattle",J1831="Zebu Cattle"),IF(COUNTIF(lists!$M$2:$M$258, K1831) &gt; 0,"bos.indicus",IF(COUNTIF(lists!$L$2:$L$258, K1831) &gt; 0,"cross.bred","pure.bred.exotic")),"NA")</f>
        <v>pure.bred.exotic</v>
      </c>
      <c r="O1831" s="9" t="s">
        <v>4194</v>
      </c>
      <c r="P1831" s="9" t="s">
        <v>4045</v>
      </c>
      <c r="Q1831" s="9" t="s">
        <v>3809</v>
      </c>
      <c r="R1831" s="9" t="s">
        <v>3829</v>
      </c>
      <c r="S1831" s="9" t="s">
        <v>106</v>
      </c>
      <c r="T1831" s="9" t="s">
        <v>106</v>
      </c>
      <c r="U1831" s="9" t="s">
        <v>106</v>
      </c>
      <c r="V1831" s="9" t="s">
        <v>106</v>
      </c>
      <c r="W1831" s="9" t="s">
        <v>106</v>
      </c>
      <c r="X1831" s="9" t="s">
        <v>106</v>
      </c>
      <c r="Y1831" s="9" t="s">
        <v>106</v>
      </c>
      <c r="Z1831" s="9" t="s">
        <v>106</v>
      </c>
      <c r="AA1831" s="9" t="s">
        <v>106</v>
      </c>
      <c r="AB1831" s="9" t="s">
        <v>106</v>
      </c>
      <c r="AC1831" s="9" t="s">
        <v>5100</v>
      </c>
      <c r="AD1831" s="9" t="s">
        <v>5100</v>
      </c>
    </row>
    <row r="1832" spans="1:30">
      <c r="A1832" s="9" t="s">
        <v>3903</v>
      </c>
      <c r="B1832" s="9" t="s">
        <v>4249</v>
      </c>
      <c r="C1832" s="9" t="s">
        <v>105</v>
      </c>
      <c r="D1832" s="9">
        <v>5.58</v>
      </c>
      <c r="E1832" s="9" t="s">
        <v>106</v>
      </c>
      <c r="F1832" s="9">
        <v>193</v>
      </c>
      <c r="G1832" s="9">
        <v>0.91800000000000004</v>
      </c>
      <c r="H1832" s="9" t="s">
        <v>106</v>
      </c>
      <c r="I1832" s="9">
        <v>10</v>
      </c>
      <c r="J1832" s="9" t="s">
        <v>122</v>
      </c>
      <c r="K1832" s="9" t="s">
        <v>4254</v>
      </c>
      <c r="L1832" t="str">
        <f>IF(OR(J1832="Cattle",J1832="Zebu Cattle"),IF(COUNTIF(lists!$M$2:$M$258, K1832) &gt; 0,"bos.indicus",IF(COUNTIF(lists!$L$2:$L$258, K1832) &gt; 0,"cross.bred","pure.bred.exotic")),"NA")</f>
        <v>bos.indicus</v>
      </c>
      <c r="O1832" s="9" t="s">
        <v>4193</v>
      </c>
      <c r="P1832" s="9" t="s">
        <v>4253</v>
      </c>
      <c r="Q1832" s="9" t="s">
        <v>3810</v>
      </c>
      <c r="R1832" s="9" t="s">
        <v>3830</v>
      </c>
      <c r="S1832" s="9" t="s">
        <v>106</v>
      </c>
      <c r="T1832" s="9">
        <v>96.6</v>
      </c>
      <c r="U1832" s="9">
        <v>51.8</v>
      </c>
      <c r="V1832" s="9">
        <v>901.4</v>
      </c>
      <c r="W1832" s="9">
        <v>20.78</v>
      </c>
      <c r="X1832" s="9">
        <v>623.6</v>
      </c>
      <c r="Y1832" s="9" t="s">
        <v>106</v>
      </c>
      <c r="Z1832" s="9" t="s">
        <v>106</v>
      </c>
      <c r="AA1832" s="9" t="s">
        <v>106</v>
      </c>
      <c r="AB1832" s="9">
        <v>50.06</v>
      </c>
      <c r="AC1832" s="9" t="s">
        <v>5100</v>
      </c>
      <c r="AD1832" s="9" t="s">
        <v>5100</v>
      </c>
    </row>
    <row r="1833" spans="1:30">
      <c r="A1833" s="9" t="s">
        <v>3903</v>
      </c>
      <c r="B1833" s="9" t="s">
        <v>4250</v>
      </c>
      <c r="C1833" s="9" t="s">
        <v>105</v>
      </c>
      <c r="D1833" s="9">
        <v>7.04</v>
      </c>
      <c r="E1833" s="9" t="s">
        <v>106</v>
      </c>
      <c r="F1833" s="9">
        <v>205</v>
      </c>
      <c r="G1833" s="9">
        <v>0.94599999999999995</v>
      </c>
      <c r="H1833" s="9" t="s">
        <v>106</v>
      </c>
      <c r="I1833" s="9">
        <v>10</v>
      </c>
      <c r="J1833" s="9" t="s">
        <v>122</v>
      </c>
      <c r="K1833" s="9" t="s">
        <v>4254</v>
      </c>
      <c r="L1833" t="str">
        <f>IF(OR(J1833="Cattle",J1833="Zebu Cattle"),IF(COUNTIF(lists!$M$2:$M$258, K1833) &gt; 0,"bos.indicus",IF(COUNTIF(lists!$L$2:$L$258, K1833) &gt; 0,"cross.bred","pure.bred.exotic")),"NA")</f>
        <v>bos.indicus</v>
      </c>
      <c r="O1833" s="9" t="s">
        <v>4193</v>
      </c>
      <c r="P1833" s="9" t="s">
        <v>4253</v>
      </c>
      <c r="Q1833" s="9" t="s">
        <v>3810</v>
      </c>
      <c r="R1833" s="9" t="s">
        <v>3830</v>
      </c>
      <c r="S1833" s="9" t="s">
        <v>106</v>
      </c>
      <c r="T1833" s="9">
        <v>96.91</v>
      </c>
      <c r="U1833" s="9">
        <v>49.1</v>
      </c>
      <c r="V1833" s="9">
        <v>901.4</v>
      </c>
      <c r="W1833" s="9">
        <v>17.79</v>
      </c>
      <c r="X1833" s="9">
        <v>640.70000000000005</v>
      </c>
      <c r="Y1833" s="9" t="s">
        <v>106</v>
      </c>
      <c r="Z1833" s="9" t="s">
        <v>106</v>
      </c>
      <c r="AA1833" s="9" t="s">
        <v>106</v>
      </c>
      <c r="AB1833" s="9">
        <v>48.4</v>
      </c>
      <c r="AC1833" s="9" t="s">
        <v>5100</v>
      </c>
      <c r="AD1833" s="9" t="s">
        <v>5100</v>
      </c>
    </row>
    <row r="1834" spans="1:30">
      <c r="A1834" s="9" t="s">
        <v>3903</v>
      </c>
      <c r="B1834" s="9" t="s">
        <v>4251</v>
      </c>
      <c r="C1834" s="9" t="s">
        <v>105</v>
      </c>
      <c r="D1834" s="9">
        <v>7.17</v>
      </c>
      <c r="E1834" s="9" t="s">
        <v>106</v>
      </c>
      <c r="F1834" s="9">
        <v>219</v>
      </c>
      <c r="G1834" s="9">
        <v>0.89800000000000002</v>
      </c>
      <c r="H1834" s="9" t="s">
        <v>106</v>
      </c>
      <c r="I1834" s="9">
        <v>10</v>
      </c>
      <c r="J1834" s="9" t="s">
        <v>122</v>
      </c>
      <c r="K1834" s="9" t="s">
        <v>4254</v>
      </c>
      <c r="L1834" t="str">
        <f>IF(OR(J1834="Cattle",J1834="Zebu Cattle"),IF(COUNTIF(lists!$M$2:$M$258, K1834) &gt; 0,"bos.indicus",IF(COUNTIF(lists!$L$2:$L$258, K1834) &gt; 0,"cross.bred","pure.bred.exotic")),"NA")</f>
        <v>bos.indicus</v>
      </c>
      <c r="O1834" s="9" t="s">
        <v>4193</v>
      </c>
      <c r="P1834" s="9" t="s">
        <v>4253</v>
      </c>
      <c r="Q1834" s="9" t="s">
        <v>3810</v>
      </c>
      <c r="R1834" s="9" t="s">
        <v>3830</v>
      </c>
      <c r="S1834" s="9" t="s">
        <v>106</v>
      </c>
      <c r="T1834" s="9">
        <v>97.24</v>
      </c>
      <c r="U1834" s="9">
        <v>46.4</v>
      </c>
      <c r="V1834" s="9">
        <v>901.3</v>
      </c>
      <c r="W1834" s="9">
        <v>17.84</v>
      </c>
      <c r="X1834" s="9">
        <v>657.9</v>
      </c>
      <c r="Y1834" s="9" t="s">
        <v>106</v>
      </c>
      <c r="Z1834" s="9" t="s">
        <v>106</v>
      </c>
      <c r="AA1834" s="9" t="s">
        <v>106</v>
      </c>
      <c r="AB1834" s="9">
        <v>46.69</v>
      </c>
      <c r="AC1834" s="9" t="s">
        <v>5100</v>
      </c>
      <c r="AD1834" s="9" t="s">
        <v>5100</v>
      </c>
    </row>
    <row r="1835" spans="1:30">
      <c r="A1835" s="9" t="s">
        <v>3903</v>
      </c>
      <c r="B1835" s="9" t="s">
        <v>4252</v>
      </c>
      <c r="C1835" s="9" t="s">
        <v>105</v>
      </c>
      <c r="D1835" s="9">
        <v>7.58</v>
      </c>
      <c r="E1835" s="9" t="s">
        <v>106</v>
      </c>
      <c r="F1835" s="9">
        <v>231</v>
      </c>
      <c r="G1835" s="9">
        <v>0.95199999999999996</v>
      </c>
      <c r="H1835" s="9" t="s">
        <v>106</v>
      </c>
      <c r="I1835" s="9">
        <v>10</v>
      </c>
      <c r="J1835" s="9" t="s">
        <v>122</v>
      </c>
      <c r="K1835" s="9" t="s">
        <v>4254</v>
      </c>
      <c r="L1835" t="str">
        <f>IF(OR(J1835="Cattle",J1835="Zebu Cattle"),IF(COUNTIF(lists!$M$2:$M$258, K1835) &gt; 0,"bos.indicus",IF(COUNTIF(lists!$L$2:$L$258, K1835) &gt; 0,"cross.bred","pure.bred.exotic")),"NA")</f>
        <v>bos.indicus</v>
      </c>
      <c r="O1835" s="9" t="s">
        <v>4193</v>
      </c>
      <c r="P1835" s="9" t="s">
        <v>4253</v>
      </c>
      <c r="Q1835" s="9" t="s">
        <v>3810</v>
      </c>
      <c r="R1835" s="9" t="s">
        <v>3830</v>
      </c>
      <c r="S1835" s="9" t="s">
        <v>106</v>
      </c>
      <c r="T1835" s="9">
        <v>97.35</v>
      </c>
      <c r="U1835" s="9">
        <v>45.5</v>
      </c>
      <c r="V1835" s="9">
        <v>901.1</v>
      </c>
      <c r="W1835" s="9">
        <v>17.350000000000001</v>
      </c>
      <c r="X1835" s="9">
        <v>663.5</v>
      </c>
      <c r="Y1835" s="9" t="s">
        <v>106</v>
      </c>
      <c r="Z1835" s="9" t="s">
        <v>106</v>
      </c>
      <c r="AA1835" s="9" t="s">
        <v>106</v>
      </c>
      <c r="AB1835" s="9">
        <v>46.13</v>
      </c>
      <c r="AC1835" s="9" t="s">
        <v>5100</v>
      </c>
      <c r="AD1835" s="9" t="s">
        <v>5100</v>
      </c>
    </row>
    <row r="1836" spans="1:30">
      <c r="A1836" s="9" t="s">
        <v>3837</v>
      </c>
      <c r="B1836" s="9" t="s">
        <v>4255</v>
      </c>
      <c r="C1836" s="9" t="s">
        <v>105</v>
      </c>
      <c r="D1836" s="9">
        <v>9.14</v>
      </c>
      <c r="E1836" s="9" t="s">
        <v>106</v>
      </c>
      <c r="F1836" s="9">
        <v>193.75</v>
      </c>
      <c r="G1836" s="9">
        <v>1.67</v>
      </c>
      <c r="H1836" s="9" t="s">
        <v>106</v>
      </c>
      <c r="I1836" s="9">
        <v>7</v>
      </c>
      <c r="J1836" s="9" t="s">
        <v>122</v>
      </c>
      <c r="K1836" s="9" t="s">
        <v>4215</v>
      </c>
      <c r="L1836" t="str">
        <f>IF(OR(J1836="Cattle",J1836="Zebu Cattle"),IF(COUNTIF(lists!$M$2:$M$258, K1836) &gt; 0,"bos.indicus",IF(COUNTIF(lists!$L$2:$L$258, K1836) &gt; 0,"cross.bred","pure.bred.exotic")),"NA")</f>
        <v>cross.bred</v>
      </c>
      <c r="O1836" s="9" t="s">
        <v>124</v>
      </c>
      <c r="P1836" s="9" t="s">
        <v>4259</v>
      </c>
      <c r="Q1836" s="9" t="s">
        <v>3813</v>
      </c>
      <c r="R1836" s="9" t="s">
        <v>3830</v>
      </c>
      <c r="S1836" s="9">
        <v>75.7</v>
      </c>
      <c r="T1836" s="9">
        <v>43.5</v>
      </c>
      <c r="U1836" s="9">
        <v>139.19999999999999</v>
      </c>
      <c r="V1836" s="9">
        <v>872.4</v>
      </c>
      <c r="W1836" s="9">
        <v>47.6</v>
      </c>
      <c r="X1836" s="9">
        <v>147.9</v>
      </c>
      <c r="Y1836" s="9" t="s">
        <v>106</v>
      </c>
      <c r="Z1836" s="9">
        <v>2.2000000000000002</v>
      </c>
      <c r="AA1836" s="9" t="s">
        <v>106</v>
      </c>
      <c r="AB1836" s="9" t="s">
        <v>106</v>
      </c>
      <c r="AC1836" s="9" t="s">
        <v>5100</v>
      </c>
      <c r="AD1836" s="9" t="s">
        <v>5100</v>
      </c>
    </row>
    <row r="1837" spans="1:30">
      <c r="A1837" s="9" t="s">
        <v>3837</v>
      </c>
      <c r="B1837" s="9" t="s">
        <v>4256</v>
      </c>
      <c r="C1837" s="9" t="s">
        <v>105</v>
      </c>
      <c r="D1837" s="9">
        <v>6.37</v>
      </c>
      <c r="E1837" s="9" t="s">
        <v>106</v>
      </c>
      <c r="F1837" s="9">
        <v>157.47</v>
      </c>
      <c r="G1837" s="9">
        <v>0.92200000000000004</v>
      </c>
      <c r="H1837" s="9" t="s">
        <v>106</v>
      </c>
      <c r="I1837" s="9">
        <v>7</v>
      </c>
      <c r="J1837" s="9" t="s">
        <v>122</v>
      </c>
      <c r="K1837" s="9" t="s">
        <v>4215</v>
      </c>
      <c r="L1837" t="str">
        <f>IF(OR(J1837="Cattle",J1837="Zebu Cattle"),IF(COUNTIF(lists!$M$2:$M$258, K1837) &gt; 0,"bos.indicus",IF(COUNTIF(lists!$L$2:$L$258, K1837) &gt; 0,"cross.bred","pure.bred.exotic")),"NA")</f>
        <v>cross.bred</v>
      </c>
      <c r="O1837" s="9" t="s">
        <v>124</v>
      </c>
      <c r="P1837" s="9" t="s">
        <v>4259</v>
      </c>
      <c r="Q1837" s="9" t="s">
        <v>3813</v>
      </c>
      <c r="R1837" s="9" t="s">
        <v>3830</v>
      </c>
      <c r="S1837" s="9">
        <v>69.3</v>
      </c>
      <c r="T1837" s="9">
        <v>40.4</v>
      </c>
      <c r="U1837" s="9">
        <v>139</v>
      </c>
      <c r="V1837" s="9">
        <v>886</v>
      </c>
      <c r="W1837" s="9">
        <v>74.7</v>
      </c>
      <c r="X1837" s="9">
        <v>132.1</v>
      </c>
      <c r="Y1837" s="9" t="s">
        <v>106</v>
      </c>
      <c r="Z1837" s="67">
        <v>1</v>
      </c>
      <c r="AA1837" s="9" t="s">
        <v>106</v>
      </c>
      <c r="AB1837" s="9" t="s">
        <v>106</v>
      </c>
      <c r="AC1837" s="9" t="s">
        <v>5100</v>
      </c>
      <c r="AD1837" s="9" t="s">
        <v>5100</v>
      </c>
    </row>
    <row r="1838" spans="1:30">
      <c r="A1838" s="9" t="s">
        <v>3837</v>
      </c>
      <c r="B1838" s="9" t="s">
        <v>4257</v>
      </c>
      <c r="C1838" s="9" t="s">
        <v>105</v>
      </c>
      <c r="D1838" s="9">
        <v>8.77</v>
      </c>
      <c r="E1838" s="9" t="s">
        <v>106</v>
      </c>
      <c r="F1838" s="9">
        <v>184.53</v>
      </c>
      <c r="G1838" s="9">
        <v>1.48</v>
      </c>
      <c r="H1838" s="9" t="s">
        <v>106</v>
      </c>
      <c r="I1838" s="9">
        <v>7</v>
      </c>
      <c r="J1838" s="9" t="s">
        <v>122</v>
      </c>
      <c r="K1838" s="9" t="s">
        <v>4215</v>
      </c>
      <c r="L1838" t="str">
        <f>IF(OR(J1838="Cattle",J1838="Zebu Cattle"),IF(COUNTIF(lists!$M$2:$M$258, K1838) &gt; 0,"bos.indicus",IF(COUNTIF(lists!$L$2:$L$258, K1838) &gt; 0,"cross.bred","pure.bred.exotic")),"NA")</f>
        <v>cross.bred</v>
      </c>
      <c r="O1838" s="9" t="s">
        <v>124</v>
      </c>
      <c r="P1838" s="9" t="s">
        <v>4259</v>
      </c>
      <c r="Q1838" s="9" t="s">
        <v>3813</v>
      </c>
      <c r="R1838" s="9" t="s">
        <v>3830</v>
      </c>
      <c r="S1838" s="9">
        <v>69.3</v>
      </c>
      <c r="T1838" s="9">
        <v>40.4</v>
      </c>
      <c r="U1838" s="9">
        <v>139</v>
      </c>
      <c r="V1838" s="9">
        <v>886</v>
      </c>
      <c r="W1838" s="9">
        <v>74.7</v>
      </c>
      <c r="X1838" s="9">
        <v>132.1</v>
      </c>
      <c r="Y1838" s="9" t="s">
        <v>106</v>
      </c>
      <c r="Z1838" s="67">
        <v>1</v>
      </c>
      <c r="AA1838" s="9" t="s">
        <v>106</v>
      </c>
      <c r="AB1838" s="9" t="s">
        <v>106</v>
      </c>
      <c r="AC1838" s="9" t="s">
        <v>5100</v>
      </c>
      <c r="AD1838" s="9" t="s">
        <v>5100</v>
      </c>
    </row>
    <row r="1839" spans="1:30">
      <c r="A1839" s="9" t="s">
        <v>3837</v>
      </c>
      <c r="B1839" s="9" t="s">
        <v>4258</v>
      </c>
      <c r="C1839" s="9" t="s">
        <v>105</v>
      </c>
      <c r="D1839" s="9">
        <v>5.42</v>
      </c>
      <c r="E1839" s="9" t="s">
        <v>106</v>
      </c>
      <c r="F1839" s="9">
        <v>141.37</v>
      </c>
      <c r="G1839" s="9">
        <v>0.59</v>
      </c>
      <c r="H1839" s="9" t="s">
        <v>106</v>
      </c>
      <c r="I1839" s="9">
        <v>7</v>
      </c>
      <c r="J1839" s="9" t="s">
        <v>122</v>
      </c>
      <c r="K1839" s="9" t="s">
        <v>4215</v>
      </c>
      <c r="L1839" t="str">
        <f>IF(OR(J1839="Cattle",J1839="Zebu Cattle"),IF(COUNTIF(lists!$M$2:$M$258, K1839) &gt; 0,"bos.indicus",IF(COUNTIF(lists!$L$2:$L$258, K1839) &gt; 0,"cross.bred","pure.bred.exotic")),"NA")</f>
        <v>cross.bred</v>
      </c>
      <c r="O1839" s="9" t="s">
        <v>124</v>
      </c>
      <c r="P1839" s="9" t="s">
        <v>4259</v>
      </c>
      <c r="Q1839" s="9" t="s">
        <v>3813</v>
      </c>
      <c r="R1839" s="9" t="s">
        <v>3830</v>
      </c>
      <c r="S1839" s="9">
        <v>69.3</v>
      </c>
      <c r="T1839" s="9">
        <v>40.4</v>
      </c>
      <c r="U1839" s="9">
        <v>139</v>
      </c>
      <c r="V1839" s="9">
        <v>886</v>
      </c>
      <c r="W1839" s="9">
        <v>74.7</v>
      </c>
      <c r="X1839" s="9">
        <v>132.1</v>
      </c>
      <c r="Y1839" s="9" t="s">
        <v>106</v>
      </c>
      <c r="Z1839" s="67">
        <v>1</v>
      </c>
      <c r="AA1839" s="9" t="s">
        <v>106</v>
      </c>
      <c r="AB1839" s="9" t="s">
        <v>106</v>
      </c>
      <c r="AC1839" s="9" t="s">
        <v>5100</v>
      </c>
      <c r="AD1839" s="9" t="s">
        <v>5100</v>
      </c>
    </row>
    <row r="1840" spans="1:30">
      <c r="A1840" s="9" t="s">
        <v>3865</v>
      </c>
      <c r="B1840" s="9" t="s">
        <v>4260</v>
      </c>
      <c r="C1840" s="9" t="s">
        <v>105</v>
      </c>
      <c r="D1840" s="9">
        <v>8.5</v>
      </c>
      <c r="E1840" s="9" t="s">
        <v>106</v>
      </c>
      <c r="F1840" s="9">
        <v>344</v>
      </c>
      <c r="G1840" s="9">
        <v>1.5</v>
      </c>
      <c r="H1840" s="9" t="s">
        <v>106</v>
      </c>
      <c r="I1840" s="9">
        <v>8</v>
      </c>
      <c r="J1840" s="9" t="s">
        <v>122</v>
      </c>
      <c r="K1840" s="9" t="s">
        <v>4266</v>
      </c>
      <c r="L1840" t="str">
        <f>IF(OR(J1840="Cattle",J1840="Zebu Cattle"),IF(COUNTIF(lists!$M$2:$M$258, K1840) &gt; 0,"bos.indicus",IF(COUNTIF(lists!$L$2:$L$258, K1840) &gt; 0,"cross.bred","pure.bred.exotic")),"NA")</f>
        <v>pure.bred.exotic</v>
      </c>
      <c r="O1840" s="9" t="s">
        <v>4194</v>
      </c>
      <c r="P1840" s="9" t="s">
        <v>4265</v>
      </c>
      <c r="Q1840" s="9" t="s">
        <v>3813</v>
      </c>
      <c r="R1840" s="9" t="s">
        <v>3830</v>
      </c>
      <c r="S1840" s="9" t="s">
        <v>106</v>
      </c>
      <c r="T1840" s="9">
        <v>107.5</v>
      </c>
      <c r="U1840" s="9">
        <v>119.5</v>
      </c>
      <c r="V1840" s="9">
        <v>879.2</v>
      </c>
      <c r="W1840" s="9">
        <v>23.7</v>
      </c>
      <c r="X1840" s="9">
        <v>164.4</v>
      </c>
      <c r="Y1840" s="9" t="s">
        <v>106</v>
      </c>
      <c r="Z1840" s="9">
        <v>21.7</v>
      </c>
      <c r="AA1840" s="9" t="s">
        <v>106</v>
      </c>
      <c r="AB1840" s="9" t="s">
        <v>106</v>
      </c>
      <c r="AC1840" s="9" t="s">
        <v>5100</v>
      </c>
      <c r="AD1840" s="9" t="s">
        <v>5100</v>
      </c>
    </row>
    <row r="1841" spans="1:30">
      <c r="A1841" s="9" t="s">
        <v>3865</v>
      </c>
      <c r="B1841" s="9" t="s">
        <v>4261</v>
      </c>
      <c r="C1841" s="9" t="s">
        <v>105</v>
      </c>
      <c r="D1841" s="9">
        <v>10.7</v>
      </c>
      <c r="E1841" s="9" t="s">
        <v>106</v>
      </c>
      <c r="F1841" s="9">
        <v>368</v>
      </c>
      <c r="G1841" s="9">
        <v>1.9</v>
      </c>
      <c r="H1841" s="9" t="s">
        <v>106</v>
      </c>
      <c r="I1841" s="9">
        <v>8</v>
      </c>
      <c r="J1841" s="9" t="s">
        <v>122</v>
      </c>
      <c r="K1841" s="9" t="s">
        <v>4266</v>
      </c>
      <c r="L1841" t="str">
        <f>IF(OR(J1841="Cattle",J1841="Zebu Cattle"),IF(COUNTIF(lists!$M$2:$M$258, K1841) &gt; 0,"bos.indicus",IF(COUNTIF(lists!$L$2:$L$258, K1841) &gt; 0,"cross.bred","pure.bred.exotic")),"NA")</f>
        <v>pure.bred.exotic</v>
      </c>
      <c r="O1841" s="9" t="s">
        <v>4194</v>
      </c>
      <c r="P1841" s="9" t="s">
        <v>4265</v>
      </c>
      <c r="Q1841" s="9" t="s">
        <v>3813</v>
      </c>
      <c r="R1841" s="9" t="s">
        <v>3830</v>
      </c>
      <c r="S1841" s="9" t="s">
        <v>106</v>
      </c>
      <c r="T1841" s="9">
        <v>64.7</v>
      </c>
      <c r="U1841" s="9">
        <v>119.4</v>
      </c>
      <c r="V1841" s="9">
        <v>882.8</v>
      </c>
      <c r="W1841" s="9">
        <v>33.5</v>
      </c>
      <c r="X1841" s="9">
        <v>183.5</v>
      </c>
      <c r="Y1841" s="9" t="s">
        <v>106</v>
      </c>
      <c r="Z1841" s="9">
        <v>48</v>
      </c>
      <c r="AA1841" s="9" t="s">
        <v>106</v>
      </c>
      <c r="AB1841" s="9" t="s">
        <v>106</v>
      </c>
      <c r="AC1841" s="9" t="s">
        <v>5100</v>
      </c>
      <c r="AD1841" s="9" t="s">
        <v>5100</v>
      </c>
    </row>
    <row r="1842" spans="1:30">
      <c r="A1842" s="9" t="s">
        <v>3865</v>
      </c>
      <c r="B1842" s="9" t="s">
        <v>4262</v>
      </c>
      <c r="C1842" s="9" t="s">
        <v>105</v>
      </c>
      <c r="D1842" s="9">
        <v>9.1</v>
      </c>
      <c r="E1842" s="9" t="s">
        <v>106</v>
      </c>
      <c r="F1842" s="9">
        <v>364.5</v>
      </c>
      <c r="G1842" s="9">
        <v>1.8</v>
      </c>
      <c r="H1842" s="9" t="s">
        <v>106</v>
      </c>
      <c r="I1842" s="9">
        <v>8</v>
      </c>
      <c r="J1842" s="9" t="s">
        <v>122</v>
      </c>
      <c r="K1842" s="9" t="s">
        <v>4266</v>
      </c>
      <c r="L1842" t="str">
        <f>IF(OR(J1842="Cattle",J1842="Zebu Cattle"),IF(COUNTIF(lists!$M$2:$M$258, K1842) &gt; 0,"bos.indicus",IF(COUNTIF(lists!$L$2:$L$258, K1842) &gt; 0,"cross.bred","pure.bred.exotic")),"NA")</f>
        <v>pure.bred.exotic</v>
      </c>
      <c r="O1842" s="9" t="s">
        <v>4194</v>
      </c>
      <c r="P1842" s="9" t="s">
        <v>4265</v>
      </c>
      <c r="Q1842" s="9" t="s">
        <v>3813</v>
      </c>
      <c r="R1842" s="9" t="s">
        <v>3830</v>
      </c>
      <c r="S1842" s="9" t="s">
        <v>106</v>
      </c>
      <c r="T1842" s="9">
        <v>51.7</v>
      </c>
      <c r="U1842" s="9">
        <v>119.1</v>
      </c>
      <c r="V1842" s="9">
        <v>875.9</v>
      </c>
      <c r="W1842" s="9">
        <v>24.3</v>
      </c>
      <c r="X1842" s="9">
        <v>172.7</v>
      </c>
      <c r="Y1842" s="9" t="s">
        <v>106</v>
      </c>
      <c r="Z1842" s="9">
        <v>19.2</v>
      </c>
      <c r="AA1842" s="9" t="s">
        <v>106</v>
      </c>
      <c r="AB1842" s="9" t="s">
        <v>106</v>
      </c>
      <c r="AC1842" s="9" t="s">
        <v>5100</v>
      </c>
      <c r="AD1842" s="9" t="s">
        <v>5100</v>
      </c>
    </row>
    <row r="1843" spans="1:30">
      <c r="A1843" s="9" t="s">
        <v>3866</v>
      </c>
      <c r="B1843" s="9" t="s">
        <v>4260</v>
      </c>
      <c r="C1843" s="9" t="s">
        <v>105</v>
      </c>
      <c r="D1843" s="9">
        <v>7.2</v>
      </c>
      <c r="E1843" s="9" t="s">
        <v>106</v>
      </c>
      <c r="F1843" s="12">
        <v>281</v>
      </c>
      <c r="G1843" s="9" t="s">
        <v>106</v>
      </c>
      <c r="H1843" s="9" t="s">
        <v>106</v>
      </c>
      <c r="I1843" s="9">
        <v>8</v>
      </c>
      <c r="J1843" s="9" t="s">
        <v>122</v>
      </c>
      <c r="K1843" s="9" t="s">
        <v>4266</v>
      </c>
      <c r="L1843" t="str">
        <f>IF(OR(J1843="Cattle",J1843="Zebu Cattle"),IF(COUNTIF(lists!$M$2:$M$258, K1843) &gt; 0,"bos.indicus",IF(COUNTIF(lists!$L$2:$L$258, K1843) &gt; 0,"cross.bred","pure.bred.exotic")),"NA")</f>
        <v>pure.bred.exotic</v>
      </c>
      <c r="O1843" s="9" t="s">
        <v>4194</v>
      </c>
      <c r="P1843" s="9" t="s">
        <v>4265</v>
      </c>
      <c r="Q1843" s="9" t="s">
        <v>3813</v>
      </c>
      <c r="R1843" s="9" t="s">
        <v>3830</v>
      </c>
      <c r="S1843" s="9" t="s">
        <v>106</v>
      </c>
      <c r="T1843" s="9">
        <v>107.5</v>
      </c>
      <c r="U1843" s="9">
        <v>119.5</v>
      </c>
      <c r="V1843" s="9">
        <v>879.2</v>
      </c>
      <c r="W1843" s="9">
        <v>23.7</v>
      </c>
      <c r="X1843" s="9">
        <v>164.4</v>
      </c>
      <c r="Y1843" s="9">
        <v>55.8</v>
      </c>
      <c r="Z1843" s="9">
        <v>21.7</v>
      </c>
      <c r="AA1843" s="9">
        <v>64.900000000000006</v>
      </c>
      <c r="AB1843" s="9">
        <v>66.900000000000006</v>
      </c>
      <c r="AC1843" s="9" t="s">
        <v>5100</v>
      </c>
      <c r="AD1843" s="9" t="s">
        <v>5100</v>
      </c>
    </row>
    <row r="1844" spans="1:30">
      <c r="A1844" s="9" t="s">
        <v>3866</v>
      </c>
      <c r="B1844" s="9" t="s">
        <v>4263</v>
      </c>
      <c r="C1844" s="9" t="s">
        <v>105</v>
      </c>
      <c r="D1844" s="9">
        <v>7.8</v>
      </c>
      <c r="E1844" s="9" t="s">
        <v>106</v>
      </c>
      <c r="F1844" s="12">
        <v>281</v>
      </c>
      <c r="G1844" s="9" t="s">
        <v>106</v>
      </c>
      <c r="H1844" s="9" t="s">
        <v>106</v>
      </c>
      <c r="I1844" s="9">
        <v>8</v>
      </c>
      <c r="J1844" s="9" t="s">
        <v>122</v>
      </c>
      <c r="K1844" s="9" t="s">
        <v>4266</v>
      </c>
      <c r="L1844" t="str">
        <f>IF(OR(J1844="Cattle",J1844="Zebu Cattle"),IF(COUNTIF(lists!$M$2:$M$258, K1844) &gt; 0,"bos.indicus",IF(COUNTIF(lists!$L$2:$L$258, K1844) &gt; 0,"cross.bred","pure.bred.exotic")),"NA")</f>
        <v>pure.bred.exotic</v>
      </c>
      <c r="O1844" s="9" t="s">
        <v>4194</v>
      </c>
      <c r="P1844" s="9" t="s">
        <v>4265</v>
      </c>
      <c r="Q1844" s="9" t="s">
        <v>3813</v>
      </c>
      <c r="R1844" s="9" t="s">
        <v>3830</v>
      </c>
      <c r="S1844" s="9" t="s">
        <v>106</v>
      </c>
      <c r="T1844" s="9">
        <v>64.7</v>
      </c>
      <c r="U1844" s="9">
        <v>119.4</v>
      </c>
      <c r="V1844" s="9">
        <v>882.8</v>
      </c>
      <c r="W1844" s="9">
        <v>33.5</v>
      </c>
      <c r="X1844" s="9">
        <v>183.5</v>
      </c>
      <c r="Y1844" s="9">
        <v>48.5</v>
      </c>
      <c r="Z1844" s="9">
        <v>48</v>
      </c>
      <c r="AA1844" s="9">
        <v>64.099999999999994</v>
      </c>
      <c r="AB1844" s="9">
        <v>69.099999999999994</v>
      </c>
      <c r="AC1844" s="9" t="s">
        <v>5100</v>
      </c>
      <c r="AD1844" s="9" t="s">
        <v>5100</v>
      </c>
    </row>
    <row r="1845" spans="1:30">
      <c r="A1845" s="9" t="s">
        <v>3866</v>
      </c>
      <c r="B1845" s="9" t="s">
        <v>4264</v>
      </c>
      <c r="C1845" s="9" t="s">
        <v>105</v>
      </c>
      <c r="D1845" s="9">
        <v>9.3000000000000007</v>
      </c>
      <c r="E1845" s="9" t="s">
        <v>106</v>
      </c>
      <c r="F1845" s="12">
        <v>281</v>
      </c>
      <c r="G1845" s="9" t="s">
        <v>106</v>
      </c>
      <c r="H1845" s="9" t="s">
        <v>106</v>
      </c>
      <c r="I1845" s="9">
        <v>8</v>
      </c>
      <c r="J1845" s="9" t="s">
        <v>122</v>
      </c>
      <c r="K1845" s="9" t="s">
        <v>4266</v>
      </c>
      <c r="L1845" t="str">
        <f>IF(OR(J1845="Cattle",J1845="Zebu Cattle"),IF(COUNTIF(lists!$M$2:$M$258, K1845) &gt; 0,"bos.indicus",IF(COUNTIF(lists!$L$2:$L$258, K1845) &gt; 0,"cross.bred","pure.bred.exotic")),"NA")</f>
        <v>pure.bred.exotic</v>
      </c>
      <c r="O1845" s="9" t="s">
        <v>4194</v>
      </c>
      <c r="P1845" s="9" t="s">
        <v>4265</v>
      </c>
      <c r="Q1845" s="9" t="s">
        <v>3813</v>
      </c>
      <c r="R1845" s="9" t="s">
        <v>3830</v>
      </c>
      <c r="S1845" s="9" t="s">
        <v>106</v>
      </c>
      <c r="T1845" s="9">
        <v>51.7</v>
      </c>
      <c r="U1845" s="9">
        <v>119.1</v>
      </c>
      <c r="V1845" s="9">
        <v>875.9</v>
      </c>
      <c r="W1845" s="9">
        <v>24.3</v>
      </c>
      <c r="X1845" s="9">
        <v>172.7</v>
      </c>
      <c r="Y1845" s="9">
        <v>69.5</v>
      </c>
      <c r="Z1845" s="9">
        <v>19.2</v>
      </c>
      <c r="AA1845" s="9">
        <v>70.2</v>
      </c>
      <c r="AB1845" s="9">
        <v>72.7</v>
      </c>
      <c r="AC1845" s="9" t="s">
        <v>5100</v>
      </c>
      <c r="AD1845" s="9" t="s">
        <v>5100</v>
      </c>
    </row>
    <row r="1846" spans="1:30">
      <c r="A1846" s="9" t="s">
        <v>3902</v>
      </c>
      <c r="B1846" s="9" t="s">
        <v>4267</v>
      </c>
      <c r="C1846" s="9" t="s">
        <v>105</v>
      </c>
      <c r="D1846" s="9">
        <v>6.91</v>
      </c>
      <c r="E1846" s="9" t="s">
        <v>106</v>
      </c>
      <c r="F1846" s="9">
        <v>169.72499999999999</v>
      </c>
      <c r="G1846" s="9">
        <v>0.45</v>
      </c>
      <c r="H1846" s="9" t="s">
        <v>106</v>
      </c>
      <c r="I1846" s="9">
        <v>4</v>
      </c>
      <c r="J1846" s="9" t="s">
        <v>122</v>
      </c>
      <c r="K1846" s="9" t="s">
        <v>4270</v>
      </c>
      <c r="L1846" t="str">
        <f>IF(OR(J1846="Cattle",J1846="Zebu Cattle"),IF(COUNTIF(lists!$M$2:$M$258, K1846) &gt; 0,"bos.indicus",IF(COUNTIF(lists!$L$2:$L$258, K1846) &gt; 0,"cross.bred","pure.bred.exotic")),"NA")</f>
        <v>cross.bred</v>
      </c>
      <c r="O1846" s="9" t="s">
        <v>124</v>
      </c>
      <c r="P1846" s="9" t="s">
        <v>4040</v>
      </c>
      <c r="Q1846" s="9" t="s">
        <v>3805</v>
      </c>
      <c r="R1846" s="9" t="s">
        <v>3829</v>
      </c>
      <c r="S1846" s="9">
        <v>422.5</v>
      </c>
      <c r="T1846" s="9">
        <v>78.2</v>
      </c>
      <c r="U1846" s="9">
        <v>92.9</v>
      </c>
      <c r="V1846" s="9">
        <v>767.8</v>
      </c>
      <c r="W1846" s="9" t="s">
        <v>106</v>
      </c>
      <c r="X1846" s="9">
        <v>642.4</v>
      </c>
      <c r="Y1846" s="9">
        <v>55.05</v>
      </c>
      <c r="Z1846" s="9">
        <v>75.5</v>
      </c>
      <c r="AA1846" s="9">
        <v>55.21</v>
      </c>
      <c r="AB1846" s="9">
        <v>50.6</v>
      </c>
      <c r="AC1846" s="9" t="s">
        <v>5100</v>
      </c>
      <c r="AD1846" s="9" t="s">
        <v>5100</v>
      </c>
    </row>
    <row r="1847" spans="1:30">
      <c r="A1847" s="9" t="s">
        <v>3902</v>
      </c>
      <c r="B1847" s="9" t="s">
        <v>4268</v>
      </c>
      <c r="C1847" s="9" t="s">
        <v>105</v>
      </c>
      <c r="D1847" s="9">
        <v>7.03</v>
      </c>
      <c r="E1847" s="9" t="s">
        <v>106</v>
      </c>
      <c r="F1847" s="9">
        <v>170.685</v>
      </c>
      <c r="G1847" s="9">
        <v>0.52</v>
      </c>
      <c r="H1847" s="9" t="s">
        <v>106</v>
      </c>
      <c r="I1847" s="9">
        <v>4</v>
      </c>
      <c r="J1847" s="9" t="s">
        <v>122</v>
      </c>
      <c r="K1847" s="9" t="s">
        <v>4270</v>
      </c>
      <c r="L1847" t="str">
        <f>IF(OR(J1847="Cattle",J1847="Zebu Cattle"),IF(COUNTIF(lists!$M$2:$M$258, K1847) &gt; 0,"bos.indicus",IF(COUNTIF(lists!$L$2:$L$258, K1847) &gt; 0,"cross.bred","pure.bred.exotic")),"NA")</f>
        <v>cross.bred</v>
      </c>
      <c r="O1847" s="9" t="s">
        <v>124</v>
      </c>
      <c r="P1847" s="9" t="s">
        <v>4040</v>
      </c>
      <c r="Q1847" s="9" t="s">
        <v>3805</v>
      </c>
      <c r="R1847" s="9" t="s">
        <v>3829</v>
      </c>
      <c r="S1847" s="9">
        <v>474.8</v>
      </c>
      <c r="T1847" s="9">
        <v>79.2</v>
      </c>
      <c r="U1847" s="9">
        <v>113.9</v>
      </c>
      <c r="V1847" s="9">
        <v>646.70000000000005</v>
      </c>
      <c r="W1847" s="9" t="s">
        <v>106</v>
      </c>
      <c r="X1847" s="9">
        <v>667.9</v>
      </c>
      <c r="Y1847" s="9">
        <v>62.15</v>
      </c>
      <c r="Z1847" s="9">
        <v>67.8</v>
      </c>
      <c r="AA1847" s="9">
        <v>64.319999999999993</v>
      </c>
      <c r="AB1847" s="9">
        <v>59.92</v>
      </c>
      <c r="AC1847" s="9" t="s">
        <v>5100</v>
      </c>
      <c r="AD1847" s="9" t="s">
        <v>5100</v>
      </c>
    </row>
    <row r="1848" spans="1:30">
      <c r="A1848" s="9" t="s">
        <v>3902</v>
      </c>
      <c r="B1848" s="9" t="s">
        <v>4269</v>
      </c>
      <c r="C1848" s="9" t="s">
        <v>105</v>
      </c>
      <c r="D1848" s="9">
        <v>7.38</v>
      </c>
      <c r="E1848" s="9" t="s">
        <v>106</v>
      </c>
      <c r="F1848" s="9">
        <v>196.7</v>
      </c>
      <c r="G1848" s="9">
        <v>0.62</v>
      </c>
      <c r="H1848" s="9" t="s">
        <v>106</v>
      </c>
      <c r="I1848" s="9">
        <v>4</v>
      </c>
      <c r="J1848" s="9" t="s">
        <v>122</v>
      </c>
      <c r="K1848" s="9" t="s">
        <v>4270</v>
      </c>
      <c r="L1848" t="str">
        <f>IF(OR(J1848="Cattle",J1848="Zebu Cattle"),IF(COUNTIF(lists!$M$2:$M$258, K1848) &gt; 0,"bos.indicus",IF(COUNTIF(lists!$L$2:$L$258, K1848) &gt; 0,"cross.bred","pure.bred.exotic")),"NA")</f>
        <v>cross.bred</v>
      </c>
      <c r="O1848" s="9" t="s">
        <v>124</v>
      </c>
      <c r="P1848" s="9" t="s">
        <v>4040</v>
      </c>
      <c r="Q1848" s="9" t="s">
        <v>3805</v>
      </c>
      <c r="R1848" s="9" t="s">
        <v>3829</v>
      </c>
      <c r="S1848" s="9">
        <v>432.1</v>
      </c>
      <c r="T1848" s="9">
        <v>89.4</v>
      </c>
      <c r="U1848" s="9">
        <v>120.8</v>
      </c>
      <c r="V1848" s="9">
        <v>587.79999999999995</v>
      </c>
      <c r="W1848" s="9" t="s">
        <v>106</v>
      </c>
      <c r="X1848" s="9">
        <v>559.5</v>
      </c>
      <c r="Y1848" s="9">
        <v>70.72</v>
      </c>
      <c r="Z1848" s="9">
        <v>89.4</v>
      </c>
      <c r="AA1848" s="9">
        <v>69.97</v>
      </c>
      <c r="AB1848" s="9">
        <v>66.52</v>
      </c>
      <c r="AC1848" s="9" t="s">
        <v>5100</v>
      </c>
      <c r="AD1848" s="9" t="s">
        <v>5100</v>
      </c>
    </row>
    <row r="1849" spans="1:30">
      <c r="A1849" s="9" t="s">
        <v>3951</v>
      </c>
      <c r="B1849" s="9" t="s">
        <v>4271</v>
      </c>
      <c r="C1849" s="9" t="s">
        <v>105</v>
      </c>
      <c r="D1849" s="9">
        <v>10.55</v>
      </c>
      <c r="E1849" s="9" t="s">
        <v>106</v>
      </c>
      <c r="F1849" s="9" t="s">
        <v>106</v>
      </c>
      <c r="G1849" s="9" t="s">
        <v>106</v>
      </c>
      <c r="H1849" s="9">
        <v>6.23</v>
      </c>
      <c r="I1849" s="9">
        <v>5</v>
      </c>
      <c r="J1849" s="9" t="s">
        <v>122</v>
      </c>
      <c r="K1849" s="9" t="s">
        <v>924</v>
      </c>
      <c r="L1849" t="str">
        <f>IF(OR(J1849="Cattle",J1849="Zebu Cattle"),IF(COUNTIF(lists!$M$2:$M$258, K1849) &gt; 0,"bos.indicus",IF(COUNTIF(lists!$L$2:$L$258, K1849) &gt; 0,"cross.bred","pure.bred.exotic")),"NA")</f>
        <v>pure.bred.exotic</v>
      </c>
      <c r="O1849" s="9" t="s">
        <v>4194</v>
      </c>
      <c r="P1849" s="9" t="s">
        <v>4045</v>
      </c>
      <c r="Q1849" s="9" t="s">
        <v>3809</v>
      </c>
      <c r="R1849" s="9" t="s">
        <v>3830</v>
      </c>
      <c r="S1849" s="9" t="s">
        <v>106</v>
      </c>
      <c r="T1849" s="9" t="s">
        <v>106</v>
      </c>
      <c r="U1849" s="9" t="s">
        <v>106</v>
      </c>
      <c r="V1849" s="9" t="s">
        <v>106</v>
      </c>
      <c r="W1849" s="9" t="s">
        <v>106</v>
      </c>
      <c r="X1849" s="9" t="s">
        <v>106</v>
      </c>
      <c r="Y1849" s="9" t="s">
        <v>106</v>
      </c>
      <c r="Z1849" s="9" t="s">
        <v>106</v>
      </c>
      <c r="AA1849" s="9" t="s">
        <v>106</v>
      </c>
      <c r="AB1849" s="9" t="s">
        <v>106</v>
      </c>
      <c r="AC1849" s="9" t="s">
        <v>5100</v>
      </c>
      <c r="AD1849" s="9" t="s">
        <v>5100</v>
      </c>
    </row>
    <row r="1850" spans="1:30">
      <c r="A1850" s="9" t="s">
        <v>3951</v>
      </c>
      <c r="B1850" s="9" t="s">
        <v>4272</v>
      </c>
      <c r="C1850" s="9" t="s">
        <v>105</v>
      </c>
      <c r="D1850" s="9">
        <v>12.82</v>
      </c>
      <c r="E1850" s="9" t="s">
        <v>106</v>
      </c>
      <c r="F1850" s="9" t="s">
        <v>106</v>
      </c>
      <c r="G1850" s="9" t="s">
        <v>106</v>
      </c>
      <c r="H1850" s="9">
        <v>9.57</v>
      </c>
      <c r="I1850" s="9">
        <v>5</v>
      </c>
      <c r="J1850" s="9" t="s">
        <v>122</v>
      </c>
      <c r="K1850" s="9" t="s">
        <v>924</v>
      </c>
      <c r="L1850" t="str">
        <f>IF(OR(J1850="Cattle",J1850="Zebu Cattle"),IF(COUNTIF(lists!$M$2:$M$258, K1850) &gt; 0,"bos.indicus",IF(COUNTIF(lists!$L$2:$L$258, K1850) &gt; 0,"cross.bred","pure.bred.exotic")),"NA")</f>
        <v>pure.bred.exotic</v>
      </c>
      <c r="O1850" s="9" t="s">
        <v>4194</v>
      </c>
      <c r="P1850" s="9" t="s">
        <v>4045</v>
      </c>
      <c r="Q1850" s="9" t="s">
        <v>3809</v>
      </c>
      <c r="R1850" s="9" t="s">
        <v>3830</v>
      </c>
      <c r="S1850" s="9" t="s">
        <v>106</v>
      </c>
      <c r="T1850" s="9" t="s">
        <v>106</v>
      </c>
      <c r="U1850" s="9" t="s">
        <v>106</v>
      </c>
      <c r="V1850" s="9" t="s">
        <v>106</v>
      </c>
      <c r="W1850" s="9" t="s">
        <v>106</v>
      </c>
      <c r="X1850" s="9" t="s">
        <v>106</v>
      </c>
      <c r="Y1850" s="9" t="s">
        <v>106</v>
      </c>
      <c r="Z1850" s="9" t="s">
        <v>106</v>
      </c>
      <c r="AA1850" s="9" t="s">
        <v>106</v>
      </c>
      <c r="AB1850" s="9" t="s">
        <v>106</v>
      </c>
      <c r="AC1850" s="9" t="s">
        <v>5100</v>
      </c>
      <c r="AD1850" s="9" t="s">
        <v>5100</v>
      </c>
    </row>
    <row r="1851" spans="1:30">
      <c r="A1851" s="9" t="s">
        <v>3953</v>
      </c>
      <c r="B1851" s="9" t="s">
        <v>4273</v>
      </c>
      <c r="C1851" s="9" t="s">
        <v>105</v>
      </c>
      <c r="D1851" s="9">
        <v>11.22</v>
      </c>
      <c r="E1851" s="9" t="s">
        <v>106</v>
      </c>
      <c r="F1851" s="9">
        <v>417.5</v>
      </c>
      <c r="G1851" s="9" t="s">
        <v>106</v>
      </c>
      <c r="H1851" s="9">
        <v>8.34</v>
      </c>
      <c r="I1851" s="9">
        <v>4</v>
      </c>
      <c r="J1851" s="9" t="s">
        <v>122</v>
      </c>
      <c r="K1851" s="9" t="s">
        <v>4292</v>
      </c>
      <c r="L1851" t="str">
        <f>IF(OR(J1851="Cattle",J1851="Zebu Cattle"),IF(COUNTIF(lists!$M$2:$M$258, K1851) &gt; 0,"bos.indicus",IF(COUNTIF(lists!$L$2:$L$258, K1851) &gt; 0,"cross.bred","pure.bred.exotic")),"NA")</f>
        <v>cross.bred</v>
      </c>
      <c r="O1851" s="9" t="s">
        <v>124</v>
      </c>
      <c r="P1851" s="9" t="s">
        <v>4045</v>
      </c>
      <c r="Q1851" s="9" t="s">
        <v>3809</v>
      </c>
      <c r="R1851" s="9" t="s">
        <v>3830</v>
      </c>
      <c r="S1851" s="9">
        <v>378.3</v>
      </c>
      <c r="T1851" s="9" t="s">
        <v>106</v>
      </c>
      <c r="U1851" s="9">
        <v>117.2</v>
      </c>
      <c r="V1851" s="9">
        <v>856.3</v>
      </c>
      <c r="W1851" s="9" t="s">
        <v>106</v>
      </c>
      <c r="X1851" s="9">
        <v>632.79999999999995</v>
      </c>
      <c r="Y1851" s="9" t="s">
        <v>106</v>
      </c>
      <c r="Z1851" s="9" t="s">
        <v>106</v>
      </c>
      <c r="AA1851" s="9" t="s">
        <v>106</v>
      </c>
      <c r="AB1851" s="9" t="s">
        <v>106</v>
      </c>
      <c r="AC1851" s="9" t="s">
        <v>5100</v>
      </c>
      <c r="AD1851" s="9" t="s">
        <v>5100</v>
      </c>
    </row>
    <row r="1852" spans="1:30">
      <c r="A1852" s="9" t="s">
        <v>3953</v>
      </c>
      <c r="B1852" s="9" t="s">
        <v>4274</v>
      </c>
      <c r="C1852" s="9" t="s">
        <v>105</v>
      </c>
      <c r="D1852" s="9">
        <v>11.39</v>
      </c>
      <c r="E1852" s="9" t="s">
        <v>106</v>
      </c>
      <c r="F1852" s="9">
        <v>418.77499999999998</v>
      </c>
      <c r="G1852" s="9" t="s">
        <v>106</v>
      </c>
      <c r="H1852" s="9">
        <v>10.47</v>
      </c>
      <c r="I1852" s="9">
        <v>4</v>
      </c>
      <c r="J1852" s="9" t="s">
        <v>122</v>
      </c>
      <c r="K1852" s="9" t="s">
        <v>4292</v>
      </c>
      <c r="L1852" t="str">
        <f>IF(OR(J1852="Cattle",J1852="Zebu Cattle"),IF(COUNTIF(lists!$M$2:$M$258, K1852) &gt; 0,"bos.indicus",IF(COUNTIF(lists!$L$2:$L$258, K1852) &gt; 0,"cross.bred","pure.bred.exotic")),"NA")</f>
        <v>cross.bred</v>
      </c>
      <c r="O1852" s="9" t="s">
        <v>124</v>
      </c>
      <c r="P1852" s="9" t="s">
        <v>4045</v>
      </c>
      <c r="Q1852" s="9" t="s">
        <v>3809</v>
      </c>
      <c r="R1852" s="9" t="s">
        <v>3830</v>
      </c>
      <c r="S1852" s="9">
        <v>376.6</v>
      </c>
      <c r="T1852" s="9" t="s">
        <v>106</v>
      </c>
      <c r="U1852" s="9">
        <v>129.6</v>
      </c>
      <c r="V1852" s="9">
        <v>827.2</v>
      </c>
      <c r="W1852" s="9" t="s">
        <v>106</v>
      </c>
      <c r="X1852" s="9">
        <v>632.29999999999995</v>
      </c>
      <c r="Y1852" s="9" t="s">
        <v>106</v>
      </c>
      <c r="Z1852" s="9" t="s">
        <v>106</v>
      </c>
      <c r="AA1852" s="9" t="s">
        <v>106</v>
      </c>
      <c r="AB1852" s="9" t="s">
        <v>106</v>
      </c>
      <c r="AC1852" s="9" t="s">
        <v>5100</v>
      </c>
      <c r="AD1852" s="9" t="s">
        <v>5100</v>
      </c>
    </row>
    <row r="1853" spans="1:30">
      <c r="A1853" s="9" t="s">
        <v>3953</v>
      </c>
      <c r="B1853" s="9" t="s">
        <v>4275</v>
      </c>
      <c r="C1853" s="9" t="s">
        <v>105</v>
      </c>
      <c r="D1853" s="9">
        <v>11.58</v>
      </c>
      <c r="E1853" s="9" t="s">
        <v>106</v>
      </c>
      <c r="F1853" s="9">
        <v>421.79</v>
      </c>
      <c r="G1853" s="9" t="s">
        <v>106</v>
      </c>
      <c r="H1853" s="9">
        <v>10.98</v>
      </c>
      <c r="I1853" s="9">
        <v>4</v>
      </c>
      <c r="J1853" s="9" t="s">
        <v>122</v>
      </c>
      <c r="K1853" s="9" t="s">
        <v>4292</v>
      </c>
      <c r="L1853" t="str">
        <f>IF(OR(J1853="Cattle",J1853="Zebu Cattle"),IF(COUNTIF(lists!$M$2:$M$258, K1853) &gt; 0,"bos.indicus",IF(COUNTIF(lists!$L$2:$L$258, K1853) &gt; 0,"cross.bred","pure.bred.exotic")),"NA")</f>
        <v>cross.bred</v>
      </c>
      <c r="O1853" s="9" t="s">
        <v>124</v>
      </c>
      <c r="P1853" s="9" t="s">
        <v>4045</v>
      </c>
      <c r="Q1853" s="9" t="s">
        <v>3809</v>
      </c>
      <c r="R1853" s="9" t="s">
        <v>3830</v>
      </c>
      <c r="S1853" s="9">
        <v>376.1</v>
      </c>
      <c r="T1853" s="9" t="s">
        <v>106</v>
      </c>
      <c r="U1853" s="9">
        <v>132.4</v>
      </c>
      <c r="V1853" s="9">
        <v>845.5</v>
      </c>
      <c r="W1853" s="9" t="s">
        <v>106</v>
      </c>
      <c r="X1853" s="9">
        <v>631.20000000000005</v>
      </c>
      <c r="Y1853" s="9" t="s">
        <v>106</v>
      </c>
      <c r="Z1853" s="9" t="s">
        <v>106</v>
      </c>
      <c r="AA1853" s="9" t="s">
        <v>106</v>
      </c>
      <c r="AB1853" s="9" t="s">
        <v>106</v>
      </c>
      <c r="AC1853" s="9" t="s">
        <v>5100</v>
      </c>
      <c r="AD1853" s="9" t="s">
        <v>5100</v>
      </c>
    </row>
    <row r="1854" spans="1:30">
      <c r="A1854" s="9" t="s">
        <v>3953</v>
      </c>
      <c r="B1854" s="9" t="s">
        <v>4276</v>
      </c>
      <c r="C1854" s="9" t="s">
        <v>105</v>
      </c>
      <c r="D1854" s="9">
        <v>11.69</v>
      </c>
      <c r="E1854" s="9" t="s">
        <v>106</v>
      </c>
      <c r="F1854" s="9">
        <v>432.17500000000001</v>
      </c>
      <c r="G1854" s="9" t="s">
        <v>106</v>
      </c>
      <c r="H1854" s="9">
        <v>11.52</v>
      </c>
      <c r="I1854" s="9">
        <v>4</v>
      </c>
      <c r="J1854" s="9" t="s">
        <v>122</v>
      </c>
      <c r="K1854" s="9" t="s">
        <v>4292</v>
      </c>
      <c r="L1854" t="str">
        <f>IF(OR(J1854="Cattle",J1854="Zebu Cattle"),IF(COUNTIF(lists!$M$2:$M$258, K1854) &gt; 0,"bos.indicus",IF(COUNTIF(lists!$L$2:$L$258, K1854) &gt; 0,"cross.bred","pure.bred.exotic")),"NA")</f>
        <v>cross.bred</v>
      </c>
      <c r="O1854" s="9" t="s">
        <v>124</v>
      </c>
      <c r="P1854" s="9" t="s">
        <v>4045</v>
      </c>
      <c r="Q1854" s="9" t="s">
        <v>3809</v>
      </c>
      <c r="R1854" s="9" t="s">
        <v>3830</v>
      </c>
      <c r="S1854" s="9">
        <v>375.5</v>
      </c>
      <c r="T1854" s="9" t="s">
        <v>106</v>
      </c>
      <c r="U1854" s="9">
        <v>132.9</v>
      </c>
      <c r="V1854" s="9">
        <v>846.6</v>
      </c>
      <c r="W1854" s="9" t="s">
        <v>106</v>
      </c>
      <c r="X1854" s="9">
        <v>630.6</v>
      </c>
      <c r="Y1854" s="9" t="s">
        <v>106</v>
      </c>
      <c r="Z1854" s="9" t="s">
        <v>106</v>
      </c>
      <c r="AA1854" s="9" t="s">
        <v>106</v>
      </c>
      <c r="AB1854" s="9" t="s">
        <v>106</v>
      </c>
      <c r="AC1854" s="9" t="s">
        <v>5100</v>
      </c>
      <c r="AD1854" s="9" t="s">
        <v>5100</v>
      </c>
    </row>
    <row r="1855" spans="1:30">
      <c r="A1855" s="9" t="s">
        <v>3867</v>
      </c>
      <c r="B1855" s="9" t="s">
        <v>4277</v>
      </c>
      <c r="C1855" s="9" t="s">
        <v>105</v>
      </c>
      <c r="D1855" s="9">
        <v>11.2</v>
      </c>
      <c r="E1855" s="9" t="s">
        <v>106</v>
      </c>
      <c r="F1855" s="9">
        <v>391</v>
      </c>
      <c r="G1855" s="9" t="s">
        <v>106</v>
      </c>
      <c r="H1855" s="9">
        <v>9.0299999999999994</v>
      </c>
      <c r="I1855" s="9">
        <v>17</v>
      </c>
      <c r="J1855" s="9" t="s">
        <v>122</v>
      </c>
      <c r="K1855" s="9" t="s">
        <v>924</v>
      </c>
      <c r="L1855" t="str">
        <f>IF(OR(J1855="Cattle",J1855="Zebu Cattle"),IF(COUNTIF(lists!$M$2:$M$258, K1855) &gt; 0,"bos.indicus",IF(COUNTIF(lists!$L$2:$L$258, K1855) &gt; 0,"cross.bred","pure.bred.exotic")),"NA")</f>
        <v>pure.bred.exotic</v>
      </c>
      <c r="O1855" s="9" t="s">
        <v>4194</v>
      </c>
      <c r="P1855" s="9" t="s">
        <v>4045</v>
      </c>
      <c r="Q1855" s="9" t="s">
        <v>3809</v>
      </c>
      <c r="R1855" s="9" t="s">
        <v>3830</v>
      </c>
      <c r="S1855" s="9" t="s">
        <v>106</v>
      </c>
      <c r="T1855" s="9" t="s">
        <v>106</v>
      </c>
      <c r="U1855" s="9" t="s">
        <v>106</v>
      </c>
      <c r="V1855" s="9" t="s">
        <v>106</v>
      </c>
      <c r="W1855" s="9" t="s">
        <v>106</v>
      </c>
      <c r="X1855" s="9" t="s">
        <v>106</v>
      </c>
      <c r="Y1855" s="9" t="s">
        <v>106</v>
      </c>
      <c r="Z1855" s="9" t="s">
        <v>106</v>
      </c>
      <c r="AA1855" s="9" t="s">
        <v>106</v>
      </c>
      <c r="AB1855" s="9" t="s">
        <v>106</v>
      </c>
      <c r="AC1855" s="16" t="s">
        <v>5099</v>
      </c>
      <c r="AD1855" s="16" t="s">
        <v>5099</v>
      </c>
    </row>
    <row r="1856" spans="1:30">
      <c r="A1856" s="9" t="s">
        <v>3867</v>
      </c>
      <c r="B1856" s="9" t="s">
        <v>4278</v>
      </c>
      <c r="C1856" s="9" t="s">
        <v>105</v>
      </c>
      <c r="D1856" s="9">
        <v>12.8</v>
      </c>
      <c r="E1856" s="9" t="s">
        <v>106</v>
      </c>
      <c r="F1856" s="9">
        <v>389</v>
      </c>
      <c r="G1856" s="9" t="s">
        <v>106</v>
      </c>
      <c r="H1856" s="9">
        <v>14</v>
      </c>
      <c r="I1856" s="9">
        <v>17</v>
      </c>
      <c r="J1856" s="9" t="s">
        <v>122</v>
      </c>
      <c r="K1856" s="9" t="s">
        <v>924</v>
      </c>
      <c r="L1856" t="str">
        <f>IF(OR(J1856="Cattle",J1856="Zebu Cattle"),IF(COUNTIF(lists!$M$2:$M$258, K1856) &gt; 0,"bos.indicus",IF(COUNTIF(lists!$L$2:$L$258, K1856) &gt; 0,"cross.bred","pure.bred.exotic")),"NA")</f>
        <v>pure.bred.exotic</v>
      </c>
      <c r="O1856" s="9" t="s">
        <v>4194</v>
      </c>
      <c r="P1856" s="9" t="s">
        <v>4045</v>
      </c>
      <c r="Q1856" s="9" t="s">
        <v>3809</v>
      </c>
      <c r="R1856" s="9" t="s">
        <v>3830</v>
      </c>
      <c r="S1856" s="9" t="s">
        <v>106</v>
      </c>
      <c r="T1856" s="9" t="s">
        <v>106</v>
      </c>
      <c r="U1856" s="9" t="s">
        <v>106</v>
      </c>
      <c r="V1856" s="9" t="s">
        <v>106</v>
      </c>
      <c r="W1856" s="9" t="s">
        <v>106</v>
      </c>
      <c r="X1856" s="9" t="s">
        <v>106</v>
      </c>
      <c r="Y1856" s="9" t="s">
        <v>106</v>
      </c>
      <c r="Z1856" s="9" t="s">
        <v>106</v>
      </c>
      <c r="AA1856" s="9" t="s">
        <v>106</v>
      </c>
      <c r="AB1856" s="9" t="s">
        <v>106</v>
      </c>
      <c r="AC1856" s="16" t="s">
        <v>5099</v>
      </c>
      <c r="AD1856" s="16" t="s">
        <v>5099</v>
      </c>
    </row>
    <row r="1857" spans="1:30">
      <c r="A1857" s="9" t="s">
        <v>3867</v>
      </c>
      <c r="B1857" s="9" t="s">
        <v>4279</v>
      </c>
      <c r="C1857" s="9" t="s">
        <v>105</v>
      </c>
      <c r="D1857" s="9">
        <v>15.6</v>
      </c>
      <c r="E1857" s="9" t="s">
        <v>106</v>
      </c>
      <c r="F1857" s="9">
        <v>396</v>
      </c>
      <c r="G1857" s="9" t="s">
        <v>106</v>
      </c>
      <c r="H1857" s="9">
        <v>17.7</v>
      </c>
      <c r="I1857" s="9">
        <v>17</v>
      </c>
      <c r="J1857" s="9" t="s">
        <v>122</v>
      </c>
      <c r="K1857" s="9" t="s">
        <v>924</v>
      </c>
      <c r="L1857" t="str">
        <f>IF(OR(J1857="Cattle",J1857="Zebu Cattle"),IF(COUNTIF(lists!$M$2:$M$258, K1857) &gt; 0,"bos.indicus",IF(COUNTIF(lists!$L$2:$L$258, K1857) &gt; 0,"cross.bred","pure.bred.exotic")),"NA")</f>
        <v>pure.bred.exotic</v>
      </c>
      <c r="O1857" s="9" t="s">
        <v>4194</v>
      </c>
      <c r="P1857" s="9" t="s">
        <v>4045</v>
      </c>
      <c r="Q1857" s="9" t="s">
        <v>3809</v>
      </c>
      <c r="R1857" s="9" t="s">
        <v>3830</v>
      </c>
      <c r="S1857" s="9" t="s">
        <v>106</v>
      </c>
      <c r="T1857" s="9" t="s">
        <v>106</v>
      </c>
      <c r="U1857" s="9" t="s">
        <v>106</v>
      </c>
      <c r="V1857" s="9" t="s">
        <v>106</v>
      </c>
      <c r="W1857" s="9" t="s">
        <v>106</v>
      </c>
      <c r="X1857" s="9" t="s">
        <v>106</v>
      </c>
      <c r="Y1857" s="9" t="s">
        <v>106</v>
      </c>
      <c r="Z1857" s="9" t="s">
        <v>106</v>
      </c>
      <c r="AA1857" s="9" t="s">
        <v>106</v>
      </c>
      <c r="AB1857" s="9" t="s">
        <v>106</v>
      </c>
      <c r="AC1857" s="16" t="s">
        <v>5099</v>
      </c>
      <c r="AD1857" s="16" t="s">
        <v>5099</v>
      </c>
    </row>
    <row r="1858" spans="1:30">
      <c r="A1858" s="9" t="s">
        <v>3921</v>
      </c>
      <c r="B1858" s="9" t="s">
        <v>4280</v>
      </c>
      <c r="C1858" s="9" t="s">
        <v>105</v>
      </c>
      <c r="D1858" s="9">
        <v>13.9</v>
      </c>
      <c r="E1858" s="9" t="s">
        <v>106</v>
      </c>
      <c r="F1858" s="9" t="s">
        <v>106</v>
      </c>
      <c r="G1858" s="9" t="s">
        <v>106</v>
      </c>
      <c r="H1858" s="9">
        <v>10.5</v>
      </c>
      <c r="I1858" s="9">
        <v>5</v>
      </c>
      <c r="J1858" s="9" t="s">
        <v>122</v>
      </c>
      <c r="K1858" s="9" t="s">
        <v>4165</v>
      </c>
      <c r="L1858" t="str">
        <f>IF(OR(J1858="Cattle",J1858="Zebu Cattle"),IF(COUNTIF(lists!$M$2:$M$258, K1858) &gt; 0,"bos.indicus",IF(COUNTIF(lists!$L$2:$L$258, K1858) &gt; 0,"cross.bred","pure.bred.exotic")),"NA")</f>
        <v>pure.bred.exotic</v>
      </c>
      <c r="O1858" s="9" t="s">
        <v>4194</v>
      </c>
      <c r="P1858" s="9" t="s">
        <v>4045</v>
      </c>
      <c r="Q1858" s="9" t="s">
        <v>3809</v>
      </c>
      <c r="R1858" s="9" t="s">
        <v>3830</v>
      </c>
      <c r="S1858" s="9">
        <v>413</v>
      </c>
      <c r="T1858" s="9" t="s">
        <v>106</v>
      </c>
      <c r="U1858" s="9">
        <v>86</v>
      </c>
      <c r="V1858" s="9" t="s">
        <v>106</v>
      </c>
      <c r="W1858" s="9">
        <v>20.100000000000001</v>
      </c>
      <c r="X1858" s="9" t="s">
        <v>106</v>
      </c>
      <c r="Y1858" s="9" t="s">
        <v>106</v>
      </c>
      <c r="Z1858" s="9">
        <v>39</v>
      </c>
      <c r="AA1858" s="9" t="s">
        <v>106</v>
      </c>
      <c r="AB1858" s="9" t="s">
        <v>106</v>
      </c>
      <c r="AC1858" s="9" t="s">
        <v>5100</v>
      </c>
      <c r="AD1858" s="9" t="s">
        <v>5100</v>
      </c>
    </row>
    <row r="1859" spans="1:30">
      <c r="A1859" s="9" t="s">
        <v>3921</v>
      </c>
      <c r="B1859" s="9" t="s">
        <v>4281</v>
      </c>
      <c r="C1859" s="9" t="s">
        <v>105</v>
      </c>
      <c r="D1859" s="9">
        <v>18.2</v>
      </c>
      <c r="E1859" s="9" t="s">
        <v>106</v>
      </c>
      <c r="F1859" s="9" t="s">
        <v>106</v>
      </c>
      <c r="G1859" s="9" t="s">
        <v>106</v>
      </c>
      <c r="H1859" s="9">
        <v>15</v>
      </c>
      <c r="I1859" s="9">
        <v>5</v>
      </c>
      <c r="J1859" s="9" t="s">
        <v>122</v>
      </c>
      <c r="K1859" s="9" t="s">
        <v>4165</v>
      </c>
      <c r="L1859" t="str">
        <f>IF(OR(J1859="Cattle",J1859="Zebu Cattle"),IF(COUNTIF(lists!$M$2:$M$258, K1859) &gt; 0,"bos.indicus",IF(COUNTIF(lists!$L$2:$L$258, K1859) &gt; 0,"cross.bred","pure.bred.exotic")),"NA")</f>
        <v>pure.bred.exotic</v>
      </c>
      <c r="O1859" s="9" t="s">
        <v>4194</v>
      </c>
      <c r="P1859" s="9" t="s">
        <v>4045</v>
      </c>
      <c r="Q1859" s="9" t="s">
        <v>3809</v>
      </c>
      <c r="R1859" s="9" t="s">
        <v>3830</v>
      </c>
      <c r="S1859" s="9">
        <v>293.7</v>
      </c>
      <c r="T1859" s="9" t="s">
        <v>106</v>
      </c>
      <c r="U1859" s="9">
        <v>114.1</v>
      </c>
      <c r="V1859" s="9" t="s">
        <v>106</v>
      </c>
      <c r="W1859" s="9">
        <v>34.299999999999997</v>
      </c>
      <c r="X1859" s="9" t="s">
        <v>106</v>
      </c>
      <c r="Y1859" s="9" t="s">
        <v>106</v>
      </c>
      <c r="Z1859" s="9">
        <v>52.1</v>
      </c>
      <c r="AA1859" s="9" t="s">
        <v>106</v>
      </c>
      <c r="AB1859" s="9" t="s">
        <v>106</v>
      </c>
      <c r="AC1859" s="9" t="s">
        <v>5100</v>
      </c>
      <c r="AD1859" s="9" t="s">
        <v>5100</v>
      </c>
    </row>
    <row r="1860" spans="1:30">
      <c r="A1860" s="9" t="s">
        <v>3995</v>
      </c>
      <c r="B1860" s="9" t="s">
        <v>4282</v>
      </c>
      <c r="C1860" s="9" t="s">
        <v>105</v>
      </c>
      <c r="D1860" s="9">
        <v>4.6399999999999997</v>
      </c>
      <c r="E1860" s="9" t="s">
        <v>106</v>
      </c>
      <c r="F1860" s="9">
        <v>112.92</v>
      </c>
      <c r="G1860" s="9">
        <v>0.45</v>
      </c>
      <c r="H1860" s="9" t="s">
        <v>106</v>
      </c>
      <c r="I1860" s="9">
        <v>9</v>
      </c>
      <c r="J1860" s="9" t="s">
        <v>122</v>
      </c>
      <c r="K1860" s="9" t="s">
        <v>924</v>
      </c>
      <c r="L1860" t="str">
        <f>IF(OR(J1860="Cattle",J1860="Zebu Cattle"),IF(COUNTIF(lists!$M$2:$M$258, K1860) &gt; 0,"bos.indicus",IF(COUNTIF(lists!$L$2:$L$258, K1860) &gt; 0,"cross.bred","pure.bred.exotic")),"NA")</f>
        <v>pure.bred.exotic</v>
      </c>
      <c r="O1860" s="9" t="s">
        <v>4194</v>
      </c>
      <c r="P1860" s="16" t="s">
        <v>4284</v>
      </c>
      <c r="Q1860" s="9" t="s">
        <v>3805</v>
      </c>
      <c r="R1860" s="9" t="s">
        <v>3830</v>
      </c>
      <c r="S1860" s="9">
        <v>280.8</v>
      </c>
      <c r="T1860" s="9">
        <v>60.1</v>
      </c>
      <c r="U1860" s="9">
        <v>130.4</v>
      </c>
      <c r="V1860" s="9">
        <v>911.9</v>
      </c>
      <c r="W1860" s="9" t="s">
        <v>106</v>
      </c>
      <c r="X1860" s="9">
        <v>523.9</v>
      </c>
      <c r="Y1860" s="9">
        <v>64.98</v>
      </c>
      <c r="Z1860" s="9">
        <v>63.9</v>
      </c>
      <c r="AA1860" s="9">
        <v>58.64</v>
      </c>
      <c r="AB1860" s="9">
        <v>56.26</v>
      </c>
      <c r="AC1860" s="9" t="s">
        <v>5100</v>
      </c>
      <c r="AD1860" s="9" t="s">
        <v>5100</v>
      </c>
    </row>
    <row r="1861" spans="1:30">
      <c r="A1861" s="9" t="s">
        <v>3995</v>
      </c>
      <c r="B1861" s="9" t="s">
        <v>4283</v>
      </c>
      <c r="C1861"/>
      <c r="D1861" s="9">
        <v>5.41</v>
      </c>
      <c r="E1861" s="9" t="s">
        <v>106</v>
      </c>
      <c r="F1861" s="9">
        <v>119.655</v>
      </c>
      <c r="G1861" s="9">
        <v>0.53</v>
      </c>
      <c r="H1861" s="9" t="s">
        <v>106</v>
      </c>
      <c r="I1861" s="9">
        <v>9</v>
      </c>
      <c r="J1861" s="9" t="s">
        <v>122</v>
      </c>
      <c r="K1861" s="9" t="s">
        <v>924</v>
      </c>
      <c r="L1861" t="str">
        <f>IF(OR(J1861="Cattle",J1861="Zebu Cattle"),IF(COUNTIF(lists!$M$2:$M$258, K1861) &gt; 0,"bos.indicus",IF(COUNTIF(lists!$L$2:$L$258, K1861) &gt; 0,"cross.bred","pure.bred.exotic")),"NA")</f>
        <v>pure.bred.exotic</v>
      </c>
      <c r="O1861" s="9" t="s">
        <v>4194</v>
      </c>
      <c r="P1861" s="16" t="s">
        <v>4284</v>
      </c>
      <c r="Q1861" s="9" t="s">
        <v>3805</v>
      </c>
      <c r="R1861" s="9" t="s">
        <v>3830</v>
      </c>
      <c r="S1861" s="9">
        <v>256.5</v>
      </c>
      <c r="T1861" s="9">
        <v>81.2</v>
      </c>
      <c r="U1861" s="9">
        <v>128.80000000000001</v>
      </c>
      <c r="V1861" s="9">
        <v>620.70000000000005</v>
      </c>
      <c r="W1861" s="9" t="s">
        <v>106</v>
      </c>
      <c r="X1861" s="9">
        <v>541.5</v>
      </c>
      <c r="Y1861" s="9">
        <v>68.22</v>
      </c>
      <c r="Z1861" s="9">
        <v>62.8</v>
      </c>
      <c r="AA1861" s="9">
        <v>64.03</v>
      </c>
      <c r="AB1861" s="9">
        <v>62.81</v>
      </c>
      <c r="AC1861" s="9" t="s">
        <v>5100</v>
      </c>
      <c r="AD1861" s="9" t="s">
        <v>5100</v>
      </c>
    </row>
    <row r="1862" spans="1:30">
      <c r="A1862" s="9" t="s">
        <v>3918</v>
      </c>
      <c r="B1862" s="9" t="s">
        <v>4285</v>
      </c>
      <c r="C1862" s="9" t="s">
        <v>105</v>
      </c>
      <c r="D1862" s="9">
        <v>21.91</v>
      </c>
      <c r="E1862" s="9" t="s">
        <v>106</v>
      </c>
      <c r="F1862" s="9">
        <v>572</v>
      </c>
      <c r="G1862" s="9" t="s">
        <v>106</v>
      </c>
      <c r="H1862" s="9">
        <v>34.26</v>
      </c>
      <c r="I1862" s="9">
        <v>30</v>
      </c>
      <c r="J1862" s="9" t="s">
        <v>122</v>
      </c>
      <c r="K1862" s="9" t="s">
        <v>4165</v>
      </c>
      <c r="L1862" t="str">
        <f>IF(OR(J1862="Cattle",J1862="Zebu Cattle"),IF(COUNTIF(lists!$M$2:$M$258, K1862) &gt; 0,"bos.indicus",IF(COUNTIF(lists!$L$2:$L$258, K1862) &gt; 0,"cross.bred","pure.bred.exotic")),"NA")</f>
        <v>pure.bred.exotic</v>
      </c>
      <c r="O1862" s="9" t="s">
        <v>4194</v>
      </c>
      <c r="P1862" s="9" t="s">
        <v>4045</v>
      </c>
      <c r="Q1862" s="9" t="s">
        <v>3809</v>
      </c>
      <c r="R1862" s="9" t="s">
        <v>3830</v>
      </c>
      <c r="S1862" s="9" t="s">
        <v>106</v>
      </c>
      <c r="T1862" s="9" t="s">
        <v>106</v>
      </c>
      <c r="U1862" s="9" t="s">
        <v>106</v>
      </c>
      <c r="V1862" s="9" t="s">
        <v>106</v>
      </c>
      <c r="W1862" s="9" t="s">
        <v>106</v>
      </c>
      <c r="X1862" s="9" t="s">
        <v>106</v>
      </c>
      <c r="Y1862" s="9" t="s">
        <v>106</v>
      </c>
      <c r="Z1862" s="9" t="s">
        <v>106</v>
      </c>
      <c r="AA1862" s="9" t="s">
        <v>106</v>
      </c>
      <c r="AB1862" s="9" t="s">
        <v>106</v>
      </c>
      <c r="AC1862" s="9" t="s">
        <v>5100</v>
      </c>
      <c r="AD1862" s="9" t="s">
        <v>5100</v>
      </c>
    </row>
    <row r="1863" spans="1:30">
      <c r="A1863" s="9" t="s">
        <v>3994</v>
      </c>
      <c r="B1863" s="9" t="s">
        <v>4286</v>
      </c>
      <c r="C1863" s="9" t="s">
        <v>105</v>
      </c>
      <c r="D1863" s="9">
        <v>13.8</v>
      </c>
      <c r="E1863" s="9" t="s">
        <v>106</v>
      </c>
      <c r="F1863" s="68">
        <v>428.6</v>
      </c>
      <c r="G1863" s="9" t="s">
        <v>106</v>
      </c>
      <c r="H1863" s="9">
        <v>11.4</v>
      </c>
      <c r="I1863" s="9">
        <v>5</v>
      </c>
      <c r="J1863" s="9" t="s">
        <v>122</v>
      </c>
      <c r="K1863" s="9" t="s">
        <v>4291</v>
      </c>
      <c r="L1863" t="str">
        <f>IF(OR(J1863="Cattle",J1863="Zebu Cattle"),IF(COUNTIF(lists!$M$2:$M$258, K1863) &gt; 0,"bos.indicus",IF(COUNTIF(lists!$L$2:$L$258, K1863) &gt; 0,"cross.bred","pure.bred.exotic")),"NA")</f>
        <v>cross.bred</v>
      </c>
      <c r="O1863" s="9" t="s">
        <v>124</v>
      </c>
      <c r="P1863" s="9" t="s">
        <v>4045</v>
      </c>
      <c r="Q1863" s="9" t="s">
        <v>3809</v>
      </c>
      <c r="R1863" s="9" t="s">
        <v>3829</v>
      </c>
      <c r="S1863" s="9">
        <v>374.1</v>
      </c>
      <c r="T1863" s="9">
        <v>123.3</v>
      </c>
      <c r="U1863" s="9">
        <v>101.7</v>
      </c>
      <c r="V1863" s="9">
        <v>900.6</v>
      </c>
      <c r="W1863" s="9" t="s">
        <v>106</v>
      </c>
      <c r="X1863" s="9">
        <v>556.79999999999995</v>
      </c>
      <c r="Y1863" s="9" t="s">
        <v>106</v>
      </c>
      <c r="Z1863" s="9">
        <v>103.9</v>
      </c>
      <c r="AA1863" s="9" t="s">
        <v>106</v>
      </c>
      <c r="AB1863" s="9" t="s">
        <v>106</v>
      </c>
      <c r="AC1863" s="9" t="s">
        <v>5100</v>
      </c>
      <c r="AD1863" s="9" t="s">
        <v>5100</v>
      </c>
    </row>
    <row r="1864" spans="1:30">
      <c r="A1864" s="9" t="s">
        <v>3994</v>
      </c>
      <c r="B1864" s="9" t="s">
        <v>4287</v>
      </c>
      <c r="C1864" s="9" t="s">
        <v>105</v>
      </c>
      <c r="D1864" s="9">
        <v>14.2</v>
      </c>
      <c r="E1864" s="9" t="s">
        <v>106</v>
      </c>
      <c r="F1864" s="68">
        <v>426.4</v>
      </c>
      <c r="G1864" s="9" t="s">
        <v>106</v>
      </c>
      <c r="H1864" s="9">
        <v>12.1</v>
      </c>
      <c r="I1864" s="9">
        <v>5</v>
      </c>
      <c r="J1864" s="9" t="s">
        <v>122</v>
      </c>
      <c r="K1864" s="9" t="s">
        <v>4291</v>
      </c>
      <c r="L1864" t="str">
        <f>IF(OR(J1864="Cattle",J1864="Zebu Cattle"),IF(COUNTIF(lists!$M$2:$M$258, K1864) &gt; 0,"bos.indicus",IF(COUNTIF(lists!$L$2:$L$258, K1864) &gt; 0,"cross.bred","pure.bred.exotic")),"NA")</f>
        <v>cross.bred</v>
      </c>
      <c r="O1864" s="9" t="s">
        <v>124</v>
      </c>
      <c r="P1864" s="9" t="s">
        <v>4045</v>
      </c>
      <c r="Q1864" s="9" t="s">
        <v>3809</v>
      </c>
      <c r="R1864" s="9" t="s">
        <v>3829</v>
      </c>
      <c r="S1864" s="9">
        <v>357.8</v>
      </c>
      <c r="T1864" s="9">
        <v>121.1</v>
      </c>
      <c r="U1864" s="9">
        <v>111.7</v>
      </c>
      <c r="V1864" s="9">
        <v>898.3</v>
      </c>
      <c r="W1864" s="9" t="s">
        <v>106</v>
      </c>
      <c r="X1864" s="9">
        <v>538.1</v>
      </c>
      <c r="Y1864" s="9" t="s">
        <v>106</v>
      </c>
      <c r="Z1864" s="9">
        <v>89.7</v>
      </c>
      <c r="AA1864" s="9" t="s">
        <v>106</v>
      </c>
      <c r="AB1864" s="9" t="s">
        <v>106</v>
      </c>
      <c r="AC1864" s="9" t="s">
        <v>5100</v>
      </c>
      <c r="AD1864" s="9" t="s">
        <v>5100</v>
      </c>
    </row>
    <row r="1865" spans="1:30">
      <c r="A1865" s="9" t="s">
        <v>3994</v>
      </c>
      <c r="B1865" s="9" t="s">
        <v>4288</v>
      </c>
      <c r="C1865" s="9" t="s">
        <v>105</v>
      </c>
      <c r="D1865" s="9">
        <v>14.6</v>
      </c>
      <c r="E1865" s="9" t="s">
        <v>106</v>
      </c>
      <c r="F1865" s="68">
        <v>428.2</v>
      </c>
      <c r="G1865" s="9" t="s">
        <v>106</v>
      </c>
      <c r="H1865" s="9">
        <v>14.2</v>
      </c>
      <c r="I1865" s="9">
        <v>5</v>
      </c>
      <c r="J1865" s="9" t="s">
        <v>122</v>
      </c>
      <c r="K1865" s="9" t="s">
        <v>4291</v>
      </c>
      <c r="L1865" t="str">
        <f>IF(OR(J1865="Cattle",J1865="Zebu Cattle"),IF(COUNTIF(lists!$M$2:$M$258, K1865) &gt; 0,"bos.indicus",IF(COUNTIF(lists!$L$2:$L$258, K1865) &gt; 0,"cross.bred","pure.bred.exotic")),"NA")</f>
        <v>cross.bred</v>
      </c>
      <c r="O1865" s="9" t="s">
        <v>124</v>
      </c>
      <c r="P1865" s="9" t="s">
        <v>4045</v>
      </c>
      <c r="Q1865" s="9" t="s">
        <v>3809</v>
      </c>
      <c r="R1865" s="9" t="s">
        <v>3829</v>
      </c>
      <c r="S1865" s="9">
        <v>339.7</v>
      </c>
      <c r="T1865" s="9">
        <v>117.5</v>
      </c>
      <c r="U1865" s="9">
        <v>125.4</v>
      </c>
      <c r="V1865" s="9">
        <v>895.9</v>
      </c>
      <c r="W1865" s="9" t="s">
        <v>106</v>
      </c>
      <c r="X1865" s="9">
        <v>507.4</v>
      </c>
      <c r="Y1865" s="9" t="s">
        <v>106</v>
      </c>
      <c r="Z1865" s="9">
        <v>84.1</v>
      </c>
      <c r="AA1865" s="9" t="s">
        <v>106</v>
      </c>
      <c r="AB1865" s="9" t="s">
        <v>106</v>
      </c>
      <c r="AC1865" s="9" t="s">
        <v>5100</v>
      </c>
      <c r="AD1865" s="9" t="s">
        <v>5100</v>
      </c>
    </row>
    <row r="1866" spans="1:30">
      <c r="A1866" s="9" t="s">
        <v>3994</v>
      </c>
      <c r="B1866" s="9" t="s">
        <v>4289</v>
      </c>
      <c r="C1866" s="9" t="s">
        <v>105</v>
      </c>
      <c r="D1866" s="9">
        <v>14.9</v>
      </c>
      <c r="E1866" s="9" t="s">
        <v>106</v>
      </c>
      <c r="F1866" s="68">
        <v>426.9</v>
      </c>
      <c r="G1866" s="9" t="s">
        <v>106</v>
      </c>
      <c r="H1866" s="9">
        <v>15.1</v>
      </c>
      <c r="I1866" s="9">
        <v>5</v>
      </c>
      <c r="J1866" s="9" t="s">
        <v>122</v>
      </c>
      <c r="K1866" s="9" t="s">
        <v>4291</v>
      </c>
      <c r="L1866" t="str">
        <f>IF(OR(J1866="Cattle",J1866="Zebu Cattle"),IF(COUNTIF(lists!$M$2:$M$258, K1866) &gt; 0,"bos.indicus",IF(COUNTIF(lists!$L$2:$L$258, K1866) &gt; 0,"cross.bred","pure.bred.exotic")),"NA")</f>
        <v>cross.bred</v>
      </c>
      <c r="O1866" s="9" t="s">
        <v>124</v>
      </c>
      <c r="P1866" s="9" t="s">
        <v>4045</v>
      </c>
      <c r="Q1866" s="9" t="s">
        <v>3809</v>
      </c>
      <c r="R1866" s="9" t="s">
        <v>3829</v>
      </c>
      <c r="S1866" s="9">
        <v>325.8</v>
      </c>
      <c r="T1866" s="9">
        <v>115.8</v>
      </c>
      <c r="U1866" s="9">
        <v>134.4</v>
      </c>
      <c r="V1866" s="9">
        <v>894.1</v>
      </c>
      <c r="W1866" s="9" t="s">
        <v>106</v>
      </c>
      <c r="X1866" s="9">
        <v>489.3</v>
      </c>
      <c r="Y1866" s="9" t="s">
        <v>106</v>
      </c>
      <c r="Z1866" s="9">
        <v>76.8</v>
      </c>
      <c r="AA1866" s="9" t="s">
        <v>106</v>
      </c>
      <c r="AB1866" s="9" t="s">
        <v>106</v>
      </c>
      <c r="AC1866" s="9" t="s">
        <v>5100</v>
      </c>
      <c r="AD1866" s="9" t="s">
        <v>5100</v>
      </c>
    </row>
    <row r="1867" spans="1:30">
      <c r="A1867" s="9" t="s">
        <v>3994</v>
      </c>
      <c r="B1867" s="9" t="s">
        <v>4290</v>
      </c>
      <c r="C1867" s="9" t="s">
        <v>105</v>
      </c>
      <c r="D1867" s="9">
        <v>15.5</v>
      </c>
      <c r="E1867" s="9" t="s">
        <v>106</v>
      </c>
      <c r="F1867" s="68">
        <v>428.2</v>
      </c>
      <c r="G1867" s="9" t="s">
        <v>106</v>
      </c>
      <c r="H1867" s="9">
        <v>16.100000000000001</v>
      </c>
      <c r="I1867" s="9">
        <v>5</v>
      </c>
      <c r="J1867" s="9" t="s">
        <v>122</v>
      </c>
      <c r="K1867" s="9" t="s">
        <v>4291</v>
      </c>
      <c r="L1867" t="str">
        <f>IF(OR(J1867="Cattle",J1867="Zebu Cattle"),IF(COUNTIF(lists!$M$2:$M$258, K1867) &gt; 0,"bos.indicus",IF(COUNTIF(lists!$L$2:$L$258, K1867) &gt; 0,"cross.bred","pure.bred.exotic")),"NA")</f>
        <v>cross.bred</v>
      </c>
      <c r="O1867" s="9" t="s">
        <v>124</v>
      </c>
      <c r="P1867" s="9" t="s">
        <v>4045</v>
      </c>
      <c r="Q1867" s="9" t="s">
        <v>3809</v>
      </c>
      <c r="R1867" s="9" t="s">
        <v>3829</v>
      </c>
      <c r="S1867" s="9">
        <v>329</v>
      </c>
      <c r="T1867" s="9">
        <v>114</v>
      </c>
      <c r="U1867" s="9">
        <v>142.6</v>
      </c>
      <c r="V1867" s="9">
        <v>891.8</v>
      </c>
      <c r="W1867" s="9" t="s">
        <v>106</v>
      </c>
      <c r="X1867" s="9">
        <v>474.2</v>
      </c>
      <c r="Y1867" s="9" t="s">
        <v>106</v>
      </c>
      <c r="Z1867" s="9">
        <v>69.599999999999994</v>
      </c>
      <c r="AA1867" s="9" t="s">
        <v>106</v>
      </c>
      <c r="AB1867" s="9" t="s">
        <v>106</v>
      </c>
      <c r="AC1867" s="9" t="s">
        <v>5100</v>
      </c>
      <c r="AD1867" s="9" t="s">
        <v>5100</v>
      </c>
    </row>
    <row r="1868" spans="1:30">
      <c r="A1868" s="9" t="s">
        <v>3937</v>
      </c>
      <c r="B1868" s="9" t="s">
        <v>4293</v>
      </c>
      <c r="C1868" s="9" t="s">
        <v>105</v>
      </c>
      <c r="D1868" s="9">
        <v>10.26</v>
      </c>
      <c r="E1868" s="9" t="s">
        <v>106</v>
      </c>
      <c r="F1868" s="9">
        <v>397.37</v>
      </c>
      <c r="G1868" s="9" t="s">
        <v>106</v>
      </c>
      <c r="H1868" s="9" t="s">
        <v>106</v>
      </c>
      <c r="I1868" s="9">
        <v>24</v>
      </c>
      <c r="J1868" s="9" t="s">
        <v>122</v>
      </c>
      <c r="K1868" s="9" t="s">
        <v>4165</v>
      </c>
      <c r="L1868" t="str">
        <f>IF(OR(J1868="Cattle",J1868="Zebu Cattle"),IF(COUNTIF(lists!$M$2:$M$258, K1868) &gt; 0,"bos.indicus",IF(COUNTIF(lists!$L$2:$L$258, K1868) &gt; 0,"cross.bred","pure.bred.exotic")),"NA")</f>
        <v>pure.bred.exotic</v>
      </c>
      <c r="O1868" s="9" t="s">
        <v>4194</v>
      </c>
      <c r="P1868" s="9" t="s">
        <v>4045</v>
      </c>
      <c r="Q1868" s="9" t="s">
        <v>3809</v>
      </c>
      <c r="R1868" s="9" t="s">
        <v>3830</v>
      </c>
      <c r="S1868" s="9" t="s">
        <v>106</v>
      </c>
      <c r="T1868" s="9" t="s">
        <v>106</v>
      </c>
      <c r="U1868" s="9" t="s">
        <v>106</v>
      </c>
      <c r="V1868" s="9" t="s">
        <v>106</v>
      </c>
      <c r="W1868" s="9" t="s">
        <v>106</v>
      </c>
      <c r="X1868" s="9" t="s">
        <v>106</v>
      </c>
      <c r="Y1868" s="9" t="s">
        <v>106</v>
      </c>
      <c r="Z1868" s="9" t="s">
        <v>106</v>
      </c>
      <c r="AA1868" s="9" t="s">
        <v>106</v>
      </c>
      <c r="AB1868" s="9" t="s">
        <v>106</v>
      </c>
      <c r="AC1868" s="9" t="s">
        <v>5100</v>
      </c>
      <c r="AD1868" s="9" t="s">
        <v>5100</v>
      </c>
    </row>
    <row r="1869" spans="1:30">
      <c r="A1869" s="9" t="s">
        <v>3937</v>
      </c>
      <c r="B1869" s="9" t="s">
        <v>4294</v>
      </c>
      <c r="C1869" s="9" t="s">
        <v>105</v>
      </c>
      <c r="D1869" s="9">
        <v>11.18</v>
      </c>
      <c r="E1869" s="9" t="s">
        <v>106</v>
      </c>
      <c r="F1869" s="9">
        <v>397.37</v>
      </c>
      <c r="G1869" s="9" t="s">
        <v>106</v>
      </c>
      <c r="H1869" s="9">
        <v>13.34</v>
      </c>
      <c r="I1869" s="9">
        <v>24</v>
      </c>
      <c r="J1869" s="9" t="s">
        <v>122</v>
      </c>
      <c r="K1869" s="9" t="s">
        <v>4165</v>
      </c>
      <c r="L1869" t="str">
        <f>IF(OR(J1869="Cattle",J1869="Zebu Cattle"),IF(COUNTIF(lists!$M$2:$M$258, K1869) &gt; 0,"bos.indicus",IF(COUNTIF(lists!$L$2:$L$258, K1869) &gt; 0,"cross.bred","pure.bred.exotic")),"NA")</f>
        <v>pure.bred.exotic</v>
      </c>
      <c r="O1869" s="9" t="s">
        <v>4194</v>
      </c>
      <c r="P1869" s="9" t="s">
        <v>4045</v>
      </c>
      <c r="Q1869" s="9" t="s">
        <v>3809</v>
      </c>
      <c r="R1869" s="9" t="s">
        <v>3830</v>
      </c>
      <c r="S1869" s="9" t="s">
        <v>106</v>
      </c>
      <c r="T1869" s="9" t="s">
        <v>106</v>
      </c>
      <c r="U1869" s="9" t="s">
        <v>106</v>
      </c>
      <c r="V1869" s="9" t="s">
        <v>106</v>
      </c>
      <c r="W1869" s="9" t="s">
        <v>106</v>
      </c>
      <c r="X1869" s="9" t="s">
        <v>106</v>
      </c>
      <c r="Y1869" s="9" t="s">
        <v>106</v>
      </c>
      <c r="Z1869" s="9" t="s">
        <v>106</v>
      </c>
      <c r="AA1869" s="9" t="s">
        <v>106</v>
      </c>
      <c r="AB1869" s="9" t="s">
        <v>106</v>
      </c>
      <c r="AC1869" s="9" t="s">
        <v>5100</v>
      </c>
      <c r="AD1869" s="9" t="s">
        <v>5100</v>
      </c>
    </row>
    <row r="1870" spans="1:30">
      <c r="A1870" s="9" t="s">
        <v>3937</v>
      </c>
      <c r="B1870" s="9" t="s">
        <v>4295</v>
      </c>
      <c r="C1870" s="9" t="s">
        <v>105</v>
      </c>
      <c r="D1870" s="9">
        <v>11.42</v>
      </c>
      <c r="E1870" s="9" t="s">
        <v>106</v>
      </c>
      <c r="F1870" s="9">
        <v>397.37</v>
      </c>
      <c r="G1870" s="9" t="s">
        <v>106</v>
      </c>
      <c r="H1870" s="9">
        <v>13.51</v>
      </c>
      <c r="I1870" s="9">
        <v>24</v>
      </c>
      <c r="J1870" s="9" t="s">
        <v>122</v>
      </c>
      <c r="K1870" s="9" t="s">
        <v>4165</v>
      </c>
      <c r="L1870" t="str">
        <f>IF(OR(J1870="Cattle",J1870="Zebu Cattle"),IF(COUNTIF(lists!$M$2:$M$258, K1870) &gt; 0,"bos.indicus",IF(COUNTIF(lists!$L$2:$L$258, K1870) &gt; 0,"cross.bred","pure.bred.exotic")),"NA")</f>
        <v>pure.bred.exotic</v>
      </c>
      <c r="O1870" s="9" t="s">
        <v>4194</v>
      </c>
      <c r="P1870" s="9" t="s">
        <v>4045</v>
      </c>
      <c r="Q1870" s="9" t="s">
        <v>3809</v>
      </c>
      <c r="R1870" s="9" t="s">
        <v>3830</v>
      </c>
      <c r="S1870" s="9" t="s">
        <v>106</v>
      </c>
      <c r="T1870" s="9" t="s">
        <v>106</v>
      </c>
      <c r="U1870" s="9" t="s">
        <v>106</v>
      </c>
      <c r="V1870" s="9" t="s">
        <v>106</v>
      </c>
      <c r="W1870" s="9" t="s">
        <v>106</v>
      </c>
      <c r="X1870" s="9" t="s">
        <v>106</v>
      </c>
      <c r="Y1870" s="9" t="s">
        <v>106</v>
      </c>
      <c r="Z1870" s="9" t="s">
        <v>106</v>
      </c>
      <c r="AA1870" s="9" t="s">
        <v>106</v>
      </c>
      <c r="AB1870" s="9" t="s">
        <v>106</v>
      </c>
      <c r="AC1870" s="9" t="s">
        <v>5100</v>
      </c>
      <c r="AD1870" s="9" t="s">
        <v>5100</v>
      </c>
    </row>
    <row r="1871" spans="1:30">
      <c r="A1871" s="9" t="s">
        <v>3948</v>
      </c>
      <c r="B1871" s="9" t="s">
        <v>4296</v>
      </c>
      <c r="C1871" s="9" t="s">
        <v>105</v>
      </c>
      <c r="D1871" s="9">
        <v>7.88</v>
      </c>
      <c r="E1871" s="9" t="s">
        <v>106</v>
      </c>
      <c r="F1871" s="9">
        <v>244</v>
      </c>
      <c r="G1871" s="65">
        <v>0.31890000000000002</v>
      </c>
      <c r="H1871" s="9">
        <v>1.9</v>
      </c>
      <c r="I1871" s="9">
        <v>16</v>
      </c>
      <c r="J1871" s="9" t="s">
        <v>122</v>
      </c>
      <c r="K1871" s="9" t="s">
        <v>4297</v>
      </c>
      <c r="L1871" t="str">
        <f>IF(OR(J1871="Cattle",J1871="Zebu Cattle"),IF(COUNTIF(lists!$M$2:$M$258, K1871) &gt; 0,"bos.indicus",IF(COUNTIF(lists!$L$2:$L$258, K1871) &gt; 0,"cross.bred","pure.bred.exotic")),"NA")</f>
        <v>bos.indicus</v>
      </c>
      <c r="O1871" s="9" t="s">
        <v>4193</v>
      </c>
      <c r="P1871" s="9" t="s">
        <v>4045</v>
      </c>
      <c r="Q1871" s="9" t="s">
        <v>3809</v>
      </c>
      <c r="R1871" s="9" t="s">
        <v>3830</v>
      </c>
      <c r="S1871" s="9" t="s">
        <v>106</v>
      </c>
      <c r="T1871" s="9" t="s">
        <v>106</v>
      </c>
      <c r="U1871" s="9" t="s">
        <v>106</v>
      </c>
      <c r="V1871" s="9" t="s">
        <v>106</v>
      </c>
      <c r="W1871" s="9" t="s">
        <v>106</v>
      </c>
      <c r="X1871" s="9" t="s">
        <v>106</v>
      </c>
      <c r="Y1871" s="9" t="s">
        <v>106</v>
      </c>
      <c r="Z1871" s="9" t="s">
        <v>106</v>
      </c>
      <c r="AA1871" s="9" t="s">
        <v>106</v>
      </c>
      <c r="AB1871" s="9" t="s">
        <v>106</v>
      </c>
      <c r="AC1871" s="9" t="s">
        <v>5100</v>
      </c>
      <c r="AD1871" s="9" t="s">
        <v>5100</v>
      </c>
    </row>
    <row r="1872" spans="1:30">
      <c r="A1872" s="9" t="s">
        <v>3996</v>
      </c>
      <c r="B1872" s="9" t="s">
        <v>4298</v>
      </c>
      <c r="C1872" s="9" t="s">
        <v>105</v>
      </c>
      <c r="D1872" s="9">
        <v>4.72</v>
      </c>
      <c r="E1872" s="9" t="s">
        <v>106</v>
      </c>
      <c r="F1872" s="9">
        <v>124.1</v>
      </c>
      <c r="G1872" s="9">
        <v>0.57999999999999996</v>
      </c>
      <c r="H1872" s="9" t="s">
        <v>106</v>
      </c>
      <c r="I1872" s="9">
        <v>4</v>
      </c>
      <c r="J1872" s="9" t="s">
        <v>122</v>
      </c>
      <c r="K1872" s="9" t="s">
        <v>4301</v>
      </c>
      <c r="L1872" t="str">
        <f>IF(OR(J1872="Cattle",J1872="Zebu Cattle"),IF(COUNTIF(lists!$M$2:$M$258, K1872) &gt; 0,"bos.indicus",IF(COUNTIF(lists!$L$2:$L$258, K1872) &gt; 0,"cross.bred","pure.bred.exotic")),"NA")</f>
        <v>cross.bred</v>
      </c>
      <c r="O1872" s="9" t="s">
        <v>124</v>
      </c>
      <c r="P1872" s="9" t="s">
        <v>4040</v>
      </c>
      <c r="Q1872" s="9" t="s">
        <v>3805</v>
      </c>
      <c r="R1872" s="9" t="s">
        <v>3830</v>
      </c>
      <c r="S1872" s="9">
        <v>313.60000000000002</v>
      </c>
      <c r="T1872" s="9">
        <v>97.5</v>
      </c>
      <c r="U1872" s="9">
        <v>151</v>
      </c>
      <c r="V1872" s="9">
        <v>650.20000000000005</v>
      </c>
      <c r="W1872" s="9" t="s">
        <v>106</v>
      </c>
      <c r="X1872" s="9">
        <v>533.9</v>
      </c>
      <c r="Y1872" s="9">
        <v>77.72</v>
      </c>
      <c r="Z1872" s="9" t="s">
        <v>106</v>
      </c>
      <c r="AA1872" s="9">
        <v>75.37</v>
      </c>
      <c r="AB1872" s="9">
        <v>73.58</v>
      </c>
      <c r="AC1872" s="9" t="s">
        <v>5100</v>
      </c>
      <c r="AD1872" s="9" t="s">
        <v>5100</v>
      </c>
    </row>
    <row r="1873" spans="1:30">
      <c r="A1873" s="9" t="s">
        <v>3996</v>
      </c>
      <c r="B1873" s="9" t="s">
        <v>4299</v>
      </c>
      <c r="C1873" s="9" t="s">
        <v>105</v>
      </c>
      <c r="D1873" s="9">
        <v>4.58</v>
      </c>
      <c r="E1873" s="9" t="s">
        <v>106</v>
      </c>
      <c r="F1873" s="9">
        <v>121.9</v>
      </c>
      <c r="G1873" s="9">
        <v>0.52</v>
      </c>
      <c r="H1873" s="9" t="s">
        <v>106</v>
      </c>
      <c r="I1873" s="9">
        <v>4</v>
      </c>
      <c r="J1873" s="9" t="s">
        <v>122</v>
      </c>
      <c r="K1873" s="9" t="s">
        <v>4301</v>
      </c>
      <c r="L1873" t="str">
        <f>IF(OR(J1873="Cattle",J1873="Zebu Cattle"),IF(COUNTIF(lists!$M$2:$M$258, K1873) &gt; 0,"bos.indicus",IF(COUNTIF(lists!$L$2:$L$258, K1873) &gt; 0,"cross.bred","pure.bred.exotic")),"NA")</f>
        <v>cross.bred</v>
      </c>
      <c r="O1873" s="9" t="s">
        <v>124</v>
      </c>
      <c r="P1873" s="9" t="s">
        <v>4040</v>
      </c>
      <c r="Q1873" s="9" t="s">
        <v>3805</v>
      </c>
      <c r="R1873" s="9" t="s">
        <v>3830</v>
      </c>
      <c r="S1873" s="9">
        <v>347.2</v>
      </c>
      <c r="T1873" s="9">
        <v>41.5</v>
      </c>
      <c r="U1873" s="9">
        <v>148</v>
      </c>
      <c r="V1873" s="9">
        <v>598.29999999999995</v>
      </c>
      <c r="W1873" s="9" t="s">
        <v>106</v>
      </c>
      <c r="X1873" s="9">
        <v>580.79999999999995</v>
      </c>
      <c r="Y1873" s="9">
        <v>72.150000000000006</v>
      </c>
      <c r="Z1873" s="9" t="s">
        <v>106</v>
      </c>
      <c r="AA1873" s="9">
        <v>68.319999999999993</v>
      </c>
      <c r="AB1873" s="9">
        <v>66.959999999999994</v>
      </c>
      <c r="AC1873" s="9" t="s">
        <v>5100</v>
      </c>
      <c r="AD1873" s="9" t="s">
        <v>5100</v>
      </c>
    </row>
    <row r="1874" spans="1:30">
      <c r="A1874" s="9" t="s">
        <v>3996</v>
      </c>
      <c r="B1874" s="9" t="s">
        <v>4300</v>
      </c>
      <c r="C1874" s="9" t="s">
        <v>105</v>
      </c>
      <c r="D1874" s="9">
        <v>3.96</v>
      </c>
      <c r="E1874" s="9" t="s">
        <v>106</v>
      </c>
      <c r="F1874" s="9">
        <v>115.1</v>
      </c>
      <c r="G1874" s="9">
        <v>0.38</v>
      </c>
      <c r="H1874" s="9" t="s">
        <v>106</v>
      </c>
      <c r="I1874" s="9">
        <v>4</v>
      </c>
      <c r="J1874" s="9" t="s">
        <v>122</v>
      </c>
      <c r="K1874" s="9" t="s">
        <v>4301</v>
      </c>
      <c r="L1874" t="str">
        <f>IF(OR(J1874="Cattle",J1874="Zebu Cattle"),IF(COUNTIF(lists!$M$2:$M$258, K1874) &gt; 0,"bos.indicus",IF(COUNTIF(lists!$L$2:$L$258, K1874) &gt; 0,"cross.bred","pure.bred.exotic")),"NA")</f>
        <v>cross.bred</v>
      </c>
      <c r="O1874" s="9" t="s">
        <v>124</v>
      </c>
      <c r="P1874" s="9" t="s">
        <v>4040</v>
      </c>
      <c r="Q1874" s="9" t="s">
        <v>3805</v>
      </c>
      <c r="R1874" s="9" t="s">
        <v>3830</v>
      </c>
      <c r="S1874" s="9">
        <v>340.9</v>
      </c>
      <c r="T1874" s="9">
        <v>133.80000000000001</v>
      </c>
      <c r="U1874" s="9">
        <v>142</v>
      </c>
      <c r="V1874" s="9">
        <v>546.29999999999995</v>
      </c>
      <c r="W1874" s="9" t="s">
        <v>106</v>
      </c>
      <c r="X1874" s="9">
        <v>568.20000000000005</v>
      </c>
      <c r="Y1874" s="9">
        <v>61.05</v>
      </c>
      <c r="Z1874" s="9" t="s">
        <v>106</v>
      </c>
      <c r="AA1874" s="9">
        <v>60.11</v>
      </c>
      <c r="AB1874" s="9">
        <v>57.54</v>
      </c>
      <c r="AC1874" s="9" t="s">
        <v>5100</v>
      </c>
      <c r="AD1874" s="9" t="s">
        <v>5100</v>
      </c>
    </row>
    <row r="1875" spans="1:30">
      <c r="A1875" s="9" t="s">
        <v>3997</v>
      </c>
      <c r="B1875" s="9" t="s">
        <v>4302</v>
      </c>
      <c r="C1875" s="9" t="s">
        <v>105</v>
      </c>
      <c r="D1875" s="9">
        <v>7.86</v>
      </c>
      <c r="E1875" s="9" t="s">
        <v>106</v>
      </c>
      <c r="F1875" s="9">
        <v>144.85</v>
      </c>
      <c r="G1875" s="65">
        <v>0.33517999999999998</v>
      </c>
      <c r="H1875" s="9" t="s">
        <v>106</v>
      </c>
      <c r="I1875" s="9">
        <v>9</v>
      </c>
      <c r="J1875" s="9" t="s">
        <v>122</v>
      </c>
      <c r="K1875" s="9" t="s">
        <v>924</v>
      </c>
      <c r="L1875" t="str">
        <f>IF(OR(J1875="Cattle",J1875="Zebu Cattle"),IF(COUNTIF(lists!$M$2:$M$258, K1875) &gt; 0,"bos.indicus",IF(COUNTIF(lists!$L$2:$L$258, K1875) &gt; 0,"cross.bred","pure.bred.exotic")),"NA")</f>
        <v>pure.bred.exotic</v>
      </c>
      <c r="O1875" s="9" t="s">
        <v>4194</v>
      </c>
      <c r="P1875" s="9" t="s">
        <v>4304</v>
      </c>
      <c r="Q1875" s="9" t="s">
        <v>3805</v>
      </c>
      <c r="R1875" s="9" t="s">
        <v>3830</v>
      </c>
      <c r="S1875" s="9" t="s">
        <v>106</v>
      </c>
      <c r="T1875" s="9">
        <v>90.7</v>
      </c>
      <c r="U1875" s="9">
        <v>137</v>
      </c>
      <c r="V1875" s="9">
        <v>913</v>
      </c>
      <c r="W1875" s="9" t="s">
        <v>106</v>
      </c>
      <c r="X1875" s="9">
        <v>480.3</v>
      </c>
      <c r="Y1875" s="9">
        <v>63.99</v>
      </c>
      <c r="Z1875" s="9" t="s">
        <v>106</v>
      </c>
      <c r="AA1875" s="9">
        <v>67.180000000000007</v>
      </c>
      <c r="AB1875" s="9">
        <v>70.67</v>
      </c>
      <c r="AC1875" s="9" t="s">
        <v>5100</v>
      </c>
      <c r="AD1875" s="9" t="s">
        <v>5100</v>
      </c>
    </row>
    <row r="1876" spans="1:30">
      <c r="A1876" s="9" t="s">
        <v>3997</v>
      </c>
      <c r="B1876" s="9" t="s">
        <v>4303</v>
      </c>
      <c r="C1876" s="9" t="s">
        <v>105</v>
      </c>
      <c r="D1876" s="9">
        <v>8.7100000000000009</v>
      </c>
      <c r="E1876" s="9" t="s">
        <v>106</v>
      </c>
      <c r="F1876" s="9">
        <v>177.15</v>
      </c>
      <c r="G1876" s="65">
        <v>0.60055000000000003</v>
      </c>
      <c r="H1876" s="9" t="s">
        <v>106</v>
      </c>
      <c r="I1876" s="9">
        <v>9</v>
      </c>
      <c r="J1876" s="9" t="s">
        <v>122</v>
      </c>
      <c r="K1876" s="9" t="s">
        <v>924</v>
      </c>
      <c r="L1876" t="str">
        <f>IF(OR(J1876="Cattle",J1876="Zebu Cattle"),IF(COUNTIF(lists!$M$2:$M$258, K1876) &gt; 0,"bos.indicus",IF(COUNTIF(lists!$L$2:$L$258, K1876) &gt; 0,"cross.bred","pure.bred.exotic")),"NA")</f>
        <v>pure.bred.exotic</v>
      </c>
      <c r="O1876" s="9" t="s">
        <v>4194</v>
      </c>
      <c r="P1876" s="9" t="s">
        <v>4304</v>
      </c>
      <c r="Q1876" s="9" t="s">
        <v>3805</v>
      </c>
      <c r="R1876" s="9" t="s">
        <v>3830</v>
      </c>
      <c r="S1876" s="9" t="s">
        <v>106</v>
      </c>
      <c r="T1876" s="9">
        <v>82.3</v>
      </c>
      <c r="U1876" s="9">
        <v>122</v>
      </c>
      <c r="V1876" s="9">
        <v>904</v>
      </c>
      <c r="W1876" s="9" t="s">
        <v>106</v>
      </c>
      <c r="X1876" s="9">
        <v>547</v>
      </c>
      <c r="Y1876" s="9">
        <v>68.78</v>
      </c>
      <c r="Z1876" s="9" t="s">
        <v>106</v>
      </c>
      <c r="AA1876" s="9">
        <v>64.42</v>
      </c>
      <c r="AB1876" s="9">
        <v>73.67</v>
      </c>
      <c r="AC1876" s="9" t="s">
        <v>5100</v>
      </c>
      <c r="AD1876" s="9" t="s">
        <v>5100</v>
      </c>
    </row>
    <row r="1877" spans="1:30">
      <c r="A1877" s="9" t="s">
        <v>3920</v>
      </c>
      <c r="B1877" s="9" t="s">
        <v>4305</v>
      </c>
      <c r="C1877" s="9" t="s">
        <v>105</v>
      </c>
      <c r="D1877" s="9">
        <v>3.0030000000000001</v>
      </c>
      <c r="E1877" s="9" t="s">
        <v>106</v>
      </c>
      <c r="F1877" s="68">
        <v>148</v>
      </c>
      <c r="G1877" s="9">
        <v>-0.5</v>
      </c>
      <c r="H1877" s="9" t="s">
        <v>106</v>
      </c>
      <c r="I1877" s="9">
        <v>2</v>
      </c>
      <c r="J1877" s="9" t="s">
        <v>122</v>
      </c>
      <c r="K1877" s="9" t="s">
        <v>4161</v>
      </c>
      <c r="L1877" t="str">
        <f>IF(OR(J1877="Cattle",J1877="Zebu Cattle"),IF(COUNTIF(lists!$M$2:$M$258, K1877) &gt; 0,"bos.indicus",IF(COUNTIF(lists!$L$2:$L$258, K1877) &gt; 0,"cross.bred","pure.bred.exotic")),"NA")</f>
        <v>bos.indicus</v>
      </c>
      <c r="O1877" s="9" t="s">
        <v>4193</v>
      </c>
      <c r="P1877" s="9" t="s">
        <v>4040</v>
      </c>
      <c r="Q1877" s="9" t="s">
        <v>3805</v>
      </c>
      <c r="R1877" s="9" t="s">
        <v>3829</v>
      </c>
      <c r="S1877" s="9">
        <v>460</v>
      </c>
      <c r="T1877" s="9">
        <v>108</v>
      </c>
      <c r="U1877" s="9">
        <v>71.3</v>
      </c>
      <c r="V1877" s="9">
        <v>777.5</v>
      </c>
      <c r="W1877" s="9" t="s">
        <v>106</v>
      </c>
      <c r="X1877" s="9">
        <v>734.5</v>
      </c>
      <c r="Y1877" s="9">
        <v>49.6</v>
      </c>
      <c r="Z1877" s="9" t="s">
        <v>106</v>
      </c>
      <c r="AA1877" s="9">
        <v>47.4</v>
      </c>
      <c r="AB1877" s="9">
        <v>50.9</v>
      </c>
      <c r="AC1877" s="9" t="s">
        <v>5100</v>
      </c>
      <c r="AD1877" s="9" t="s">
        <v>5100</v>
      </c>
    </row>
    <row r="1878" spans="1:30">
      <c r="A1878" s="9" t="s">
        <v>3920</v>
      </c>
      <c r="B1878" s="9" t="s">
        <v>4306</v>
      </c>
      <c r="C1878" s="9" t="s">
        <v>105</v>
      </c>
      <c r="D1878" s="9">
        <v>3.2189999999999999</v>
      </c>
      <c r="E1878" s="9" t="s">
        <v>106</v>
      </c>
      <c r="F1878" s="68">
        <v>148</v>
      </c>
      <c r="G1878" s="9">
        <v>-0.25</v>
      </c>
      <c r="H1878" s="9" t="s">
        <v>106</v>
      </c>
      <c r="I1878" s="9">
        <v>2</v>
      </c>
      <c r="J1878" s="9" t="s">
        <v>122</v>
      </c>
      <c r="K1878" s="9" t="s">
        <v>4161</v>
      </c>
      <c r="L1878" t="str">
        <f>IF(OR(J1878="Cattle",J1878="Zebu Cattle"),IF(COUNTIF(lists!$M$2:$M$258, K1878) &gt; 0,"bos.indicus",IF(COUNTIF(lists!$L$2:$L$258, K1878) &gt; 0,"cross.bred","pure.bred.exotic")),"NA")</f>
        <v>bos.indicus</v>
      </c>
      <c r="O1878" s="9" t="s">
        <v>4193</v>
      </c>
      <c r="P1878" s="9" t="s">
        <v>4040</v>
      </c>
      <c r="Q1878" s="9" t="s">
        <v>3805</v>
      </c>
      <c r="R1878" s="9" t="s">
        <v>3829</v>
      </c>
      <c r="S1878" s="9">
        <v>447.3</v>
      </c>
      <c r="T1878" s="9">
        <v>111</v>
      </c>
      <c r="U1878" s="9">
        <v>84.3</v>
      </c>
      <c r="V1878" s="9">
        <v>667</v>
      </c>
      <c r="W1878" s="9" t="s">
        <v>106</v>
      </c>
      <c r="X1878" s="9">
        <v>697</v>
      </c>
      <c r="Y1878" s="9">
        <v>53</v>
      </c>
      <c r="Z1878" s="9" t="s">
        <v>106</v>
      </c>
      <c r="AA1878" s="9">
        <v>51</v>
      </c>
      <c r="AB1878" s="9">
        <v>53.9</v>
      </c>
      <c r="AC1878" s="9" t="s">
        <v>5100</v>
      </c>
      <c r="AD1878" s="9" t="s">
        <v>5100</v>
      </c>
    </row>
    <row r="1879" spans="1:30">
      <c r="A1879" s="9" t="s">
        <v>3920</v>
      </c>
      <c r="B1879" s="9" t="s">
        <v>4307</v>
      </c>
      <c r="C1879" s="9" t="s">
        <v>105</v>
      </c>
      <c r="D1879" s="9">
        <v>2.8290000000000002</v>
      </c>
      <c r="E1879" s="9" t="s">
        <v>106</v>
      </c>
      <c r="F1879" s="68">
        <v>148</v>
      </c>
      <c r="G1879" s="9">
        <v>-0.3</v>
      </c>
      <c r="H1879" s="9" t="s">
        <v>106</v>
      </c>
      <c r="I1879" s="9">
        <v>2</v>
      </c>
      <c r="J1879" s="9" t="s">
        <v>122</v>
      </c>
      <c r="K1879" s="9" t="s">
        <v>4161</v>
      </c>
      <c r="L1879" t="str">
        <f>IF(OR(J1879="Cattle",J1879="Zebu Cattle"),IF(COUNTIF(lists!$M$2:$M$258, K1879) &gt; 0,"bos.indicus",IF(COUNTIF(lists!$L$2:$L$258, K1879) &gt; 0,"cross.bred","pure.bred.exotic")),"NA")</f>
        <v>bos.indicus</v>
      </c>
      <c r="O1879" s="9" t="s">
        <v>4193</v>
      </c>
      <c r="P1879" s="9" t="s">
        <v>4040</v>
      </c>
      <c r="Q1879" s="9" t="s">
        <v>3805</v>
      </c>
      <c r="R1879" s="9" t="s">
        <v>3829</v>
      </c>
      <c r="S1879" s="9">
        <v>455</v>
      </c>
      <c r="T1879" s="9">
        <v>108</v>
      </c>
      <c r="U1879" s="9">
        <v>78.5</v>
      </c>
      <c r="V1879" s="9">
        <v>777.5</v>
      </c>
      <c r="W1879" s="9" t="s">
        <v>106</v>
      </c>
      <c r="X1879" s="9">
        <v>725</v>
      </c>
      <c r="Y1879" s="9">
        <v>50.6</v>
      </c>
      <c r="Z1879" s="9" t="s">
        <v>106</v>
      </c>
      <c r="AA1879" s="9">
        <v>48</v>
      </c>
      <c r="AB1879" s="9">
        <v>51.2</v>
      </c>
      <c r="AC1879" s="9" t="s">
        <v>5100</v>
      </c>
      <c r="AD1879" s="9" t="s">
        <v>5100</v>
      </c>
    </row>
    <row r="1880" spans="1:30">
      <c r="A1880" s="9" t="s">
        <v>3904</v>
      </c>
      <c r="B1880" s="9" t="s">
        <v>4308</v>
      </c>
      <c r="C1880" s="9" t="s">
        <v>105</v>
      </c>
      <c r="D1880" s="9">
        <v>9.2799999999999994</v>
      </c>
      <c r="E1880" s="9" t="s">
        <v>106</v>
      </c>
      <c r="F1880" s="9">
        <v>418.5</v>
      </c>
      <c r="G1880" s="9">
        <v>1.62</v>
      </c>
      <c r="H1880" s="9" t="s">
        <v>106</v>
      </c>
      <c r="I1880" s="9">
        <v>73</v>
      </c>
      <c r="J1880" s="9" t="s">
        <v>122</v>
      </c>
      <c r="K1880" s="9" t="s">
        <v>4310</v>
      </c>
      <c r="L1880" t="str">
        <f>IF(OR(J1880="Cattle",J1880="Zebu Cattle"),IF(COUNTIF(lists!$M$2:$M$258, K1880) &gt; 0,"bos.indicus",IF(COUNTIF(lists!$L$2:$L$258, K1880) &gt; 0,"cross.bred","pure.bred.exotic")),"NA")</f>
        <v>cross.bred</v>
      </c>
      <c r="O1880" s="9" t="s">
        <v>4193</v>
      </c>
      <c r="P1880" s="9" t="s">
        <v>4311</v>
      </c>
      <c r="Q1880" s="9" t="s">
        <v>3813</v>
      </c>
      <c r="R1880" s="9" t="s">
        <v>3829</v>
      </c>
      <c r="S1880" s="9" t="s">
        <v>106</v>
      </c>
      <c r="T1880" s="9">
        <v>51.9</v>
      </c>
      <c r="U1880" s="9">
        <v>95</v>
      </c>
      <c r="V1880" s="9">
        <v>690</v>
      </c>
      <c r="W1880" s="9">
        <v>41.8</v>
      </c>
      <c r="X1880" s="9" t="s">
        <v>106</v>
      </c>
      <c r="Y1880" s="9" t="s">
        <v>106</v>
      </c>
      <c r="Z1880" s="9" t="s">
        <v>106</v>
      </c>
      <c r="AA1880" s="9" t="s">
        <v>106</v>
      </c>
      <c r="AB1880" s="9" t="s">
        <v>106</v>
      </c>
      <c r="AC1880" s="9" t="s">
        <v>5100</v>
      </c>
      <c r="AD1880" s="9" t="s">
        <v>5100</v>
      </c>
    </row>
    <row r="1881" spans="1:30">
      <c r="A1881" s="9" t="s">
        <v>3904</v>
      </c>
      <c r="B1881" s="9" t="s">
        <v>4309</v>
      </c>
      <c r="C1881" s="9" t="s">
        <v>105</v>
      </c>
      <c r="D1881" s="9">
        <v>9.06</v>
      </c>
      <c r="E1881" s="9" t="s">
        <v>106</v>
      </c>
      <c r="F1881" s="9">
        <v>416</v>
      </c>
      <c r="G1881" s="9">
        <v>1.47</v>
      </c>
      <c r="H1881" s="9" t="s">
        <v>106</v>
      </c>
      <c r="I1881" s="9">
        <v>73</v>
      </c>
      <c r="J1881" s="9" t="s">
        <v>122</v>
      </c>
      <c r="K1881" s="9" t="s">
        <v>4310</v>
      </c>
      <c r="L1881" t="str">
        <f>IF(OR(J1881="Cattle",J1881="Zebu Cattle"),IF(COUNTIF(lists!$M$2:$M$258, K1881) &gt; 0,"bos.indicus",IF(COUNTIF(lists!$L$2:$L$258, K1881) &gt; 0,"cross.bred","pure.bred.exotic")),"NA")</f>
        <v>cross.bred</v>
      </c>
      <c r="O1881" s="9" t="s">
        <v>4193</v>
      </c>
      <c r="P1881" s="9" t="s">
        <v>4311</v>
      </c>
      <c r="Q1881" s="9" t="s">
        <v>3813</v>
      </c>
      <c r="R1881" s="9" t="s">
        <v>3829</v>
      </c>
      <c r="S1881" s="9" t="s">
        <v>106</v>
      </c>
      <c r="T1881" s="9">
        <v>51.9</v>
      </c>
      <c r="U1881" s="9">
        <v>95</v>
      </c>
      <c r="V1881" s="9">
        <v>690</v>
      </c>
      <c r="W1881" s="9">
        <v>41.8</v>
      </c>
      <c r="X1881" s="9" t="s">
        <v>106</v>
      </c>
      <c r="Y1881" s="9" t="s">
        <v>106</v>
      </c>
      <c r="Z1881" s="9" t="s">
        <v>106</v>
      </c>
      <c r="AA1881" s="9" t="s">
        <v>106</v>
      </c>
      <c r="AB1881" s="9" t="s">
        <v>106</v>
      </c>
      <c r="AC1881" s="9" t="s">
        <v>5100</v>
      </c>
      <c r="AD1881" s="9" t="s">
        <v>5100</v>
      </c>
    </row>
    <row r="1882" spans="1:30">
      <c r="A1882" s="9" t="s">
        <v>3931</v>
      </c>
      <c r="B1882" s="9" t="s">
        <v>4312</v>
      </c>
      <c r="C1882" s="9" t="s">
        <v>105</v>
      </c>
      <c r="D1882" s="9">
        <v>11.686</v>
      </c>
      <c r="E1882" s="9" t="s">
        <v>106</v>
      </c>
      <c r="F1882" s="9">
        <v>359.42500000000001</v>
      </c>
      <c r="G1882" s="9">
        <v>0.46</v>
      </c>
      <c r="H1882" s="9">
        <v>11.16</v>
      </c>
      <c r="I1882" s="9">
        <v>22</v>
      </c>
      <c r="J1882" s="9" t="s">
        <v>122</v>
      </c>
      <c r="K1882" s="9" t="s">
        <v>4291</v>
      </c>
      <c r="L1882" t="str">
        <f>IF(OR(J1882="Cattle",J1882="Zebu Cattle"),IF(COUNTIF(lists!$M$2:$M$258, K1882) &gt; 0,"bos.indicus",IF(COUNTIF(lists!$L$2:$L$258, K1882) &gt; 0,"cross.bred","pure.bred.exotic")),"NA")</f>
        <v>cross.bred</v>
      </c>
      <c r="O1882" s="9" t="s">
        <v>124</v>
      </c>
      <c r="P1882" s="9" t="s">
        <v>4045</v>
      </c>
      <c r="Q1882" s="9" t="s">
        <v>3809</v>
      </c>
      <c r="R1882" s="9" t="s">
        <v>3829</v>
      </c>
      <c r="S1882" s="9" t="s">
        <v>106</v>
      </c>
      <c r="T1882" s="9" t="s">
        <v>106</v>
      </c>
      <c r="U1882" s="9" t="s">
        <v>106</v>
      </c>
      <c r="V1882" s="9" t="s">
        <v>106</v>
      </c>
      <c r="W1882" s="9" t="s">
        <v>106</v>
      </c>
      <c r="X1882" s="9" t="s">
        <v>106</v>
      </c>
      <c r="Y1882" s="9" t="s">
        <v>106</v>
      </c>
      <c r="Z1882" s="9" t="s">
        <v>106</v>
      </c>
      <c r="AA1882" s="9" t="s">
        <v>106</v>
      </c>
      <c r="AB1882" s="9" t="s">
        <v>106</v>
      </c>
      <c r="AC1882" s="9" t="s">
        <v>5100</v>
      </c>
      <c r="AD1882" s="9" t="s">
        <v>5100</v>
      </c>
    </row>
    <row r="1883" spans="1:30">
      <c r="A1883" s="9" t="s">
        <v>3931</v>
      </c>
      <c r="B1883" s="9" t="s">
        <v>4313</v>
      </c>
      <c r="C1883" s="9" t="s">
        <v>105</v>
      </c>
      <c r="D1883" s="9">
        <v>11.09</v>
      </c>
      <c r="E1883" s="9" t="s">
        <v>106</v>
      </c>
      <c r="F1883" s="9">
        <v>334.84</v>
      </c>
      <c r="G1883" s="9">
        <v>0.35</v>
      </c>
      <c r="H1883" s="9">
        <v>9.02</v>
      </c>
      <c r="I1883" s="9">
        <v>16</v>
      </c>
      <c r="J1883" s="9" t="s">
        <v>122</v>
      </c>
      <c r="K1883" s="9" t="s">
        <v>4291</v>
      </c>
      <c r="L1883" t="str">
        <f>IF(OR(J1883="Cattle",J1883="Zebu Cattle"),IF(COUNTIF(lists!$M$2:$M$258, K1883) &gt; 0,"bos.indicus",IF(COUNTIF(lists!$L$2:$L$258, K1883) &gt; 0,"cross.bred","pure.bred.exotic")),"NA")</f>
        <v>cross.bred</v>
      </c>
      <c r="O1883" s="9" t="s">
        <v>124</v>
      </c>
      <c r="P1883" s="9" t="s">
        <v>4045</v>
      </c>
      <c r="Q1883" s="9" t="s">
        <v>3809</v>
      </c>
      <c r="R1883" s="9" t="s">
        <v>3829</v>
      </c>
      <c r="S1883" s="9" t="s">
        <v>106</v>
      </c>
      <c r="T1883" s="9" t="s">
        <v>106</v>
      </c>
      <c r="U1883" s="9" t="s">
        <v>106</v>
      </c>
      <c r="V1883" s="9" t="s">
        <v>106</v>
      </c>
      <c r="W1883" s="9" t="s">
        <v>106</v>
      </c>
      <c r="X1883" s="9" t="s">
        <v>106</v>
      </c>
      <c r="Y1883" s="9" t="s">
        <v>106</v>
      </c>
      <c r="Z1883" s="9" t="s">
        <v>106</v>
      </c>
      <c r="AA1883" s="9" t="s">
        <v>106</v>
      </c>
      <c r="AB1883" s="9" t="s">
        <v>106</v>
      </c>
      <c r="AC1883" s="9" t="s">
        <v>5100</v>
      </c>
      <c r="AD1883" s="9" t="s">
        <v>5100</v>
      </c>
    </row>
    <row r="1884" spans="1:30">
      <c r="A1884" s="9" t="s">
        <v>3931</v>
      </c>
      <c r="B1884" s="9" t="s">
        <v>4314</v>
      </c>
      <c r="C1884" s="9" t="s">
        <v>105</v>
      </c>
      <c r="D1884" s="9">
        <v>9.8170000000000002</v>
      </c>
      <c r="E1884" s="9" t="s">
        <v>106</v>
      </c>
      <c r="F1884" s="9">
        <v>326.79000000000002</v>
      </c>
      <c r="G1884" s="9">
        <v>0.21</v>
      </c>
      <c r="H1884" s="9">
        <v>6.75</v>
      </c>
      <c r="I1884" s="9">
        <v>8</v>
      </c>
      <c r="J1884" s="9" t="s">
        <v>122</v>
      </c>
      <c r="K1884" s="9" t="s">
        <v>4291</v>
      </c>
      <c r="L1884" t="str">
        <f>IF(OR(J1884="Cattle",J1884="Zebu Cattle"),IF(COUNTIF(lists!$M$2:$M$258, K1884) &gt; 0,"bos.indicus",IF(COUNTIF(lists!$L$2:$L$258, K1884) &gt; 0,"cross.bred","pure.bred.exotic")),"NA")</f>
        <v>cross.bred</v>
      </c>
      <c r="O1884" s="9" t="s">
        <v>124</v>
      </c>
      <c r="P1884" s="9" t="s">
        <v>4045</v>
      </c>
      <c r="Q1884" s="9" t="s">
        <v>3809</v>
      </c>
      <c r="R1884" s="9" t="s">
        <v>3829</v>
      </c>
      <c r="S1884" s="9" t="s">
        <v>106</v>
      </c>
      <c r="T1884" s="9" t="s">
        <v>106</v>
      </c>
      <c r="U1884" s="9" t="s">
        <v>106</v>
      </c>
      <c r="V1884" s="9" t="s">
        <v>106</v>
      </c>
      <c r="W1884" s="9" t="s">
        <v>106</v>
      </c>
      <c r="X1884" s="9" t="s">
        <v>106</v>
      </c>
      <c r="Y1884" s="9" t="s">
        <v>106</v>
      </c>
      <c r="Z1884" s="9" t="s">
        <v>106</v>
      </c>
      <c r="AA1884" s="9" t="s">
        <v>106</v>
      </c>
      <c r="AB1884" s="9" t="s">
        <v>106</v>
      </c>
      <c r="AC1884" s="9" t="s">
        <v>5100</v>
      </c>
      <c r="AD1884" s="9" t="s">
        <v>5100</v>
      </c>
    </row>
    <row r="1885" spans="1:30">
      <c r="A1885" s="9" t="s">
        <v>3931</v>
      </c>
      <c r="B1885" s="9" t="s">
        <v>4315</v>
      </c>
      <c r="C1885" s="9" t="s">
        <v>105</v>
      </c>
      <c r="D1885" s="9">
        <v>7.4610000000000003</v>
      </c>
      <c r="E1885" s="9" t="s">
        <v>106</v>
      </c>
      <c r="F1885" s="9">
        <v>301.29500000000002</v>
      </c>
      <c r="G1885" s="9">
        <v>0.11</v>
      </c>
      <c r="H1885" s="9">
        <v>4.76</v>
      </c>
      <c r="I1885" s="9">
        <v>8</v>
      </c>
      <c r="J1885" s="9" t="s">
        <v>122</v>
      </c>
      <c r="K1885" s="9" t="s">
        <v>4291</v>
      </c>
      <c r="L1885" t="str">
        <f>IF(OR(J1885="Cattle",J1885="Zebu Cattle"),IF(COUNTIF(lists!$M$2:$M$258, K1885) &gt; 0,"bos.indicus",IF(COUNTIF(lists!$L$2:$L$258, K1885) &gt; 0,"cross.bred","pure.bred.exotic")),"NA")</f>
        <v>cross.bred</v>
      </c>
      <c r="O1885" s="9" t="s">
        <v>124</v>
      </c>
      <c r="P1885" s="9" t="s">
        <v>4045</v>
      </c>
      <c r="Q1885" s="9" t="s">
        <v>3809</v>
      </c>
      <c r="R1885" s="9" t="s">
        <v>3829</v>
      </c>
      <c r="S1885" s="9" t="s">
        <v>106</v>
      </c>
      <c r="T1885" s="9" t="s">
        <v>106</v>
      </c>
      <c r="U1885" s="9" t="s">
        <v>106</v>
      </c>
      <c r="V1885" s="9" t="s">
        <v>106</v>
      </c>
      <c r="W1885" s="9" t="s">
        <v>106</v>
      </c>
      <c r="X1885" s="9" t="s">
        <v>106</v>
      </c>
      <c r="Y1885" s="9" t="s">
        <v>106</v>
      </c>
      <c r="Z1885" s="9" t="s">
        <v>106</v>
      </c>
      <c r="AA1885" s="9" t="s">
        <v>106</v>
      </c>
      <c r="AB1885" s="9" t="s">
        <v>106</v>
      </c>
      <c r="AC1885" s="9" t="s">
        <v>5100</v>
      </c>
      <c r="AD1885" s="9" t="s">
        <v>5100</v>
      </c>
    </row>
    <row r="1886" spans="1:30">
      <c r="A1886" s="9" t="s">
        <v>3835</v>
      </c>
      <c r="B1886" s="9" t="s">
        <v>4317</v>
      </c>
      <c r="C1886" s="9" t="s">
        <v>105</v>
      </c>
      <c r="D1886" s="9">
        <v>23.1</v>
      </c>
      <c r="E1886" s="9" t="s">
        <v>106</v>
      </c>
      <c r="F1886" s="9" t="s">
        <v>106</v>
      </c>
      <c r="G1886" s="9" t="s">
        <v>106</v>
      </c>
      <c r="H1886" s="9">
        <v>37.71</v>
      </c>
      <c r="I1886" s="9">
        <v>4</v>
      </c>
      <c r="J1886" s="9" t="s">
        <v>122</v>
      </c>
      <c r="K1886" s="9" t="s">
        <v>4165</v>
      </c>
      <c r="L1886" t="str">
        <f>IF(OR(J1886="Cattle",J1886="Zebu Cattle"),IF(COUNTIF(lists!$M$2:$M$258, K1886) &gt; 0,"bos.indicus",IF(COUNTIF(lists!$L$2:$L$258, K1886) &gt; 0,"cross.bred","pure.bred.exotic")),"NA")</f>
        <v>pure.bred.exotic</v>
      </c>
      <c r="O1886" s="9" t="s">
        <v>4194</v>
      </c>
      <c r="P1886" s="9" t="s">
        <v>4045</v>
      </c>
      <c r="Q1886" s="9" t="s">
        <v>3809</v>
      </c>
      <c r="R1886" s="9" t="s">
        <v>3830</v>
      </c>
      <c r="S1886" s="9">
        <v>219</v>
      </c>
      <c r="T1886" s="9">
        <v>72</v>
      </c>
      <c r="U1886" s="9">
        <v>179</v>
      </c>
      <c r="V1886" s="9" t="s">
        <v>106</v>
      </c>
      <c r="W1886" s="9">
        <v>45</v>
      </c>
      <c r="X1886" s="9">
        <v>351</v>
      </c>
      <c r="Y1886" s="9" t="s">
        <v>106</v>
      </c>
      <c r="Z1886" s="9" t="s">
        <v>106</v>
      </c>
      <c r="AA1886" s="9" t="s">
        <v>106</v>
      </c>
      <c r="AB1886" s="9" t="s">
        <v>106</v>
      </c>
      <c r="AC1886" s="9" t="s">
        <v>5100</v>
      </c>
      <c r="AD1886" s="9" t="s">
        <v>5100</v>
      </c>
    </row>
    <row r="1887" spans="1:30">
      <c r="A1887" s="9" t="s">
        <v>3835</v>
      </c>
      <c r="B1887" s="9" t="s">
        <v>4318</v>
      </c>
      <c r="C1887" s="9" t="s">
        <v>105</v>
      </c>
      <c r="D1887" s="9">
        <v>23.6</v>
      </c>
      <c r="E1887" s="9" t="s">
        <v>106</v>
      </c>
      <c r="F1887" s="9" t="s">
        <v>106</v>
      </c>
      <c r="G1887" s="9" t="s">
        <v>106</v>
      </c>
      <c r="H1887" s="9">
        <v>37.11</v>
      </c>
      <c r="I1887" s="9">
        <v>4</v>
      </c>
      <c r="J1887" s="9" t="s">
        <v>122</v>
      </c>
      <c r="K1887" s="9" t="s">
        <v>4165</v>
      </c>
      <c r="L1887" t="str">
        <f>IF(OR(J1887="Cattle",J1887="Zebu Cattle"),IF(COUNTIF(lists!$M$2:$M$258, K1887) &gt; 0,"bos.indicus",IF(COUNTIF(lists!$L$2:$L$258, K1887) &gt; 0,"cross.bred","pure.bred.exotic")),"NA")</f>
        <v>pure.bred.exotic</v>
      </c>
      <c r="O1887" s="9" t="s">
        <v>4194</v>
      </c>
      <c r="P1887" s="9" t="s">
        <v>4045</v>
      </c>
      <c r="Q1887" s="9" t="s">
        <v>3809</v>
      </c>
      <c r="R1887" s="9" t="s">
        <v>3830</v>
      </c>
      <c r="S1887" s="9">
        <v>201</v>
      </c>
      <c r="T1887" s="9">
        <v>74</v>
      </c>
      <c r="U1887" s="9">
        <v>177</v>
      </c>
      <c r="V1887" s="9" t="s">
        <v>106</v>
      </c>
      <c r="W1887" s="9">
        <v>48</v>
      </c>
      <c r="X1887" s="9">
        <v>338</v>
      </c>
      <c r="Y1887" s="9" t="s">
        <v>106</v>
      </c>
      <c r="Z1887" s="9" t="s">
        <v>106</v>
      </c>
      <c r="AA1887" s="9" t="s">
        <v>106</v>
      </c>
      <c r="AB1887" s="9" t="s">
        <v>106</v>
      </c>
      <c r="AC1887" s="9" t="s">
        <v>5100</v>
      </c>
      <c r="AD1887" s="9" t="s">
        <v>5100</v>
      </c>
    </row>
    <row r="1888" spans="1:30">
      <c r="A1888" s="9" t="s">
        <v>3835</v>
      </c>
      <c r="B1888" s="9" t="s">
        <v>4319</v>
      </c>
      <c r="C1888" s="9" t="s">
        <v>105</v>
      </c>
      <c r="D1888" s="9">
        <v>22.3</v>
      </c>
      <c r="E1888" s="9" t="s">
        <v>106</v>
      </c>
      <c r="F1888" s="9" t="s">
        <v>106</v>
      </c>
      <c r="G1888" s="9" t="s">
        <v>106</v>
      </c>
      <c r="H1888" s="9">
        <v>37.97</v>
      </c>
      <c r="I1888" s="9">
        <v>4</v>
      </c>
      <c r="J1888" s="9" t="s">
        <v>122</v>
      </c>
      <c r="K1888" s="9" t="s">
        <v>4165</v>
      </c>
      <c r="L1888" t="str">
        <f>IF(OR(J1888="Cattle",J1888="Zebu Cattle"),IF(COUNTIF(lists!$M$2:$M$258, K1888) &gt; 0,"bos.indicus",IF(COUNTIF(lists!$L$2:$L$258, K1888) &gt; 0,"cross.bred","pure.bred.exotic")),"NA")</f>
        <v>pure.bred.exotic</v>
      </c>
      <c r="O1888" s="9" t="s">
        <v>4194</v>
      </c>
      <c r="P1888" s="9" t="s">
        <v>4045</v>
      </c>
      <c r="Q1888" s="9" t="s">
        <v>3809</v>
      </c>
      <c r="R1888" s="9" t="s">
        <v>3830</v>
      </c>
      <c r="S1888" s="9">
        <v>223</v>
      </c>
      <c r="T1888" s="9">
        <v>77</v>
      </c>
      <c r="U1888" s="9">
        <v>178</v>
      </c>
      <c r="V1888" s="9" t="s">
        <v>106</v>
      </c>
      <c r="W1888" s="9">
        <v>46</v>
      </c>
      <c r="X1888" s="9">
        <v>368</v>
      </c>
      <c r="Y1888" s="9" t="s">
        <v>106</v>
      </c>
      <c r="Z1888" s="9" t="s">
        <v>106</v>
      </c>
      <c r="AA1888" s="9" t="s">
        <v>106</v>
      </c>
      <c r="AB1888" s="9" t="s">
        <v>106</v>
      </c>
      <c r="AC1888" s="9" t="s">
        <v>5100</v>
      </c>
      <c r="AD1888" s="9" t="s">
        <v>5100</v>
      </c>
    </row>
    <row r="1889" spans="1:30">
      <c r="A1889" s="9" t="s">
        <v>3835</v>
      </c>
      <c r="B1889" s="9" t="s">
        <v>4320</v>
      </c>
      <c r="C1889" s="9" t="s">
        <v>105</v>
      </c>
      <c r="D1889" s="9">
        <v>23.8</v>
      </c>
      <c r="E1889" s="9" t="s">
        <v>106</v>
      </c>
      <c r="F1889" s="9" t="s">
        <v>106</v>
      </c>
      <c r="G1889" s="9" t="s">
        <v>106</v>
      </c>
      <c r="H1889" s="9">
        <v>36.82</v>
      </c>
      <c r="I1889" s="9">
        <v>4</v>
      </c>
      <c r="J1889" s="9" t="s">
        <v>122</v>
      </c>
      <c r="K1889" s="9" t="s">
        <v>4165</v>
      </c>
      <c r="L1889" t="str">
        <f>IF(OR(J1889="Cattle",J1889="Zebu Cattle"),IF(COUNTIF(lists!$M$2:$M$258, K1889) &gt; 0,"bos.indicus",IF(COUNTIF(lists!$L$2:$L$258, K1889) &gt; 0,"cross.bred","pure.bred.exotic")),"NA")</f>
        <v>pure.bred.exotic</v>
      </c>
      <c r="O1889" s="9" t="s">
        <v>4194</v>
      </c>
      <c r="P1889" s="9" t="s">
        <v>4045</v>
      </c>
      <c r="Q1889" s="9" t="s">
        <v>3809</v>
      </c>
      <c r="R1889" s="9" t="s">
        <v>3830</v>
      </c>
      <c r="S1889" s="9">
        <v>235</v>
      </c>
      <c r="T1889" s="9">
        <v>75</v>
      </c>
      <c r="U1889" s="9">
        <v>172</v>
      </c>
      <c r="V1889" s="9" t="s">
        <v>106</v>
      </c>
      <c r="W1889" s="9">
        <v>42</v>
      </c>
      <c r="X1889" s="9">
        <v>369</v>
      </c>
      <c r="Y1889" s="9" t="s">
        <v>106</v>
      </c>
      <c r="Z1889" s="9" t="s">
        <v>106</v>
      </c>
      <c r="AA1889" s="9" t="s">
        <v>106</v>
      </c>
      <c r="AB1889" s="9" t="s">
        <v>106</v>
      </c>
      <c r="AC1889" s="9" t="s">
        <v>5100</v>
      </c>
      <c r="AD1889" s="9" t="s">
        <v>5100</v>
      </c>
    </row>
    <row r="1890" spans="1:30">
      <c r="A1890" s="9" t="s">
        <v>3971</v>
      </c>
      <c r="B1890" s="9" t="s">
        <v>4321</v>
      </c>
      <c r="C1890" s="9" t="s">
        <v>105</v>
      </c>
      <c r="D1890" s="9">
        <v>5.77</v>
      </c>
      <c r="E1890" s="9" t="s">
        <v>106</v>
      </c>
      <c r="F1890" s="9">
        <v>242</v>
      </c>
      <c r="G1890" s="9">
        <v>0.77</v>
      </c>
      <c r="H1890" s="9" t="s">
        <v>106</v>
      </c>
      <c r="I1890" s="9">
        <v>7</v>
      </c>
      <c r="J1890" s="9" t="s">
        <v>122</v>
      </c>
      <c r="K1890" s="9" t="s">
        <v>4161</v>
      </c>
      <c r="L1890" t="str">
        <f>IF(OR(J1890="Cattle",J1890="Zebu Cattle"),IF(COUNTIF(lists!$M$2:$M$258, K1890) &gt; 0,"bos.indicus",IF(COUNTIF(lists!$L$2:$L$258, K1890) &gt; 0,"cross.bred","pure.bred.exotic")),"NA")</f>
        <v>bos.indicus</v>
      </c>
      <c r="O1890" s="9" t="s">
        <v>4193</v>
      </c>
      <c r="P1890" s="9" t="s">
        <v>4324</v>
      </c>
      <c r="Q1890" s="9" t="s">
        <v>3804</v>
      </c>
      <c r="R1890" s="9" t="s">
        <v>3829</v>
      </c>
      <c r="S1890" s="9" t="s">
        <v>106</v>
      </c>
      <c r="T1890" s="9" t="s">
        <v>106</v>
      </c>
      <c r="U1890" s="9" t="s">
        <v>106</v>
      </c>
      <c r="V1890" s="9" t="s">
        <v>106</v>
      </c>
      <c r="W1890" s="9" t="s">
        <v>106</v>
      </c>
      <c r="X1890" s="9" t="s">
        <v>106</v>
      </c>
      <c r="Y1890" s="9" t="s">
        <v>106</v>
      </c>
      <c r="Z1890" s="9" t="s">
        <v>106</v>
      </c>
      <c r="AA1890" s="9" t="s">
        <v>106</v>
      </c>
      <c r="AB1890" s="9" t="s">
        <v>106</v>
      </c>
      <c r="AC1890" s="9" t="s">
        <v>5100</v>
      </c>
      <c r="AD1890" s="9" t="s">
        <v>5100</v>
      </c>
    </row>
    <row r="1891" spans="1:30">
      <c r="A1891" s="9" t="s">
        <v>3971</v>
      </c>
      <c r="B1891" s="9" t="s">
        <v>4322</v>
      </c>
      <c r="C1891" s="9" t="s">
        <v>105</v>
      </c>
      <c r="D1891" s="9">
        <v>5.91</v>
      </c>
      <c r="E1891" s="9" t="s">
        <v>106</v>
      </c>
      <c r="F1891" s="9">
        <v>244.5</v>
      </c>
      <c r="G1891" s="9">
        <v>0.80100000000000005</v>
      </c>
      <c r="H1891" s="9" t="s">
        <v>106</v>
      </c>
      <c r="I1891" s="9">
        <v>7</v>
      </c>
      <c r="J1891" s="9" t="s">
        <v>122</v>
      </c>
      <c r="K1891" s="9" t="s">
        <v>4161</v>
      </c>
      <c r="L1891" t="str">
        <f>IF(OR(J1891="Cattle",J1891="Zebu Cattle"),IF(COUNTIF(lists!$M$2:$M$258, K1891) &gt; 0,"bos.indicus",IF(COUNTIF(lists!$L$2:$L$258, K1891) &gt; 0,"cross.bred","pure.bred.exotic")),"NA")</f>
        <v>bos.indicus</v>
      </c>
      <c r="O1891" s="9" t="s">
        <v>4193</v>
      </c>
      <c r="P1891" s="9" t="s">
        <v>4324</v>
      </c>
      <c r="Q1891" s="9" t="s">
        <v>3804</v>
      </c>
      <c r="R1891" s="9" t="s">
        <v>3829</v>
      </c>
      <c r="S1891" s="9" t="s">
        <v>106</v>
      </c>
      <c r="T1891" s="9" t="s">
        <v>106</v>
      </c>
      <c r="U1891" s="9" t="s">
        <v>106</v>
      </c>
      <c r="V1891" s="9" t="s">
        <v>106</v>
      </c>
      <c r="W1891" s="9" t="s">
        <v>106</v>
      </c>
      <c r="X1891" s="9" t="s">
        <v>106</v>
      </c>
      <c r="Y1891" s="9" t="s">
        <v>106</v>
      </c>
      <c r="Z1891" s="9" t="s">
        <v>106</v>
      </c>
      <c r="AA1891" s="9" t="s">
        <v>106</v>
      </c>
      <c r="AB1891" s="9" t="s">
        <v>106</v>
      </c>
      <c r="AC1891" s="9" t="s">
        <v>5100</v>
      </c>
      <c r="AD1891" s="9" t="s">
        <v>5100</v>
      </c>
    </row>
    <row r="1892" spans="1:30">
      <c r="A1892" s="9" t="s">
        <v>3971</v>
      </c>
      <c r="B1892" s="9" t="s">
        <v>4323</v>
      </c>
      <c r="C1892" s="9" t="s">
        <v>105</v>
      </c>
      <c r="D1892" s="9">
        <v>5.99</v>
      </c>
      <c r="E1892" s="9" t="s">
        <v>106</v>
      </c>
      <c r="F1892" s="9">
        <v>240</v>
      </c>
      <c r="G1892" s="9">
        <v>0.753</v>
      </c>
      <c r="H1892" s="9" t="s">
        <v>106</v>
      </c>
      <c r="I1892" s="9">
        <v>7</v>
      </c>
      <c r="J1892" s="9" t="s">
        <v>122</v>
      </c>
      <c r="K1892" s="9" t="s">
        <v>4161</v>
      </c>
      <c r="L1892" t="str">
        <f>IF(OR(J1892="Cattle",J1892="Zebu Cattle"),IF(COUNTIF(lists!$M$2:$M$258, K1892) &gt; 0,"bos.indicus",IF(COUNTIF(lists!$L$2:$L$258, K1892) &gt; 0,"cross.bred","pure.bred.exotic")),"NA")</f>
        <v>bos.indicus</v>
      </c>
      <c r="O1892" s="9" t="s">
        <v>4193</v>
      </c>
      <c r="P1892" s="9" t="s">
        <v>4324</v>
      </c>
      <c r="Q1892" s="9" t="s">
        <v>3804</v>
      </c>
      <c r="R1892" s="9" t="s">
        <v>3829</v>
      </c>
      <c r="S1892" s="9" t="s">
        <v>106</v>
      </c>
      <c r="T1892" s="9" t="s">
        <v>106</v>
      </c>
      <c r="U1892" s="9" t="s">
        <v>106</v>
      </c>
      <c r="V1892" s="9" t="s">
        <v>106</v>
      </c>
      <c r="W1892" s="9" t="s">
        <v>106</v>
      </c>
      <c r="X1892" s="9" t="s">
        <v>106</v>
      </c>
      <c r="Y1892" s="9" t="s">
        <v>106</v>
      </c>
      <c r="Z1892" s="9" t="s">
        <v>106</v>
      </c>
      <c r="AA1892" s="9" t="s">
        <v>106</v>
      </c>
      <c r="AB1892" s="9" t="s">
        <v>106</v>
      </c>
      <c r="AC1892" s="9" t="s">
        <v>5100</v>
      </c>
      <c r="AD1892" s="9" t="s">
        <v>5100</v>
      </c>
    </row>
    <row r="1893" spans="1:30">
      <c r="A1893" s="9" t="s">
        <v>3886</v>
      </c>
      <c r="B1893" s="9" t="s">
        <v>4325</v>
      </c>
      <c r="C1893" s="9" t="s">
        <v>105</v>
      </c>
      <c r="D1893" s="9">
        <v>6.87</v>
      </c>
      <c r="E1893" s="9" t="s">
        <v>106</v>
      </c>
      <c r="F1893" s="9">
        <v>240.1</v>
      </c>
      <c r="G1893" s="9">
        <v>0.53200000000000003</v>
      </c>
      <c r="H1893" s="9" t="s">
        <v>106</v>
      </c>
      <c r="I1893" s="9">
        <v>13</v>
      </c>
      <c r="J1893" s="9" t="s">
        <v>122</v>
      </c>
      <c r="K1893" s="9" t="s">
        <v>4329</v>
      </c>
      <c r="L1893" t="str">
        <f>IF(OR(J1893="Cattle",J1893="Zebu Cattle"),IF(COUNTIF(lists!$M$2:$M$258, K1893) &gt; 0,"bos.indicus",IF(COUNTIF(lists!$L$2:$L$258, K1893) &gt; 0,"cross.bred","pure.bred.exotic")),"NA")</f>
        <v>cross.bred</v>
      </c>
      <c r="O1893" s="9" t="s">
        <v>124</v>
      </c>
      <c r="P1893" s="9" t="s">
        <v>4330</v>
      </c>
      <c r="Q1893" s="9" t="s">
        <v>3805</v>
      </c>
      <c r="R1893" s="9" t="s">
        <v>3830</v>
      </c>
      <c r="S1893" s="9" t="s">
        <v>106</v>
      </c>
      <c r="T1893" s="9" t="s">
        <v>106</v>
      </c>
      <c r="U1893" s="9" t="s">
        <v>106</v>
      </c>
      <c r="V1893" s="9" t="s">
        <v>106</v>
      </c>
      <c r="W1893" s="9" t="s">
        <v>106</v>
      </c>
      <c r="X1893" s="9" t="s">
        <v>106</v>
      </c>
      <c r="Y1893" s="9" t="s">
        <v>106</v>
      </c>
      <c r="Z1893" s="9" t="s">
        <v>106</v>
      </c>
      <c r="AA1893" s="9" t="s">
        <v>106</v>
      </c>
      <c r="AB1893" s="9" t="s">
        <v>106</v>
      </c>
      <c r="AC1893" s="9" t="s">
        <v>5100</v>
      </c>
      <c r="AD1893" s="9" t="s">
        <v>5100</v>
      </c>
    </row>
    <row r="1894" spans="1:30">
      <c r="A1894" s="9" t="s">
        <v>3886</v>
      </c>
      <c r="B1894" s="9" t="s">
        <v>4326</v>
      </c>
      <c r="C1894" s="9" t="s">
        <v>105</v>
      </c>
      <c r="D1894" s="9">
        <v>6.63</v>
      </c>
      <c r="E1894" s="9" t="s">
        <v>106</v>
      </c>
      <c r="F1894" s="9">
        <v>229.35</v>
      </c>
      <c r="G1894" s="9">
        <v>0.434</v>
      </c>
      <c r="H1894" s="9" t="s">
        <v>106</v>
      </c>
      <c r="I1894" s="9">
        <v>12</v>
      </c>
      <c r="J1894" s="9" t="s">
        <v>122</v>
      </c>
      <c r="K1894" s="9" t="s">
        <v>4329</v>
      </c>
      <c r="L1894" t="str">
        <f>IF(OR(J1894="Cattle",J1894="Zebu Cattle"),IF(COUNTIF(lists!$M$2:$M$258, K1894) &gt; 0,"bos.indicus",IF(COUNTIF(lists!$L$2:$L$258, K1894) &gt; 0,"cross.bred","pure.bred.exotic")),"NA")</f>
        <v>cross.bred</v>
      </c>
      <c r="O1894" s="9" t="s">
        <v>124</v>
      </c>
      <c r="P1894" s="9" t="s">
        <v>4330</v>
      </c>
      <c r="Q1894" s="9" t="s">
        <v>3805</v>
      </c>
      <c r="R1894" s="9" t="s">
        <v>3830</v>
      </c>
      <c r="S1894" s="9" t="s">
        <v>106</v>
      </c>
      <c r="T1894" s="9" t="s">
        <v>106</v>
      </c>
      <c r="U1894" s="9" t="s">
        <v>106</v>
      </c>
      <c r="V1894" s="9" t="s">
        <v>106</v>
      </c>
      <c r="W1894" s="9" t="s">
        <v>106</v>
      </c>
      <c r="X1894" s="9" t="s">
        <v>106</v>
      </c>
      <c r="Y1894" s="9" t="s">
        <v>106</v>
      </c>
      <c r="Z1894" s="9" t="s">
        <v>106</v>
      </c>
      <c r="AA1894" s="9" t="s">
        <v>106</v>
      </c>
      <c r="AB1894" s="9" t="s">
        <v>106</v>
      </c>
      <c r="AC1894" s="9" t="s">
        <v>5100</v>
      </c>
      <c r="AD1894" s="9" t="s">
        <v>5100</v>
      </c>
    </row>
    <row r="1895" spans="1:30">
      <c r="A1895" s="9" t="s">
        <v>3886</v>
      </c>
      <c r="B1895" s="9" t="s">
        <v>4327</v>
      </c>
      <c r="C1895" s="9" t="s">
        <v>105</v>
      </c>
      <c r="D1895" s="9">
        <v>2.92</v>
      </c>
      <c r="E1895" s="9" t="s">
        <v>106</v>
      </c>
      <c r="F1895" s="9">
        <v>222.75</v>
      </c>
      <c r="G1895" s="9">
        <v>0.34599999999999997</v>
      </c>
      <c r="H1895" s="9" t="s">
        <v>106</v>
      </c>
      <c r="I1895" s="9">
        <v>9</v>
      </c>
      <c r="J1895" s="9" t="s">
        <v>122</v>
      </c>
      <c r="K1895" s="9" t="s">
        <v>4329</v>
      </c>
      <c r="L1895" t="str">
        <f>IF(OR(J1895="Cattle",J1895="Zebu Cattle"),IF(COUNTIF(lists!$M$2:$M$258, K1895) &gt; 0,"bos.indicus",IF(COUNTIF(lists!$L$2:$L$258, K1895) &gt; 0,"cross.bred","pure.bred.exotic")),"NA")</f>
        <v>cross.bred</v>
      </c>
      <c r="O1895" s="9" t="s">
        <v>124</v>
      </c>
      <c r="P1895" s="9" t="s">
        <v>4330</v>
      </c>
      <c r="Q1895" s="9" t="s">
        <v>3805</v>
      </c>
      <c r="R1895" s="9" t="s">
        <v>3830</v>
      </c>
      <c r="S1895" s="9" t="s">
        <v>106</v>
      </c>
      <c r="T1895" s="9" t="s">
        <v>106</v>
      </c>
      <c r="U1895" s="9" t="s">
        <v>106</v>
      </c>
      <c r="V1895" s="9" t="s">
        <v>106</v>
      </c>
      <c r="W1895" s="9" t="s">
        <v>106</v>
      </c>
      <c r="X1895" s="9" t="s">
        <v>106</v>
      </c>
      <c r="Y1895" s="9" t="s">
        <v>106</v>
      </c>
      <c r="Z1895" s="9" t="s">
        <v>106</v>
      </c>
      <c r="AA1895" s="9" t="s">
        <v>106</v>
      </c>
      <c r="AB1895" s="9" t="s">
        <v>106</v>
      </c>
      <c r="AC1895" s="9" t="s">
        <v>5100</v>
      </c>
      <c r="AD1895" s="9" t="s">
        <v>5100</v>
      </c>
    </row>
    <row r="1896" spans="1:30">
      <c r="A1896" s="9" t="s">
        <v>3886</v>
      </c>
      <c r="B1896" s="9" t="s">
        <v>4328</v>
      </c>
      <c r="C1896" s="9" t="s">
        <v>105</v>
      </c>
      <c r="D1896" s="9">
        <v>2.6</v>
      </c>
      <c r="E1896" s="9" t="s">
        <v>106</v>
      </c>
      <c r="F1896" s="9">
        <v>223.95</v>
      </c>
      <c r="G1896" s="9">
        <v>0.27800000000000002</v>
      </c>
      <c r="H1896" s="9" t="s">
        <v>106</v>
      </c>
      <c r="I1896" s="9">
        <v>11</v>
      </c>
      <c r="J1896" s="9" t="s">
        <v>122</v>
      </c>
      <c r="K1896" s="9" t="s">
        <v>4329</v>
      </c>
      <c r="L1896" t="str">
        <f>IF(OR(J1896="Cattle",J1896="Zebu Cattle"),IF(COUNTIF(lists!$M$2:$M$258, K1896) &gt; 0,"bos.indicus",IF(COUNTIF(lists!$L$2:$L$258, K1896) &gt; 0,"cross.bred","pure.bred.exotic")),"NA")</f>
        <v>cross.bred</v>
      </c>
      <c r="O1896" s="9" t="s">
        <v>124</v>
      </c>
      <c r="P1896" s="9" t="s">
        <v>4330</v>
      </c>
      <c r="Q1896" s="9" t="s">
        <v>3805</v>
      </c>
      <c r="R1896" s="9" t="s">
        <v>3830</v>
      </c>
      <c r="S1896" s="9" t="s">
        <v>106</v>
      </c>
      <c r="T1896" s="9" t="s">
        <v>106</v>
      </c>
      <c r="U1896" s="9" t="s">
        <v>106</v>
      </c>
      <c r="V1896" s="9" t="s">
        <v>106</v>
      </c>
      <c r="W1896" s="9" t="s">
        <v>106</v>
      </c>
      <c r="X1896" s="9" t="s">
        <v>106</v>
      </c>
      <c r="Y1896" s="9" t="s">
        <v>106</v>
      </c>
      <c r="Z1896" s="9" t="s">
        <v>106</v>
      </c>
      <c r="AA1896" s="9" t="s">
        <v>106</v>
      </c>
      <c r="AB1896" s="9" t="s">
        <v>106</v>
      </c>
      <c r="AC1896" s="9" t="s">
        <v>5100</v>
      </c>
      <c r="AD1896" s="9" t="s">
        <v>5100</v>
      </c>
    </row>
    <row r="1897" spans="1:30">
      <c r="A1897" s="9" t="s">
        <v>3919</v>
      </c>
      <c r="B1897" s="9" t="s">
        <v>4331</v>
      </c>
      <c r="C1897" s="9" t="s">
        <v>105</v>
      </c>
      <c r="D1897" s="9">
        <v>7.54</v>
      </c>
      <c r="E1897" s="9" t="s">
        <v>106</v>
      </c>
      <c r="F1897" s="9">
        <v>238.59</v>
      </c>
      <c r="G1897" s="9">
        <v>0.61799999999999999</v>
      </c>
      <c r="H1897" s="9" t="s">
        <v>106</v>
      </c>
      <c r="I1897" s="9">
        <v>50</v>
      </c>
      <c r="J1897" s="9" t="s">
        <v>122</v>
      </c>
      <c r="K1897" s="9" t="s">
        <v>4332</v>
      </c>
      <c r="L1897" t="str">
        <f>IF(OR(J1897="Cattle",J1897="Zebu Cattle"),IF(COUNTIF(lists!$M$2:$M$258, K1897) &gt; 0,"bos.indicus",IF(COUNTIF(lists!$L$2:$L$258, K1897) &gt; 0,"cross.bred","pure.bred.exotic")),"NA")</f>
        <v>bos.indicus</v>
      </c>
      <c r="O1897" s="9" t="s">
        <v>4193</v>
      </c>
      <c r="P1897" s="9" t="s">
        <v>4333</v>
      </c>
      <c r="Q1897" s="9" t="s">
        <v>3810</v>
      </c>
      <c r="R1897" s="9" t="s">
        <v>3830</v>
      </c>
      <c r="S1897" s="9">
        <v>105</v>
      </c>
      <c r="T1897" s="9">
        <v>53</v>
      </c>
      <c r="U1897" s="9">
        <v>138</v>
      </c>
      <c r="V1897" s="9">
        <v>948</v>
      </c>
      <c r="W1897" s="9">
        <v>61</v>
      </c>
      <c r="X1897" s="9">
        <v>259</v>
      </c>
      <c r="Y1897" s="9" t="s">
        <v>106</v>
      </c>
      <c r="Z1897" s="9">
        <v>40</v>
      </c>
      <c r="AA1897" s="9" t="s">
        <v>106</v>
      </c>
      <c r="AB1897" s="9">
        <v>67</v>
      </c>
      <c r="AC1897" s="9" t="s">
        <v>5100</v>
      </c>
      <c r="AD1897" s="9" t="s">
        <v>5100</v>
      </c>
    </row>
    <row r="1898" spans="1:30">
      <c r="A1898" s="9" t="s">
        <v>3952</v>
      </c>
      <c r="B1898" s="9" t="s">
        <v>4334</v>
      </c>
      <c r="C1898" s="9" t="s">
        <v>105</v>
      </c>
      <c r="D1898" s="9">
        <v>5.5460000000000003</v>
      </c>
      <c r="E1898" s="9" t="s">
        <v>106</v>
      </c>
      <c r="F1898" s="9">
        <v>273.5</v>
      </c>
      <c r="G1898" s="9">
        <v>0.78600000000000003</v>
      </c>
      <c r="H1898" s="9">
        <v>1.83</v>
      </c>
      <c r="I1898" s="9">
        <v>4</v>
      </c>
      <c r="J1898" s="9" t="s">
        <v>122</v>
      </c>
      <c r="K1898" s="9" t="s">
        <v>4338</v>
      </c>
      <c r="L1898" t="str">
        <f>IF(OR(J1898="Cattle",J1898="Zebu Cattle"),IF(COUNTIF(lists!$M$2:$M$258, K1898) &gt; 0,"bos.indicus",IF(COUNTIF(lists!$L$2:$L$258, K1898) &gt; 0,"cross.bred","pure.bred.exotic")),"NA")</f>
        <v>bos.indicus</v>
      </c>
      <c r="O1898" s="9" t="s">
        <v>4193</v>
      </c>
      <c r="P1898" s="9" t="s">
        <v>4045</v>
      </c>
      <c r="Q1898" s="9" t="s">
        <v>3809</v>
      </c>
      <c r="R1898" s="9" t="s">
        <v>3830</v>
      </c>
      <c r="S1898" s="9">
        <v>140</v>
      </c>
      <c r="T1898" s="9">
        <v>64</v>
      </c>
      <c r="U1898" s="9">
        <v>272</v>
      </c>
      <c r="V1898" s="9">
        <v>913</v>
      </c>
      <c r="W1898" s="9">
        <v>46</v>
      </c>
      <c r="X1898" s="9">
        <v>277</v>
      </c>
      <c r="Y1898" s="9" t="s">
        <v>106</v>
      </c>
      <c r="Z1898" s="9" t="s">
        <v>106</v>
      </c>
      <c r="AA1898" s="9" t="s">
        <v>106</v>
      </c>
      <c r="AB1898" s="9" t="s">
        <v>106</v>
      </c>
      <c r="AC1898" s="9" t="s">
        <v>5100</v>
      </c>
      <c r="AD1898" s="9" t="s">
        <v>5100</v>
      </c>
    </row>
    <row r="1899" spans="1:30">
      <c r="A1899" s="9" t="s">
        <v>3952</v>
      </c>
      <c r="B1899" s="9" t="s">
        <v>4335</v>
      </c>
      <c r="C1899" s="9" t="s">
        <v>105</v>
      </c>
      <c r="D1899" s="9">
        <v>6.9169999999999998</v>
      </c>
      <c r="E1899" s="9" t="s">
        <v>106</v>
      </c>
      <c r="F1899" s="9">
        <v>264.3</v>
      </c>
      <c r="G1899" s="9">
        <v>0.746</v>
      </c>
      <c r="H1899" s="9">
        <v>2.2000000000000002</v>
      </c>
      <c r="I1899" s="9">
        <v>4</v>
      </c>
      <c r="J1899" s="9" t="s">
        <v>122</v>
      </c>
      <c r="K1899" s="9" t="s">
        <v>4338</v>
      </c>
      <c r="L1899" t="str">
        <f>IF(OR(J1899="Cattle",J1899="Zebu Cattle"),IF(COUNTIF(lists!$M$2:$M$258, K1899) &gt; 0,"bos.indicus",IF(COUNTIF(lists!$L$2:$L$258, K1899) &gt; 0,"cross.bred","pure.bred.exotic")),"NA")</f>
        <v>bos.indicus</v>
      </c>
      <c r="O1899" s="9" t="s">
        <v>4193</v>
      </c>
      <c r="P1899" s="9" t="s">
        <v>4045</v>
      </c>
      <c r="Q1899" s="9" t="s">
        <v>3809</v>
      </c>
      <c r="R1899" s="9" t="s">
        <v>3830</v>
      </c>
      <c r="S1899" s="9">
        <v>130</v>
      </c>
      <c r="T1899" s="9">
        <v>67</v>
      </c>
      <c r="U1899" s="9">
        <v>274</v>
      </c>
      <c r="V1899" s="9">
        <v>915</v>
      </c>
      <c r="W1899" s="9">
        <v>58</v>
      </c>
      <c r="X1899" s="9">
        <v>260</v>
      </c>
      <c r="Y1899" s="9" t="s">
        <v>106</v>
      </c>
      <c r="Z1899" s="9" t="s">
        <v>106</v>
      </c>
      <c r="AA1899" s="9" t="s">
        <v>106</v>
      </c>
      <c r="AB1899" s="9" t="s">
        <v>106</v>
      </c>
      <c r="AC1899" s="9" t="s">
        <v>5100</v>
      </c>
      <c r="AD1899" s="9" t="s">
        <v>5100</v>
      </c>
    </row>
    <row r="1900" spans="1:30">
      <c r="A1900" s="9" t="s">
        <v>3952</v>
      </c>
      <c r="B1900" s="9" t="s">
        <v>4336</v>
      </c>
      <c r="C1900" s="9" t="s">
        <v>105</v>
      </c>
      <c r="D1900" s="9">
        <v>8.0850000000000009</v>
      </c>
      <c r="E1900" s="9" t="s">
        <v>106</v>
      </c>
      <c r="F1900" s="9">
        <v>279.5</v>
      </c>
      <c r="G1900" s="9">
        <v>0.59799999999999998</v>
      </c>
      <c r="H1900" s="9">
        <v>3.83</v>
      </c>
      <c r="I1900" s="9">
        <v>4</v>
      </c>
      <c r="J1900" s="9" t="s">
        <v>122</v>
      </c>
      <c r="K1900" s="9" t="s">
        <v>4338</v>
      </c>
      <c r="L1900" t="str">
        <f>IF(OR(J1900="Cattle",J1900="Zebu Cattle"),IF(COUNTIF(lists!$M$2:$M$258, K1900) &gt; 0,"bos.indicus",IF(COUNTIF(lists!$L$2:$L$258, K1900) &gt; 0,"cross.bred","pure.bred.exotic")),"NA")</f>
        <v>bos.indicus</v>
      </c>
      <c r="O1900" s="9" t="s">
        <v>4193</v>
      </c>
      <c r="P1900" s="9" t="s">
        <v>4045</v>
      </c>
      <c r="Q1900" s="9" t="s">
        <v>3809</v>
      </c>
      <c r="R1900" s="9" t="s">
        <v>3830</v>
      </c>
      <c r="S1900" s="9">
        <v>144</v>
      </c>
      <c r="T1900" s="9">
        <v>68</v>
      </c>
      <c r="U1900" s="9">
        <v>280</v>
      </c>
      <c r="V1900" s="9">
        <v>917</v>
      </c>
      <c r="W1900" s="9">
        <v>56</v>
      </c>
      <c r="X1900" s="9">
        <v>289</v>
      </c>
      <c r="Y1900" s="9" t="s">
        <v>106</v>
      </c>
      <c r="Z1900" s="9" t="s">
        <v>106</v>
      </c>
      <c r="AA1900" s="9" t="s">
        <v>106</v>
      </c>
      <c r="AB1900" s="9" t="s">
        <v>106</v>
      </c>
      <c r="AC1900" s="9" t="s">
        <v>5100</v>
      </c>
      <c r="AD1900" s="9" t="s">
        <v>5100</v>
      </c>
    </row>
    <row r="1901" spans="1:30">
      <c r="A1901" s="9" t="s">
        <v>3952</v>
      </c>
      <c r="B1901" s="9" t="s">
        <v>4337</v>
      </c>
      <c r="C1901" s="9" t="s">
        <v>105</v>
      </c>
      <c r="D1901" s="9">
        <v>9.3279999999999994</v>
      </c>
      <c r="E1901" s="9" t="s">
        <v>106</v>
      </c>
      <c r="F1901" s="9">
        <v>294.5</v>
      </c>
      <c r="G1901" s="9">
        <v>0.94599999999999995</v>
      </c>
      <c r="H1901" s="9">
        <v>3.21</v>
      </c>
      <c r="I1901" s="9">
        <v>4</v>
      </c>
      <c r="J1901" s="9" t="s">
        <v>122</v>
      </c>
      <c r="K1901" s="9" t="s">
        <v>4338</v>
      </c>
      <c r="L1901" t="str">
        <f>IF(OR(J1901="Cattle",J1901="Zebu Cattle"),IF(COUNTIF(lists!$M$2:$M$258, K1901) &gt; 0,"bos.indicus",IF(COUNTIF(lists!$L$2:$L$258, K1901) &gt; 0,"cross.bred","pure.bred.exotic")),"NA")</f>
        <v>bos.indicus</v>
      </c>
      <c r="O1901" s="9" t="s">
        <v>4193</v>
      </c>
      <c r="P1901" s="9" t="s">
        <v>4045</v>
      </c>
      <c r="Q1901" s="9" t="s">
        <v>3809</v>
      </c>
      <c r="R1901" s="9" t="s">
        <v>3830</v>
      </c>
      <c r="S1901" s="9">
        <v>132</v>
      </c>
      <c r="T1901" s="9">
        <v>73</v>
      </c>
      <c r="U1901" s="9">
        <v>290</v>
      </c>
      <c r="V1901" s="9">
        <v>918</v>
      </c>
      <c r="W1901" s="9">
        <v>46</v>
      </c>
      <c r="X1901" s="9">
        <v>270</v>
      </c>
      <c r="Y1901" s="9" t="s">
        <v>106</v>
      </c>
      <c r="Z1901" s="9" t="s">
        <v>106</v>
      </c>
      <c r="AA1901" s="9" t="s">
        <v>106</v>
      </c>
      <c r="AB1901" s="9" t="s">
        <v>106</v>
      </c>
      <c r="AC1901" s="9" t="s">
        <v>5100</v>
      </c>
      <c r="AD1901" s="9" t="s">
        <v>5100</v>
      </c>
    </row>
    <row r="1902" spans="1:30">
      <c r="A1902" s="9" t="s">
        <v>3998</v>
      </c>
      <c r="B1902" s="9" t="s">
        <v>4341</v>
      </c>
      <c r="C1902" s="9" t="s">
        <v>105</v>
      </c>
      <c r="D1902" s="9">
        <v>8.9450000000000003</v>
      </c>
      <c r="E1902" s="9" t="s">
        <v>106</v>
      </c>
      <c r="F1902" s="9">
        <v>302.5</v>
      </c>
      <c r="G1902" s="9">
        <v>0.96</v>
      </c>
      <c r="H1902" s="9" t="s">
        <v>106</v>
      </c>
      <c r="I1902" s="9">
        <v>6</v>
      </c>
      <c r="J1902" s="9" t="s">
        <v>122</v>
      </c>
      <c r="K1902" s="9" t="s">
        <v>4345</v>
      </c>
      <c r="L1902" t="str">
        <f>IF(OR(J1902="Cattle",J1902="Zebu Cattle"),IF(COUNTIF(lists!$M$2:$M$258, K1902) &gt; 0,"bos.indicus",IF(COUNTIF(lists!$L$2:$L$258, K1902) &gt; 0,"cross.bred","pure.bred.exotic")),"NA")</f>
        <v>cross.bred</v>
      </c>
      <c r="O1902" s="9" t="s">
        <v>124</v>
      </c>
      <c r="P1902" s="9" t="s">
        <v>4766</v>
      </c>
      <c r="Q1902" s="9" t="s">
        <v>3813</v>
      </c>
      <c r="R1902" s="9" t="s">
        <v>3830</v>
      </c>
      <c r="S1902" s="9" t="s">
        <v>106</v>
      </c>
      <c r="T1902" s="9">
        <v>40.799999999999997</v>
      </c>
      <c r="U1902" s="9">
        <v>214</v>
      </c>
      <c r="V1902" s="9">
        <v>961</v>
      </c>
      <c r="W1902" s="9">
        <v>122.9</v>
      </c>
      <c r="X1902" s="9" t="s">
        <v>106</v>
      </c>
      <c r="Y1902" s="9" t="s">
        <v>106</v>
      </c>
      <c r="Z1902" s="9" t="s">
        <v>106</v>
      </c>
      <c r="AA1902" s="9">
        <v>62.67</v>
      </c>
      <c r="AB1902" s="9" t="s">
        <v>106</v>
      </c>
      <c r="AC1902" s="9" t="s">
        <v>5100</v>
      </c>
      <c r="AD1902" s="9" t="s">
        <v>5100</v>
      </c>
    </row>
    <row r="1903" spans="1:30">
      <c r="A1903" s="9" t="s">
        <v>3998</v>
      </c>
      <c r="B1903" s="9" t="s">
        <v>4342</v>
      </c>
      <c r="C1903" s="9" t="s">
        <v>105</v>
      </c>
      <c r="D1903" s="9">
        <v>10.552</v>
      </c>
      <c r="E1903" s="9" t="s">
        <v>106</v>
      </c>
      <c r="F1903" s="9">
        <v>307.10000000000002</v>
      </c>
      <c r="G1903" s="9">
        <v>1.02</v>
      </c>
      <c r="H1903" s="9" t="s">
        <v>106</v>
      </c>
      <c r="I1903" s="9">
        <v>6</v>
      </c>
      <c r="J1903" s="9" t="s">
        <v>122</v>
      </c>
      <c r="K1903" s="9" t="s">
        <v>4345</v>
      </c>
      <c r="L1903" t="str">
        <f>IF(OR(J1903="Cattle",J1903="Zebu Cattle"),IF(COUNTIF(lists!$M$2:$M$258, K1903) &gt; 0,"bos.indicus",IF(COUNTIF(lists!$L$2:$L$258, K1903) &gt; 0,"cross.bred","pure.bred.exotic")),"NA")</f>
        <v>cross.bred</v>
      </c>
      <c r="O1903" s="9" t="s">
        <v>124</v>
      </c>
      <c r="P1903" s="9" t="s">
        <v>4766</v>
      </c>
      <c r="Q1903" s="9" t="s">
        <v>3813</v>
      </c>
      <c r="R1903" s="9" t="s">
        <v>3830</v>
      </c>
      <c r="S1903" s="9" t="s">
        <v>106</v>
      </c>
      <c r="T1903" s="9">
        <v>33.700000000000003</v>
      </c>
      <c r="U1903" s="9">
        <v>200</v>
      </c>
      <c r="V1903" s="9">
        <v>961</v>
      </c>
      <c r="W1903" s="9">
        <v>103.4</v>
      </c>
      <c r="X1903" s="9" t="s">
        <v>106</v>
      </c>
      <c r="Y1903" s="9" t="s">
        <v>106</v>
      </c>
      <c r="Z1903" s="9" t="s">
        <v>106</v>
      </c>
      <c r="AA1903" s="9">
        <v>65.430000000000007</v>
      </c>
      <c r="AB1903" s="9" t="s">
        <v>106</v>
      </c>
      <c r="AC1903" s="9" t="s">
        <v>5100</v>
      </c>
      <c r="AD1903" s="9" t="s">
        <v>5100</v>
      </c>
    </row>
    <row r="1904" spans="1:30">
      <c r="A1904" s="9" t="s">
        <v>3998</v>
      </c>
      <c r="B1904" s="9" t="s">
        <v>4343</v>
      </c>
      <c r="C1904" s="9" t="s">
        <v>105</v>
      </c>
      <c r="D1904" s="9">
        <v>11.068</v>
      </c>
      <c r="E1904" s="9" t="s">
        <v>106</v>
      </c>
      <c r="F1904" s="9">
        <v>331.87</v>
      </c>
      <c r="G1904" s="9">
        <v>1.1000000000000001</v>
      </c>
      <c r="H1904" s="9" t="s">
        <v>106</v>
      </c>
      <c r="I1904" s="9">
        <v>6</v>
      </c>
      <c r="J1904" s="9" t="s">
        <v>122</v>
      </c>
      <c r="K1904" s="9" t="s">
        <v>4345</v>
      </c>
      <c r="L1904" t="str">
        <f>IF(OR(J1904="Cattle",J1904="Zebu Cattle"),IF(COUNTIF(lists!$M$2:$M$258, K1904) &gt; 0,"bos.indicus",IF(COUNTIF(lists!$L$2:$L$258, K1904) &gt; 0,"cross.bred","pure.bred.exotic")),"NA")</f>
        <v>cross.bred</v>
      </c>
      <c r="O1904" s="9" t="s">
        <v>124</v>
      </c>
      <c r="P1904" s="9" t="s">
        <v>4766</v>
      </c>
      <c r="Q1904" s="9" t="s">
        <v>3813</v>
      </c>
      <c r="R1904" s="9" t="s">
        <v>3830</v>
      </c>
      <c r="S1904" s="9" t="s">
        <v>106</v>
      </c>
      <c r="T1904" s="9">
        <v>33.1</v>
      </c>
      <c r="U1904" s="9">
        <v>189</v>
      </c>
      <c r="V1904" s="9">
        <v>955</v>
      </c>
      <c r="W1904" s="9">
        <v>73.5</v>
      </c>
      <c r="X1904" s="9" t="s">
        <v>106</v>
      </c>
      <c r="Y1904" s="9" t="s">
        <v>106</v>
      </c>
      <c r="Z1904" s="9" t="s">
        <v>106</v>
      </c>
      <c r="AA1904" s="9">
        <v>68.12</v>
      </c>
      <c r="AB1904" s="9" t="s">
        <v>106</v>
      </c>
      <c r="AC1904" s="9" t="s">
        <v>5100</v>
      </c>
      <c r="AD1904" s="9" t="s">
        <v>5100</v>
      </c>
    </row>
    <row r="1905" spans="1:30">
      <c r="A1905" s="9" t="s">
        <v>3998</v>
      </c>
      <c r="B1905" s="9" t="s">
        <v>4344</v>
      </c>
      <c r="C1905" s="9" t="s">
        <v>105</v>
      </c>
      <c r="D1905" s="9">
        <v>11.743</v>
      </c>
      <c r="E1905" s="9" t="s">
        <v>106</v>
      </c>
      <c r="F1905" s="9">
        <v>323.27</v>
      </c>
      <c r="G1905" s="9">
        <v>1.05</v>
      </c>
      <c r="H1905" s="9" t="s">
        <v>106</v>
      </c>
      <c r="I1905" s="9">
        <v>6</v>
      </c>
      <c r="J1905" s="9" t="s">
        <v>122</v>
      </c>
      <c r="K1905" s="9" t="s">
        <v>4345</v>
      </c>
      <c r="L1905" t="str">
        <f>IF(OR(J1905="Cattle",J1905="Zebu Cattle"),IF(COUNTIF(lists!$M$2:$M$258, K1905) &gt; 0,"bos.indicus",IF(COUNTIF(lists!$L$2:$L$258, K1905) &gt; 0,"cross.bred","pure.bred.exotic")),"NA")</f>
        <v>cross.bred</v>
      </c>
      <c r="O1905" s="9" t="s">
        <v>124</v>
      </c>
      <c r="P1905" s="9" t="s">
        <v>4766</v>
      </c>
      <c r="Q1905" s="9" t="s">
        <v>3813</v>
      </c>
      <c r="R1905" s="9" t="s">
        <v>3830</v>
      </c>
      <c r="S1905" s="9" t="s">
        <v>106</v>
      </c>
      <c r="T1905" s="9">
        <v>34.9</v>
      </c>
      <c r="U1905" s="9">
        <v>189</v>
      </c>
      <c r="V1905" s="9">
        <v>956</v>
      </c>
      <c r="W1905" s="9">
        <v>68.099999999999994</v>
      </c>
      <c r="X1905" s="9" t="s">
        <v>106</v>
      </c>
      <c r="Y1905" s="9" t="s">
        <v>106</v>
      </c>
      <c r="Z1905" s="9" t="s">
        <v>106</v>
      </c>
      <c r="AA1905" s="9">
        <v>67.58</v>
      </c>
      <c r="AB1905" s="9" t="s">
        <v>106</v>
      </c>
      <c r="AC1905" s="9" t="s">
        <v>5100</v>
      </c>
      <c r="AD1905" s="9" t="s">
        <v>5100</v>
      </c>
    </row>
    <row r="1906" spans="1:30">
      <c r="A1906" s="9" t="s">
        <v>3899</v>
      </c>
      <c r="B1906" s="9" t="s">
        <v>4346</v>
      </c>
      <c r="C1906" s="9" t="s">
        <v>105</v>
      </c>
      <c r="D1906" s="9">
        <v>4.45</v>
      </c>
      <c r="E1906" s="9" t="s">
        <v>106</v>
      </c>
      <c r="F1906" s="9">
        <v>150.58000000000001</v>
      </c>
      <c r="G1906" s="9">
        <v>0.49</v>
      </c>
      <c r="H1906" s="9" t="s">
        <v>106</v>
      </c>
      <c r="I1906" s="9">
        <v>6</v>
      </c>
      <c r="J1906" s="9" t="s">
        <v>122</v>
      </c>
      <c r="K1906" s="9" t="s">
        <v>1327</v>
      </c>
      <c r="L1906" t="str">
        <f>IF(OR(J1906="Cattle",J1906="Zebu Cattle"),IF(COUNTIF(lists!$M$2:$M$258, K1906) &gt; 0,"bos.indicus",IF(COUNTIF(lists!$L$2:$L$258, K1906) &gt; 0,"cross.bred","pure.bred.exotic")),"NA")</f>
        <v>bos.indicus</v>
      </c>
      <c r="O1906" s="9" t="s">
        <v>4193</v>
      </c>
      <c r="P1906" s="9" t="s">
        <v>4347</v>
      </c>
      <c r="Q1906" s="9" t="s">
        <v>3804</v>
      </c>
      <c r="R1906" s="9" t="s">
        <v>3830</v>
      </c>
      <c r="S1906" s="9">
        <v>326.2</v>
      </c>
      <c r="T1906" s="9">
        <v>84.4</v>
      </c>
      <c r="U1906" s="9">
        <v>114.5</v>
      </c>
      <c r="V1906" s="9">
        <v>909</v>
      </c>
      <c r="W1906" s="9" t="s">
        <v>106</v>
      </c>
      <c r="X1906" s="9">
        <v>677.1</v>
      </c>
      <c r="Y1906" s="9" t="s">
        <v>106</v>
      </c>
      <c r="Z1906" s="9">
        <v>72</v>
      </c>
      <c r="AA1906" s="9" t="s">
        <v>106</v>
      </c>
      <c r="AB1906" s="9" t="s">
        <v>106</v>
      </c>
      <c r="AC1906" s="9" t="s">
        <v>5100</v>
      </c>
      <c r="AD1906" s="9" t="s">
        <v>5100</v>
      </c>
    </row>
    <row r="1907" spans="1:30">
      <c r="A1907" s="9" t="s">
        <v>3899</v>
      </c>
      <c r="B1907" s="9" t="s">
        <v>4346</v>
      </c>
      <c r="C1907" s="9" t="s">
        <v>105</v>
      </c>
      <c r="D1907" s="9">
        <v>5.46</v>
      </c>
      <c r="E1907" s="9" t="s">
        <v>106</v>
      </c>
      <c r="F1907" s="9">
        <v>181.25</v>
      </c>
      <c r="G1907" s="9">
        <v>0.71</v>
      </c>
      <c r="H1907" s="9" t="s">
        <v>106</v>
      </c>
      <c r="I1907" s="9">
        <v>6</v>
      </c>
      <c r="J1907" s="9" t="s">
        <v>122</v>
      </c>
      <c r="K1907" s="9" t="s">
        <v>4161</v>
      </c>
      <c r="L1907" t="str">
        <f>IF(OR(J1907="Cattle",J1907="Zebu Cattle"),IF(COUNTIF(lists!$M$2:$M$258, K1907) &gt; 0,"bos.indicus",IF(COUNTIF(lists!$L$2:$L$258, K1907) &gt; 0,"cross.bred","pure.bred.exotic")),"NA")</f>
        <v>bos.indicus</v>
      </c>
      <c r="O1907" s="9" t="s">
        <v>4193</v>
      </c>
      <c r="P1907" s="9" t="s">
        <v>4347</v>
      </c>
      <c r="Q1907" s="9" t="s">
        <v>3804</v>
      </c>
      <c r="R1907" s="9" t="s">
        <v>3830</v>
      </c>
      <c r="S1907" s="9">
        <v>326.2</v>
      </c>
      <c r="T1907" s="9">
        <v>84.4</v>
      </c>
      <c r="U1907" s="9">
        <v>114.5</v>
      </c>
      <c r="V1907" s="9">
        <v>909</v>
      </c>
      <c r="W1907" s="9" t="s">
        <v>106</v>
      </c>
      <c r="X1907" s="9">
        <v>677.1</v>
      </c>
      <c r="Y1907" s="9" t="s">
        <v>106</v>
      </c>
      <c r="Z1907" s="9">
        <v>72</v>
      </c>
      <c r="AA1907" s="9" t="s">
        <v>106</v>
      </c>
      <c r="AB1907" s="9" t="s">
        <v>106</v>
      </c>
      <c r="AC1907" s="9" t="s">
        <v>5100</v>
      </c>
      <c r="AD1907" s="9" t="s">
        <v>5100</v>
      </c>
    </row>
    <row r="1908" spans="1:30">
      <c r="A1908" s="9" t="s">
        <v>3899</v>
      </c>
      <c r="B1908" s="9" t="s">
        <v>4346</v>
      </c>
      <c r="C1908" s="9" t="s">
        <v>105</v>
      </c>
      <c r="D1908" s="9">
        <v>5.41</v>
      </c>
      <c r="E1908" s="9" t="s">
        <v>106</v>
      </c>
      <c r="F1908" s="9">
        <v>184.25</v>
      </c>
      <c r="G1908" s="9">
        <v>0.65</v>
      </c>
      <c r="H1908" s="9" t="s">
        <v>106</v>
      </c>
      <c r="I1908" s="9">
        <v>6</v>
      </c>
      <c r="J1908" s="9" t="s">
        <v>122</v>
      </c>
      <c r="K1908" s="9" t="s">
        <v>4291</v>
      </c>
      <c r="L1908" t="str">
        <f>IF(OR(J1908="Cattle",J1908="Zebu Cattle"),IF(COUNTIF(lists!$M$2:$M$258, K1908) &gt; 0,"bos.indicus",IF(COUNTIF(lists!$L$2:$L$258, K1908) &gt; 0,"cross.bred","pure.bred.exotic")),"NA")</f>
        <v>cross.bred</v>
      </c>
      <c r="O1908" s="9" t="s">
        <v>124</v>
      </c>
      <c r="P1908" s="9" t="s">
        <v>4347</v>
      </c>
      <c r="Q1908" s="9" t="s">
        <v>3804</v>
      </c>
      <c r="R1908" s="9" t="s">
        <v>3830</v>
      </c>
      <c r="S1908" s="9">
        <v>326.2</v>
      </c>
      <c r="T1908" s="9">
        <v>84.4</v>
      </c>
      <c r="U1908" s="9">
        <v>114.5</v>
      </c>
      <c r="V1908" s="9">
        <v>909</v>
      </c>
      <c r="W1908" s="9" t="s">
        <v>106</v>
      </c>
      <c r="X1908" s="9">
        <v>677.1</v>
      </c>
      <c r="Y1908" s="9" t="s">
        <v>106</v>
      </c>
      <c r="Z1908" s="9">
        <v>72</v>
      </c>
      <c r="AA1908" s="9" t="s">
        <v>106</v>
      </c>
      <c r="AB1908" s="9" t="s">
        <v>106</v>
      </c>
      <c r="AC1908" s="9" t="s">
        <v>5100</v>
      </c>
      <c r="AD1908" s="9" t="s">
        <v>5100</v>
      </c>
    </row>
    <row r="1909" spans="1:30">
      <c r="A1909" s="9" t="s">
        <v>3899</v>
      </c>
      <c r="B1909" s="9" t="s">
        <v>4346</v>
      </c>
      <c r="C1909" s="9" t="s">
        <v>105</v>
      </c>
      <c r="D1909" s="9">
        <v>4.53</v>
      </c>
      <c r="E1909" s="9" t="s">
        <v>106</v>
      </c>
      <c r="F1909" s="9">
        <v>152.83000000000001</v>
      </c>
      <c r="G1909" s="9">
        <v>0.67</v>
      </c>
      <c r="H1909" s="9" t="s">
        <v>106</v>
      </c>
      <c r="I1909" s="9">
        <v>6</v>
      </c>
      <c r="J1909" s="9" t="s">
        <v>122</v>
      </c>
      <c r="K1909" s="9" t="s">
        <v>4099</v>
      </c>
      <c r="L1909" t="str">
        <f>IF(OR(J1909="Cattle",J1909="Zebu Cattle"),IF(COUNTIF(lists!$M$2:$M$258, K1909) &gt; 0,"bos.indicus",IF(COUNTIF(lists!$L$2:$L$258, K1909) &gt; 0,"cross.bred","pure.bred.exotic")),"NA")</f>
        <v>bos.indicus</v>
      </c>
      <c r="O1909" s="9" t="s">
        <v>4193</v>
      </c>
      <c r="P1909" s="9" t="s">
        <v>4347</v>
      </c>
      <c r="Q1909" s="9" t="s">
        <v>3804</v>
      </c>
      <c r="R1909" s="9" t="s">
        <v>3830</v>
      </c>
      <c r="S1909" s="9">
        <v>326.2</v>
      </c>
      <c r="T1909" s="9">
        <v>84.4</v>
      </c>
      <c r="U1909" s="9">
        <v>114.5</v>
      </c>
      <c r="V1909" s="9">
        <v>909</v>
      </c>
      <c r="W1909" s="9" t="s">
        <v>106</v>
      </c>
      <c r="X1909" s="9">
        <v>677.1</v>
      </c>
      <c r="Y1909" s="9" t="s">
        <v>106</v>
      </c>
      <c r="Z1909" s="9">
        <v>72</v>
      </c>
      <c r="AA1909" s="9" t="s">
        <v>106</v>
      </c>
      <c r="AB1909" s="9" t="s">
        <v>106</v>
      </c>
      <c r="AC1909" s="9" t="s">
        <v>5100</v>
      </c>
      <c r="AD1909" s="9" t="s">
        <v>5100</v>
      </c>
    </row>
    <row r="1910" spans="1:30">
      <c r="A1910" s="9" t="s">
        <v>4339</v>
      </c>
      <c r="B1910" s="9" t="s">
        <v>4350</v>
      </c>
      <c r="C1910" s="9" t="s">
        <v>105</v>
      </c>
      <c r="D1910" s="9">
        <v>2.2799999999999998</v>
      </c>
      <c r="E1910" s="9" t="s">
        <v>106</v>
      </c>
      <c r="F1910" s="9">
        <v>150.5</v>
      </c>
      <c r="G1910" s="9">
        <v>0.49</v>
      </c>
      <c r="H1910" s="9" t="s">
        <v>106</v>
      </c>
      <c r="I1910" s="9">
        <v>3</v>
      </c>
      <c r="J1910" s="9" t="s">
        <v>122</v>
      </c>
      <c r="K1910" s="9" t="s">
        <v>1327</v>
      </c>
      <c r="L1910" t="str">
        <f>IF(OR(J1910="Cattle",J1910="Zebu Cattle"),IF(COUNTIF(lists!$M$2:$M$258, K1910) &gt; 0,"bos.indicus",IF(COUNTIF(lists!$L$2:$L$258, K1910) &gt; 0,"cross.bred","pure.bred.exotic")),"NA")</f>
        <v>bos.indicus</v>
      </c>
      <c r="O1910" s="9" t="s">
        <v>4193</v>
      </c>
      <c r="P1910" s="9" t="s">
        <v>4352</v>
      </c>
      <c r="Q1910" s="9" t="s">
        <v>3804</v>
      </c>
      <c r="R1910" s="9" t="s">
        <v>3830</v>
      </c>
      <c r="S1910" s="9" t="s">
        <v>106</v>
      </c>
      <c r="T1910" s="9" t="s">
        <v>106</v>
      </c>
      <c r="U1910" s="9" t="s">
        <v>106</v>
      </c>
      <c r="V1910" s="9" t="s">
        <v>106</v>
      </c>
      <c r="W1910" s="9" t="s">
        <v>106</v>
      </c>
      <c r="X1910" s="9" t="s">
        <v>106</v>
      </c>
      <c r="Y1910" s="9" t="s">
        <v>106</v>
      </c>
      <c r="Z1910" s="9" t="s">
        <v>106</v>
      </c>
      <c r="AA1910" s="9" t="s">
        <v>106</v>
      </c>
      <c r="AB1910" s="9" t="s">
        <v>106</v>
      </c>
      <c r="AC1910" s="9" t="s">
        <v>5100</v>
      </c>
      <c r="AD1910" s="9" t="s">
        <v>5100</v>
      </c>
    </row>
    <row r="1911" spans="1:30">
      <c r="A1911" s="9" t="s">
        <v>4339</v>
      </c>
      <c r="B1911" s="9" t="s">
        <v>4350</v>
      </c>
      <c r="C1911" s="9" t="s">
        <v>105</v>
      </c>
      <c r="D1911" s="9">
        <v>2.81</v>
      </c>
      <c r="E1911" s="9" t="s">
        <v>106</v>
      </c>
      <c r="F1911" s="9">
        <v>186.7</v>
      </c>
      <c r="G1911" s="9">
        <v>0.65</v>
      </c>
      <c r="H1911" s="9" t="s">
        <v>106</v>
      </c>
      <c r="I1911" s="9">
        <v>3</v>
      </c>
      <c r="J1911" s="9" t="s">
        <v>122</v>
      </c>
      <c r="K1911" s="9" t="s">
        <v>4099</v>
      </c>
      <c r="L1911" t="str">
        <f>IF(OR(J1911="Cattle",J1911="Zebu Cattle"),IF(COUNTIF(lists!$M$2:$M$258, K1911) &gt; 0,"bos.indicus",IF(COUNTIF(lists!$L$2:$L$258, K1911) &gt; 0,"cross.bred","pure.bred.exotic")),"NA")</f>
        <v>bos.indicus</v>
      </c>
      <c r="O1911" s="9" t="s">
        <v>4193</v>
      </c>
      <c r="P1911" s="9" t="s">
        <v>4352</v>
      </c>
      <c r="Q1911" s="9" t="s">
        <v>3804</v>
      </c>
      <c r="R1911" s="9" t="s">
        <v>3830</v>
      </c>
      <c r="S1911" s="9" t="s">
        <v>106</v>
      </c>
      <c r="T1911" s="9" t="s">
        <v>106</v>
      </c>
      <c r="U1911" s="9" t="s">
        <v>106</v>
      </c>
      <c r="V1911" s="9" t="s">
        <v>106</v>
      </c>
      <c r="W1911" s="9" t="s">
        <v>106</v>
      </c>
      <c r="X1911" s="9" t="s">
        <v>106</v>
      </c>
      <c r="Y1911" s="9" t="s">
        <v>106</v>
      </c>
      <c r="Z1911" s="9" t="s">
        <v>106</v>
      </c>
      <c r="AA1911" s="9" t="s">
        <v>106</v>
      </c>
      <c r="AB1911" s="9" t="s">
        <v>106</v>
      </c>
      <c r="AC1911" s="9" t="s">
        <v>5100</v>
      </c>
      <c r="AD1911" s="9" t="s">
        <v>5100</v>
      </c>
    </row>
    <row r="1912" spans="1:30">
      <c r="A1912" s="9" t="s">
        <v>4339</v>
      </c>
      <c r="B1912" s="9" t="s">
        <v>4350</v>
      </c>
      <c r="C1912" s="9" t="s">
        <v>105</v>
      </c>
      <c r="D1912" s="9">
        <v>3.84</v>
      </c>
      <c r="E1912" s="9" t="s">
        <v>106</v>
      </c>
      <c r="F1912" s="9">
        <v>244.2</v>
      </c>
      <c r="G1912" s="9">
        <v>0.63</v>
      </c>
      <c r="H1912" s="9" t="s">
        <v>106</v>
      </c>
      <c r="I1912" s="9">
        <v>3</v>
      </c>
      <c r="J1912" s="9" t="s">
        <v>122</v>
      </c>
      <c r="K1912" s="9" t="s">
        <v>4790</v>
      </c>
      <c r="L1912" t="str">
        <f>IF(OR(J1912="Cattle",J1912="Zebu Cattle"),IF(COUNTIF(lists!$M$2:$M$258, K1912) &gt; 0,"bos.indicus",IF(COUNTIF(lists!$L$2:$L$258, K1912) &gt; 0,"cross.bred","pure.bred.exotic")),"NA")</f>
        <v>bos.indicus</v>
      </c>
      <c r="O1912" s="9" t="s">
        <v>4193</v>
      </c>
      <c r="P1912" s="9" t="s">
        <v>4352</v>
      </c>
      <c r="Q1912" s="9" t="s">
        <v>3804</v>
      </c>
      <c r="R1912" s="9" t="s">
        <v>3830</v>
      </c>
      <c r="S1912" s="9" t="s">
        <v>106</v>
      </c>
      <c r="T1912" s="9" t="s">
        <v>106</v>
      </c>
      <c r="U1912" s="9" t="s">
        <v>106</v>
      </c>
      <c r="V1912" s="9" t="s">
        <v>106</v>
      </c>
      <c r="W1912" s="9" t="s">
        <v>106</v>
      </c>
      <c r="X1912" s="9" t="s">
        <v>106</v>
      </c>
      <c r="Y1912" s="9" t="s">
        <v>106</v>
      </c>
      <c r="Z1912" s="9" t="s">
        <v>106</v>
      </c>
      <c r="AA1912" s="9" t="s">
        <v>106</v>
      </c>
      <c r="AB1912" s="9" t="s">
        <v>106</v>
      </c>
      <c r="AC1912" s="9" t="s">
        <v>5100</v>
      </c>
      <c r="AD1912" s="9" t="s">
        <v>5100</v>
      </c>
    </row>
    <row r="1913" spans="1:30">
      <c r="A1913" s="9" t="s">
        <v>4339</v>
      </c>
      <c r="B1913" s="9" t="s">
        <v>4350</v>
      </c>
      <c r="C1913" s="9" t="s">
        <v>105</v>
      </c>
      <c r="D1913" s="9">
        <v>2.68</v>
      </c>
      <c r="E1913" s="9" t="s">
        <v>106</v>
      </c>
      <c r="F1913" s="9">
        <v>176.5</v>
      </c>
      <c r="G1913" s="9">
        <v>0.49</v>
      </c>
      <c r="H1913" s="9" t="s">
        <v>106</v>
      </c>
      <c r="I1913" s="9">
        <v>3</v>
      </c>
      <c r="J1913" s="9" t="s">
        <v>122</v>
      </c>
      <c r="K1913" s="9" t="s">
        <v>4351</v>
      </c>
      <c r="L1913" t="str">
        <f>IF(OR(J1913="Cattle",J1913="Zebu Cattle"),IF(COUNTIF(lists!$M$2:$M$258, K1913) &gt; 0,"bos.indicus",IF(COUNTIF(lists!$L$2:$L$258, K1913) &gt; 0,"cross.bred","pure.bred.exotic")),"NA")</f>
        <v>cross.bred</v>
      </c>
      <c r="O1913" s="9" t="s">
        <v>124</v>
      </c>
      <c r="P1913" s="9" t="s">
        <v>4352</v>
      </c>
      <c r="Q1913" s="9" t="s">
        <v>3804</v>
      </c>
      <c r="R1913" s="9" t="s">
        <v>3830</v>
      </c>
      <c r="S1913" s="9" t="s">
        <v>106</v>
      </c>
      <c r="T1913" s="9" t="s">
        <v>106</v>
      </c>
      <c r="U1913" s="9" t="s">
        <v>106</v>
      </c>
      <c r="V1913" s="9" t="s">
        <v>106</v>
      </c>
      <c r="W1913" s="9" t="s">
        <v>106</v>
      </c>
      <c r="X1913" s="9" t="s">
        <v>106</v>
      </c>
      <c r="Y1913" s="9" t="s">
        <v>106</v>
      </c>
      <c r="Z1913" s="9" t="s">
        <v>106</v>
      </c>
      <c r="AA1913" s="9" t="s">
        <v>106</v>
      </c>
      <c r="AB1913" s="9" t="s">
        <v>106</v>
      </c>
      <c r="AC1913" s="9" t="s">
        <v>5100</v>
      </c>
      <c r="AD1913" s="9" t="s">
        <v>5100</v>
      </c>
    </row>
    <row r="1914" spans="1:30">
      <c r="A1914" s="9" t="s">
        <v>3984</v>
      </c>
      <c r="B1914" s="9" t="s">
        <v>4353</v>
      </c>
      <c r="C1914" s="9" t="s">
        <v>105</v>
      </c>
      <c r="D1914" s="9">
        <v>11.3</v>
      </c>
      <c r="E1914" s="9" t="s">
        <v>106</v>
      </c>
      <c r="F1914" s="9">
        <v>365</v>
      </c>
      <c r="G1914" s="9" t="s">
        <v>106</v>
      </c>
      <c r="H1914" s="9">
        <v>6.82</v>
      </c>
      <c r="I1914" s="9">
        <v>6</v>
      </c>
      <c r="J1914" s="9" t="s">
        <v>122</v>
      </c>
      <c r="K1914" s="9" t="s">
        <v>4356</v>
      </c>
      <c r="L1914" t="str">
        <f>IF(OR(J1914="Cattle",J1914="Zebu Cattle"),IF(COUNTIF(lists!$M$2:$M$258, K1914) &gt; 0,"bos.indicus",IF(COUNTIF(lists!$L$2:$L$258, K1914) &gt; 0,"cross.bred","pure.bred.exotic")),"NA")</f>
        <v>cross.bred</v>
      </c>
      <c r="O1914" s="9" t="s">
        <v>124</v>
      </c>
      <c r="P1914" s="9" t="s">
        <v>4198</v>
      </c>
      <c r="Q1914" s="9" t="s">
        <v>3809</v>
      </c>
      <c r="R1914" s="9" t="s">
        <v>3829</v>
      </c>
      <c r="S1914" s="9" t="s">
        <v>106</v>
      </c>
      <c r="T1914" s="9" t="s">
        <v>106</v>
      </c>
      <c r="U1914" s="9" t="s">
        <v>106</v>
      </c>
      <c r="V1914" s="9" t="s">
        <v>106</v>
      </c>
      <c r="W1914" s="9" t="s">
        <v>106</v>
      </c>
      <c r="X1914" s="9" t="s">
        <v>106</v>
      </c>
      <c r="Y1914" s="9" t="s">
        <v>106</v>
      </c>
      <c r="Z1914" s="9" t="s">
        <v>106</v>
      </c>
      <c r="AA1914" s="9" t="s">
        <v>106</v>
      </c>
      <c r="AB1914" s="9" t="s">
        <v>106</v>
      </c>
      <c r="AC1914" s="9" t="s">
        <v>5100</v>
      </c>
      <c r="AD1914" s="9" t="s">
        <v>5100</v>
      </c>
    </row>
    <row r="1915" spans="1:30">
      <c r="A1915" s="9" t="s">
        <v>3984</v>
      </c>
      <c r="B1915" s="9" t="s">
        <v>4354</v>
      </c>
      <c r="C1915" s="9" t="s">
        <v>105</v>
      </c>
      <c r="D1915" s="9">
        <v>9.9</v>
      </c>
      <c r="E1915" s="9" t="s">
        <v>106</v>
      </c>
      <c r="F1915" s="9">
        <v>365</v>
      </c>
      <c r="G1915" s="9" t="s">
        <v>106</v>
      </c>
      <c r="H1915" s="9">
        <v>7.17</v>
      </c>
      <c r="I1915" s="9">
        <v>6</v>
      </c>
      <c r="J1915" s="9" t="s">
        <v>122</v>
      </c>
      <c r="K1915" s="9" t="s">
        <v>4356</v>
      </c>
      <c r="L1915" t="str">
        <f>IF(OR(J1915="Cattle",J1915="Zebu Cattle"),IF(COUNTIF(lists!$M$2:$M$258, K1915) &gt; 0,"bos.indicus",IF(COUNTIF(lists!$L$2:$L$258, K1915) &gt; 0,"cross.bred","pure.bred.exotic")),"NA")</f>
        <v>cross.bred</v>
      </c>
      <c r="O1915" s="9" t="s">
        <v>124</v>
      </c>
      <c r="P1915" s="9" t="s">
        <v>4198</v>
      </c>
      <c r="Q1915" s="9" t="s">
        <v>3809</v>
      </c>
      <c r="R1915" s="9" t="s">
        <v>3829</v>
      </c>
      <c r="S1915" s="9" t="s">
        <v>106</v>
      </c>
      <c r="T1915" s="9" t="s">
        <v>106</v>
      </c>
      <c r="U1915" s="9" t="s">
        <v>106</v>
      </c>
      <c r="V1915" s="9" t="s">
        <v>106</v>
      </c>
      <c r="W1915" s="9" t="s">
        <v>106</v>
      </c>
      <c r="X1915" s="9" t="s">
        <v>106</v>
      </c>
      <c r="Y1915" s="9" t="s">
        <v>106</v>
      </c>
      <c r="Z1915" s="9" t="s">
        <v>106</v>
      </c>
      <c r="AA1915" s="9" t="s">
        <v>106</v>
      </c>
      <c r="AB1915" s="9" t="s">
        <v>106</v>
      </c>
      <c r="AC1915" s="9" t="s">
        <v>5100</v>
      </c>
      <c r="AD1915" s="9" t="s">
        <v>5100</v>
      </c>
    </row>
    <row r="1916" spans="1:30">
      <c r="A1916" s="9" t="s">
        <v>3984</v>
      </c>
      <c r="B1916" s="9" t="s">
        <v>4355</v>
      </c>
      <c r="C1916" s="9" t="s">
        <v>105</v>
      </c>
      <c r="D1916" s="9">
        <v>9.6999999999999993</v>
      </c>
      <c r="E1916" s="9" t="s">
        <v>106</v>
      </c>
      <c r="F1916" s="9">
        <v>365</v>
      </c>
      <c r="G1916" s="9" t="s">
        <v>106</v>
      </c>
      <c r="H1916" s="9">
        <v>6.75</v>
      </c>
      <c r="I1916" s="9">
        <v>6</v>
      </c>
      <c r="J1916" s="9" t="s">
        <v>122</v>
      </c>
      <c r="K1916" s="9" t="s">
        <v>4356</v>
      </c>
      <c r="L1916" t="str">
        <f>IF(OR(J1916="Cattle",J1916="Zebu Cattle"),IF(COUNTIF(lists!$M$2:$M$258, K1916) &gt; 0,"bos.indicus",IF(COUNTIF(lists!$L$2:$L$258, K1916) &gt; 0,"cross.bred","pure.bred.exotic")),"NA")</f>
        <v>cross.bred</v>
      </c>
      <c r="O1916" s="9" t="s">
        <v>124</v>
      </c>
      <c r="P1916" s="9" t="s">
        <v>4198</v>
      </c>
      <c r="Q1916" s="9" t="s">
        <v>3809</v>
      </c>
      <c r="R1916" s="9" t="s">
        <v>3829</v>
      </c>
      <c r="S1916" s="9" t="s">
        <v>106</v>
      </c>
      <c r="T1916" s="9" t="s">
        <v>106</v>
      </c>
      <c r="U1916" s="9" t="s">
        <v>106</v>
      </c>
      <c r="V1916" s="9" t="s">
        <v>106</v>
      </c>
      <c r="W1916" s="9" t="s">
        <v>106</v>
      </c>
      <c r="X1916" s="9" t="s">
        <v>106</v>
      </c>
      <c r="Y1916" s="9" t="s">
        <v>106</v>
      </c>
      <c r="Z1916" s="9" t="s">
        <v>106</v>
      </c>
      <c r="AA1916" s="9" t="s">
        <v>106</v>
      </c>
      <c r="AB1916" s="9" t="s">
        <v>106</v>
      </c>
      <c r="AC1916" s="9" t="s">
        <v>5100</v>
      </c>
      <c r="AD1916" s="9" t="s">
        <v>5100</v>
      </c>
    </row>
    <row r="1917" spans="1:30">
      <c r="A1917" s="9" t="s">
        <v>3991</v>
      </c>
      <c r="B1917" s="9" t="s">
        <v>4357</v>
      </c>
      <c r="C1917" s="9" t="s">
        <v>105</v>
      </c>
      <c r="D1917" s="9">
        <v>2.004</v>
      </c>
      <c r="E1917" s="9" t="s">
        <v>106</v>
      </c>
      <c r="F1917" s="9">
        <v>92.8</v>
      </c>
      <c r="G1917" s="9">
        <v>0.45</v>
      </c>
      <c r="H1917" s="9" t="s">
        <v>106</v>
      </c>
      <c r="I1917" s="9">
        <v>9</v>
      </c>
      <c r="J1917" s="9" t="s">
        <v>122</v>
      </c>
      <c r="K1917" s="9" t="s">
        <v>4359</v>
      </c>
      <c r="L1917" t="str">
        <f>IF(OR(J1917="Cattle",J1917="Zebu Cattle"),IF(COUNTIF(lists!$M$2:$M$258, K1917) &gt; 0,"bos.indicus",IF(COUNTIF(lists!$L$2:$L$258, K1917) &gt; 0,"cross.bred","pure.bred.exotic")),"NA")</f>
        <v>cross.bred</v>
      </c>
      <c r="O1917" s="9" t="s">
        <v>124</v>
      </c>
      <c r="P1917" s="9" t="s">
        <v>4360</v>
      </c>
      <c r="Q1917" s="9" t="s">
        <v>3809</v>
      </c>
      <c r="R1917" s="9" t="s">
        <v>3829</v>
      </c>
      <c r="S1917" s="9" t="s">
        <v>106</v>
      </c>
      <c r="T1917" s="9" t="s">
        <v>106</v>
      </c>
      <c r="U1917" s="9" t="s">
        <v>106</v>
      </c>
      <c r="V1917" s="9" t="s">
        <v>106</v>
      </c>
      <c r="W1917" s="9" t="s">
        <v>106</v>
      </c>
      <c r="X1917" s="9" t="s">
        <v>106</v>
      </c>
      <c r="Y1917" s="9" t="s">
        <v>106</v>
      </c>
      <c r="Z1917" s="9" t="s">
        <v>106</v>
      </c>
      <c r="AA1917" s="9" t="s">
        <v>106</v>
      </c>
      <c r="AB1917" s="9" t="s">
        <v>106</v>
      </c>
      <c r="AC1917" s="9" t="s">
        <v>5100</v>
      </c>
      <c r="AD1917" s="9" t="s">
        <v>5100</v>
      </c>
    </row>
    <row r="1918" spans="1:30">
      <c r="A1918" s="9" t="s">
        <v>3991</v>
      </c>
      <c r="B1918" s="9" t="s">
        <v>4358</v>
      </c>
      <c r="C1918" s="9" t="s">
        <v>105</v>
      </c>
      <c r="D1918" s="9">
        <v>2.077</v>
      </c>
      <c r="E1918" s="9" t="s">
        <v>106</v>
      </c>
      <c r="F1918" s="9">
        <v>66.099999999999994</v>
      </c>
      <c r="G1918" s="9">
        <v>0.35</v>
      </c>
      <c r="H1918" s="9" t="s">
        <v>106</v>
      </c>
      <c r="I1918" s="9">
        <v>9</v>
      </c>
      <c r="J1918" s="9" t="s">
        <v>122</v>
      </c>
      <c r="K1918" s="9" t="s">
        <v>4359</v>
      </c>
      <c r="L1918" t="str">
        <f>IF(OR(J1918="Cattle",J1918="Zebu Cattle"),IF(COUNTIF(lists!$M$2:$M$258, K1918) &gt; 0,"bos.indicus",IF(COUNTIF(lists!$L$2:$L$258, K1918) &gt; 0,"cross.bred","pure.bred.exotic")),"NA")</f>
        <v>cross.bred</v>
      </c>
      <c r="O1918" s="9" t="s">
        <v>124</v>
      </c>
      <c r="P1918" s="9" t="s">
        <v>4360</v>
      </c>
      <c r="Q1918" s="9" t="s">
        <v>3809</v>
      </c>
      <c r="R1918" s="9" t="s">
        <v>3829</v>
      </c>
      <c r="S1918" s="9" t="s">
        <v>106</v>
      </c>
      <c r="T1918" s="9" t="s">
        <v>106</v>
      </c>
      <c r="U1918" s="9" t="s">
        <v>106</v>
      </c>
      <c r="V1918" s="9" t="s">
        <v>106</v>
      </c>
      <c r="W1918" s="9" t="s">
        <v>106</v>
      </c>
      <c r="X1918" s="9" t="s">
        <v>106</v>
      </c>
      <c r="Y1918" s="9" t="s">
        <v>106</v>
      </c>
      <c r="Z1918" s="9" t="s">
        <v>106</v>
      </c>
      <c r="AA1918" s="9" t="s">
        <v>106</v>
      </c>
      <c r="AB1918" s="9" t="s">
        <v>106</v>
      </c>
      <c r="AC1918" s="9" t="s">
        <v>5100</v>
      </c>
      <c r="AD1918" s="9" t="s">
        <v>5100</v>
      </c>
    </row>
    <row r="1919" spans="1:30">
      <c r="A1919" s="9" t="s">
        <v>3992</v>
      </c>
      <c r="B1919" s="9" t="s">
        <v>4361</v>
      </c>
      <c r="C1919" s="9" t="s">
        <v>105</v>
      </c>
      <c r="D1919" s="9">
        <v>8.69</v>
      </c>
      <c r="E1919" s="9" t="s">
        <v>106</v>
      </c>
      <c r="F1919" s="9">
        <v>435</v>
      </c>
      <c r="G1919" s="9">
        <v>4.1500000000000002E-2</v>
      </c>
      <c r="H1919" s="9">
        <v>11</v>
      </c>
      <c r="I1919" s="9">
        <v>5</v>
      </c>
      <c r="J1919" s="9" t="s">
        <v>122</v>
      </c>
      <c r="K1919" s="9" t="s">
        <v>4359</v>
      </c>
      <c r="L1919" t="str">
        <f>IF(OR(J1919="Cattle",J1919="Zebu Cattle"),IF(COUNTIF(lists!$M$2:$M$258, K1919) &gt; 0,"bos.indicus",IF(COUNTIF(lists!$L$2:$L$258, K1919) &gt; 0,"cross.bred","pure.bred.exotic")),"NA")</f>
        <v>cross.bred</v>
      </c>
      <c r="O1919" s="9" t="s">
        <v>124</v>
      </c>
      <c r="P1919" s="9" t="s">
        <v>4198</v>
      </c>
      <c r="Q1919" s="9" t="s">
        <v>3809</v>
      </c>
      <c r="R1919" s="9" t="s">
        <v>3829</v>
      </c>
      <c r="S1919" s="9" t="s">
        <v>106</v>
      </c>
      <c r="T1919" s="9" t="s">
        <v>106</v>
      </c>
      <c r="U1919" s="9" t="s">
        <v>106</v>
      </c>
      <c r="V1919" s="9" t="s">
        <v>106</v>
      </c>
      <c r="W1919" s="9" t="s">
        <v>106</v>
      </c>
      <c r="X1919" s="9" t="s">
        <v>106</v>
      </c>
      <c r="Y1919" s="9" t="s">
        <v>106</v>
      </c>
      <c r="Z1919" s="9" t="s">
        <v>106</v>
      </c>
      <c r="AA1919" s="9" t="s">
        <v>106</v>
      </c>
      <c r="AB1919" s="9" t="s">
        <v>106</v>
      </c>
      <c r="AC1919" s="9" t="s">
        <v>5100</v>
      </c>
      <c r="AD1919" s="9" t="s">
        <v>5100</v>
      </c>
    </row>
    <row r="1920" spans="1:30">
      <c r="A1920" s="9" t="s">
        <v>3992</v>
      </c>
      <c r="B1920" s="9" t="s">
        <v>4362</v>
      </c>
      <c r="C1920" s="9" t="s">
        <v>105</v>
      </c>
      <c r="D1920" s="9">
        <v>9.2799999999999994</v>
      </c>
      <c r="E1920" s="9" t="s">
        <v>106</v>
      </c>
      <c r="F1920" s="9">
        <v>421</v>
      </c>
      <c r="G1920" s="9">
        <v>0.109</v>
      </c>
      <c r="H1920" s="9">
        <v>10.8</v>
      </c>
      <c r="I1920" s="9">
        <v>5</v>
      </c>
      <c r="J1920" s="9" t="s">
        <v>122</v>
      </c>
      <c r="K1920" s="9" t="s">
        <v>4359</v>
      </c>
      <c r="L1920" t="str">
        <f>IF(OR(J1920="Cattle",J1920="Zebu Cattle"),IF(COUNTIF(lists!$M$2:$M$258, K1920) &gt; 0,"bos.indicus",IF(COUNTIF(lists!$L$2:$L$258, K1920) &gt; 0,"cross.bred","pure.bred.exotic")),"NA")</f>
        <v>cross.bred</v>
      </c>
      <c r="O1920" s="9" t="s">
        <v>124</v>
      </c>
      <c r="P1920" s="9" t="s">
        <v>4198</v>
      </c>
      <c r="Q1920" s="9" t="s">
        <v>3809</v>
      </c>
      <c r="R1920" s="9" t="s">
        <v>3829</v>
      </c>
      <c r="S1920" s="9" t="s">
        <v>106</v>
      </c>
      <c r="T1920" s="9" t="s">
        <v>106</v>
      </c>
      <c r="U1920" s="9" t="s">
        <v>106</v>
      </c>
      <c r="V1920" s="9" t="s">
        <v>106</v>
      </c>
      <c r="W1920" s="9" t="s">
        <v>106</v>
      </c>
      <c r="X1920" s="9" t="s">
        <v>106</v>
      </c>
      <c r="Y1920" s="9" t="s">
        <v>106</v>
      </c>
      <c r="Z1920" s="9" t="s">
        <v>106</v>
      </c>
      <c r="AA1920" s="9" t="s">
        <v>106</v>
      </c>
      <c r="AB1920" s="9" t="s">
        <v>106</v>
      </c>
      <c r="AC1920" s="9" t="s">
        <v>5100</v>
      </c>
      <c r="AD1920" s="9" t="s">
        <v>5100</v>
      </c>
    </row>
    <row r="1921" spans="1:30">
      <c r="A1921" s="9" t="s">
        <v>3992</v>
      </c>
      <c r="B1921" s="9" t="s">
        <v>4363</v>
      </c>
      <c r="C1921" s="9" t="s">
        <v>105</v>
      </c>
      <c r="D1921" s="9">
        <v>9.9499999999999993</v>
      </c>
      <c r="E1921" s="9" t="s">
        <v>106</v>
      </c>
      <c r="F1921" s="9">
        <v>446</v>
      </c>
      <c r="G1921" s="9">
        <v>0.123</v>
      </c>
      <c r="H1921" s="9">
        <v>11.3</v>
      </c>
      <c r="I1921" s="9">
        <v>5</v>
      </c>
      <c r="J1921" s="9" t="s">
        <v>122</v>
      </c>
      <c r="K1921" s="9" t="s">
        <v>4359</v>
      </c>
      <c r="L1921" t="str">
        <f>IF(OR(J1921="Cattle",J1921="Zebu Cattle"),IF(COUNTIF(lists!$M$2:$M$258, K1921) &gt; 0,"bos.indicus",IF(COUNTIF(lists!$L$2:$L$258, K1921) &gt; 0,"cross.bred","pure.bred.exotic")),"NA")</f>
        <v>cross.bred</v>
      </c>
      <c r="O1921" s="9" t="s">
        <v>124</v>
      </c>
      <c r="P1921" s="9" t="s">
        <v>4198</v>
      </c>
      <c r="Q1921" s="9" t="s">
        <v>3809</v>
      </c>
      <c r="R1921" s="9" t="s">
        <v>3829</v>
      </c>
      <c r="S1921" s="9" t="s">
        <v>106</v>
      </c>
      <c r="T1921" s="9" t="s">
        <v>106</v>
      </c>
      <c r="U1921" s="9" t="s">
        <v>106</v>
      </c>
      <c r="V1921" s="9" t="s">
        <v>106</v>
      </c>
      <c r="W1921" s="9" t="s">
        <v>106</v>
      </c>
      <c r="X1921" s="9" t="s">
        <v>106</v>
      </c>
      <c r="Y1921" s="9" t="s">
        <v>106</v>
      </c>
      <c r="Z1921" s="9" t="s">
        <v>106</v>
      </c>
      <c r="AA1921" s="9" t="s">
        <v>106</v>
      </c>
      <c r="AB1921" s="9" t="s">
        <v>106</v>
      </c>
      <c r="AC1921" s="9" t="s">
        <v>5100</v>
      </c>
      <c r="AD1921" s="9" t="s">
        <v>5100</v>
      </c>
    </row>
    <row r="1922" spans="1:30">
      <c r="A1922" s="9" t="s">
        <v>3992</v>
      </c>
      <c r="B1922" s="9" t="s">
        <v>4364</v>
      </c>
      <c r="C1922" s="9" t="s">
        <v>105</v>
      </c>
      <c r="D1922" s="9">
        <v>9.7200000000000006</v>
      </c>
      <c r="E1922" s="9" t="s">
        <v>106</v>
      </c>
      <c r="F1922" s="9">
        <v>444</v>
      </c>
      <c r="G1922" s="9">
        <v>0.14199999999999999</v>
      </c>
      <c r="H1922" s="9">
        <v>11.8</v>
      </c>
      <c r="I1922" s="9">
        <v>5</v>
      </c>
      <c r="J1922" s="9" t="s">
        <v>122</v>
      </c>
      <c r="K1922" s="9" t="s">
        <v>4359</v>
      </c>
      <c r="L1922" t="str">
        <f>IF(OR(J1922="Cattle",J1922="Zebu Cattle"),IF(COUNTIF(lists!$M$2:$M$258, K1922) &gt; 0,"bos.indicus",IF(COUNTIF(lists!$L$2:$L$258, K1922) &gt; 0,"cross.bred","pure.bred.exotic")),"NA")</f>
        <v>cross.bred</v>
      </c>
      <c r="O1922" s="9" t="s">
        <v>124</v>
      </c>
      <c r="P1922" s="9" t="s">
        <v>4198</v>
      </c>
      <c r="Q1922" s="9" t="s">
        <v>3809</v>
      </c>
      <c r="R1922" s="9" t="s">
        <v>3829</v>
      </c>
      <c r="S1922" s="9" t="s">
        <v>106</v>
      </c>
      <c r="T1922" s="9" t="s">
        <v>106</v>
      </c>
      <c r="U1922" s="9" t="s">
        <v>106</v>
      </c>
      <c r="V1922" s="9" t="s">
        <v>106</v>
      </c>
      <c r="W1922" s="9" t="s">
        <v>106</v>
      </c>
      <c r="X1922" s="9" t="s">
        <v>106</v>
      </c>
      <c r="Y1922" s="9" t="s">
        <v>106</v>
      </c>
      <c r="Z1922" s="9" t="s">
        <v>106</v>
      </c>
      <c r="AA1922" s="9" t="s">
        <v>106</v>
      </c>
      <c r="AB1922" s="9" t="s">
        <v>106</v>
      </c>
      <c r="AC1922" s="9" t="s">
        <v>5100</v>
      </c>
      <c r="AD1922" s="9" t="s">
        <v>5100</v>
      </c>
    </row>
    <row r="1923" spans="1:30">
      <c r="A1923" s="9" t="s">
        <v>3978</v>
      </c>
      <c r="B1923" s="9" t="s">
        <v>4365</v>
      </c>
      <c r="C1923" s="9" t="s">
        <v>105</v>
      </c>
      <c r="D1923" s="9">
        <v>10</v>
      </c>
      <c r="E1923" s="9" t="s">
        <v>106</v>
      </c>
      <c r="F1923" s="9" t="s">
        <v>106</v>
      </c>
      <c r="G1923" s="9" t="s">
        <v>106</v>
      </c>
      <c r="H1923" s="9">
        <v>8.36</v>
      </c>
      <c r="I1923" s="9">
        <v>4</v>
      </c>
      <c r="J1923" s="9" t="s">
        <v>122</v>
      </c>
      <c r="K1923" s="9" t="s">
        <v>924</v>
      </c>
      <c r="L1923" t="str">
        <f>IF(OR(J1923="Cattle",J1923="Zebu Cattle"),IF(COUNTIF(lists!$M$2:$M$258, K1923) &gt; 0,"bos.indicus",IF(COUNTIF(lists!$L$2:$L$258, K1923) &gt; 0,"cross.bred","pure.bred.exotic")),"NA")</f>
        <v>pure.bred.exotic</v>
      </c>
      <c r="O1923" s="9" t="s">
        <v>4194</v>
      </c>
      <c r="P1923" s="9" t="s">
        <v>4198</v>
      </c>
      <c r="Q1923" s="9" t="s">
        <v>3809</v>
      </c>
      <c r="R1923" s="9" t="s">
        <v>3830</v>
      </c>
      <c r="S1923" s="9">
        <v>270</v>
      </c>
      <c r="T1923" s="9">
        <v>95</v>
      </c>
      <c r="U1923" s="9">
        <v>139</v>
      </c>
      <c r="V1923" s="9" t="s">
        <v>106</v>
      </c>
      <c r="W1923" s="9" t="s">
        <v>106</v>
      </c>
      <c r="X1923" s="9">
        <v>565</v>
      </c>
      <c r="Y1923" s="9" t="s">
        <v>106</v>
      </c>
      <c r="Z1923" s="9" t="s">
        <v>106</v>
      </c>
      <c r="AA1923" s="9" t="s">
        <v>106</v>
      </c>
      <c r="AB1923" s="9" t="s">
        <v>106</v>
      </c>
      <c r="AC1923" s="9" t="s">
        <v>5100</v>
      </c>
      <c r="AD1923" s="9" t="s">
        <v>5100</v>
      </c>
    </row>
    <row r="1924" spans="1:30">
      <c r="A1924" s="9" t="s">
        <v>3978</v>
      </c>
      <c r="B1924" s="9" t="s">
        <v>4366</v>
      </c>
      <c r="C1924" s="9" t="s">
        <v>105</v>
      </c>
      <c r="D1924" s="9">
        <v>10.4</v>
      </c>
      <c r="E1924" s="9" t="s">
        <v>106</v>
      </c>
      <c r="F1924" s="9" t="s">
        <v>106</v>
      </c>
      <c r="G1924" s="9" t="s">
        <v>106</v>
      </c>
      <c r="H1924" s="9">
        <v>8.8800000000000008</v>
      </c>
      <c r="I1924" s="9">
        <v>4</v>
      </c>
      <c r="J1924" s="9" t="s">
        <v>122</v>
      </c>
      <c r="K1924" s="9" t="s">
        <v>924</v>
      </c>
      <c r="L1924" t="str">
        <f>IF(OR(J1924="Cattle",J1924="Zebu Cattle"),IF(COUNTIF(lists!$M$2:$M$258, K1924) &gt; 0,"bos.indicus",IF(COUNTIF(lists!$L$2:$L$258, K1924) &gt; 0,"cross.bred","pure.bred.exotic")),"NA")</f>
        <v>pure.bred.exotic</v>
      </c>
      <c r="O1924" s="9" t="s">
        <v>4194</v>
      </c>
      <c r="P1924" s="9" t="s">
        <v>4198</v>
      </c>
      <c r="Q1924" s="9" t="s">
        <v>3809</v>
      </c>
      <c r="R1924" s="9" t="s">
        <v>3830</v>
      </c>
      <c r="S1924" s="9">
        <v>264</v>
      </c>
      <c r="T1924" s="9">
        <v>97.1</v>
      </c>
      <c r="U1924" s="9">
        <v>147</v>
      </c>
      <c r="V1924" s="9" t="s">
        <v>106</v>
      </c>
      <c r="W1924" s="9" t="s">
        <v>106</v>
      </c>
      <c r="X1924" s="9">
        <v>563</v>
      </c>
      <c r="Y1924" s="9" t="s">
        <v>106</v>
      </c>
      <c r="Z1924" s="9" t="s">
        <v>106</v>
      </c>
      <c r="AA1924" s="9" t="s">
        <v>106</v>
      </c>
      <c r="AB1924" s="9" t="s">
        <v>106</v>
      </c>
      <c r="AC1924" s="9" t="s">
        <v>5100</v>
      </c>
      <c r="AD1924" s="9" t="s">
        <v>5100</v>
      </c>
    </row>
    <row r="1925" spans="1:30">
      <c r="A1925" s="9" t="s">
        <v>3978</v>
      </c>
      <c r="B1925" s="9" t="s">
        <v>4367</v>
      </c>
      <c r="C1925" s="9" t="s">
        <v>105</v>
      </c>
      <c r="D1925" s="9">
        <v>11.1</v>
      </c>
      <c r="E1925" s="9" t="s">
        <v>106</v>
      </c>
      <c r="F1925" s="9" t="s">
        <v>106</v>
      </c>
      <c r="G1925" s="9" t="s">
        <v>106</v>
      </c>
      <c r="H1925" s="9">
        <v>9.9499999999999993</v>
      </c>
      <c r="I1925" s="9">
        <v>4</v>
      </c>
      <c r="J1925" s="9" t="s">
        <v>122</v>
      </c>
      <c r="K1925" s="9" t="s">
        <v>924</v>
      </c>
      <c r="L1925" t="str">
        <f>IF(OR(J1925="Cattle",J1925="Zebu Cattle"),IF(COUNTIF(lists!$M$2:$M$258, K1925) &gt; 0,"bos.indicus",IF(COUNTIF(lists!$L$2:$L$258, K1925) &gt; 0,"cross.bred","pure.bred.exotic")),"NA")</f>
        <v>pure.bred.exotic</v>
      </c>
      <c r="O1925" s="9" t="s">
        <v>4194</v>
      </c>
      <c r="P1925" s="9" t="s">
        <v>4198</v>
      </c>
      <c r="Q1925" s="9" t="s">
        <v>3809</v>
      </c>
      <c r="R1925" s="9" t="s">
        <v>3830</v>
      </c>
      <c r="S1925" s="9">
        <v>253</v>
      </c>
      <c r="T1925" s="9">
        <v>105.4</v>
      </c>
      <c r="U1925" s="9">
        <v>148</v>
      </c>
      <c r="V1925" s="9" t="s">
        <v>106</v>
      </c>
      <c r="W1925" s="9" t="s">
        <v>106</v>
      </c>
      <c r="X1925" s="9">
        <v>553</v>
      </c>
      <c r="Y1925" s="9" t="s">
        <v>106</v>
      </c>
      <c r="Z1925" s="9" t="s">
        <v>106</v>
      </c>
      <c r="AA1925" s="9" t="s">
        <v>106</v>
      </c>
      <c r="AB1925" s="9" t="s">
        <v>106</v>
      </c>
      <c r="AC1925" s="9" t="s">
        <v>5100</v>
      </c>
      <c r="AD1925" s="9" t="s">
        <v>5100</v>
      </c>
    </row>
    <row r="1926" spans="1:30">
      <c r="A1926" s="9" t="s">
        <v>3978</v>
      </c>
      <c r="B1926" s="9" t="s">
        <v>4368</v>
      </c>
      <c r="C1926" s="9" t="s">
        <v>105</v>
      </c>
      <c r="D1926" s="9">
        <v>11.5</v>
      </c>
      <c r="E1926" s="9" t="s">
        <v>106</v>
      </c>
      <c r="F1926" s="9" t="s">
        <v>106</v>
      </c>
      <c r="G1926" s="9" t="s">
        <v>106</v>
      </c>
      <c r="H1926" s="9">
        <v>10.7</v>
      </c>
      <c r="I1926" s="9">
        <v>4</v>
      </c>
      <c r="J1926" s="9" t="s">
        <v>122</v>
      </c>
      <c r="K1926" s="9" t="s">
        <v>924</v>
      </c>
      <c r="L1926" t="str">
        <f>IF(OR(J1926="Cattle",J1926="Zebu Cattle"),IF(COUNTIF(lists!$M$2:$M$258, K1926) &gt; 0,"bos.indicus",IF(COUNTIF(lists!$L$2:$L$258, K1926) &gt; 0,"cross.bred","pure.bred.exotic")),"NA")</f>
        <v>pure.bred.exotic</v>
      </c>
      <c r="O1926" s="9" t="s">
        <v>4194</v>
      </c>
      <c r="P1926" s="9" t="s">
        <v>4198</v>
      </c>
      <c r="Q1926" s="9" t="s">
        <v>3809</v>
      </c>
      <c r="R1926" s="9" t="s">
        <v>3830</v>
      </c>
      <c r="S1926" s="9">
        <v>254</v>
      </c>
      <c r="T1926" s="9">
        <v>113</v>
      </c>
      <c r="U1926" s="9">
        <v>148</v>
      </c>
      <c r="V1926" s="9" t="s">
        <v>106</v>
      </c>
      <c r="W1926" s="9" t="s">
        <v>106</v>
      </c>
      <c r="X1926" s="9">
        <v>554</v>
      </c>
      <c r="Y1926" s="9" t="s">
        <v>106</v>
      </c>
      <c r="Z1926" s="9" t="s">
        <v>106</v>
      </c>
      <c r="AA1926" s="9" t="s">
        <v>106</v>
      </c>
      <c r="AB1926" s="9" t="s">
        <v>106</v>
      </c>
      <c r="AC1926" s="9" t="s">
        <v>5100</v>
      </c>
      <c r="AD1926" s="9" t="s">
        <v>5100</v>
      </c>
    </row>
    <row r="1927" spans="1:30">
      <c r="A1927" s="9" t="s">
        <v>4016</v>
      </c>
      <c r="B1927" s="9" t="s">
        <v>4369</v>
      </c>
      <c r="C1927" s="9" t="s">
        <v>105</v>
      </c>
      <c r="D1927" s="9">
        <v>7.3</v>
      </c>
      <c r="E1927" s="9" t="s">
        <v>106</v>
      </c>
      <c r="F1927" s="9" t="s">
        <v>106</v>
      </c>
      <c r="G1927" s="9">
        <v>0.107</v>
      </c>
      <c r="H1927" s="9">
        <v>1.9</v>
      </c>
      <c r="I1927" s="9">
        <v>8</v>
      </c>
      <c r="J1927" s="9" t="s">
        <v>122</v>
      </c>
      <c r="K1927" s="9" t="s">
        <v>356</v>
      </c>
      <c r="L1927" t="str">
        <f>IF(OR(J1927="Cattle",J1927="Zebu Cattle"),IF(COUNTIF(lists!$M$2:$M$258, K1927) &gt; 0,"bos.indicus",IF(COUNTIF(lists!$L$2:$L$258, K1927) &gt; 0,"cross.bred","pure.bred.exotic")),"NA")</f>
        <v>bos.indicus</v>
      </c>
      <c r="O1927" s="9" t="s">
        <v>4194</v>
      </c>
      <c r="P1927" s="9" t="s">
        <v>4198</v>
      </c>
      <c r="Q1927" s="9" t="s">
        <v>3809</v>
      </c>
      <c r="R1927" s="9" t="s">
        <v>3829</v>
      </c>
      <c r="S1927" s="9" t="s">
        <v>106</v>
      </c>
      <c r="T1927" s="9" t="s">
        <v>106</v>
      </c>
      <c r="U1927" s="9" t="s">
        <v>106</v>
      </c>
      <c r="V1927" s="9" t="s">
        <v>106</v>
      </c>
      <c r="W1927" s="9" t="s">
        <v>106</v>
      </c>
      <c r="X1927" s="9" t="s">
        <v>106</v>
      </c>
      <c r="Y1927" s="9" t="s">
        <v>106</v>
      </c>
      <c r="Z1927" s="9" t="s">
        <v>106</v>
      </c>
      <c r="AA1927" s="9" t="s">
        <v>106</v>
      </c>
      <c r="AB1927" s="9" t="s">
        <v>106</v>
      </c>
      <c r="AC1927" s="9" t="s">
        <v>5100</v>
      </c>
      <c r="AD1927" s="9" t="s">
        <v>5100</v>
      </c>
    </row>
    <row r="1928" spans="1:30">
      <c r="A1928" s="9" t="s">
        <v>4016</v>
      </c>
      <c r="B1928" s="9" t="s">
        <v>4370</v>
      </c>
      <c r="C1928" s="9" t="s">
        <v>105</v>
      </c>
      <c r="D1928" s="9">
        <v>8.17</v>
      </c>
      <c r="E1928" s="9" t="s">
        <v>106</v>
      </c>
      <c r="F1928" s="9" t="s">
        <v>106</v>
      </c>
      <c r="G1928" s="9">
        <v>0.23699999999999999</v>
      </c>
      <c r="H1928" s="9">
        <v>2.35</v>
      </c>
      <c r="I1928" s="9">
        <v>8</v>
      </c>
      <c r="J1928" s="9" t="s">
        <v>122</v>
      </c>
      <c r="K1928" s="9" t="s">
        <v>356</v>
      </c>
      <c r="L1928" t="str">
        <f>IF(OR(J1928="Cattle",J1928="Zebu Cattle"),IF(COUNTIF(lists!$M$2:$M$258, K1928) &gt; 0,"bos.indicus",IF(COUNTIF(lists!$L$2:$L$258, K1928) &gt; 0,"cross.bred","pure.bred.exotic")),"NA")</f>
        <v>bos.indicus</v>
      </c>
      <c r="O1928" s="9" t="s">
        <v>4194</v>
      </c>
      <c r="P1928" s="9" t="s">
        <v>4198</v>
      </c>
      <c r="Q1928" s="9" t="s">
        <v>3809</v>
      </c>
      <c r="R1928" s="9" t="s">
        <v>3829</v>
      </c>
      <c r="S1928" s="9" t="s">
        <v>106</v>
      </c>
      <c r="T1928" s="9" t="s">
        <v>106</v>
      </c>
      <c r="U1928" s="9" t="s">
        <v>106</v>
      </c>
      <c r="V1928" s="9" t="s">
        <v>106</v>
      </c>
      <c r="W1928" s="9" t="s">
        <v>106</v>
      </c>
      <c r="X1928" s="9" t="s">
        <v>106</v>
      </c>
      <c r="Y1928" s="9" t="s">
        <v>106</v>
      </c>
      <c r="Z1928" s="9" t="s">
        <v>106</v>
      </c>
      <c r="AA1928" s="9" t="s">
        <v>106</v>
      </c>
      <c r="AB1928" s="9" t="s">
        <v>106</v>
      </c>
      <c r="AC1928" s="9" t="s">
        <v>5100</v>
      </c>
      <c r="AD1928" s="9" t="s">
        <v>5100</v>
      </c>
    </row>
    <row r="1929" spans="1:30">
      <c r="A1929" s="9" t="s">
        <v>4016</v>
      </c>
      <c r="B1929" s="9" t="s">
        <v>4369</v>
      </c>
      <c r="C1929" s="9" t="s">
        <v>105</v>
      </c>
      <c r="D1929" s="9">
        <v>8.0500000000000007</v>
      </c>
      <c r="E1929" s="9" t="s">
        <v>106</v>
      </c>
      <c r="F1929" s="9" t="s">
        <v>106</v>
      </c>
      <c r="G1929" s="9">
        <v>0.12</v>
      </c>
      <c r="H1929" s="9">
        <v>3.69</v>
      </c>
      <c r="I1929" s="9">
        <v>8</v>
      </c>
      <c r="J1929" s="9" t="s">
        <v>122</v>
      </c>
      <c r="K1929" s="9" t="s">
        <v>4372</v>
      </c>
      <c r="L1929" t="str">
        <f>IF(OR(J1929="Cattle",J1929="Zebu Cattle"),IF(COUNTIF(lists!$M$2:$M$258, K1929) &gt; 0,"bos.indicus",IF(COUNTIF(lists!$L$2:$L$258, K1929) &gt; 0,"cross.bred","pure.bred.exotic")),"NA")</f>
        <v>cross.bred</v>
      </c>
      <c r="O1929" s="9" t="s">
        <v>4194</v>
      </c>
      <c r="P1929" s="9" t="s">
        <v>4198</v>
      </c>
      <c r="Q1929" s="9" t="s">
        <v>3809</v>
      </c>
      <c r="R1929" s="9" t="s">
        <v>3830</v>
      </c>
      <c r="S1929" s="9" t="s">
        <v>106</v>
      </c>
      <c r="T1929" s="9" t="s">
        <v>106</v>
      </c>
      <c r="U1929" s="9" t="s">
        <v>106</v>
      </c>
      <c r="V1929" s="9" t="s">
        <v>106</v>
      </c>
      <c r="W1929" s="9" t="s">
        <v>106</v>
      </c>
      <c r="X1929" s="9" t="s">
        <v>106</v>
      </c>
      <c r="Y1929" s="9" t="s">
        <v>106</v>
      </c>
      <c r="Z1929" s="9" t="s">
        <v>106</v>
      </c>
      <c r="AA1929" s="9" t="s">
        <v>106</v>
      </c>
      <c r="AB1929" s="9" t="s">
        <v>106</v>
      </c>
      <c r="AC1929" s="9" t="s">
        <v>5100</v>
      </c>
      <c r="AD1929" s="9" t="s">
        <v>5100</v>
      </c>
    </row>
    <row r="1930" spans="1:30">
      <c r="A1930" s="9" t="s">
        <v>4016</v>
      </c>
      <c r="B1930" s="9" t="s">
        <v>4371</v>
      </c>
      <c r="C1930" s="9" t="s">
        <v>105</v>
      </c>
      <c r="D1930" s="9">
        <v>8.98</v>
      </c>
      <c r="E1930" s="9" t="s">
        <v>106</v>
      </c>
      <c r="F1930" s="9" t="s">
        <v>106</v>
      </c>
      <c r="G1930" s="9">
        <v>0.23599999999999999</v>
      </c>
      <c r="H1930" s="9">
        <v>4.95</v>
      </c>
      <c r="I1930" s="9">
        <v>8</v>
      </c>
      <c r="J1930" s="9" t="s">
        <v>122</v>
      </c>
      <c r="K1930" s="9" t="s">
        <v>4372</v>
      </c>
      <c r="L1930" t="str">
        <f>IF(OR(J1930="Cattle",J1930="Zebu Cattle"),IF(COUNTIF(lists!$M$2:$M$258, K1930) &gt; 0,"bos.indicus",IF(COUNTIF(lists!$L$2:$L$258, K1930) &gt; 0,"cross.bred","pure.bred.exotic")),"NA")</f>
        <v>cross.bred</v>
      </c>
      <c r="O1930" s="9" t="s">
        <v>4194</v>
      </c>
      <c r="P1930" s="9" t="s">
        <v>4198</v>
      </c>
      <c r="Q1930" s="9" t="s">
        <v>3809</v>
      </c>
      <c r="R1930" s="9" t="s">
        <v>3830</v>
      </c>
      <c r="S1930" s="9" t="s">
        <v>106</v>
      </c>
      <c r="T1930" s="9" t="s">
        <v>106</v>
      </c>
      <c r="U1930" s="9" t="s">
        <v>106</v>
      </c>
      <c r="V1930" s="9" t="s">
        <v>106</v>
      </c>
      <c r="W1930" s="9" t="s">
        <v>106</v>
      </c>
      <c r="X1930" s="9" t="s">
        <v>106</v>
      </c>
      <c r="Y1930" s="9" t="s">
        <v>106</v>
      </c>
      <c r="Z1930" s="9" t="s">
        <v>106</v>
      </c>
      <c r="AA1930" s="9" t="s">
        <v>106</v>
      </c>
      <c r="AB1930" s="9" t="s">
        <v>106</v>
      </c>
      <c r="AC1930" s="9" t="s">
        <v>5100</v>
      </c>
      <c r="AD1930" s="9" t="s">
        <v>5100</v>
      </c>
    </row>
    <row r="1931" spans="1:30">
      <c r="A1931" s="9" t="s">
        <v>3989</v>
      </c>
      <c r="B1931" s="9" t="s">
        <v>4373</v>
      </c>
      <c r="C1931" s="9" t="s">
        <v>105</v>
      </c>
      <c r="D1931" s="9">
        <v>13.71</v>
      </c>
      <c r="E1931" s="9" t="s">
        <v>106</v>
      </c>
      <c r="F1931" s="9" t="s">
        <v>106</v>
      </c>
      <c r="G1931" s="9" t="s">
        <v>106</v>
      </c>
      <c r="H1931" s="9">
        <v>10.02</v>
      </c>
      <c r="I1931" s="9">
        <v>8</v>
      </c>
      <c r="J1931" s="9" t="s">
        <v>122</v>
      </c>
      <c r="K1931" s="9" t="s">
        <v>4372</v>
      </c>
      <c r="L1931" t="str">
        <f>IF(OR(J1931="Cattle",J1931="Zebu Cattle"),IF(COUNTIF(lists!$M$2:$M$258, K1931) &gt; 0,"bos.indicus",IF(COUNTIF(lists!$L$2:$L$258, K1931) &gt; 0,"cross.bred","pure.bred.exotic")),"NA")</f>
        <v>cross.bred</v>
      </c>
      <c r="O1931" s="9" t="s">
        <v>124</v>
      </c>
      <c r="P1931" s="9" t="s">
        <v>4198</v>
      </c>
      <c r="Q1931" s="9" t="s">
        <v>3809</v>
      </c>
      <c r="R1931" s="9" t="s">
        <v>3830</v>
      </c>
      <c r="S1931" s="9" t="s">
        <v>106</v>
      </c>
      <c r="T1931" s="9">
        <v>89.9</v>
      </c>
      <c r="U1931" s="9">
        <v>136.6</v>
      </c>
      <c r="V1931" s="9" t="s">
        <v>106</v>
      </c>
      <c r="W1931" s="9" t="s">
        <v>106</v>
      </c>
      <c r="X1931" s="9">
        <v>623.29999999999995</v>
      </c>
      <c r="Y1931" s="65">
        <v>57.080999999999996</v>
      </c>
      <c r="Z1931" s="9" t="s">
        <v>106</v>
      </c>
      <c r="AA1931" s="65">
        <v>62.003999999999998</v>
      </c>
      <c r="AB1931" s="65">
        <v>63.053999999999995</v>
      </c>
      <c r="AC1931" s="9" t="s">
        <v>5100</v>
      </c>
      <c r="AD1931" s="9" t="s">
        <v>5100</v>
      </c>
    </row>
    <row r="1932" spans="1:30">
      <c r="A1932" s="9" t="s">
        <v>3989</v>
      </c>
      <c r="B1932" s="9" t="s">
        <v>4374</v>
      </c>
      <c r="C1932" s="9" t="s">
        <v>105</v>
      </c>
      <c r="D1932" s="9">
        <v>13.83</v>
      </c>
      <c r="E1932" s="9" t="s">
        <v>106</v>
      </c>
      <c r="F1932" s="9" t="s">
        <v>106</v>
      </c>
      <c r="G1932" s="9" t="s">
        <v>106</v>
      </c>
      <c r="H1932" s="9">
        <v>10.45</v>
      </c>
      <c r="I1932" s="9">
        <v>8</v>
      </c>
      <c r="J1932" s="9" t="s">
        <v>122</v>
      </c>
      <c r="K1932" s="9" t="s">
        <v>4372</v>
      </c>
      <c r="L1932" t="str">
        <f>IF(OR(J1932="Cattle",J1932="Zebu Cattle"),IF(COUNTIF(lists!$M$2:$M$258, K1932) &gt; 0,"bos.indicus",IF(COUNTIF(lists!$L$2:$L$258, K1932) &gt; 0,"cross.bred","pure.bred.exotic")),"NA")</f>
        <v>cross.bred</v>
      </c>
      <c r="O1932" s="9" t="s">
        <v>124</v>
      </c>
      <c r="P1932" s="9" t="s">
        <v>4198</v>
      </c>
      <c r="Q1932" s="9" t="s">
        <v>3809</v>
      </c>
      <c r="R1932" s="9" t="s">
        <v>3830</v>
      </c>
      <c r="S1932" s="9" t="s">
        <v>106</v>
      </c>
      <c r="T1932" s="9">
        <v>89.5</v>
      </c>
      <c r="U1932" s="9">
        <v>145.9</v>
      </c>
      <c r="V1932" s="9" t="s">
        <v>106</v>
      </c>
      <c r="W1932" s="9" t="s">
        <v>106</v>
      </c>
      <c r="X1932" s="9">
        <v>609</v>
      </c>
      <c r="Y1932" s="65">
        <v>62.032000000000004</v>
      </c>
      <c r="Z1932" s="9" t="s">
        <v>106</v>
      </c>
      <c r="AA1932" s="65">
        <v>65.048000000000002</v>
      </c>
      <c r="AB1932" s="65">
        <v>66.072000000000003</v>
      </c>
      <c r="AC1932" s="9" t="s">
        <v>5100</v>
      </c>
      <c r="AD1932" s="9" t="s">
        <v>5100</v>
      </c>
    </row>
    <row r="1933" spans="1:30">
      <c r="A1933" s="9" t="s">
        <v>3989</v>
      </c>
      <c r="B1933" s="9" t="s">
        <v>4375</v>
      </c>
      <c r="C1933" s="9" t="s">
        <v>105</v>
      </c>
      <c r="D1933" s="9">
        <v>14.56</v>
      </c>
      <c r="E1933" s="9" t="s">
        <v>106</v>
      </c>
      <c r="F1933" s="9" t="s">
        <v>106</v>
      </c>
      <c r="G1933" s="9" t="s">
        <v>106</v>
      </c>
      <c r="H1933" s="9">
        <v>10.84</v>
      </c>
      <c r="I1933" s="9">
        <v>8</v>
      </c>
      <c r="J1933" s="9" t="s">
        <v>122</v>
      </c>
      <c r="K1933" s="9" t="s">
        <v>4372</v>
      </c>
      <c r="L1933" t="str">
        <f>IF(OR(J1933="Cattle",J1933="Zebu Cattle"),IF(COUNTIF(lists!$M$2:$M$258, K1933) &gt; 0,"bos.indicus",IF(COUNTIF(lists!$L$2:$L$258, K1933) &gt; 0,"cross.bred","pure.bred.exotic")),"NA")</f>
        <v>cross.bred</v>
      </c>
      <c r="O1933" s="9" t="s">
        <v>124</v>
      </c>
      <c r="P1933" s="9" t="s">
        <v>4198</v>
      </c>
      <c r="Q1933" s="9" t="s">
        <v>3809</v>
      </c>
      <c r="R1933" s="9" t="s">
        <v>3830</v>
      </c>
      <c r="S1933" s="9" t="s">
        <v>106</v>
      </c>
      <c r="T1933" s="9">
        <v>89.9</v>
      </c>
      <c r="U1933" s="9">
        <v>159.19999999999999</v>
      </c>
      <c r="V1933" s="9" t="s">
        <v>106</v>
      </c>
      <c r="W1933" s="9" t="s">
        <v>106</v>
      </c>
      <c r="X1933" s="9">
        <v>593.4</v>
      </c>
      <c r="Y1933" s="65">
        <v>65.046999999999997</v>
      </c>
      <c r="Z1933" s="9" t="s">
        <v>106</v>
      </c>
      <c r="AA1933" s="65">
        <v>67.00800000000001</v>
      </c>
      <c r="AB1933" s="65">
        <v>68.058000000000007</v>
      </c>
      <c r="AC1933" s="9" t="s">
        <v>5100</v>
      </c>
      <c r="AD1933" s="9" t="s">
        <v>5100</v>
      </c>
    </row>
    <row r="1934" spans="1:30">
      <c r="A1934" s="9" t="s">
        <v>3989</v>
      </c>
      <c r="B1934" s="9" t="s">
        <v>4376</v>
      </c>
      <c r="C1934" s="9" t="s">
        <v>105</v>
      </c>
      <c r="D1934" s="9">
        <v>14.67</v>
      </c>
      <c r="E1934" s="9" t="s">
        <v>106</v>
      </c>
      <c r="F1934" s="9" t="s">
        <v>106</v>
      </c>
      <c r="G1934" s="9" t="s">
        <v>106</v>
      </c>
      <c r="H1934" s="9">
        <v>11.5</v>
      </c>
      <c r="I1934" s="9">
        <v>8</v>
      </c>
      <c r="J1934" s="9" t="s">
        <v>122</v>
      </c>
      <c r="K1934" s="9" t="s">
        <v>4372</v>
      </c>
      <c r="L1934" t="str">
        <f>IF(OR(J1934="Cattle",J1934="Zebu Cattle"),IF(COUNTIF(lists!$M$2:$M$258, K1934) &gt; 0,"bos.indicus",IF(COUNTIF(lists!$L$2:$L$258, K1934) &gt; 0,"cross.bred","pure.bred.exotic")),"NA")</f>
        <v>cross.bred</v>
      </c>
      <c r="O1934" s="9" t="s">
        <v>124</v>
      </c>
      <c r="P1934" s="9" t="s">
        <v>4198</v>
      </c>
      <c r="Q1934" s="9" t="s">
        <v>3809</v>
      </c>
      <c r="R1934" s="9" t="s">
        <v>3830</v>
      </c>
      <c r="S1934" s="9" t="s">
        <v>106</v>
      </c>
      <c r="T1934" s="9">
        <v>89.7</v>
      </c>
      <c r="U1934" s="9">
        <v>165.6</v>
      </c>
      <c r="V1934" s="9" t="s">
        <v>106</v>
      </c>
      <c r="W1934" s="9" t="s">
        <v>106</v>
      </c>
      <c r="X1934" s="9">
        <v>578.20000000000005</v>
      </c>
      <c r="Y1934" s="65">
        <v>68.084000000000003</v>
      </c>
      <c r="Z1934" s="9" t="s">
        <v>106</v>
      </c>
      <c r="AA1934" s="65">
        <v>70.037999999999997</v>
      </c>
      <c r="AB1934" s="65">
        <v>71.039999999999992</v>
      </c>
      <c r="AC1934" s="9" t="s">
        <v>5100</v>
      </c>
      <c r="AD1934" s="9" t="s">
        <v>5100</v>
      </c>
    </row>
    <row r="1935" spans="1:30">
      <c r="A1935" s="9" t="s">
        <v>3990</v>
      </c>
      <c r="B1935" s="9" t="s">
        <v>4377</v>
      </c>
      <c r="C1935" s="9" t="s">
        <v>105</v>
      </c>
      <c r="D1935" s="9">
        <v>7</v>
      </c>
      <c r="E1935" s="9" t="s">
        <v>106</v>
      </c>
      <c r="F1935" s="9">
        <v>430</v>
      </c>
      <c r="G1935" s="9" t="s">
        <v>106</v>
      </c>
      <c r="H1935" s="9">
        <v>7.63</v>
      </c>
      <c r="I1935" s="9">
        <v>5</v>
      </c>
      <c r="J1935" s="9" t="s">
        <v>122</v>
      </c>
      <c r="K1935" s="9" t="s">
        <v>4372</v>
      </c>
      <c r="L1935" t="str">
        <f>IF(OR(J1935="Cattle",J1935="Zebu Cattle"),IF(COUNTIF(lists!$M$2:$M$258, K1935) &gt; 0,"bos.indicus",IF(COUNTIF(lists!$L$2:$L$258, K1935) &gt; 0,"cross.bred","pure.bred.exotic")),"NA")</f>
        <v>cross.bred</v>
      </c>
      <c r="O1935" s="9" t="s">
        <v>124</v>
      </c>
      <c r="P1935" s="9" t="s">
        <v>4198</v>
      </c>
      <c r="Q1935" s="9" t="s">
        <v>3809</v>
      </c>
      <c r="R1935" s="9" t="s">
        <v>3830</v>
      </c>
      <c r="S1935" s="9" t="s">
        <v>106</v>
      </c>
      <c r="T1935" s="9" t="s">
        <v>106</v>
      </c>
      <c r="U1935" s="9" t="s">
        <v>106</v>
      </c>
      <c r="V1935" s="9" t="s">
        <v>106</v>
      </c>
      <c r="W1935" s="9" t="s">
        <v>106</v>
      </c>
      <c r="X1935" s="9" t="s">
        <v>106</v>
      </c>
      <c r="Y1935" s="9" t="s">
        <v>106</v>
      </c>
      <c r="Z1935" s="9" t="s">
        <v>106</v>
      </c>
      <c r="AA1935" s="9" t="s">
        <v>106</v>
      </c>
      <c r="AB1935" s="9" t="s">
        <v>106</v>
      </c>
      <c r="AC1935" s="9" t="s">
        <v>5100</v>
      </c>
      <c r="AD1935" s="9" t="s">
        <v>5100</v>
      </c>
    </row>
    <row r="1936" spans="1:30">
      <c r="A1936" s="9" t="s">
        <v>3990</v>
      </c>
      <c r="B1936" s="9" t="s">
        <v>4377</v>
      </c>
      <c r="C1936" s="9" t="s">
        <v>105</v>
      </c>
      <c r="D1936" s="9">
        <v>7.7</v>
      </c>
      <c r="E1936" s="9" t="s">
        <v>106</v>
      </c>
      <c r="F1936" s="9">
        <v>439</v>
      </c>
      <c r="G1936" s="9" t="s">
        <v>106</v>
      </c>
      <c r="H1936" s="9">
        <v>7.56</v>
      </c>
      <c r="I1936" s="9">
        <v>5</v>
      </c>
      <c r="J1936" s="9" t="s">
        <v>122</v>
      </c>
      <c r="K1936" s="9" t="s">
        <v>4372</v>
      </c>
      <c r="L1936" t="str">
        <f>IF(OR(J1936="Cattle",J1936="Zebu Cattle"),IF(COUNTIF(lists!$M$2:$M$258, K1936) &gt; 0,"bos.indicus",IF(COUNTIF(lists!$L$2:$L$258, K1936) &gt; 0,"cross.bred","pure.bred.exotic")),"NA")</f>
        <v>cross.bred</v>
      </c>
      <c r="O1936" s="9" t="s">
        <v>124</v>
      </c>
      <c r="P1936" s="9" t="s">
        <v>4198</v>
      </c>
      <c r="Q1936" s="9" t="s">
        <v>3809</v>
      </c>
      <c r="R1936" s="9" t="s">
        <v>3830</v>
      </c>
      <c r="S1936" s="9" t="s">
        <v>106</v>
      </c>
      <c r="T1936" s="9" t="s">
        <v>106</v>
      </c>
      <c r="U1936" s="9" t="s">
        <v>106</v>
      </c>
      <c r="V1936" s="9" t="s">
        <v>106</v>
      </c>
      <c r="W1936" s="9" t="s">
        <v>106</v>
      </c>
      <c r="X1936" s="9" t="s">
        <v>106</v>
      </c>
      <c r="Y1936" s="9" t="s">
        <v>106</v>
      </c>
      <c r="Z1936" s="9" t="s">
        <v>106</v>
      </c>
      <c r="AA1936" s="9" t="s">
        <v>106</v>
      </c>
      <c r="AB1936" s="9" t="s">
        <v>106</v>
      </c>
      <c r="AC1936" s="9" t="s">
        <v>5100</v>
      </c>
      <c r="AD1936" s="9" t="s">
        <v>5100</v>
      </c>
    </row>
    <row r="1937" spans="1:30">
      <c r="A1937" s="9" t="s">
        <v>3990</v>
      </c>
      <c r="B1937" s="9" t="s">
        <v>4377</v>
      </c>
      <c r="C1937" s="9" t="s">
        <v>105</v>
      </c>
      <c r="D1937" s="9">
        <v>7.7</v>
      </c>
      <c r="E1937" s="9" t="s">
        <v>106</v>
      </c>
      <c r="F1937" s="9">
        <v>437</v>
      </c>
      <c r="G1937" s="9" t="s">
        <v>106</v>
      </c>
      <c r="H1937" s="9">
        <v>8.4700000000000006</v>
      </c>
      <c r="I1937" s="9">
        <v>5</v>
      </c>
      <c r="J1937" s="9" t="s">
        <v>122</v>
      </c>
      <c r="K1937" s="9" t="s">
        <v>4372</v>
      </c>
      <c r="L1937" t="str">
        <f>IF(OR(J1937="Cattle",J1937="Zebu Cattle"),IF(COUNTIF(lists!$M$2:$M$258, K1937) &gt; 0,"bos.indicus",IF(COUNTIF(lists!$L$2:$L$258, K1937) &gt; 0,"cross.bred","pure.bred.exotic")),"NA")</f>
        <v>cross.bred</v>
      </c>
      <c r="O1937" s="9" t="s">
        <v>124</v>
      </c>
      <c r="P1937" s="9" t="s">
        <v>4198</v>
      </c>
      <c r="Q1937" s="9" t="s">
        <v>3809</v>
      </c>
      <c r="R1937" s="9" t="s">
        <v>3830</v>
      </c>
      <c r="S1937" s="9" t="s">
        <v>106</v>
      </c>
      <c r="T1937" s="9" t="s">
        <v>106</v>
      </c>
      <c r="U1937" s="9" t="s">
        <v>106</v>
      </c>
      <c r="V1937" s="9" t="s">
        <v>106</v>
      </c>
      <c r="W1937" s="9" t="s">
        <v>106</v>
      </c>
      <c r="X1937" s="9" t="s">
        <v>106</v>
      </c>
      <c r="Y1937" s="9" t="s">
        <v>106</v>
      </c>
      <c r="Z1937" s="9" t="s">
        <v>106</v>
      </c>
      <c r="AA1937" s="9" t="s">
        <v>106</v>
      </c>
      <c r="AB1937" s="9" t="s">
        <v>106</v>
      </c>
      <c r="AC1937" s="9" t="s">
        <v>5100</v>
      </c>
      <c r="AD1937" s="9" t="s">
        <v>5100</v>
      </c>
    </row>
    <row r="1938" spans="1:30">
      <c r="A1938" s="9" t="s">
        <v>3990</v>
      </c>
      <c r="B1938" s="9" t="s">
        <v>4377</v>
      </c>
      <c r="C1938" s="9" t="s">
        <v>105</v>
      </c>
      <c r="D1938" s="9">
        <v>7.7</v>
      </c>
      <c r="E1938" s="9" t="s">
        <v>106</v>
      </c>
      <c r="F1938" s="9">
        <v>430</v>
      </c>
      <c r="G1938" s="9" t="s">
        <v>106</v>
      </c>
      <c r="H1938" s="9">
        <v>8.65</v>
      </c>
      <c r="I1938" s="9">
        <v>5</v>
      </c>
      <c r="J1938" s="9" t="s">
        <v>122</v>
      </c>
      <c r="K1938" s="9" t="s">
        <v>4372</v>
      </c>
      <c r="L1938" t="str">
        <f>IF(OR(J1938="Cattle",J1938="Zebu Cattle"),IF(COUNTIF(lists!$M$2:$M$258, K1938) &gt; 0,"bos.indicus",IF(COUNTIF(lists!$L$2:$L$258, K1938) &gt; 0,"cross.bred","pure.bred.exotic")),"NA")</f>
        <v>cross.bred</v>
      </c>
      <c r="O1938" s="9" t="s">
        <v>124</v>
      </c>
      <c r="P1938" s="9" t="s">
        <v>4198</v>
      </c>
      <c r="Q1938" s="9" t="s">
        <v>3809</v>
      </c>
      <c r="R1938" s="9" t="s">
        <v>3830</v>
      </c>
      <c r="S1938" s="9" t="s">
        <v>106</v>
      </c>
      <c r="T1938" s="9" t="s">
        <v>106</v>
      </c>
      <c r="U1938" s="9" t="s">
        <v>106</v>
      </c>
      <c r="V1938" s="9" t="s">
        <v>106</v>
      </c>
      <c r="W1938" s="9" t="s">
        <v>106</v>
      </c>
      <c r="X1938" s="9" t="s">
        <v>106</v>
      </c>
      <c r="Y1938" s="9" t="s">
        <v>106</v>
      </c>
      <c r="Z1938" s="9" t="s">
        <v>106</v>
      </c>
      <c r="AA1938" s="9" t="s">
        <v>106</v>
      </c>
      <c r="AB1938" s="9" t="s">
        <v>106</v>
      </c>
      <c r="AC1938" s="9" t="s">
        <v>5100</v>
      </c>
      <c r="AD1938" s="9" t="s">
        <v>5100</v>
      </c>
    </row>
    <row r="1939" spans="1:30">
      <c r="A1939" s="9" t="s">
        <v>3990</v>
      </c>
      <c r="B1939" s="9" t="s">
        <v>4377</v>
      </c>
      <c r="C1939" s="9" t="s">
        <v>105</v>
      </c>
      <c r="D1939" s="9">
        <v>4.6100000000000003</v>
      </c>
      <c r="E1939" s="9" t="s">
        <v>106</v>
      </c>
      <c r="F1939" s="9">
        <v>245.5</v>
      </c>
      <c r="G1939" s="9" t="s">
        <v>106</v>
      </c>
      <c r="H1939" s="9">
        <v>2.0099999999999998</v>
      </c>
      <c r="I1939" s="9">
        <v>5</v>
      </c>
      <c r="J1939" s="9" t="s">
        <v>122</v>
      </c>
      <c r="K1939" s="9" t="s">
        <v>4161</v>
      </c>
      <c r="L1939" t="str">
        <f>IF(OR(J1939="Cattle",J1939="Zebu Cattle"),IF(COUNTIF(lists!$M$2:$M$258, K1939) &gt; 0,"bos.indicus",IF(COUNTIF(lists!$L$2:$L$258, K1939) &gt; 0,"cross.bred","pure.bred.exotic")),"NA")</f>
        <v>bos.indicus</v>
      </c>
      <c r="O1939" s="9" t="s">
        <v>4193</v>
      </c>
      <c r="P1939" s="9" t="s">
        <v>4198</v>
      </c>
      <c r="Q1939" s="9" t="s">
        <v>3809</v>
      </c>
      <c r="R1939" s="9" t="s">
        <v>3830</v>
      </c>
      <c r="S1939" s="9" t="s">
        <v>106</v>
      </c>
      <c r="T1939" s="9" t="s">
        <v>106</v>
      </c>
      <c r="U1939" s="9" t="s">
        <v>106</v>
      </c>
      <c r="V1939" s="9" t="s">
        <v>106</v>
      </c>
      <c r="W1939" s="9" t="s">
        <v>106</v>
      </c>
      <c r="X1939" s="9" t="s">
        <v>106</v>
      </c>
      <c r="Y1939" s="9" t="s">
        <v>106</v>
      </c>
      <c r="Z1939" s="9" t="s">
        <v>106</v>
      </c>
      <c r="AA1939" s="9" t="s">
        <v>106</v>
      </c>
      <c r="AB1939" s="9" t="s">
        <v>106</v>
      </c>
      <c r="AC1939" s="9" t="s">
        <v>5100</v>
      </c>
      <c r="AD1939" s="9" t="s">
        <v>5100</v>
      </c>
    </row>
    <row r="1940" spans="1:30">
      <c r="A1940" s="9" t="s">
        <v>3990</v>
      </c>
      <c r="B1940" s="9" t="s">
        <v>4377</v>
      </c>
      <c r="C1940" s="9" t="s">
        <v>105</v>
      </c>
      <c r="D1940" s="9">
        <v>5</v>
      </c>
      <c r="E1940" s="9" t="s">
        <v>106</v>
      </c>
      <c r="F1940" s="9">
        <v>250.5</v>
      </c>
      <c r="G1940" s="9" t="s">
        <v>106</v>
      </c>
      <c r="H1940" s="9">
        <v>1.91</v>
      </c>
      <c r="I1940" s="9">
        <v>5</v>
      </c>
      <c r="J1940" s="9" t="s">
        <v>122</v>
      </c>
      <c r="K1940" s="9" t="s">
        <v>4161</v>
      </c>
      <c r="L1940" t="str">
        <f>IF(OR(J1940="Cattle",J1940="Zebu Cattle"),IF(COUNTIF(lists!$M$2:$M$258, K1940) &gt; 0,"bos.indicus",IF(COUNTIF(lists!$L$2:$L$258, K1940) &gt; 0,"cross.bred","pure.bred.exotic")),"NA")</f>
        <v>bos.indicus</v>
      </c>
      <c r="O1940" s="9" t="s">
        <v>4193</v>
      </c>
      <c r="P1940" s="9" t="s">
        <v>4198</v>
      </c>
      <c r="Q1940" s="9" t="s">
        <v>3809</v>
      </c>
      <c r="R1940" s="9" t="s">
        <v>3830</v>
      </c>
      <c r="S1940" s="9" t="s">
        <v>106</v>
      </c>
      <c r="T1940" s="9" t="s">
        <v>106</v>
      </c>
      <c r="U1940" s="9" t="s">
        <v>106</v>
      </c>
      <c r="V1940" s="9" t="s">
        <v>106</v>
      </c>
      <c r="W1940" s="9" t="s">
        <v>106</v>
      </c>
      <c r="X1940" s="9" t="s">
        <v>106</v>
      </c>
      <c r="Y1940" s="9" t="s">
        <v>106</v>
      </c>
      <c r="Z1940" s="9" t="s">
        <v>106</v>
      </c>
      <c r="AA1940" s="9" t="s">
        <v>106</v>
      </c>
      <c r="AB1940" s="9" t="s">
        <v>106</v>
      </c>
      <c r="AC1940" s="9" t="s">
        <v>5100</v>
      </c>
      <c r="AD1940" s="9" t="s">
        <v>5100</v>
      </c>
    </row>
    <row r="1941" spans="1:30">
      <c r="A1941" s="9" t="s">
        <v>3990</v>
      </c>
      <c r="B1941" s="9" t="s">
        <v>4377</v>
      </c>
      <c r="C1941" s="9" t="s">
        <v>105</v>
      </c>
      <c r="D1941" s="9">
        <v>5</v>
      </c>
      <c r="E1941" s="9" t="s">
        <v>106</v>
      </c>
      <c r="F1941" s="9">
        <v>246.5</v>
      </c>
      <c r="G1941" s="9" t="s">
        <v>106</v>
      </c>
      <c r="H1941" s="9">
        <v>2.42</v>
      </c>
      <c r="I1941" s="9">
        <v>5</v>
      </c>
      <c r="J1941" s="9" t="s">
        <v>122</v>
      </c>
      <c r="K1941" s="9" t="s">
        <v>4161</v>
      </c>
      <c r="L1941" t="str">
        <f>IF(OR(J1941="Cattle",J1941="Zebu Cattle"),IF(COUNTIF(lists!$M$2:$M$258, K1941) &gt; 0,"bos.indicus",IF(COUNTIF(lists!$L$2:$L$258, K1941) &gt; 0,"cross.bred","pure.bred.exotic")),"NA")</f>
        <v>bos.indicus</v>
      </c>
      <c r="O1941" s="9" t="s">
        <v>4193</v>
      </c>
      <c r="P1941" s="9" t="s">
        <v>4198</v>
      </c>
      <c r="Q1941" s="9" t="s">
        <v>3809</v>
      </c>
      <c r="R1941" s="9" t="s">
        <v>3830</v>
      </c>
      <c r="S1941" s="9" t="s">
        <v>106</v>
      </c>
      <c r="T1941" s="9" t="s">
        <v>106</v>
      </c>
      <c r="U1941" s="9" t="s">
        <v>106</v>
      </c>
      <c r="V1941" s="9" t="s">
        <v>106</v>
      </c>
      <c r="W1941" s="9" t="s">
        <v>106</v>
      </c>
      <c r="X1941" s="9" t="s">
        <v>106</v>
      </c>
      <c r="Y1941" s="9" t="s">
        <v>106</v>
      </c>
      <c r="Z1941" s="9" t="s">
        <v>106</v>
      </c>
      <c r="AA1941" s="9" t="s">
        <v>106</v>
      </c>
      <c r="AB1941" s="9" t="s">
        <v>106</v>
      </c>
      <c r="AC1941" s="9" t="s">
        <v>5100</v>
      </c>
      <c r="AD1941" s="9" t="s">
        <v>5100</v>
      </c>
    </row>
    <row r="1942" spans="1:30">
      <c r="A1942" s="9" t="s">
        <v>3990</v>
      </c>
      <c r="B1942" s="9" t="s">
        <v>4377</v>
      </c>
      <c r="C1942" s="9" t="s">
        <v>105</v>
      </c>
      <c r="D1942" s="9">
        <v>5</v>
      </c>
      <c r="E1942" s="9" t="s">
        <v>106</v>
      </c>
      <c r="F1942" s="9">
        <v>251.5</v>
      </c>
      <c r="G1942" s="9" t="s">
        <v>106</v>
      </c>
      <c r="H1942" s="9">
        <v>2.5</v>
      </c>
      <c r="I1942" s="9">
        <v>5</v>
      </c>
      <c r="J1942" s="9" t="s">
        <v>122</v>
      </c>
      <c r="K1942" s="9" t="s">
        <v>4161</v>
      </c>
      <c r="L1942" t="str">
        <f>IF(OR(J1942="Cattle",J1942="Zebu Cattle"),IF(COUNTIF(lists!$M$2:$M$258, K1942) &gt; 0,"bos.indicus",IF(COUNTIF(lists!$L$2:$L$258, K1942) &gt; 0,"cross.bred","pure.bred.exotic")),"NA")</f>
        <v>bos.indicus</v>
      </c>
      <c r="O1942" s="9" t="s">
        <v>4193</v>
      </c>
      <c r="P1942" s="9" t="s">
        <v>4198</v>
      </c>
      <c r="Q1942" s="9" t="s">
        <v>3809</v>
      </c>
      <c r="R1942" s="9" t="s">
        <v>3830</v>
      </c>
      <c r="S1942" s="9" t="s">
        <v>106</v>
      </c>
      <c r="T1942" s="9" t="s">
        <v>106</v>
      </c>
      <c r="U1942" s="9" t="s">
        <v>106</v>
      </c>
      <c r="V1942" s="9" t="s">
        <v>106</v>
      </c>
      <c r="W1942" s="9" t="s">
        <v>106</v>
      </c>
      <c r="X1942" s="9" t="s">
        <v>106</v>
      </c>
      <c r="Y1942" s="9" t="s">
        <v>106</v>
      </c>
      <c r="Z1942" s="9" t="s">
        <v>106</v>
      </c>
      <c r="AA1942" s="9" t="s">
        <v>106</v>
      </c>
      <c r="AB1942" s="9" t="s">
        <v>106</v>
      </c>
      <c r="AC1942" s="9" t="s">
        <v>5100</v>
      </c>
      <c r="AD1942" s="9" t="s">
        <v>5100</v>
      </c>
    </row>
    <row r="1943" spans="1:30">
      <c r="A1943" s="9" t="s">
        <v>3993</v>
      </c>
      <c r="B1943" s="9" t="s">
        <v>4378</v>
      </c>
      <c r="C1943" s="9" t="s">
        <v>105</v>
      </c>
      <c r="D1943" s="9">
        <v>15.47</v>
      </c>
      <c r="E1943" s="9" t="s">
        <v>106</v>
      </c>
      <c r="F1943" s="9">
        <v>350.44</v>
      </c>
      <c r="G1943" s="9">
        <v>1.23</v>
      </c>
      <c r="H1943" s="9" t="s">
        <v>106</v>
      </c>
      <c r="I1943" s="9">
        <v>9</v>
      </c>
      <c r="J1943" s="9" t="s">
        <v>122</v>
      </c>
      <c r="K1943" s="9" t="s">
        <v>4380</v>
      </c>
      <c r="L1943" t="str">
        <f>IF(OR(J1943="Cattle",J1943="Zebu Cattle"),IF(COUNTIF(lists!$M$2:$M$258, K1943) &gt; 0,"bos.indicus",IF(COUNTIF(lists!$L$2:$L$258, K1943) &gt; 0,"cross.bred","pure.bred.exotic")),"NA")</f>
        <v>cross.bred</v>
      </c>
      <c r="O1943" s="9" t="s">
        <v>4194</v>
      </c>
      <c r="P1943" s="9" t="s">
        <v>4767</v>
      </c>
      <c r="Q1943" s="9" t="s">
        <v>3806</v>
      </c>
      <c r="R1943" s="9" t="s">
        <v>3830</v>
      </c>
      <c r="S1943" s="9">
        <v>410</v>
      </c>
      <c r="T1943" s="9" t="s">
        <v>106</v>
      </c>
      <c r="U1943" s="9">
        <v>154</v>
      </c>
      <c r="V1943" s="9">
        <v>892.3</v>
      </c>
      <c r="W1943" s="9">
        <v>17.16</v>
      </c>
      <c r="X1943" s="9">
        <v>550</v>
      </c>
      <c r="Y1943" s="9" t="s">
        <v>106</v>
      </c>
      <c r="Z1943" s="9">
        <v>72.599999999999994</v>
      </c>
      <c r="AA1943" s="9" t="s">
        <v>106</v>
      </c>
      <c r="AB1943" s="9" t="s">
        <v>106</v>
      </c>
      <c r="AC1943" s="9" t="s">
        <v>5100</v>
      </c>
      <c r="AD1943" s="9" t="s">
        <v>5100</v>
      </c>
    </row>
    <row r="1944" spans="1:30">
      <c r="A1944" s="9" t="s">
        <v>3993</v>
      </c>
      <c r="B1944" s="9" t="s">
        <v>4379</v>
      </c>
      <c r="C1944" s="9" t="s">
        <v>105</v>
      </c>
      <c r="D1944" s="9">
        <v>10.93</v>
      </c>
      <c r="E1944" s="9" t="s">
        <v>106</v>
      </c>
      <c r="F1944" s="9">
        <v>264.06</v>
      </c>
      <c r="G1944" s="9">
        <v>1.2</v>
      </c>
      <c r="H1944" s="9" t="s">
        <v>106</v>
      </c>
      <c r="I1944" s="9">
        <v>9</v>
      </c>
      <c r="J1944" s="9" t="s">
        <v>122</v>
      </c>
      <c r="K1944" s="9" t="s">
        <v>4380</v>
      </c>
      <c r="L1944" t="str">
        <f>IF(OR(J1944="Cattle",J1944="Zebu Cattle"),IF(COUNTIF(lists!$M$2:$M$258, K1944) &gt; 0,"bos.indicus",IF(COUNTIF(lists!$L$2:$L$258, K1944) &gt; 0,"cross.bred","pure.bred.exotic")),"NA")</f>
        <v>cross.bred</v>
      </c>
      <c r="O1944" s="9" t="s">
        <v>4194</v>
      </c>
      <c r="P1944" s="9" t="s">
        <v>4767</v>
      </c>
      <c r="Q1944" s="9" t="s">
        <v>3806</v>
      </c>
      <c r="R1944" s="9" t="s">
        <v>3830</v>
      </c>
      <c r="S1944" s="9">
        <v>470</v>
      </c>
      <c r="T1944" s="9" t="s">
        <v>106</v>
      </c>
      <c r="U1944" s="9">
        <v>160</v>
      </c>
      <c r="V1944" s="9">
        <v>879.3</v>
      </c>
      <c r="W1944" s="9">
        <v>15.93</v>
      </c>
      <c r="X1944" s="9">
        <v>710</v>
      </c>
      <c r="Y1944" s="9" t="s">
        <v>106</v>
      </c>
      <c r="Z1944" s="9">
        <v>51.4</v>
      </c>
      <c r="AA1944" s="9" t="s">
        <v>106</v>
      </c>
      <c r="AB1944" s="9" t="s">
        <v>106</v>
      </c>
      <c r="AC1944" s="9" t="s">
        <v>5100</v>
      </c>
      <c r="AD1944" s="9" t="s">
        <v>5100</v>
      </c>
    </row>
    <row r="1945" spans="1:30">
      <c r="A1945" s="9" t="s">
        <v>3985</v>
      </c>
      <c r="B1945" s="9" t="s">
        <v>4381</v>
      </c>
      <c r="C1945" s="9" t="s">
        <v>105</v>
      </c>
      <c r="D1945" s="9">
        <v>7.01</v>
      </c>
      <c r="E1945" s="9" t="s">
        <v>106</v>
      </c>
      <c r="F1945" s="9" t="s">
        <v>106</v>
      </c>
      <c r="G1945" s="9" t="s">
        <v>106</v>
      </c>
      <c r="H1945" s="9">
        <v>2.36</v>
      </c>
      <c r="J1945" s="9" t="s">
        <v>122</v>
      </c>
      <c r="K1945" s="9" t="s">
        <v>4359</v>
      </c>
      <c r="L1945" t="str">
        <f>IF(OR(J1945="Cattle",J1945="Zebu Cattle"),IF(COUNTIF(lists!$M$2:$M$258, K1945) &gt; 0,"bos.indicus",IF(COUNTIF(lists!$L$2:$L$258, K1945) &gt; 0,"cross.bred","pure.bred.exotic")),"NA")</f>
        <v>cross.bred</v>
      </c>
      <c r="O1945" s="9" t="s">
        <v>124</v>
      </c>
      <c r="P1945" s="9" t="s">
        <v>4198</v>
      </c>
      <c r="Q1945" s="9" t="s">
        <v>3809</v>
      </c>
      <c r="R1945" s="9" t="s">
        <v>3830</v>
      </c>
      <c r="S1945" s="9" t="s">
        <v>106</v>
      </c>
      <c r="T1945" s="9" t="s">
        <v>106</v>
      </c>
      <c r="U1945" s="9" t="s">
        <v>106</v>
      </c>
      <c r="V1945" s="9" t="s">
        <v>106</v>
      </c>
      <c r="W1945" s="9" t="s">
        <v>106</v>
      </c>
      <c r="X1945" s="9" t="s">
        <v>106</v>
      </c>
      <c r="Y1945" s="9" t="s">
        <v>106</v>
      </c>
      <c r="Z1945" s="9" t="s">
        <v>106</v>
      </c>
      <c r="AA1945" s="9" t="s">
        <v>106</v>
      </c>
      <c r="AB1945" s="9">
        <v>54.7</v>
      </c>
      <c r="AC1945" s="9" t="s">
        <v>5100</v>
      </c>
      <c r="AD1945" s="9" t="s">
        <v>5100</v>
      </c>
    </row>
    <row r="1946" spans="1:30">
      <c r="A1946" s="9" t="s">
        <v>3985</v>
      </c>
      <c r="B1946" s="9" t="s">
        <v>4382</v>
      </c>
      <c r="C1946" s="9" t="s">
        <v>105</v>
      </c>
      <c r="D1946" s="9">
        <v>10.3</v>
      </c>
      <c r="E1946" s="9" t="s">
        <v>106</v>
      </c>
      <c r="F1946" s="9" t="s">
        <v>106</v>
      </c>
      <c r="G1946" s="9" t="s">
        <v>106</v>
      </c>
      <c r="H1946" s="9">
        <v>4.83</v>
      </c>
      <c r="J1946" s="9" t="s">
        <v>122</v>
      </c>
      <c r="K1946" s="9" t="s">
        <v>4359</v>
      </c>
      <c r="L1946" t="str">
        <f>IF(OR(J1946="Cattle",J1946="Zebu Cattle"),IF(COUNTIF(lists!$M$2:$M$258, K1946) &gt; 0,"bos.indicus",IF(COUNTIF(lists!$L$2:$L$258, K1946) &gt; 0,"cross.bred","pure.bred.exotic")),"NA")</f>
        <v>cross.bred</v>
      </c>
      <c r="O1946" s="9" t="s">
        <v>124</v>
      </c>
      <c r="P1946" s="9" t="s">
        <v>4198</v>
      </c>
      <c r="Q1946" s="9" t="s">
        <v>3809</v>
      </c>
      <c r="R1946" s="9" t="s">
        <v>3830</v>
      </c>
      <c r="S1946" s="9" t="s">
        <v>106</v>
      </c>
      <c r="T1946" s="9" t="s">
        <v>106</v>
      </c>
      <c r="U1946" s="9" t="s">
        <v>106</v>
      </c>
      <c r="V1946" s="9" t="s">
        <v>106</v>
      </c>
      <c r="W1946" s="9" t="s">
        <v>106</v>
      </c>
      <c r="X1946" s="9" t="s">
        <v>106</v>
      </c>
      <c r="Y1946" s="9" t="s">
        <v>106</v>
      </c>
      <c r="Z1946" s="9" t="s">
        <v>106</v>
      </c>
      <c r="AA1946" s="9" t="s">
        <v>106</v>
      </c>
      <c r="AB1946" s="9">
        <v>59.1</v>
      </c>
      <c r="AC1946" s="9" t="s">
        <v>5100</v>
      </c>
      <c r="AD1946" s="9" t="s">
        <v>5100</v>
      </c>
    </row>
    <row r="1947" spans="1:30">
      <c r="A1947" s="9" t="s">
        <v>3985</v>
      </c>
      <c r="B1947" s="9" t="s">
        <v>4383</v>
      </c>
      <c r="C1947" s="9" t="s">
        <v>105</v>
      </c>
      <c r="D1947" s="9">
        <v>8.3000000000000007</v>
      </c>
      <c r="E1947" s="9" t="s">
        <v>106</v>
      </c>
      <c r="F1947" s="9" t="s">
        <v>106</v>
      </c>
      <c r="G1947" s="9" t="s">
        <v>106</v>
      </c>
      <c r="H1947" s="9">
        <v>2.19</v>
      </c>
      <c r="J1947" s="9" t="s">
        <v>122</v>
      </c>
      <c r="K1947" s="9" t="s">
        <v>4359</v>
      </c>
      <c r="L1947" t="str">
        <f>IF(OR(J1947="Cattle",J1947="Zebu Cattle"),IF(COUNTIF(lists!$M$2:$M$258, K1947) &gt; 0,"bos.indicus",IF(COUNTIF(lists!$L$2:$L$258, K1947) &gt; 0,"cross.bred","pure.bred.exotic")),"NA")</f>
        <v>cross.bred</v>
      </c>
      <c r="O1947" s="9" t="s">
        <v>124</v>
      </c>
      <c r="P1947" s="9" t="s">
        <v>4198</v>
      </c>
      <c r="Q1947" s="9" t="s">
        <v>3809</v>
      </c>
      <c r="R1947" s="9" t="s">
        <v>3830</v>
      </c>
      <c r="S1947" s="9" t="s">
        <v>106</v>
      </c>
      <c r="T1947" s="9" t="s">
        <v>106</v>
      </c>
      <c r="U1947" s="9" t="s">
        <v>106</v>
      </c>
      <c r="V1947" s="9" t="s">
        <v>106</v>
      </c>
      <c r="W1947" s="9" t="s">
        <v>106</v>
      </c>
      <c r="X1947" s="9" t="s">
        <v>106</v>
      </c>
      <c r="Y1947" s="9" t="s">
        <v>106</v>
      </c>
      <c r="Z1947" s="9" t="s">
        <v>106</v>
      </c>
      <c r="AA1947" s="9" t="s">
        <v>106</v>
      </c>
      <c r="AB1947" s="9">
        <v>57.9</v>
      </c>
      <c r="AC1947" s="9" t="s">
        <v>5100</v>
      </c>
      <c r="AD1947" s="9" t="s">
        <v>5100</v>
      </c>
    </row>
    <row r="1948" spans="1:30">
      <c r="A1948" s="9" t="s">
        <v>3985</v>
      </c>
      <c r="B1948" s="9" t="s">
        <v>4384</v>
      </c>
      <c r="C1948" s="9" t="s">
        <v>105</v>
      </c>
      <c r="D1948" s="9">
        <v>11.4</v>
      </c>
      <c r="E1948" s="9" t="s">
        <v>106</v>
      </c>
      <c r="F1948" s="9" t="s">
        <v>106</v>
      </c>
      <c r="G1948" s="9" t="s">
        <v>106</v>
      </c>
      <c r="H1948" s="9">
        <v>4.8099999999999996</v>
      </c>
      <c r="J1948" s="9" t="s">
        <v>122</v>
      </c>
      <c r="K1948" s="9" t="s">
        <v>4359</v>
      </c>
      <c r="L1948" t="str">
        <f>IF(OR(J1948="Cattle",J1948="Zebu Cattle"),IF(COUNTIF(lists!$M$2:$M$258, K1948) &gt; 0,"bos.indicus",IF(COUNTIF(lists!$L$2:$L$258, K1948) &gt; 0,"cross.bred","pure.bred.exotic")),"NA")</f>
        <v>cross.bred</v>
      </c>
      <c r="O1948" s="9" t="s">
        <v>124</v>
      </c>
      <c r="P1948" s="9" t="s">
        <v>4198</v>
      </c>
      <c r="Q1948" s="9" t="s">
        <v>3809</v>
      </c>
      <c r="R1948" s="9" t="s">
        <v>3830</v>
      </c>
      <c r="S1948" s="9" t="s">
        <v>106</v>
      </c>
      <c r="T1948" s="9" t="s">
        <v>106</v>
      </c>
      <c r="U1948" s="9" t="s">
        <v>106</v>
      </c>
      <c r="V1948" s="9" t="s">
        <v>106</v>
      </c>
      <c r="W1948" s="9" t="s">
        <v>106</v>
      </c>
      <c r="X1948" s="9" t="s">
        <v>106</v>
      </c>
      <c r="Y1948" s="9" t="s">
        <v>106</v>
      </c>
      <c r="Z1948" s="9" t="s">
        <v>106</v>
      </c>
      <c r="AA1948" s="9" t="s">
        <v>106</v>
      </c>
      <c r="AB1948" s="9">
        <v>61.2</v>
      </c>
      <c r="AC1948" s="9" t="s">
        <v>5100</v>
      </c>
      <c r="AD1948" s="9" t="s">
        <v>5100</v>
      </c>
    </row>
    <row r="1949" spans="1:30">
      <c r="A1949" s="9" t="s">
        <v>3938</v>
      </c>
      <c r="B1949" s="9" t="s">
        <v>4385</v>
      </c>
      <c r="C1949" s="9" t="s">
        <v>105</v>
      </c>
      <c r="D1949" s="9">
        <v>9.1</v>
      </c>
      <c r="E1949" s="9" t="s">
        <v>106</v>
      </c>
      <c r="F1949" s="9" t="s">
        <v>106</v>
      </c>
      <c r="G1949" s="9">
        <v>-0.42</v>
      </c>
      <c r="H1949" s="9">
        <v>8.5</v>
      </c>
      <c r="I1949" s="9">
        <v>6</v>
      </c>
      <c r="J1949" s="9" t="s">
        <v>122</v>
      </c>
      <c r="K1949" s="9" t="s">
        <v>4391</v>
      </c>
      <c r="L1949" t="str">
        <f>IF(OR(J1949="Cattle",J1949="Zebu Cattle"),IF(COUNTIF(lists!$M$2:$M$258, K1949) &gt; 0,"bos.indicus",IF(COUNTIF(lists!$L$2:$L$258, K1949) &gt; 0,"cross.bred","pure.bred.exotic")),"NA")</f>
        <v>cross.bred</v>
      </c>
      <c r="O1949" s="9" t="s">
        <v>124</v>
      </c>
      <c r="P1949" s="9" t="s">
        <v>4198</v>
      </c>
      <c r="Q1949" s="9" t="s">
        <v>3809</v>
      </c>
      <c r="R1949" s="9" t="s">
        <v>3830</v>
      </c>
      <c r="S1949" s="9" t="s">
        <v>106</v>
      </c>
      <c r="T1949" s="9">
        <v>119</v>
      </c>
      <c r="U1949" s="9">
        <v>99</v>
      </c>
      <c r="V1949" s="9">
        <v>170</v>
      </c>
      <c r="W1949" s="9" t="s">
        <v>106</v>
      </c>
      <c r="X1949" s="9" t="s">
        <v>106</v>
      </c>
      <c r="Y1949" s="9" t="s">
        <v>106</v>
      </c>
      <c r="Z1949" s="9" t="s">
        <v>106</v>
      </c>
      <c r="AA1949" s="9" t="s">
        <v>106</v>
      </c>
      <c r="AB1949" s="9">
        <v>88.1</v>
      </c>
      <c r="AC1949" s="9" t="s">
        <v>5100</v>
      </c>
      <c r="AD1949" s="16" t="s">
        <v>5099</v>
      </c>
    </row>
    <row r="1950" spans="1:30">
      <c r="A1950" s="9" t="s">
        <v>3938</v>
      </c>
      <c r="B1950" s="9" t="s">
        <v>4386</v>
      </c>
      <c r="C1950" s="9" t="s">
        <v>105</v>
      </c>
      <c r="D1950" s="9">
        <v>10.8</v>
      </c>
      <c r="E1950" s="9" t="s">
        <v>106</v>
      </c>
      <c r="F1950" s="9" t="s">
        <v>106</v>
      </c>
      <c r="G1950" s="9">
        <v>-0.03</v>
      </c>
      <c r="H1950" s="9">
        <v>8.5</v>
      </c>
      <c r="I1950" s="9">
        <v>6</v>
      </c>
      <c r="J1950" s="9" t="s">
        <v>122</v>
      </c>
      <c r="K1950" s="9" t="s">
        <v>4391</v>
      </c>
      <c r="L1950" t="str">
        <f>IF(OR(J1950="Cattle",J1950="Zebu Cattle"),IF(COUNTIF(lists!$M$2:$M$258, K1950) &gt; 0,"bos.indicus",IF(COUNTIF(lists!$L$2:$L$258, K1950) &gt; 0,"cross.bred","pure.bred.exotic")),"NA")</f>
        <v>cross.bred</v>
      </c>
      <c r="O1950" s="9" t="s">
        <v>124</v>
      </c>
      <c r="P1950" s="9" t="s">
        <v>4198</v>
      </c>
      <c r="Q1950" s="9" t="s">
        <v>3809</v>
      </c>
      <c r="R1950" s="9" t="s">
        <v>3830</v>
      </c>
      <c r="S1950" s="9" t="s">
        <v>106</v>
      </c>
      <c r="T1950" s="9">
        <v>113.3</v>
      </c>
      <c r="U1950" s="9">
        <v>113.2</v>
      </c>
      <c r="V1950" s="9">
        <v>182.2</v>
      </c>
      <c r="W1950" s="9" t="s">
        <v>106</v>
      </c>
      <c r="X1950" s="9" t="s">
        <v>106</v>
      </c>
      <c r="Y1950" s="9" t="s">
        <v>106</v>
      </c>
      <c r="Z1950" s="9" t="s">
        <v>106</v>
      </c>
      <c r="AA1950" s="9" t="s">
        <v>106</v>
      </c>
      <c r="AB1950" s="9">
        <v>88.57</v>
      </c>
      <c r="AC1950" s="9" t="s">
        <v>5100</v>
      </c>
      <c r="AD1950" s="16" t="s">
        <v>5099</v>
      </c>
    </row>
    <row r="1951" spans="1:30">
      <c r="A1951" s="9" t="s">
        <v>3938</v>
      </c>
      <c r="B1951" s="9" t="s">
        <v>4387</v>
      </c>
      <c r="C1951" s="9" t="s">
        <v>105</v>
      </c>
      <c r="D1951" s="9">
        <v>11.5</v>
      </c>
      <c r="E1951" s="9" t="s">
        <v>106</v>
      </c>
      <c r="F1951" s="9" t="s">
        <v>106</v>
      </c>
      <c r="G1951" s="9">
        <v>-0.02</v>
      </c>
      <c r="H1951" s="9">
        <v>8.8000000000000007</v>
      </c>
      <c r="I1951" s="9">
        <v>6</v>
      </c>
      <c r="J1951" s="9" t="s">
        <v>122</v>
      </c>
      <c r="K1951" s="9" t="s">
        <v>4391</v>
      </c>
      <c r="L1951" t="str">
        <f>IF(OR(J1951="Cattle",J1951="Zebu Cattle"),IF(COUNTIF(lists!$M$2:$M$258, K1951) &gt; 0,"bos.indicus",IF(COUNTIF(lists!$L$2:$L$258, K1951) &gt; 0,"cross.bred","pure.bred.exotic")),"NA")</f>
        <v>cross.bred</v>
      </c>
      <c r="O1951" s="9" t="s">
        <v>124</v>
      </c>
      <c r="P1951" s="9" t="s">
        <v>4198</v>
      </c>
      <c r="Q1951" s="9" t="s">
        <v>3809</v>
      </c>
      <c r="R1951" s="9" t="s">
        <v>3830</v>
      </c>
      <c r="S1951" s="9" t="s">
        <v>106</v>
      </c>
      <c r="T1951" s="9">
        <v>108.3</v>
      </c>
      <c r="U1951" s="9">
        <v>125.7</v>
      </c>
      <c r="V1951" s="9">
        <v>193</v>
      </c>
      <c r="W1951" s="9" t="s">
        <v>106</v>
      </c>
      <c r="X1951" s="9" t="s">
        <v>106</v>
      </c>
      <c r="Y1951" s="9" t="s">
        <v>106</v>
      </c>
      <c r="Z1951" s="9" t="s">
        <v>106</v>
      </c>
      <c r="AA1951" s="9" t="s">
        <v>106</v>
      </c>
      <c r="AB1951" s="9">
        <v>89.17</v>
      </c>
      <c r="AC1951" s="9" t="s">
        <v>5100</v>
      </c>
      <c r="AD1951" s="16" t="s">
        <v>5099</v>
      </c>
    </row>
    <row r="1952" spans="1:30">
      <c r="A1952" s="9" t="s">
        <v>3938</v>
      </c>
      <c r="B1952" s="9" t="s">
        <v>4388</v>
      </c>
      <c r="C1952" s="9" t="s">
        <v>105</v>
      </c>
      <c r="D1952" s="9">
        <v>6.5</v>
      </c>
      <c r="E1952" s="9" t="s">
        <v>106</v>
      </c>
      <c r="F1952" s="9" t="s">
        <v>106</v>
      </c>
      <c r="G1952" s="9">
        <v>-0.66500000000000004</v>
      </c>
      <c r="H1952" s="9">
        <v>6.1</v>
      </c>
      <c r="I1952" s="9">
        <v>6</v>
      </c>
      <c r="J1952" s="9" t="s">
        <v>122</v>
      </c>
      <c r="K1952" s="9" t="s">
        <v>4391</v>
      </c>
      <c r="L1952" t="str">
        <f>IF(OR(J1952="Cattle",J1952="Zebu Cattle"),IF(COUNTIF(lists!$M$2:$M$258, K1952) &gt; 0,"bos.indicus",IF(COUNTIF(lists!$L$2:$L$258, K1952) &gt; 0,"cross.bred","pure.bred.exotic")),"NA")</f>
        <v>cross.bred</v>
      </c>
      <c r="O1952" s="9" t="s">
        <v>124</v>
      </c>
      <c r="P1952" s="9" t="s">
        <v>4198</v>
      </c>
      <c r="Q1952" s="9" t="s">
        <v>3809</v>
      </c>
      <c r="R1952" s="9" t="s">
        <v>3830</v>
      </c>
      <c r="S1952" s="9" t="s">
        <v>106</v>
      </c>
      <c r="T1952" s="9">
        <v>95</v>
      </c>
      <c r="U1952" s="9">
        <v>73</v>
      </c>
      <c r="V1952" s="9">
        <v>180</v>
      </c>
      <c r="W1952" s="9" t="s">
        <v>106</v>
      </c>
      <c r="X1952" s="9" t="s">
        <v>106</v>
      </c>
      <c r="Y1952" s="9" t="s">
        <v>106</v>
      </c>
      <c r="Z1952" s="9" t="s">
        <v>106</v>
      </c>
      <c r="AA1952" s="9" t="s">
        <v>106</v>
      </c>
      <c r="AB1952" s="9">
        <v>90.5</v>
      </c>
      <c r="AC1952" s="9" t="s">
        <v>5100</v>
      </c>
      <c r="AD1952" s="16" t="s">
        <v>5099</v>
      </c>
    </row>
    <row r="1953" spans="1:30">
      <c r="A1953" s="9" t="s">
        <v>3938</v>
      </c>
      <c r="B1953" s="9" t="s">
        <v>4389</v>
      </c>
      <c r="C1953" s="9" t="s">
        <v>105</v>
      </c>
      <c r="D1953" s="9">
        <v>7.8</v>
      </c>
      <c r="E1953" s="9" t="s">
        <v>106</v>
      </c>
      <c r="F1953" s="9" t="s">
        <v>106</v>
      </c>
      <c r="G1953" s="9">
        <v>-0.43</v>
      </c>
      <c r="H1953" s="9">
        <v>6.9</v>
      </c>
      <c r="I1953" s="9">
        <v>6</v>
      </c>
      <c r="J1953" s="9" t="s">
        <v>122</v>
      </c>
      <c r="K1953" s="9" t="s">
        <v>4391</v>
      </c>
      <c r="L1953" t="str">
        <f>IF(OR(J1953="Cattle",J1953="Zebu Cattle"),IF(COUNTIF(lists!$M$2:$M$258, K1953) &gt; 0,"bos.indicus",IF(COUNTIF(lists!$L$2:$L$258, K1953) &gt; 0,"cross.bred","pure.bred.exotic")),"NA")</f>
        <v>cross.bred</v>
      </c>
      <c r="O1953" s="9" t="s">
        <v>124</v>
      </c>
      <c r="P1953" s="9" t="s">
        <v>4198</v>
      </c>
      <c r="Q1953" s="9" t="s">
        <v>3809</v>
      </c>
      <c r="R1953" s="9" t="s">
        <v>3830</v>
      </c>
      <c r="S1953" s="9" t="s">
        <v>106</v>
      </c>
      <c r="T1953" s="9">
        <v>91.4</v>
      </c>
      <c r="U1953" s="9">
        <v>93.5</v>
      </c>
      <c r="V1953" s="9">
        <v>193.3</v>
      </c>
      <c r="W1953" s="9" t="s">
        <v>106</v>
      </c>
      <c r="X1953" s="9" t="s">
        <v>106</v>
      </c>
      <c r="Y1953" s="9" t="s">
        <v>106</v>
      </c>
      <c r="Z1953" s="9" t="s">
        <v>106</v>
      </c>
      <c r="AA1953" s="9" t="s">
        <v>106</v>
      </c>
      <c r="AB1953" s="9">
        <v>90.86</v>
      </c>
      <c r="AC1953" s="9" t="s">
        <v>5100</v>
      </c>
      <c r="AD1953" s="16" t="s">
        <v>5099</v>
      </c>
    </row>
    <row r="1954" spans="1:30">
      <c r="A1954" s="9" t="s">
        <v>3938</v>
      </c>
      <c r="B1954" s="9" t="s">
        <v>4390</v>
      </c>
      <c r="C1954" s="9" t="s">
        <v>105</v>
      </c>
      <c r="D1954" s="9">
        <v>9.3000000000000007</v>
      </c>
      <c r="E1954" s="9" t="s">
        <v>106</v>
      </c>
      <c r="F1954" s="9" t="s">
        <v>106</v>
      </c>
      <c r="G1954" s="9">
        <v>-0.32500000000000001</v>
      </c>
      <c r="H1954" s="9">
        <v>7.8</v>
      </c>
      <c r="I1954" s="9">
        <v>6</v>
      </c>
      <c r="J1954" s="9" t="s">
        <v>122</v>
      </c>
      <c r="K1954" s="9" t="s">
        <v>4391</v>
      </c>
      <c r="L1954" t="str">
        <f>IF(OR(J1954="Cattle",J1954="Zebu Cattle"),IF(COUNTIF(lists!$M$2:$M$258, K1954) &gt; 0,"bos.indicus",IF(COUNTIF(lists!$L$2:$L$258, K1954) &gt; 0,"cross.bred","pure.bred.exotic")),"NA")</f>
        <v>cross.bred</v>
      </c>
      <c r="O1954" s="9" t="s">
        <v>124</v>
      </c>
      <c r="P1954" s="9" t="s">
        <v>4198</v>
      </c>
      <c r="Q1954" s="9" t="s">
        <v>3809</v>
      </c>
      <c r="R1954" s="9" t="s">
        <v>3830</v>
      </c>
      <c r="S1954" s="9" t="s">
        <v>106</v>
      </c>
      <c r="T1954" s="9">
        <v>88.3</v>
      </c>
      <c r="U1954" s="9">
        <v>111.5</v>
      </c>
      <c r="V1954" s="9">
        <v>205</v>
      </c>
      <c r="W1954" s="9" t="s">
        <v>106</v>
      </c>
      <c r="X1954" s="9" t="s">
        <v>106</v>
      </c>
      <c r="Y1954" s="9" t="s">
        <v>106</v>
      </c>
      <c r="Z1954" s="9" t="s">
        <v>106</v>
      </c>
      <c r="AA1954" s="9" t="s">
        <v>106</v>
      </c>
      <c r="AB1954" s="9">
        <v>91.17</v>
      </c>
      <c r="AC1954" s="9" t="s">
        <v>5100</v>
      </c>
      <c r="AD1954" s="16" t="s">
        <v>5099</v>
      </c>
    </row>
    <row r="1955" spans="1:30">
      <c r="A1955" s="9" t="s">
        <v>3949</v>
      </c>
      <c r="B1955" s="9" t="s">
        <v>4392</v>
      </c>
      <c r="C1955" s="9" t="s">
        <v>105</v>
      </c>
      <c r="D1955" s="9">
        <v>3.4</v>
      </c>
      <c r="E1955" s="9" t="s">
        <v>106</v>
      </c>
      <c r="F1955" s="12">
        <v>163</v>
      </c>
      <c r="G1955" s="9">
        <v>0.19080000000000003</v>
      </c>
      <c r="H1955" s="9" t="s">
        <v>106</v>
      </c>
      <c r="I1955" s="9">
        <v>5</v>
      </c>
      <c r="J1955" s="9" t="s">
        <v>122</v>
      </c>
      <c r="K1955" s="9" t="s">
        <v>4409</v>
      </c>
      <c r="L1955" t="str">
        <f>IF(OR(J1955="Cattle",J1955="Zebu Cattle"),IF(COUNTIF(lists!$M$2:$M$258, K1955) &gt; 0,"bos.indicus",IF(COUNTIF(lists!$L$2:$L$258, K1955) &gt; 0,"cross.bred","pure.bred.exotic")),"NA")</f>
        <v>bos.indicus</v>
      </c>
      <c r="O1955" s="9" t="s">
        <v>4193</v>
      </c>
      <c r="P1955" s="9" t="s">
        <v>4410</v>
      </c>
      <c r="Q1955" s="9" t="s">
        <v>3804</v>
      </c>
      <c r="R1955" s="9" t="s">
        <v>3830</v>
      </c>
      <c r="S1955" s="9" t="s">
        <v>106</v>
      </c>
      <c r="T1955" s="9" t="s">
        <v>106</v>
      </c>
      <c r="U1955" s="9" t="s">
        <v>106</v>
      </c>
      <c r="V1955" s="9" t="s">
        <v>106</v>
      </c>
      <c r="W1955" s="9" t="s">
        <v>106</v>
      </c>
      <c r="X1955" s="9" t="s">
        <v>106</v>
      </c>
      <c r="Y1955" s="9" t="s">
        <v>106</v>
      </c>
      <c r="Z1955" s="9" t="s">
        <v>106</v>
      </c>
      <c r="AA1955" s="9">
        <v>64.900000000000006</v>
      </c>
      <c r="AB1955" s="9">
        <v>67.099999999999994</v>
      </c>
      <c r="AC1955" s="9" t="s">
        <v>5100</v>
      </c>
      <c r="AD1955" s="9" t="s">
        <v>5100</v>
      </c>
    </row>
    <row r="1956" spans="1:30">
      <c r="A1956" s="9" t="s">
        <v>3949</v>
      </c>
      <c r="B1956" s="9" t="s">
        <v>4393</v>
      </c>
      <c r="C1956" s="9" t="s">
        <v>105</v>
      </c>
      <c r="D1956" s="9">
        <v>2.6</v>
      </c>
      <c r="E1956" s="9" t="s">
        <v>106</v>
      </c>
      <c r="F1956" s="12">
        <v>163</v>
      </c>
      <c r="G1956" s="9">
        <v>0.1065</v>
      </c>
      <c r="H1956" s="9" t="s">
        <v>106</v>
      </c>
      <c r="I1956" s="9">
        <v>5</v>
      </c>
      <c r="J1956" s="9" t="s">
        <v>122</v>
      </c>
      <c r="K1956" s="9" t="s">
        <v>4409</v>
      </c>
      <c r="L1956" t="str">
        <f>IF(OR(J1956="Cattle",J1956="Zebu Cattle"),IF(COUNTIF(lists!$M$2:$M$258, K1956) &gt; 0,"bos.indicus",IF(COUNTIF(lists!$L$2:$L$258, K1956) &gt; 0,"cross.bred","pure.bred.exotic")),"NA")</f>
        <v>bos.indicus</v>
      </c>
      <c r="O1956" s="9" t="s">
        <v>4193</v>
      </c>
      <c r="P1956" s="9" t="s">
        <v>4410</v>
      </c>
      <c r="Q1956" s="9" t="s">
        <v>3804</v>
      </c>
      <c r="R1956" s="9" t="s">
        <v>3830</v>
      </c>
      <c r="S1956" s="9" t="s">
        <v>106</v>
      </c>
      <c r="T1956" s="9" t="s">
        <v>106</v>
      </c>
      <c r="U1956" s="9" t="s">
        <v>106</v>
      </c>
      <c r="V1956" s="9" t="s">
        <v>106</v>
      </c>
      <c r="W1956" s="9" t="s">
        <v>106</v>
      </c>
      <c r="X1956" s="9" t="s">
        <v>106</v>
      </c>
      <c r="Y1956" s="9" t="s">
        <v>106</v>
      </c>
      <c r="Z1956" s="9" t="s">
        <v>106</v>
      </c>
      <c r="AA1956" s="9">
        <v>54.9</v>
      </c>
      <c r="AB1956" s="9">
        <v>56.9</v>
      </c>
      <c r="AC1956" s="9" t="s">
        <v>5100</v>
      </c>
      <c r="AD1956" s="9" t="s">
        <v>5100</v>
      </c>
    </row>
    <row r="1957" spans="1:30">
      <c r="A1957" s="9" t="s">
        <v>3949</v>
      </c>
      <c r="B1957" s="9" t="s">
        <v>4394</v>
      </c>
      <c r="C1957" s="9" t="s">
        <v>105</v>
      </c>
      <c r="D1957" s="9">
        <v>2.8</v>
      </c>
      <c r="E1957" s="9" t="s">
        <v>106</v>
      </c>
      <c r="F1957" s="12">
        <v>163</v>
      </c>
      <c r="G1957" s="9">
        <v>0.11509999999999999</v>
      </c>
      <c r="H1957" s="9" t="s">
        <v>106</v>
      </c>
      <c r="I1957" s="9">
        <v>5</v>
      </c>
      <c r="J1957" s="9" t="s">
        <v>122</v>
      </c>
      <c r="K1957" s="9" t="s">
        <v>4409</v>
      </c>
      <c r="L1957" t="str">
        <f>IF(OR(J1957="Cattle",J1957="Zebu Cattle"),IF(COUNTIF(lists!$M$2:$M$258, K1957) &gt; 0,"bos.indicus",IF(COUNTIF(lists!$L$2:$L$258, K1957) &gt; 0,"cross.bred","pure.bred.exotic")),"NA")</f>
        <v>bos.indicus</v>
      </c>
      <c r="O1957" s="9" t="s">
        <v>4193</v>
      </c>
      <c r="P1957" s="9" t="s">
        <v>4410</v>
      </c>
      <c r="Q1957" s="9" t="s">
        <v>3804</v>
      </c>
      <c r="R1957" s="9" t="s">
        <v>3830</v>
      </c>
      <c r="S1957" s="9" t="s">
        <v>106</v>
      </c>
      <c r="T1957" s="9" t="s">
        <v>106</v>
      </c>
      <c r="U1957" s="9" t="s">
        <v>106</v>
      </c>
      <c r="V1957" s="9" t="s">
        <v>106</v>
      </c>
      <c r="W1957" s="9" t="s">
        <v>106</v>
      </c>
      <c r="X1957" s="9" t="s">
        <v>106</v>
      </c>
      <c r="Y1957" s="9" t="s">
        <v>106</v>
      </c>
      <c r="Z1957" s="9" t="s">
        <v>106</v>
      </c>
      <c r="AA1957" s="9">
        <v>58.7</v>
      </c>
      <c r="AB1957" s="9">
        <v>59.3</v>
      </c>
      <c r="AC1957" s="9" t="s">
        <v>5100</v>
      </c>
      <c r="AD1957" s="9" t="s">
        <v>5100</v>
      </c>
    </row>
    <row r="1958" spans="1:30">
      <c r="A1958" s="9" t="s">
        <v>3949</v>
      </c>
      <c r="B1958" s="9" t="s">
        <v>4395</v>
      </c>
      <c r="C1958" s="9" t="s">
        <v>105</v>
      </c>
      <c r="D1958" s="9">
        <v>3.7</v>
      </c>
      <c r="E1958" s="9" t="s">
        <v>106</v>
      </c>
      <c r="F1958" s="12">
        <v>163</v>
      </c>
      <c r="G1958" s="9">
        <v>0.20119999999999999</v>
      </c>
      <c r="H1958" s="9" t="s">
        <v>106</v>
      </c>
      <c r="I1958" s="9">
        <v>5</v>
      </c>
      <c r="J1958" s="9" t="s">
        <v>122</v>
      </c>
      <c r="K1958" s="9" t="s">
        <v>4409</v>
      </c>
      <c r="L1958" t="str">
        <f>IF(OR(J1958="Cattle",J1958="Zebu Cattle"),IF(COUNTIF(lists!$M$2:$M$258, K1958) &gt; 0,"bos.indicus",IF(COUNTIF(lists!$L$2:$L$258, K1958) &gt; 0,"cross.bred","pure.bred.exotic")),"NA")</f>
        <v>bos.indicus</v>
      </c>
      <c r="O1958" s="9" t="s">
        <v>4193</v>
      </c>
      <c r="P1958" s="9" t="s">
        <v>4410</v>
      </c>
      <c r="Q1958" s="9" t="s">
        <v>3804</v>
      </c>
      <c r="R1958" s="9" t="s">
        <v>3830</v>
      </c>
      <c r="S1958" s="9" t="s">
        <v>106</v>
      </c>
      <c r="T1958" s="9" t="s">
        <v>106</v>
      </c>
      <c r="U1958" s="9" t="s">
        <v>106</v>
      </c>
      <c r="V1958" s="9" t="s">
        <v>106</v>
      </c>
      <c r="W1958" s="9" t="s">
        <v>106</v>
      </c>
      <c r="X1958" s="9" t="s">
        <v>106</v>
      </c>
      <c r="Y1958" s="9" t="s">
        <v>106</v>
      </c>
      <c r="Z1958" s="9" t="s">
        <v>106</v>
      </c>
      <c r="AA1958" s="9">
        <v>64.5</v>
      </c>
      <c r="AB1958" s="9">
        <v>66.099999999999994</v>
      </c>
      <c r="AC1958" s="9" t="s">
        <v>5100</v>
      </c>
      <c r="AD1958" s="9" t="s">
        <v>5100</v>
      </c>
    </row>
    <row r="1959" spans="1:30">
      <c r="A1959" s="9" t="s">
        <v>3949</v>
      </c>
      <c r="B1959" s="9" t="s">
        <v>4396</v>
      </c>
      <c r="C1959" s="9" t="s">
        <v>105</v>
      </c>
      <c r="D1959" s="9">
        <v>4</v>
      </c>
      <c r="E1959" s="9" t="s">
        <v>106</v>
      </c>
      <c r="F1959" s="12">
        <v>163</v>
      </c>
      <c r="G1959" s="9">
        <v>0.24109999999999998</v>
      </c>
      <c r="H1959" s="9" t="s">
        <v>106</v>
      </c>
      <c r="I1959" s="9">
        <v>5</v>
      </c>
      <c r="J1959" s="9" t="s">
        <v>122</v>
      </c>
      <c r="K1959" s="9" t="s">
        <v>4409</v>
      </c>
      <c r="L1959" t="str">
        <f>IF(OR(J1959="Cattle",J1959="Zebu Cattle"),IF(COUNTIF(lists!$M$2:$M$258, K1959) &gt; 0,"bos.indicus",IF(COUNTIF(lists!$L$2:$L$258, K1959) &gt; 0,"cross.bred","pure.bred.exotic")),"NA")</f>
        <v>bos.indicus</v>
      </c>
      <c r="O1959" s="9" t="s">
        <v>4193</v>
      </c>
      <c r="P1959" s="9" t="s">
        <v>4410</v>
      </c>
      <c r="Q1959" s="9" t="s">
        <v>3804</v>
      </c>
      <c r="R1959" s="9" t="s">
        <v>3830</v>
      </c>
      <c r="S1959" s="9" t="s">
        <v>106</v>
      </c>
      <c r="T1959" s="9" t="s">
        <v>106</v>
      </c>
      <c r="U1959" s="9" t="s">
        <v>106</v>
      </c>
      <c r="V1959" s="9" t="s">
        <v>106</v>
      </c>
      <c r="W1959" s="9" t="s">
        <v>106</v>
      </c>
      <c r="X1959" s="9" t="s">
        <v>106</v>
      </c>
      <c r="Y1959" s="9" t="s">
        <v>106</v>
      </c>
      <c r="Z1959" s="9" t="s">
        <v>106</v>
      </c>
      <c r="AA1959" s="9">
        <v>68.599999999999994</v>
      </c>
      <c r="AB1959" s="9">
        <v>70.5</v>
      </c>
      <c r="AC1959" s="9" t="s">
        <v>5100</v>
      </c>
      <c r="AD1959" s="9" t="s">
        <v>5100</v>
      </c>
    </row>
    <row r="1960" spans="1:30">
      <c r="A1960" s="9" t="s">
        <v>3949</v>
      </c>
      <c r="B1960" s="9" t="s">
        <v>4397</v>
      </c>
      <c r="C1960" s="9" t="s">
        <v>105</v>
      </c>
      <c r="D1960" s="9">
        <v>2.9</v>
      </c>
      <c r="E1960" s="9" t="s">
        <v>106</v>
      </c>
      <c r="F1960" s="12">
        <v>163</v>
      </c>
      <c r="G1960" s="9">
        <v>0.13569999999999999</v>
      </c>
      <c r="H1960" s="9" t="s">
        <v>106</v>
      </c>
      <c r="I1960" s="9">
        <v>5</v>
      </c>
      <c r="J1960" s="9" t="s">
        <v>122</v>
      </c>
      <c r="K1960" s="9" t="s">
        <v>4409</v>
      </c>
      <c r="L1960" t="str">
        <f>IF(OR(J1960="Cattle",J1960="Zebu Cattle"),IF(COUNTIF(lists!$M$2:$M$258, K1960) &gt; 0,"bos.indicus",IF(COUNTIF(lists!$L$2:$L$258, K1960) &gt; 0,"cross.bred","pure.bred.exotic")),"NA")</f>
        <v>bos.indicus</v>
      </c>
      <c r="O1960" s="9" t="s">
        <v>4193</v>
      </c>
      <c r="P1960" s="9" t="s">
        <v>4410</v>
      </c>
      <c r="Q1960" s="9" t="s">
        <v>3804</v>
      </c>
      <c r="R1960" s="9" t="s">
        <v>3830</v>
      </c>
      <c r="S1960" s="9" t="s">
        <v>106</v>
      </c>
      <c r="T1960" s="9" t="s">
        <v>106</v>
      </c>
      <c r="U1960" s="9" t="s">
        <v>106</v>
      </c>
      <c r="V1960" s="9" t="s">
        <v>106</v>
      </c>
      <c r="W1960" s="9" t="s">
        <v>106</v>
      </c>
      <c r="X1960" s="9" t="s">
        <v>106</v>
      </c>
      <c r="Y1960" s="9" t="s">
        <v>106</v>
      </c>
      <c r="Z1960" s="9" t="s">
        <v>106</v>
      </c>
      <c r="AA1960" s="9">
        <v>59</v>
      </c>
      <c r="AB1960" s="9">
        <v>61</v>
      </c>
      <c r="AC1960" s="9" t="s">
        <v>5100</v>
      </c>
      <c r="AD1960" s="9" t="s">
        <v>5100</v>
      </c>
    </row>
    <row r="1961" spans="1:30">
      <c r="A1961" s="9" t="s">
        <v>3949</v>
      </c>
      <c r="B1961" s="9" t="s">
        <v>4398</v>
      </c>
      <c r="C1961" s="9" t="s">
        <v>105</v>
      </c>
      <c r="D1961" s="9">
        <v>3.4</v>
      </c>
      <c r="E1961" s="9" t="s">
        <v>106</v>
      </c>
      <c r="F1961" s="12">
        <v>163</v>
      </c>
      <c r="G1961" s="9">
        <v>0.14799999999999999</v>
      </c>
      <c r="H1961" s="9" t="s">
        <v>106</v>
      </c>
      <c r="I1961" s="9">
        <v>5</v>
      </c>
      <c r="J1961" s="9" t="s">
        <v>122</v>
      </c>
      <c r="K1961" s="9" t="s">
        <v>4409</v>
      </c>
      <c r="L1961" t="str">
        <f>IF(OR(J1961="Cattle",J1961="Zebu Cattle"),IF(COUNTIF(lists!$M$2:$M$258, K1961) &gt; 0,"bos.indicus",IF(COUNTIF(lists!$L$2:$L$258, K1961) &gt; 0,"cross.bred","pure.bred.exotic")),"NA")</f>
        <v>bos.indicus</v>
      </c>
      <c r="O1961" s="9" t="s">
        <v>4193</v>
      </c>
      <c r="P1961" s="9" t="s">
        <v>4410</v>
      </c>
      <c r="Q1961" s="9" t="s">
        <v>3804</v>
      </c>
      <c r="R1961" s="9" t="s">
        <v>3830</v>
      </c>
      <c r="S1961" s="9" t="s">
        <v>106</v>
      </c>
      <c r="T1961" s="9" t="s">
        <v>106</v>
      </c>
      <c r="U1961" s="9" t="s">
        <v>106</v>
      </c>
      <c r="V1961" s="9" t="s">
        <v>106</v>
      </c>
      <c r="W1961" s="9" t="s">
        <v>106</v>
      </c>
      <c r="X1961" s="9" t="s">
        <v>106</v>
      </c>
      <c r="Y1961" s="9" t="s">
        <v>106</v>
      </c>
      <c r="Z1961" s="9" t="s">
        <v>106</v>
      </c>
      <c r="AA1961" s="9">
        <v>60.4</v>
      </c>
      <c r="AB1961" s="9">
        <v>63.1</v>
      </c>
      <c r="AC1961" s="9" t="s">
        <v>5100</v>
      </c>
      <c r="AD1961" s="9" t="s">
        <v>5100</v>
      </c>
    </row>
    <row r="1962" spans="1:30">
      <c r="A1962" s="9" t="s">
        <v>3949</v>
      </c>
      <c r="B1962" s="9" t="s">
        <v>4399</v>
      </c>
      <c r="C1962" s="9" t="s">
        <v>105</v>
      </c>
      <c r="D1962" s="9">
        <v>4.7</v>
      </c>
      <c r="E1962" s="9" t="s">
        <v>106</v>
      </c>
      <c r="F1962" s="12">
        <v>163</v>
      </c>
      <c r="G1962" s="9">
        <v>0.27529999999999999</v>
      </c>
      <c r="H1962" s="9" t="s">
        <v>106</v>
      </c>
      <c r="I1962" s="9">
        <v>5</v>
      </c>
      <c r="J1962" s="9" t="s">
        <v>122</v>
      </c>
      <c r="K1962" s="9" t="s">
        <v>4409</v>
      </c>
      <c r="L1962" t="str">
        <f>IF(OR(J1962="Cattle",J1962="Zebu Cattle"),IF(COUNTIF(lists!$M$2:$M$258, K1962) &gt; 0,"bos.indicus",IF(COUNTIF(lists!$L$2:$L$258, K1962) &gt; 0,"cross.bred","pure.bred.exotic")),"NA")</f>
        <v>bos.indicus</v>
      </c>
      <c r="O1962" s="9" t="s">
        <v>4193</v>
      </c>
      <c r="P1962" s="9" t="s">
        <v>4410</v>
      </c>
      <c r="Q1962" s="9" t="s">
        <v>3804</v>
      </c>
      <c r="R1962" s="9" t="s">
        <v>3830</v>
      </c>
      <c r="S1962" s="9" t="s">
        <v>106</v>
      </c>
      <c r="T1962" s="9" t="s">
        <v>106</v>
      </c>
      <c r="U1962" s="9" t="s">
        <v>106</v>
      </c>
      <c r="V1962" s="9" t="s">
        <v>106</v>
      </c>
      <c r="W1962" s="9" t="s">
        <v>106</v>
      </c>
      <c r="X1962" s="9" t="s">
        <v>106</v>
      </c>
      <c r="Y1962" s="9" t="s">
        <v>106</v>
      </c>
      <c r="Z1962" s="9" t="s">
        <v>106</v>
      </c>
      <c r="AA1962" s="9">
        <v>67.8</v>
      </c>
      <c r="AB1962" s="9">
        <v>70.2</v>
      </c>
      <c r="AC1962" s="9" t="s">
        <v>5100</v>
      </c>
      <c r="AD1962" s="9" t="s">
        <v>5100</v>
      </c>
    </row>
    <row r="1963" spans="1:30">
      <c r="A1963" s="9" t="s">
        <v>3949</v>
      </c>
      <c r="B1963" s="9" t="s">
        <v>4400</v>
      </c>
      <c r="C1963" s="9" t="s">
        <v>105</v>
      </c>
      <c r="D1963" s="9">
        <v>3.6</v>
      </c>
      <c r="E1963" s="9" t="s">
        <v>106</v>
      </c>
      <c r="F1963" s="12">
        <v>163</v>
      </c>
      <c r="G1963" s="9">
        <v>0.17230000000000001</v>
      </c>
      <c r="H1963" s="9" t="s">
        <v>106</v>
      </c>
      <c r="I1963" s="9">
        <v>5</v>
      </c>
      <c r="J1963" s="9" t="s">
        <v>122</v>
      </c>
      <c r="K1963" s="9" t="s">
        <v>4409</v>
      </c>
      <c r="L1963" t="str">
        <f>IF(OR(J1963="Cattle",J1963="Zebu Cattle"),IF(COUNTIF(lists!$M$2:$M$258, K1963) &gt; 0,"bos.indicus",IF(COUNTIF(lists!$L$2:$L$258, K1963) &gt; 0,"cross.bred","pure.bred.exotic")),"NA")</f>
        <v>bos.indicus</v>
      </c>
      <c r="O1963" s="9" t="s">
        <v>4193</v>
      </c>
      <c r="P1963" s="9" t="s">
        <v>4410</v>
      </c>
      <c r="Q1963" s="9" t="s">
        <v>3804</v>
      </c>
      <c r="R1963" s="9" t="s">
        <v>3830</v>
      </c>
      <c r="S1963" s="9" t="s">
        <v>106</v>
      </c>
      <c r="T1963" s="9" t="s">
        <v>106</v>
      </c>
      <c r="U1963" s="9" t="s">
        <v>106</v>
      </c>
      <c r="V1963" s="9" t="s">
        <v>106</v>
      </c>
      <c r="W1963" s="9" t="s">
        <v>106</v>
      </c>
      <c r="X1963" s="9" t="s">
        <v>106</v>
      </c>
      <c r="Y1963" s="9" t="s">
        <v>106</v>
      </c>
      <c r="Z1963" s="9" t="s">
        <v>106</v>
      </c>
      <c r="AA1963" s="9">
        <v>61.5</v>
      </c>
      <c r="AB1963" s="9">
        <v>63.3</v>
      </c>
      <c r="AC1963" s="9" t="s">
        <v>5100</v>
      </c>
      <c r="AD1963" s="9" t="s">
        <v>5100</v>
      </c>
    </row>
    <row r="1964" spans="1:30">
      <c r="A1964" s="9" t="s">
        <v>3949</v>
      </c>
      <c r="B1964" s="9" t="s">
        <v>4401</v>
      </c>
      <c r="C1964" s="9" t="s">
        <v>105</v>
      </c>
      <c r="D1964" s="9">
        <v>3.6</v>
      </c>
      <c r="E1964" s="9" t="s">
        <v>106</v>
      </c>
      <c r="F1964" s="12">
        <v>163</v>
      </c>
      <c r="G1964" s="9">
        <v>0.19080000000000003</v>
      </c>
      <c r="H1964" s="9" t="s">
        <v>106</v>
      </c>
      <c r="I1964" s="9">
        <v>5</v>
      </c>
      <c r="J1964" s="9" t="s">
        <v>122</v>
      </c>
      <c r="K1964" s="9" t="s">
        <v>4409</v>
      </c>
      <c r="L1964" t="str">
        <f>IF(OR(J1964="Cattle",J1964="Zebu Cattle"),IF(COUNTIF(lists!$M$2:$M$258, K1964) &gt; 0,"bos.indicus",IF(COUNTIF(lists!$L$2:$L$258, K1964) &gt; 0,"cross.bred","pure.bred.exotic")),"NA")</f>
        <v>bos.indicus</v>
      </c>
      <c r="O1964" s="9" t="s">
        <v>4193</v>
      </c>
      <c r="P1964" s="9" t="s">
        <v>4410</v>
      </c>
      <c r="Q1964" s="9" t="s">
        <v>3804</v>
      </c>
      <c r="R1964" s="9" t="s">
        <v>3830</v>
      </c>
      <c r="S1964" s="9" t="s">
        <v>106</v>
      </c>
      <c r="T1964" s="9" t="s">
        <v>106</v>
      </c>
      <c r="U1964" s="9" t="s">
        <v>106</v>
      </c>
      <c r="V1964" s="9" t="s">
        <v>106</v>
      </c>
      <c r="W1964" s="9" t="s">
        <v>106</v>
      </c>
      <c r="X1964" s="9" t="s">
        <v>106</v>
      </c>
      <c r="Y1964" s="9" t="s">
        <v>106</v>
      </c>
      <c r="Z1964" s="9" t="s">
        <v>106</v>
      </c>
      <c r="AA1964" s="9">
        <v>63.8</v>
      </c>
      <c r="AB1964" s="9">
        <v>65.8</v>
      </c>
      <c r="AC1964" s="9" t="s">
        <v>5100</v>
      </c>
      <c r="AD1964" s="9" t="s">
        <v>5100</v>
      </c>
    </row>
    <row r="1965" spans="1:30">
      <c r="A1965" s="9" t="s">
        <v>3949</v>
      </c>
      <c r="B1965" s="9" t="s">
        <v>4402</v>
      </c>
      <c r="C1965" s="9" t="s">
        <v>105</v>
      </c>
      <c r="D1965" s="9">
        <v>3.8</v>
      </c>
      <c r="E1965" s="9" t="s">
        <v>106</v>
      </c>
      <c r="F1965" s="12">
        <v>163</v>
      </c>
      <c r="G1965" s="9">
        <v>0.20959999999999998</v>
      </c>
      <c r="H1965" s="9" t="s">
        <v>106</v>
      </c>
      <c r="I1965" s="9">
        <v>5</v>
      </c>
      <c r="J1965" s="9" t="s">
        <v>122</v>
      </c>
      <c r="K1965" s="9" t="s">
        <v>4409</v>
      </c>
      <c r="L1965" t="str">
        <f>IF(OR(J1965="Cattle",J1965="Zebu Cattle"),IF(COUNTIF(lists!$M$2:$M$258, K1965) &gt; 0,"bos.indicus",IF(COUNTIF(lists!$L$2:$L$258, K1965) &gt; 0,"cross.bred","pure.bred.exotic")),"NA")</f>
        <v>bos.indicus</v>
      </c>
      <c r="O1965" s="9" t="s">
        <v>4193</v>
      </c>
      <c r="P1965" s="9" t="s">
        <v>4410</v>
      </c>
      <c r="Q1965" s="9" t="s">
        <v>3804</v>
      </c>
      <c r="R1965" s="9" t="s">
        <v>3830</v>
      </c>
      <c r="S1965" s="9" t="s">
        <v>106</v>
      </c>
      <c r="T1965" s="9" t="s">
        <v>106</v>
      </c>
      <c r="U1965" s="9" t="s">
        <v>106</v>
      </c>
      <c r="V1965" s="9" t="s">
        <v>106</v>
      </c>
      <c r="W1965" s="9" t="s">
        <v>106</v>
      </c>
      <c r="X1965" s="9" t="s">
        <v>106</v>
      </c>
      <c r="Y1965" s="9" t="s">
        <v>106</v>
      </c>
      <c r="Z1965" s="9" t="s">
        <v>106</v>
      </c>
      <c r="AA1965" s="9">
        <v>68.5</v>
      </c>
      <c r="AB1965" s="9">
        <v>70.099999999999994</v>
      </c>
      <c r="AC1965" s="9" t="s">
        <v>5100</v>
      </c>
      <c r="AD1965" s="9" t="s">
        <v>5100</v>
      </c>
    </row>
    <row r="1966" spans="1:30">
      <c r="A1966" s="9" t="s">
        <v>3949</v>
      </c>
      <c r="B1966" s="9" t="s">
        <v>1972</v>
      </c>
      <c r="C1966" s="9" t="s">
        <v>105</v>
      </c>
      <c r="D1966" s="9">
        <v>3.3</v>
      </c>
      <c r="E1966" s="9" t="s">
        <v>106</v>
      </c>
      <c r="F1966" s="12">
        <v>163</v>
      </c>
      <c r="G1966" s="9">
        <v>0.18409999999999999</v>
      </c>
      <c r="H1966" s="9" t="s">
        <v>106</v>
      </c>
      <c r="I1966" s="9">
        <v>5</v>
      </c>
      <c r="J1966" s="9" t="s">
        <v>122</v>
      </c>
      <c r="K1966" s="9" t="s">
        <v>4409</v>
      </c>
      <c r="L1966" t="str">
        <f>IF(OR(J1966="Cattle",J1966="Zebu Cattle"),IF(COUNTIF(lists!$M$2:$M$258, K1966) &gt; 0,"bos.indicus",IF(COUNTIF(lists!$L$2:$L$258, K1966) &gt; 0,"cross.bred","pure.bred.exotic")),"NA")</f>
        <v>bos.indicus</v>
      </c>
      <c r="O1966" s="9" t="s">
        <v>4193</v>
      </c>
      <c r="P1966" s="9" t="s">
        <v>4410</v>
      </c>
      <c r="Q1966" s="9" t="s">
        <v>3804</v>
      </c>
      <c r="R1966" s="9" t="s">
        <v>3830</v>
      </c>
      <c r="S1966" s="9" t="s">
        <v>106</v>
      </c>
      <c r="T1966" s="9" t="s">
        <v>106</v>
      </c>
      <c r="U1966" s="9" t="s">
        <v>106</v>
      </c>
      <c r="V1966" s="9" t="s">
        <v>106</v>
      </c>
      <c r="W1966" s="9" t="s">
        <v>106</v>
      </c>
      <c r="X1966" s="9" t="s">
        <v>106</v>
      </c>
      <c r="Y1966" s="9" t="s">
        <v>106</v>
      </c>
      <c r="Z1966" s="9" t="s">
        <v>106</v>
      </c>
      <c r="AA1966" s="9">
        <v>64.3</v>
      </c>
      <c r="AB1966" s="9">
        <v>65.099999999999994</v>
      </c>
      <c r="AC1966" s="9" t="s">
        <v>5100</v>
      </c>
      <c r="AD1966" s="9" t="s">
        <v>5100</v>
      </c>
    </row>
    <row r="1967" spans="1:30">
      <c r="A1967" s="9" t="s">
        <v>3949</v>
      </c>
      <c r="B1967" s="9" t="s">
        <v>4403</v>
      </c>
      <c r="C1967" s="9" t="s">
        <v>105</v>
      </c>
      <c r="D1967" s="9">
        <v>4.0999999999999996</v>
      </c>
      <c r="E1967" s="9" t="s">
        <v>106</v>
      </c>
      <c r="F1967" s="12">
        <v>163</v>
      </c>
      <c r="G1967" s="9">
        <v>0.2155</v>
      </c>
      <c r="H1967" s="9" t="s">
        <v>106</v>
      </c>
      <c r="I1967" s="9">
        <v>5</v>
      </c>
      <c r="J1967" s="9" t="s">
        <v>122</v>
      </c>
      <c r="K1967" s="9" t="s">
        <v>4409</v>
      </c>
      <c r="L1967" t="str">
        <f>IF(OR(J1967="Cattle",J1967="Zebu Cattle"),IF(COUNTIF(lists!$M$2:$M$258, K1967) &gt; 0,"bos.indicus",IF(COUNTIF(lists!$L$2:$L$258, K1967) &gt; 0,"cross.bred","pure.bred.exotic")),"NA")</f>
        <v>bos.indicus</v>
      </c>
      <c r="O1967" s="9" t="s">
        <v>4193</v>
      </c>
      <c r="P1967" s="9" t="s">
        <v>4410</v>
      </c>
      <c r="Q1967" s="9" t="s">
        <v>3804</v>
      </c>
      <c r="R1967" s="9" t="s">
        <v>3830</v>
      </c>
      <c r="S1967" s="9" t="s">
        <v>106</v>
      </c>
      <c r="T1967" s="9" t="s">
        <v>106</v>
      </c>
      <c r="U1967" s="9" t="s">
        <v>106</v>
      </c>
      <c r="V1967" s="9" t="s">
        <v>106</v>
      </c>
      <c r="W1967" s="9" t="s">
        <v>106</v>
      </c>
      <c r="X1967" s="9" t="s">
        <v>106</v>
      </c>
      <c r="Y1967" s="9" t="s">
        <v>106</v>
      </c>
      <c r="Z1967" s="9" t="s">
        <v>106</v>
      </c>
      <c r="AA1967" s="9">
        <v>65.099999999999994</v>
      </c>
      <c r="AB1967" s="9">
        <v>66.599999999999994</v>
      </c>
      <c r="AC1967" s="9" t="s">
        <v>5100</v>
      </c>
      <c r="AD1967" s="9" t="s">
        <v>5100</v>
      </c>
    </row>
    <row r="1968" spans="1:30">
      <c r="A1968" s="9" t="s">
        <v>3949</v>
      </c>
      <c r="B1968" s="9" t="s">
        <v>4404</v>
      </c>
      <c r="C1968" s="9" t="s">
        <v>105</v>
      </c>
      <c r="D1968" s="9">
        <v>3.2</v>
      </c>
      <c r="E1968" s="9" t="s">
        <v>106</v>
      </c>
      <c r="F1968" s="12">
        <v>163</v>
      </c>
      <c r="G1968" s="9">
        <v>0.13669999999999999</v>
      </c>
      <c r="H1968" s="9" t="s">
        <v>106</v>
      </c>
      <c r="I1968" s="9">
        <v>5</v>
      </c>
      <c r="J1968" s="9" t="s">
        <v>122</v>
      </c>
      <c r="K1968" s="9" t="s">
        <v>4409</v>
      </c>
      <c r="L1968" t="str">
        <f>IF(OR(J1968="Cattle",J1968="Zebu Cattle"),IF(COUNTIF(lists!$M$2:$M$258, K1968) &gt; 0,"bos.indicus",IF(COUNTIF(lists!$L$2:$L$258, K1968) &gt; 0,"cross.bred","pure.bred.exotic")),"NA")</f>
        <v>bos.indicus</v>
      </c>
      <c r="O1968" s="9" t="s">
        <v>4193</v>
      </c>
      <c r="P1968" s="9" t="s">
        <v>4410</v>
      </c>
      <c r="Q1968" s="9" t="s">
        <v>3804</v>
      </c>
      <c r="R1968" s="9" t="s">
        <v>3830</v>
      </c>
      <c r="S1968" s="9" t="s">
        <v>106</v>
      </c>
      <c r="T1968" s="9" t="s">
        <v>106</v>
      </c>
      <c r="U1968" s="9" t="s">
        <v>106</v>
      </c>
      <c r="V1968" s="9" t="s">
        <v>106</v>
      </c>
      <c r="W1968" s="9" t="s">
        <v>106</v>
      </c>
      <c r="X1968" s="9" t="s">
        <v>106</v>
      </c>
      <c r="Y1968" s="9" t="s">
        <v>106</v>
      </c>
      <c r="Z1968" s="9" t="s">
        <v>106</v>
      </c>
      <c r="AA1968" s="9">
        <v>58.3</v>
      </c>
      <c r="AB1968" s="9">
        <v>60.2</v>
      </c>
      <c r="AC1968" s="9" t="s">
        <v>5100</v>
      </c>
      <c r="AD1968" s="9" t="s">
        <v>5100</v>
      </c>
    </row>
    <row r="1969" spans="1:30">
      <c r="A1969" s="9" t="s">
        <v>3949</v>
      </c>
      <c r="B1969" s="9" t="s">
        <v>4405</v>
      </c>
      <c r="C1969" s="9" t="s">
        <v>105</v>
      </c>
      <c r="D1969" s="9">
        <v>3.2</v>
      </c>
      <c r="E1969" s="9" t="s">
        <v>106</v>
      </c>
      <c r="F1969" s="12">
        <v>163</v>
      </c>
      <c r="G1969" s="9">
        <v>0.1479</v>
      </c>
      <c r="H1969" s="9" t="s">
        <v>106</v>
      </c>
      <c r="I1969" s="9">
        <v>5</v>
      </c>
      <c r="J1969" s="9" t="s">
        <v>122</v>
      </c>
      <c r="K1969" s="9" t="s">
        <v>4409</v>
      </c>
      <c r="L1969" t="str">
        <f>IF(OR(J1969="Cattle",J1969="Zebu Cattle"),IF(COUNTIF(lists!$M$2:$M$258, K1969) &gt; 0,"bos.indicus",IF(COUNTIF(lists!$L$2:$L$258, K1969) &gt; 0,"cross.bred","pure.bred.exotic")),"NA")</f>
        <v>bos.indicus</v>
      </c>
      <c r="O1969" s="9" t="s">
        <v>4193</v>
      </c>
      <c r="P1969" s="9" t="s">
        <v>4410</v>
      </c>
      <c r="Q1969" s="9" t="s">
        <v>3804</v>
      </c>
      <c r="R1969" s="9" t="s">
        <v>3830</v>
      </c>
      <c r="S1969" s="9" t="s">
        <v>106</v>
      </c>
      <c r="T1969" s="9" t="s">
        <v>106</v>
      </c>
      <c r="U1969" s="9" t="s">
        <v>106</v>
      </c>
      <c r="V1969" s="9" t="s">
        <v>106</v>
      </c>
      <c r="W1969" s="9" t="s">
        <v>106</v>
      </c>
      <c r="X1969" s="9" t="s">
        <v>106</v>
      </c>
      <c r="Y1969" s="9" t="s">
        <v>106</v>
      </c>
      <c r="Z1969" s="9" t="s">
        <v>106</v>
      </c>
      <c r="AA1969" s="9">
        <v>61.2</v>
      </c>
      <c r="AB1969" s="9">
        <v>62.7</v>
      </c>
      <c r="AC1969" s="9" t="s">
        <v>5100</v>
      </c>
      <c r="AD1969" s="9" t="s">
        <v>5100</v>
      </c>
    </row>
    <row r="1970" spans="1:30">
      <c r="A1970" s="9" t="s">
        <v>3949</v>
      </c>
      <c r="B1970" s="9" t="s">
        <v>4406</v>
      </c>
      <c r="C1970" s="9" t="s">
        <v>105</v>
      </c>
      <c r="D1970" s="9">
        <v>4</v>
      </c>
      <c r="E1970" s="9" t="s">
        <v>106</v>
      </c>
      <c r="F1970" s="12">
        <v>163</v>
      </c>
      <c r="G1970" s="9">
        <v>0.19219999999999998</v>
      </c>
      <c r="H1970" s="9" t="s">
        <v>106</v>
      </c>
      <c r="I1970" s="9">
        <v>5</v>
      </c>
      <c r="J1970" s="9" t="s">
        <v>122</v>
      </c>
      <c r="K1970" s="9" t="s">
        <v>4409</v>
      </c>
      <c r="L1970" t="str">
        <f>IF(OR(J1970="Cattle",J1970="Zebu Cattle"),IF(COUNTIF(lists!$M$2:$M$258, K1970) &gt; 0,"bos.indicus",IF(COUNTIF(lists!$L$2:$L$258, K1970) &gt; 0,"cross.bred","pure.bred.exotic")),"NA")</f>
        <v>bos.indicus</v>
      </c>
      <c r="O1970" s="9" t="s">
        <v>4193</v>
      </c>
      <c r="P1970" s="9" t="s">
        <v>4410</v>
      </c>
      <c r="Q1970" s="9" t="s">
        <v>3804</v>
      </c>
      <c r="R1970" s="9" t="s">
        <v>3830</v>
      </c>
      <c r="S1970" s="9" t="s">
        <v>106</v>
      </c>
      <c r="T1970" s="9" t="s">
        <v>106</v>
      </c>
      <c r="U1970" s="9" t="s">
        <v>106</v>
      </c>
      <c r="V1970" s="9" t="s">
        <v>106</v>
      </c>
      <c r="W1970" s="9" t="s">
        <v>106</v>
      </c>
      <c r="X1970" s="9" t="s">
        <v>106</v>
      </c>
      <c r="Y1970" s="9" t="s">
        <v>106</v>
      </c>
      <c r="Z1970" s="9" t="s">
        <v>106</v>
      </c>
      <c r="AA1970" s="9">
        <v>64.2</v>
      </c>
      <c r="AB1970" s="9">
        <v>66.2</v>
      </c>
      <c r="AC1970" s="9" t="s">
        <v>5100</v>
      </c>
      <c r="AD1970" s="9" t="s">
        <v>5100</v>
      </c>
    </row>
    <row r="1971" spans="1:30">
      <c r="A1971" s="9" t="s">
        <v>3949</v>
      </c>
      <c r="B1971" s="9" t="s">
        <v>4407</v>
      </c>
      <c r="C1971" s="9" t="s">
        <v>105</v>
      </c>
      <c r="D1971" s="9">
        <v>2.2999999999999998</v>
      </c>
      <c r="E1971" s="9" t="s">
        <v>106</v>
      </c>
      <c r="F1971" s="12">
        <v>163</v>
      </c>
      <c r="G1971" s="9">
        <v>6.88E-2</v>
      </c>
      <c r="H1971" s="9" t="s">
        <v>106</v>
      </c>
      <c r="I1971" s="9">
        <v>5</v>
      </c>
      <c r="J1971" s="9" t="s">
        <v>122</v>
      </c>
      <c r="K1971" s="9" t="s">
        <v>4409</v>
      </c>
      <c r="L1971" t="str">
        <f>IF(OR(J1971="Cattle",J1971="Zebu Cattle"),IF(COUNTIF(lists!$M$2:$M$258, K1971) &gt; 0,"bos.indicus",IF(COUNTIF(lists!$L$2:$L$258, K1971) &gt; 0,"cross.bred","pure.bred.exotic")),"NA")</f>
        <v>bos.indicus</v>
      </c>
      <c r="O1971" s="9" t="s">
        <v>4193</v>
      </c>
      <c r="P1971" s="9" t="s">
        <v>4410</v>
      </c>
      <c r="Q1971" s="9" t="s">
        <v>3804</v>
      </c>
      <c r="R1971" s="9" t="s">
        <v>3830</v>
      </c>
      <c r="S1971" s="9" t="s">
        <v>106</v>
      </c>
      <c r="T1971" s="9" t="s">
        <v>106</v>
      </c>
      <c r="U1971" s="9" t="s">
        <v>106</v>
      </c>
      <c r="V1971" s="9" t="s">
        <v>106</v>
      </c>
      <c r="W1971" s="9" t="s">
        <v>106</v>
      </c>
      <c r="X1971" s="9" t="s">
        <v>106</v>
      </c>
      <c r="Y1971" s="9" t="s">
        <v>106</v>
      </c>
      <c r="Z1971" s="9" t="s">
        <v>106</v>
      </c>
      <c r="AA1971" s="9">
        <v>50.7</v>
      </c>
      <c r="AB1971" s="9">
        <v>52.5</v>
      </c>
      <c r="AC1971" s="9" t="s">
        <v>5100</v>
      </c>
      <c r="AD1971" s="9" t="s">
        <v>5100</v>
      </c>
    </row>
    <row r="1972" spans="1:30">
      <c r="A1972" s="9" t="s">
        <v>3949</v>
      </c>
      <c r="B1972" s="9" t="s">
        <v>4408</v>
      </c>
      <c r="C1972" s="9" t="s">
        <v>105</v>
      </c>
      <c r="D1972" s="9">
        <v>2.2000000000000002</v>
      </c>
      <c r="E1972" s="9" t="s">
        <v>106</v>
      </c>
      <c r="F1972" s="12">
        <v>163</v>
      </c>
      <c r="G1972" s="9">
        <v>8.77E-2</v>
      </c>
      <c r="H1972" s="9" t="s">
        <v>106</v>
      </c>
      <c r="I1972" s="9">
        <v>5</v>
      </c>
      <c r="J1972" s="9" t="s">
        <v>122</v>
      </c>
      <c r="K1972" s="9" t="s">
        <v>4409</v>
      </c>
      <c r="L1972" t="str">
        <f>IF(OR(J1972="Cattle",J1972="Zebu Cattle"),IF(COUNTIF(lists!$M$2:$M$258, K1972) &gt; 0,"bos.indicus",IF(COUNTIF(lists!$L$2:$L$258, K1972) &gt; 0,"cross.bred","pure.bred.exotic")),"NA")</f>
        <v>bos.indicus</v>
      </c>
      <c r="O1972" s="9" t="s">
        <v>4193</v>
      </c>
      <c r="P1972" s="9" t="s">
        <v>4410</v>
      </c>
      <c r="Q1972" s="9" t="s">
        <v>3804</v>
      </c>
      <c r="R1972" s="9" t="s">
        <v>3830</v>
      </c>
      <c r="S1972" s="9" t="s">
        <v>106</v>
      </c>
      <c r="T1972" s="9" t="s">
        <v>106</v>
      </c>
      <c r="U1972" s="9" t="s">
        <v>106</v>
      </c>
      <c r="V1972" s="9" t="s">
        <v>106</v>
      </c>
      <c r="W1972" s="9" t="s">
        <v>106</v>
      </c>
      <c r="X1972" s="9" t="s">
        <v>106</v>
      </c>
      <c r="Y1972" s="9" t="s">
        <v>106</v>
      </c>
      <c r="Z1972" s="9" t="s">
        <v>106</v>
      </c>
      <c r="AA1972" s="9">
        <v>76.8</v>
      </c>
      <c r="AB1972" s="9">
        <v>78.2</v>
      </c>
      <c r="AC1972" s="9" t="s">
        <v>5100</v>
      </c>
      <c r="AD1972" s="9" t="s">
        <v>5100</v>
      </c>
    </row>
    <row r="1973" spans="1:30">
      <c r="A1973" s="9" t="s">
        <v>3950</v>
      </c>
      <c r="B1973" s="9" t="s">
        <v>4411</v>
      </c>
      <c r="C1973" s="9" t="s">
        <v>105</v>
      </c>
      <c r="D1973" s="9">
        <v>8.51</v>
      </c>
      <c r="E1973" s="9" t="s">
        <v>106</v>
      </c>
      <c r="F1973" s="9">
        <v>231.2</v>
      </c>
      <c r="G1973" s="9">
        <v>7.6999999999999999E-2</v>
      </c>
      <c r="H1973" s="9">
        <v>1.97</v>
      </c>
      <c r="I1973" s="9">
        <v>6</v>
      </c>
      <c r="J1973" s="9" t="s">
        <v>122</v>
      </c>
      <c r="K1973" s="9" t="s">
        <v>441</v>
      </c>
      <c r="L1973" t="str">
        <f>IF(OR(J1973="Cattle",J1973="Zebu Cattle"),IF(COUNTIF(lists!$M$2:$M$258, K1973) &gt; 0,"bos.indicus",IF(COUNTIF(lists!$L$2:$L$258, K1973) &gt; 0,"cross.bred","pure.bred.exotic")),"NA")</f>
        <v>bos.indicus</v>
      </c>
      <c r="O1973" s="9" t="s">
        <v>4193</v>
      </c>
      <c r="P1973" s="9" t="s">
        <v>4414</v>
      </c>
      <c r="Q1973" s="9" t="s">
        <v>3809</v>
      </c>
      <c r="R1973" s="9" t="s">
        <v>3830</v>
      </c>
      <c r="S1973" s="9">
        <v>483.2</v>
      </c>
      <c r="T1973" s="9">
        <v>61.4</v>
      </c>
      <c r="U1973" s="9">
        <v>87.1</v>
      </c>
      <c r="V1973" s="9">
        <v>940.5</v>
      </c>
      <c r="W1973" s="9" t="s">
        <v>106</v>
      </c>
      <c r="X1973" s="9">
        <v>769.24</v>
      </c>
      <c r="Y1973" s="9" t="s">
        <v>106</v>
      </c>
      <c r="Z1973" s="9" t="s">
        <v>106</v>
      </c>
      <c r="AA1973" s="9" t="s">
        <v>106</v>
      </c>
      <c r="AB1973" s="9" t="s">
        <v>106</v>
      </c>
      <c r="AC1973" s="9" t="s">
        <v>5100</v>
      </c>
      <c r="AD1973" s="9" t="s">
        <v>5100</v>
      </c>
    </row>
    <row r="1974" spans="1:30">
      <c r="A1974" s="9" t="s">
        <v>3950</v>
      </c>
      <c r="B1974" s="9" t="s">
        <v>4412</v>
      </c>
      <c r="C1974" s="9" t="s">
        <v>105</v>
      </c>
      <c r="D1974" s="9">
        <v>8.49</v>
      </c>
      <c r="E1974" s="9" t="s">
        <v>106</v>
      </c>
      <c r="F1974" s="9">
        <v>261.60000000000002</v>
      </c>
      <c r="G1974" s="9">
        <v>7.0000000000000007E-2</v>
      </c>
      <c r="H1974" s="9">
        <v>2.93</v>
      </c>
      <c r="I1974" s="9">
        <v>6</v>
      </c>
      <c r="J1974" s="9" t="s">
        <v>122</v>
      </c>
      <c r="K1974" s="9" t="s">
        <v>441</v>
      </c>
      <c r="L1974" t="str">
        <f>IF(OR(J1974="Cattle",J1974="Zebu Cattle"),IF(COUNTIF(lists!$M$2:$M$258, K1974) &gt; 0,"bos.indicus",IF(COUNTIF(lists!$L$2:$L$258, K1974) &gt; 0,"cross.bred","pure.bred.exotic")),"NA")</f>
        <v>bos.indicus</v>
      </c>
      <c r="O1974" s="9" t="s">
        <v>4193</v>
      </c>
      <c r="P1974" s="9" t="s">
        <v>4414</v>
      </c>
      <c r="Q1974" s="9" t="s">
        <v>3809</v>
      </c>
      <c r="R1974" s="9" t="s">
        <v>3830</v>
      </c>
      <c r="S1974" s="9">
        <v>483.2</v>
      </c>
      <c r="T1974" s="9">
        <v>61.4</v>
      </c>
      <c r="U1974" s="9">
        <v>87.1</v>
      </c>
      <c r="V1974" s="9">
        <v>940.5</v>
      </c>
      <c r="W1974" s="9" t="s">
        <v>106</v>
      </c>
      <c r="X1974" s="9">
        <v>769.24</v>
      </c>
      <c r="Y1974" s="9" t="s">
        <v>106</v>
      </c>
      <c r="Z1974" s="9" t="s">
        <v>106</v>
      </c>
      <c r="AA1974" s="9" t="s">
        <v>106</v>
      </c>
      <c r="AB1974" s="9" t="s">
        <v>106</v>
      </c>
      <c r="AC1974" s="9" t="s">
        <v>5100</v>
      </c>
      <c r="AD1974" s="9" t="s">
        <v>5100</v>
      </c>
    </row>
    <row r="1975" spans="1:30">
      <c r="A1975" s="9" t="s">
        <v>3950</v>
      </c>
      <c r="B1975" s="9" t="s">
        <v>4413</v>
      </c>
      <c r="C1975" s="9" t="s">
        <v>105</v>
      </c>
      <c r="D1975" s="9">
        <v>8.73</v>
      </c>
      <c r="E1975" s="9" t="s">
        <v>106</v>
      </c>
      <c r="F1975" s="9">
        <v>242.4</v>
      </c>
      <c r="G1975" s="9">
        <v>8.1000000000000003E-2</v>
      </c>
      <c r="H1975" s="9">
        <v>3.69</v>
      </c>
      <c r="I1975" s="9">
        <v>6</v>
      </c>
      <c r="J1975" s="9" t="s">
        <v>122</v>
      </c>
      <c r="K1975" s="9" t="s">
        <v>441</v>
      </c>
      <c r="L1975" t="str">
        <f>IF(OR(J1975="Cattle",J1975="Zebu Cattle"),IF(COUNTIF(lists!$M$2:$M$258, K1975) &gt; 0,"bos.indicus",IF(COUNTIF(lists!$L$2:$L$258, K1975) &gt; 0,"cross.bred","pure.bred.exotic")),"NA")</f>
        <v>bos.indicus</v>
      </c>
      <c r="O1975" s="9" t="s">
        <v>4193</v>
      </c>
      <c r="P1975" s="9" t="s">
        <v>4414</v>
      </c>
      <c r="Q1975" s="9" t="s">
        <v>3809</v>
      </c>
      <c r="R1975" s="9" t="s">
        <v>3830</v>
      </c>
      <c r="S1975" s="9">
        <v>483.2</v>
      </c>
      <c r="T1975" s="9">
        <v>61.4</v>
      </c>
      <c r="U1975" s="9">
        <v>87.1</v>
      </c>
      <c r="V1975" s="9">
        <v>940.5</v>
      </c>
      <c r="W1975" s="9" t="s">
        <v>106</v>
      </c>
      <c r="X1975" s="9">
        <v>769.24</v>
      </c>
      <c r="Y1975" s="9" t="s">
        <v>106</v>
      </c>
      <c r="Z1975" s="9" t="s">
        <v>106</v>
      </c>
      <c r="AA1975" s="9" t="s">
        <v>106</v>
      </c>
      <c r="AB1975" s="9" t="s">
        <v>106</v>
      </c>
      <c r="AC1975" s="9" t="s">
        <v>5100</v>
      </c>
      <c r="AD1975" s="9" t="s">
        <v>5100</v>
      </c>
    </row>
    <row r="1976" spans="1:30">
      <c r="A1976" s="9" t="s">
        <v>3954</v>
      </c>
      <c r="B1976" s="9" t="s">
        <v>4415</v>
      </c>
      <c r="C1976" s="9" t="s">
        <v>105</v>
      </c>
      <c r="D1976" s="9">
        <v>5.31</v>
      </c>
      <c r="E1976" s="9" t="s">
        <v>106</v>
      </c>
      <c r="F1976" s="9" t="s">
        <v>106</v>
      </c>
      <c r="G1976" s="9">
        <v>0.32</v>
      </c>
      <c r="H1976" s="9" t="s">
        <v>106</v>
      </c>
      <c r="I1976" s="9">
        <v>5</v>
      </c>
      <c r="J1976" s="9" t="s">
        <v>122</v>
      </c>
      <c r="K1976" s="9" t="s">
        <v>4161</v>
      </c>
      <c r="L1976" t="str">
        <f>IF(OR(J1976="Cattle",J1976="Zebu Cattle"),IF(COUNTIF(lists!$M$2:$M$258, K1976) &gt; 0,"bos.indicus",IF(COUNTIF(lists!$L$2:$L$258, K1976) &gt; 0,"cross.bred","pure.bred.exotic")),"NA")</f>
        <v>bos.indicus</v>
      </c>
      <c r="O1976" s="9" t="s">
        <v>4193</v>
      </c>
      <c r="P1976" s="9" t="s">
        <v>4429</v>
      </c>
      <c r="Q1976" s="9" t="s">
        <v>3813</v>
      </c>
      <c r="R1976" s="9" t="s">
        <v>3830</v>
      </c>
      <c r="S1976" s="9" t="s">
        <v>106</v>
      </c>
      <c r="T1976" s="9" t="s">
        <v>106</v>
      </c>
      <c r="U1976" s="9" t="s">
        <v>106</v>
      </c>
      <c r="V1976" s="9" t="s">
        <v>106</v>
      </c>
      <c r="W1976" s="9" t="s">
        <v>106</v>
      </c>
      <c r="X1976" s="9" t="s">
        <v>106</v>
      </c>
      <c r="Y1976" s="9" t="s">
        <v>106</v>
      </c>
      <c r="Z1976" s="9" t="s">
        <v>106</v>
      </c>
      <c r="AA1976" s="9" t="s">
        <v>106</v>
      </c>
      <c r="AB1976" s="9" t="s">
        <v>106</v>
      </c>
      <c r="AC1976" s="9" t="s">
        <v>5100</v>
      </c>
      <c r="AD1976" s="9" t="s">
        <v>5100</v>
      </c>
    </row>
    <row r="1977" spans="1:30">
      <c r="A1977" s="9" t="s">
        <v>3954</v>
      </c>
      <c r="B1977" s="9" t="s">
        <v>4416</v>
      </c>
      <c r="C1977" s="9" t="s">
        <v>105</v>
      </c>
      <c r="D1977" s="9">
        <v>8.1</v>
      </c>
      <c r="E1977" s="9" t="s">
        <v>106</v>
      </c>
      <c r="F1977" s="9" t="s">
        <v>106</v>
      </c>
      <c r="G1977" s="9">
        <v>0.89</v>
      </c>
      <c r="H1977" s="9" t="s">
        <v>106</v>
      </c>
      <c r="I1977" s="9">
        <v>5</v>
      </c>
      <c r="J1977" s="9" t="s">
        <v>122</v>
      </c>
      <c r="K1977" s="9" t="s">
        <v>4161</v>
      </c>
      <c r="L1977" t="str">
        <f>IF(OR(J1977="Cattle",J1977="Zebu Cattle"),IF(COUNTIF(lists!$M$2:$M$258, K1977) &gt; 0,"bos.indicus",IF(COUNTIF(lists!$L$2:$L$258, K1977) &gt; 0,"cross.bred","pure.bred.exotic")),"NA")</f>
        <v>bos.indicus</v>
      </c>
      <c r="O1977" s="9" t="s">
        <v>4193</v>
      </c>
      <c r="P1977" s="9" t="s">
        <v>4430</v>
      </c>
      <c r="Q1977" s="9" t="s">
        <v>3810</v>
      </c>
      <c r="R1977" s="9" t="s">
        <v>3830</v>
      </c>
      <c r="S1977" s="9" t="s">
        <v>106</v>
      </c>
      <c r="T1977" s="9" t="s">
        <v>106</v>
      </c>
      <c r="U1977" s="9" t="s">
        <v>106</v>
      </c>
      <c r="V1977" s="9" t="s">
        <v>106</v>
      </c>
      <c r="W1977" s="9" t="s">
        <v>106</v>
      </c>
      <c r="X1977" s="9" t="s">
        <v>106</v>
      </c>
      <c r="Y1977" s="9" t="s">
        <v>106</v>
      </c>
      <c r="Z1977" s="9" t="s">
        <v>106</v>
      </c>
      <c r="AA1977" s="9" t="s">
        <v>106</v>
      </c>
      <c r="AB1977" s="9" t="s">
        <v>106</v>
      </c>
      <c r="AC1977" s="9" t="s">
        <v>5100</v>
      </c>
      <c r="AD1977" s="9" t="s">
        <v>5100</v>
      </c>
    </row>
    <row r="1978" spans="1:30">
      <c r="A1978" s="9" t="s">
        <v>3954</v>
      </c>
      <c r="B1978" s="9" t="s">
        <v>4417</v>
      </c>
      <c r="C1978" s="9" t="s">
        <v>105</v>
      </c>
      <c r="D1978" s="9">
        <v>6.7</v>
      </c>
      <c r="E1978" s="9" t="s">
        <v>106</v>
      </c>
      <c r="F1978" s="9" t="s">
        <v>106</v>
      </c>
      <c r="G1978" s="9">
        <v>0.62</v>
      </c>
      <c r="H1978" s="9" t="s">
        <v>106</v>
      </c>
      <c r="I1978" s="9">
        <v>5</v>
      </c>
      <c r="J1978" s="9" t="s">
        <v>122</v>
      </c>
      <c r="K1978" s="9" t="s">
        <v>4791</v>
      </c>
      <c r="L1978" t="str">
        <f>IF(OR(J1978="Cattle",J1978="Zebu Cattle"),IF(COUNTIF(lists!$M$2:$M$258, K1978) &gt; 0,"bos.indicus",IF(COUNTIF(lists!$L$2:$L$258, K1978) &gt; 0,"cross.bred","pure.bred.exotic")),"NA")</f>
        <v>cross.bred</v>
      </c>
      <c r="O1978" s="9" t="s">
        <v>124</v>
      </c>
      <c r="P1978" s="9" t="s">
        <v>4429</v>
      </c>
      <c r="Q1978" s="9" t="s">
        <v>3813</v>
      </c>
      <c r="R1978" s="9" t="s">
        <v>3830</v>
      </c>
      <c r="S1978" s="9" t="s">
        <v>106</v>
      </c>
      <c r="T1978" s="9" t="s">
        <v>106</v>
      </c>
      <c r="U1978" s="9" t="s">
        <v>106</v>
      </c>
      <c r="V1978" s="9" t="s">
        <v>106</v>
      </c>
      <c r="W1978" s="9" t="s">
        <v>106</v>
      </c>
      <c r="X1978" s="9" t="s">
        <v>106</v>
      </c>
      <c r="Y1978" s="9" t="s">
        <v>106</v>
      </c>
      <c r="Z1978" s="9" t="s">
        <v>106</v>
      </c>
      <c r="AA1978" s="9" t="s">
        <v>106</v>
      </c>
      <c r="AB1978" s="9" t="s">
        <v>106</v>
      </c>
      <c r="AC1978" s="9" t="s">
        <v>5100</v>
      </c>
      <c r="AD1978" s="9" t="s">
        <v>5100</v>
      </c>
    </row>
    <row r="1979" spans="1:30">
      <c r="A1979" s="9" t="s">
        <v>3954</v>
      </c>
      <c r="B1979" s="9" t="s">
        <v>4418</v>
      </c>
      <c r="C1979" s="9" t="s">
        <v>105</v>
      </c>
      <c r="D1979" s="9">
        <v>8.1</v>
      </c>
      <c r="E1979" s="9" t="s">
        <v>106</v>
      </c>
      <c r="F1979" s="9" t="s">
        <v>106</v>
      </c>
      <c r="G1979" s="9">
        <v>1</v>
      </c>
      <c r="H1979" s="9" t="s">
        <v>106</v>
      </c>
      <c r="I1979" s="9">
        <v>5</v>
      </c>
      <c r="J1979" s="9" t="s">
        <v>122</v>
      </c>
      <c r="K1979" s="9" t="s">
        <v>4427</v>
      </c>
      <c r="L1979" t="str">
        <f>IF(OR(J1979="Cattle",J1979="Zebu Cattle"),IF(COUNTIF(lists!$M$2:$M$258, K1979) &gt; 0,"bos.indicus",IF(COUNTIF(lists!$L$2:$L$258, K1979) &gt; 0,"cross.bred","pure.bred.exotic")),"NA")</f>
        <v>pure.bred.exotic</v>
      </c>
      <c r="O1979" s="9" t="s">
        <v>4194</v>
      </c>
      <c r="P1979" s="9" t="s">
        <v>4429</v>
      </c>
      <c r="Q1979" s="9" t="s">
        <v>3813</v>
      </c>
      <c r="R1979" s="9" t="s">
        <v>3830</v>
      </c>
      <c r="S1979" s="9" t="s">
        <v>106</v>
      </c>
      <c r="T1979" s="9" t="s">
        <v>106</v>
      </c>
      <c r="U1979" s="9" t="s">
        <v>106</v>
      </c>
      <c r="V1979" s="9" t="s">
        <v>106</v>
      </c>
      <c r="W1979" s="9" t="s">
        <v>106</v>
      </c>
      <c r="X1979" s="9" t="s">
        <v>106</v>
      </c>
      <c r="Y1979" s="9" t="s">
        <v>106</v>
      </c>
      <c r="Z1979" s="9" t="s">
        <v>106</v>
      </c>
      <c r="AA1979" s="9" t="s">
        <v>106</v>
      </c>
      <c r="AB1979" s="9" t="s">
        <v>106</v>
      </c>
      <c r="AC1979" s="9" t="s">
        <v>5100</v>
      </c>
      <c r="AD1979" s="9" t="s">
        <v>5100</v>
      </c>
    </row>
    <row r="1980" spans="1:30">
      <c r="A1980" s="9" t="s">
        <v>3954</v>
      </c>
      <c r="B1980" s="9" t="s">
        <v>4419</v>
      </c>
      <c r="C1980" s="9" t="s">
        <v>105</v>
      </c>
      <c r="D1980" s="9">
        <v>7.14</v>
      </c>
      <c r="E1980" s="9" t="s">
        <v>106</v>
      </c>
      <c r="F1980" s="9" t="s">
        <v>106</v>
      </c>
      <c r="G1980" s="9">
        <v>0.85</v>
      </c>
      <c r="H1980" s="9" t="s">
        <v>106</v>
      </c>
      <c r="I1980" s="9">
        <v>5</v>
      </c>
      <c r="J1980" s="9" t="s">
        <v>122</v>
      </c>
      <c r="K1980" s="9" t="s">
        <v>4426</v>
      </c>
      <c r="L1980" t="str">
        <f>IF(OR(J1980="Cattle",J1980="Zebu Cattle"),IF(COUNTIF(lists!$M$2:$M$258, K1980) &gt; 0,"bos.indicus",IF(COUNTIF(lists!$L$2:$L$258, K1980) &gt; 0,"cross.bred","pure.bred.exotic")),"NA")</f>
        <v>pure.bred.exotic</v>
      </c>
      <c r="O1980" s="9" t="s">
        <v>4194</v>
      </c>
      <c r="P1980" s="9" t="s">
        <v>4429</v>
      </c>
      <c r="Q1980" s="9" t="s">
        <v>3813</v>
      </c>
      <c r="R1980" s="9" t="s">
        <v>3830</v>
      </c>
      <c r="S1980" s="9" t="s">
        <v>106</v>
      </c>
      <c r="T1980" s="9" t="s">
        <v>106</v>
      </c>
      <c r="U1980" s="9" t="s">
        <v>106</v>
      </c>
      <c r="V1980" s="9" t="s">
        <v>106</v>
      </c>
      <c r="W1980" s="9" t="s">
        <v>106</v>
      </c>
      <c r="X1980" s="9" t="s">
        <v>106</v>
      </c>
      <c r="Y1980" s="9" t="s">
        <v>106</v>
      </c>
      <c r="Z1980" s="9" t="s">
        <v>106</v>
      </c>
      <c r="AA1980" s="9" t="s">
        <v>106</v>
      </c>
      <c r="AB1980" s="9" t="s">
        <v>106</v>
      </c>
      <c r="AC1980" s="9" t="s">
        <v>5100</v>
      </c>
      <c r="AD1980" s="9" t="s">
        <v>5100</v>
      </c>
    </row>
    <row r="1981" spans="1:30">
      <c r="A1981" s="9" t="s">
        <v>3954</v>
      </c>
      <c r="B1981" s="9" t="s">
        <v>4420</v>
      </c>
      <c r="C1981" s="9" t="s">
        <v>105</v>
      </c>
      <c r="D1981" s="9">
        <v>11.43</v>
      </c>
      <c r="E1981" s="9" t="s">
        <v>106</v>
      </c>
      <c r="F1981" s="9" t="s">
        <v>106</v>
      </c>
      <c r="G1981" s="9">
        <v>1.1100000000000001</v>
      </c>
      <c r="H1981" s="9" t="s">
        <v>106</v>
      </c>
      <c r="I1981" s="9">
        <v>5</v>
      </c>
      <c r="J1981" s="9" t="s">
        <v>122</v>
      </c>
      <c r="K1981" s="9" t="s">
        <v>4427</v>
      </c>
      <c r="L1981" t="str">
        <f>IF(OR(J1981="Cattle",J1981="Zebu Cattle"),IF(COUNTIF(lists!$M$2:$M$258, K1981) &gt; 0,"bos.indicus",IF(COUNTIF(lists!$L$2:$L$258, K1981) &gt; 0,"cross.bred","pure.bred.exotic")),"NA")</f>
        <v>pure.bred.exotic</v>
      </c>
      <c r="O1981" s="9" t="s">
        <v>4194</v>
      </c>
      <c r="P1981" s="9" t="s">
        <v>4431</v>
      </c>
      <c r="Q1981" s="9" t="s">
        <v>3813</v>
      </c>
      <c r="R1981" s="9" t="s">
        <v>3830</v>
      </c>
      <c r="S1981" s="9" t="s">
        <v>106</v>
      </c>
      <c r="T1981" s="9" t="s">
        <v>106</v>
      </c>
      <c r="U1981" s="9" t="s">
        <v>106</v>
      </c>
      <c r="V1981" s="9" t="s">
        <v>106</v>
      </c>
      <c r="W1981" s="9" t="s">
        <v>106</v>
      </c>
      <c r="X1981" s="9" t="s">
        <v>106</v>
      </c>
      <c r="Y1981" s="9" t="s">
        <v>106</v>
      </c>
      <c r="Z1981" s="9" t="s">
        <v>106</v>
      </c>
      <c r="AA1981" s="9" t="s">
        <v>106</v>
      </c>
      <c r="AB1981" s="9" t="s">
        <v>106</v>
      </c>
      <c r="AC1981" s="9" t="s">
        <v>5100</v>
      </c>
      <c r="AD1981" s="9" t="s">
        <v>5100</v>
      </c>
    </row>
    <row r="1982" spans="1:30">
      <c r="A1982" s="9" t="s">
        <v>3954</v>
      </c>
      <c r="B1982" s="9" t="s">
        <v>4421</v>
      </c>
      <c r="C1982" s="9" t="s">
        <v>105</v>
      </c>
      <c r="D1982" s="9">
        <v>7.47</v>
      </c>
      <c r="E1982" s="9" t="s">
        <v>106</v>
      </c>
      <c r="F1982" s="9" t="s">
        <v>106</v>
      </c>
      <c r="G1982" s="9">
        <v>0.37</v>
      </c>
      <c r="H1982" s="9" t="s">
        <v>106</v>
      </c>
      <c r="I1982" s="9">
        <v>5</v>
      </c>
      <c r="J1982" s="9" t="s">
        <v>122</v>
      </c>
      <c r="K1982" s="9" t="s">
        <v>4161</v>
      </c>
      <c r="L1982" t="str">
        <f>IF(OR(J1982="Cattle",J1982="Zebu Cattle"),IF(COUNTIF(lists!$M$2:$M$258, K1982) &gt; 0,"bos.indicus",IF(COUNTIF(lists!$L$2:$L$258, K1982) &gt; 0,"cross.bred","pure.bred.exotic")),"NA")</f>
        <v>bos.indicus</v>
      </c>
      <c r="O1982" s="9" t="s">
        <v>4193</v>
      </c>
      <c r="P1982" s="9" t="s">
        <v>4429</v>
      </c>
      <c r="Q1982" s="9" t="s">
        <v>3813</v>
      </c>
      <c r="R1982" s="9" t="s">
        <v>3830</v>
      </c>
      <c r="S1982" s="9" t="s">
        <v>106</v>
      </c>
      <c r="T1982" s="9" t="s">
        <v>106</v>
      </c>
      <c r="U1982" s="9" t="s">
        <v>106</v>
      </c>
      <c r="V1982" s="9" t="s">
        <v>106</v>
      </c>
      <c r="W1982" s="9" t="s">
        <v>106</v>
      </c>
      <c r="X1982" s="9" t="s">
        <v>106</v>
      </c>
      <c r="Y1982" s="9" t="s">
        <v>106</v>
      </c>
      <c r="Z1982" s="9" t="s">
        <v>106</v>
      </c>
      <c r="AA1982" s="9" t="s">
        <v>106</v>
      </c>
      <c r="AB1982" s="9" t="s">
        <v>106</v>
      </c>
      <c r="AC1982" s="9" t="s">
        <v>5100</v>
      </c>
      <c r="AD1982" s="9" t="s">
        <v>5100</v>
      </c>
    </row>
    <row r="1983" spans="1:30">
      <c r="A1983" s="9" t="s">
        <v>3954</v>
      </c>
      <c r="B1983" s="9" t="s">
        <v>4422</v>
      </c>
      <c r="C1983" s="9" t="s">
        <v>105</v>
      </c>
      <c r="D1983" s="9">
        <v>6.62</v>
      </c>
      <c r="E1983" s="9" t="s">
        <v>106</v>
      </c>
      <c r="F1983" s="9" t="s">
        <v>106</v>
      </c>
      <c r="G1983" s="9">
        <v>0.35</v>
      </c>
      <c r="H1983" s="9" t="s">
        <v>106</v>
      </c>
      <c r="I1983" s="9">
        <v>5</v>
      </c>
      <c r="J1983" s="9" t="s">
        <v>122</v>
      </c>
      <c r="K1983" s="9" t="s">
        <v>4161</v>
      </c>
      <c r="L1983" t="str">
        <f>IF(OR(J1983="Cattle",J1983="Zebu Cattle"),IF(COUNTIF(lists!$M$2:$M$258, K1983) &gt; 0,"bos.indicus",IF(COUNTIF(lists!$L$2:$L$258, K1983) &gt; 0,"cross.bred","pure.bred.exotic")),"NA")</f>
        <v>bos.indicus</v>
      </c>
      <c r="O1983" s="9" t="s">
        <v>4193</v>
      </c>
      <c r="P1983" s="9" t="s">
        <v>4432</v>
      </c>
      <c r="Q1983" s="9" t="s">
        <v>3813</v>
      </c>
      <c r="R1983" s="9" t="s">
        <v>3830</v>
      </c>
      <c r="S1983" s="9" t="s">
        <v>106</v>
      </c>
      <c r="T1983" s="9" t="s">
        <v>106</v>
      </c>
      <c r="U1983" s="9" t="s">
        <v>106</v>
      </c>
      <c r="V1983" s="9" t="s">
        <v>106</v>
      </c>
      <c r="W1983" s="9" t="s">
        <v>106</v>
      </c>
      <c r="X1983" s="9" t="s">
        <v>106</v>
      </c>
      <c r="Y1983" s="9" t="s">
        <v>106</v>
      </c>
      <c r="Z1983" s="9" t="s">
        <v>106</v>
      </c>
      <c r="AA1983" s="9" t="s">
        <v>106</v>
      </c>
      <c r="AB1983" s="9" t="s">
        <v>106</v>
      </c>
      <c r="AC1983" s="9" t="s">
        <v>5100</v>
      </c>
      <c r="AD1983" s="9" t="s">
        <v>5100</v>
      </c>
    </row>
    <row r="1984" spans="1:30">
      <c r="A1984" s="9" t="s">
        <v>3954</v>
      </c>
      <c r="B1984" s="9" t="s">
        <v>4423</v>
      </c>
      <c r="C1984" s="9" t="s">
        <v>105</v>
      </c>
      <c r="D1984" s="9">
        <v>6.34</v>
      </c>
      <c r="E1984" s="9" t="s">
        <v>106</v>
      </c>
      <c r="F1984" s="9" t="s">
        <v>106</v>
      </c>
      <c r="G1984" s="9">
        <v>0.35</v>
      </c>
      <c r="H1984" s="9" t="s">
        <v>106</v>
      </c>
      <c r="I1984" s="9">
        <v>5</v>
      </c>
      <c r="J1984" s="9" t="s">
        <v>122</v>
      </c>
      <c r="K1984" s="9" t="s">
        <v>4428</v>
      </c>
      <c r="L1984" t="str">
        <f>IF(OR(J1984="Cattle",J1984="Zebu Cattle"),IF(COUNTIF(lists!$M$2:$M$258, K1984) &gt; 0,"bos.indicus",IF(COUNTIF(lists!$L$2:$L$258, K1984) &gt; 0,"cross.bred","pure.bred.exotic")),"NA")</f>
        <v>bos.indicus</v>
      </c>
      <c r="O1984" s="9" t="s">
        <v>4193</v>
      </c>
      <c r="P1984" s="9" t="s">
        <v>4429</v>
      </c>
      <c r="Q1984" s="9" t="s">
        <v>3813</v>
      </c>
      <c r="R1984" s="9" t="s">
        <v>3830</v>
      </c>
      <c r="S1984" s="9" t="s">
        <v>106</v>
      </c>
      <c r="T1984" s="9" t="s">
        <v>106</v>
      </c>
      <c r="U1984" s="9" t="s">
        <v>106</v>
      </c>
      <c r="V1984" s="9" t="s">
        <v>106</v>
      </c>
      <c r="W1984" s="9" t="s">
        <v>106</v>
      </c>
      <c r="X1984" s="9" t="s">
        <v>106</v>
      </c>
      <c r="Y1984" s="9" t="s">
        <v>106</v>
      </c>
      <c r="Z1984" s="9" t="s">
        <v>106</v>
      </c>
      <c r="AA1984" s="9" t="s">
        <v>106</v>
      </c>
      <c r="AB1984" s="9" t="s">
        <v>106</v>
      </c>
      <c r="AC1984" s="9" t="s">
        <v>5100</v>
      </c>
      <c r="AD1984" s="9" t="s">
        <v>5100</v>
      </c>
    </row>
    <row r="1985" spans="1:30">
      <c r="A1985" s="9" t="s">
        <v>3954</v>
      </c>
      <c r="B1985" s="9" t="s">
        <v>4424</v>
      </c>
      <c r="C1985" s="9" t="s">
        <v>105</v>
      </c>
      <c r="D1985" s="9">
        <v>5.82</v>
      </c>
      <c r="E1985" s="9" t="s">
        <v>106</v>
      </c>
      <c r="F1985" s="9" t="s">
        <v>106</v>
      </c>
      <c r="G1985" s="9">
        <v>0.3</v>
      </c>
      <c r="H1985" s="9" t="s">
        <v>106</v>
      </c>
      <c r="I1985" s="9">
        <v>5</v>
      </c>
      <c r="J1985" s="9" t="s">
        <v>122</v>
      </c>
      <c r="K1985" s="9" t="s">
        <v>4428</v>
      </c>
      <c r="L1985" t="str">
        <f>IF(OR(J1985="Cattle",J1985="Zebu Cattle"),IF(COUNTIF(lists!$M$2:$M$258, K1985) &gt; 0,"bos.indicus",IF(COUNTIF(lists!$L$2:$L$258, K1985) &gt; 0,"cross.bred","pure.bred.exotic")),"NA")</f>
        <v>bos.indicus</v>
      </c>
      <c r="O1985" s="9" t="s">
        <v>4193</v>
      </c>
      <c r="P1985" s="9" t="s">
        <v>4432</v>
      </c>
      <c r="Q1985" s="9" t="s">
        <v>3813</v>
      </c>
      <c r="R1985" s="9" t="s">
        <v>3830</v>
      </c>
      <c r="S1985" s="9" t="s">
        <v>106</v>
      </c>
      <c r="T1985" s="9" t="s">
        <v>106</v>
      </c>
      <c r="U1985" s="9" t="s">
        <v>106</v>
      </c>
      <c r="V1985" s="9" t="s">
        <v>106</v>
      </c>
      <c r="W1985" s="9" t="s">
        <v>106</v>
      </c>
      <c r="X1985" s="9" t="s">
        <v>106</v>
      </c>
      <c r="Y1985" s="9" t="s">
        <v>106</v>
      </c>
      <c r="Z1985" s="9" t="s">
        <v>106</v>
      </c>
      <c r="AA1985" s="9" t="s">
        <v>106</v>
      </c>
      <c r="AB1985" s="9" t="s">
        <v>106</v>
      </c>
      <c r="AC1985" s="9" t="s">
        <v>5100</v>
      </c>
      <c r="AD1985" s="9" t="s">
        <v>5100</v>
      </c>
    </row>
    <row r="1986" spans="1:30">
      <c r="A1986" s="9" t="s">
        <v>3954</v>
      </c>
      <c r="B1986" s="9" t="s">
        <v>4425</v>
      </c>
      <c r="C1986" s="9" t="s">
        <v>105</v>
      </c>
      <c r="D1986" s="9">
        <v>9.18</v>
      </c>
      <c r="E1986" s="9" t="s">
        <v>106</v>
      </c>
      <c r="F1986" s="9" t="s">
        <v>106</v>
      </c>
      <c r="G1986" s="9">
        <v>0.85</v>
      </c>
      <c r="H1986" s="9" t="s">
        <v>106</v>
      </c>
      <c r="I1986" s="9">
        <v>5</v>
      </c>
      <c r="J1986" s="9" t="s">
        <v>122</v>
      </c>
      <c r="K1986" s="9" t="s">
        <v>4792</v>
      </c>
      <c r="L1986" t="str">
        <f>IF(OR(J1986="Cattle",J1986="Zebu Cattle"),IF(COUNTIF(lists!$M$2:$M$258, K1986) &gt; 0,"bos.indicus",IF(COUNTIF(lists!$L$2:$L$258, K1986) &gt; 0,"cross.bred","pure.bred.exotic")),"NA")</f>
        <v>pure.bred.exotic</v>
      </c>
      <c r="O1986" s="9" t="s">
        <v>4194</v>
      </c>
      <c r="P1986" s="9" t="s">
        <v>4433</v>
      </c>
      <c r="Q1986" s="9" t="s">
        <v>3813</v>
      </c>
      <c r="R1986" s="9" t="s">
        <v>3830</v>
      </c>
      <c r="S1986" s="9" t="s">
        <v>106</v>
      </c>
      <c r="T1986" s="9" t="s">
        <v>106</v>
      </c>
      <c r="U1986" s="9" t="s">
        <v>106</v>
      </c>
      <c r="V1986" s="9" t="s">
        <v>106</v>
      </c>
      <c r="W1986" s="9" t="s">
        <v>106</v>
      </c>
      <c r="X1986" s="9" t="s">
        <v>106</v>
      </c>
      <c r="Y1986" s="9" t="s">
        <v>106</v>
      </c>
      <c r="Z1986" s="9" t="s">
        <v>106</v>
      </c>
      <c r="AA1986" s="9" t="s">
        <v>106</v>
      </c>
      <c r="AB1986" s="9" t="s">
        <v>106</v>
      </c>
      <c r="AC1986" s="9" t="s">
        <v>5100</v>
      </c>
      <c r="AD1986" s="9" t="s">
        <v>5100</v>
      </c>
    </row>
    <row r="1987" spans="1:30">
      <c r="A1987" s="9" t="s">
        <v>4436</v>
      </c>
      <c r="B1987" s="9" t="s">
        <v>4438</v>
      </c>
      <c r="C1987" s="9" t="s">
        <v>105</v>
      </c>
      <c r="D1987" s="9">
        <v>11.1</v>
      </c>
      <c r="E1987" s="9" t="s">
        <v>106</v>
      </c>
      <c r="F1987" s="9">
        <v>193.5</v>
      </c>
      <c r="G1987" s="9">
        <v>0.8</v>
      </c>
      <c r="H1987" s="9" t="s">
        <v>106</v>
      </c>
      <c r="I1987" s="9">
        <v>12</v>
      </c>
      <c r="J1987" s="9" t="s">
        <v>122</v>
      </c>
      <c r="K1987" s="9" t="s">
        <v>4165</v>
      </c>
      <c r="L1987" t="str">
        <f>IF(OR(J1987="Cattle",J1987="Zebu Cattle"),IF(COUNTIF(lists!$M$2:$M$258, K1987) &gt; 0,"bos.indicus",IF(COUNTIF(lists!$L$2:$L$258, K1987) &gt; 0,"cross.bred","pure.bred.exotic")),"NA")</f>
        <v>pure.bred.exotic</v>
      </c>
      <c r="O1987" s="9" t="s">
        <v>4194</v>
      </c>
      <c r="P1987" s="16" t="s">
        <v>4441</v>
      </c>
      <c r="Q1987" s="9" t="s">
        <v>3804</v>
      </c>
      <c r="R1987" s="9" t="s">
        <v>3830</v>
      </c>
      <c r="S1987" s="9">
        <v>103</v>
      </c>
      <c r="T1987" s="9">
        <v>86.9</v>
      </c>
      <c r="U1987" s="9">
        <v>121</v>
      </c>
      <c r="V1987" s="9">
        <v>888</v>
      </c>
      <c r="W1987" s="9">
        <v>19.5</v>
      </c>
      <c r="X1987" s="9">
        <v>257</v>
      </c>
      <c r="Y1987" s="9" t="s">
        <v>106</v>
      </c>
      <c r="Z1987" s="9">
        <v>14</v>
      </c>
      <c r="AA1987" s="9" t="s">
        <v>106</v>
      </c>
      <c r="AB1987" s="9" t="s">
        <v>106</v>
      </c>
      <c r="AC1987" s="9" t="s">
        <v>5100</v>
      </c>
      <c r="AD1987" s="9" t="s">
        <v>5100</v>
      </c>
    </row>
    <row r="1988" spans="1:30">
      <c r="A1988" s="9" t="s">
        <v>4436</v>
      </c>
      <c r="B1988" s="9" t="s">
        <v>4439</v>
      </c>
      <c r="C1988" s="9" t="s">
        <v>105</v>
      </c>
      <c r="D1988" s="9">
        <v>7.84</v>
      </c>
      <c r="E1988" s="9" t="s">
        <v>106</v>
      </c>
      <c r="F1988" s="9">
        <v>180</v>
      </c>
      <c r="G1988" s="9">
        <v>0.3</v>
      </c>
      <c r="H1988" s="9" t="s">
        <v>106</v>
      </c>
      <c r="I1988" s="9">
        <v>12</v>
      </c>
      <c r="J1988" s="9" t="s">
        <v>122</v>
      </c>
      <c r="K1988" s="9" t="s">
        <v>4165</v>
      </c>
      <c r="L1988" t="str">
        <f>IF(OR(J1988="Cattle",J1988="Zebu Cattle"),IF(COUNTIF(lists!$M$2:$M$258, K1988) &gt; 0,"bos.indicus",IF(COUNTIF(lists!$L$2:$L$258, K1988) &gt; 0,"cross.bred","pure.bred.exotic")),"NA")</f>
        <v>pure.bred.exotic</v>
      </c>
      <c r="O1988" s="9" t="s">
        <v>4194</v>
      </c>
      <c r="P1988" s="16" t="s">
        <v>4441</v>
      </c>
      <c r="Q1988" s="9" t="s">
        <v>3804</v>
      </c>
      <c r="R1988" s="9" t="s">
        <v>3830</v>
      </c>
      <c r="S1988" s="9">
        <v>183</v>
      </c>
      <c r="T1988" s="9">
        <v>69.400000000000006</v>
      </c>
      <c r="U1988" s="9">
        <v>110</v>
      </c>
      <c r="V1988" s="9">
        <v>878</v>
      </c>
      <c r="W1988" s="9">
        <v>15.4</v>
      </c>
      <c r="X1988" s="9">
        <v>302</v>
      </c>
      <c r="Y1988" s="9" t="s">
        <v>106</v>
      </c>
      <c r="Z1988" s="9">
        <v>23</v>
      </c>
      <c r="AA1988" s="9" t="s">
        <v>106</v>
      </c>
      <c r="AB1988" s="9" t="s">
        <v>106</v>
      </c>
      <c r="AC1988" s="9" t="s">
        <v>5100</v>
      </c>
      <c r="AD1988" s="9" t="s">
        <v>5100</v>
      </c>
    </row>
    <row r="1989" spans="1:30">
      <c r="A1989" s="9" t="s">
        <v>4436</v>
      </c>
      <c r="B1989" s="9" t="s">
        <v>4440</v>
      </c>
      <c r="C1989" s="9" t="s">
        <v>105</v>
      </c>
      <c r="D1989" s="9">
        <v>11.2</v>
      </c>
      <c r="E1989" s="9" t="s">
        <v>106</v>
      </c>
      <c r="F1989" s="9">
        <v>198.5</v>
      </c>
      <c r="G1989" s="9">
        <v>0.8</v>
      </c>
      <c r="H1989" s="9" t="s">
        <v>106</v>
      </c>
      <c r="I1989" s="9">
        <v>12</v>
      </c>
      <c r="J1989" s="9" t="s">
        <v>122</v>
      </c>
      <c r="K1989" s="9" t="s">
        <v>4165</v>
      </c>
      <c r="L1989" t="str">
        <f>IF(OR(J1989="Cattle",J1989="Zebu Cattle"),IF(COUNTIF(lists!$M$2:$M$258, K1989) &gt; 0,"bos.indicus",IF(COUNTIF(lists!$L$2:$L$258, K1989) &gt; 0,"cross.bred","pure.bred.exotic")),"NA")</f>
        <v>pure.bred.exotic</v>
      </c>
      <c r="O1989" s="9" t="s">
        <v>4194</v>
      </c>
      <c r="P1989" s="16" t="s">
        <v>4441</v>
      </c>
      <c r="Q1989" s="9" t="s">
        <v>3804</v>
      </c>
      <c r="R1989" s="9" t="s">
        <v>3830</v>
      </c>
      <c r="S1989" s="9">
        <v>294</v>
      </c>
      <c r="T1989" s="9">
        <v>45.7</v>
      </c>
      <c r="U1989" s="9">
        <v>113</v>
      </c>
      <c r="V1989" s="9">
        <v>917</v>
      </c>
      <c r="W1989" s="9">
        <v>21.5</v>
      </c>
      <c r="X1989" s="9">
        <v>431</v>
      </c>
      <c r="Y1989" s="9" t="s">
        <v>106</v>
      </c>
      <c r="Z1989" s="9">
        <v>97</v>
      </c>
      <c r="AA1989" s="9" t="s">
        <v>106</v>
      </c>
      <c r="AB1989" s="9" t="s">
        <v>106</v>
      </c>
      <c r="AC1989" s="9" t="s">
        <v>5100</v>
      </c>
      <c r="AD1989" s="9" t="s">
        <v>5100</v>
      </c>
    </row>
    <row r="1990" spans="1:30" ht="15" customHeight="1">
      <c r="A1990" s="9" t="s">
        <v>4442</v>
      </c>
      <c r="B1990" s="9" t="s">
        <v>4443</v>
      </c>
      <c r="C1990" s="9" t="s">
        <v>105</v>
      </c>
      <c r="D1990" s="9">
        <v>7.59</v>
      </c>
      <c r="E1990" s="9" t="s">
        <v>106</v>
      </c>
      <c r="F1990" s="9">
        <v>275</v>
      </c>
      <c r="G1990" s="9" t="s">
        <v>106</v>
      </c>
      <c r="H1990" s="9">
        <v>4.18</v>
      </c>
      <c r="I1990" s="9">
        <v>4</v>
      </c>
      <c r="J1990" s="9" t="s">
        <v>122</v>
      </c>
      <c r="K1990" s="9" t="s">
        <v>4161</v>
      </c>
      <c r="L1990" t="str">
        <f>IF(OR(J1990="Cattle",J1990="Zebu Cattle"),IF(COUNTIF(lists!$M$2:$M$258, K1990) &gt; 0,"bos.indicus",IF(COUNTIF(lists!$L$2:$L$258, K1990) &gt; 0,"cross.bred","pure.bred.exotic")),"NA")</f>
        <v>bos.indicus</v>
      </c>
      <c r="O1990" s="9" t="s">
        <v>4193</v>
      </c>
      <c r="P1990" s="9" t="s">
        <v>4045</v>
      </c>
      <c r="Q1990" s="9" t="s">
        <v>3809</v>
      </c>
      <c r="R1990" s="9" t="s">
        <v>3830</v>
      </c>
      <c r="S1990" s="9" t="s">
        <v>106</v>
      </c>
      <c r="T1990" s="9" t="s">
        <v>106</v>
      </c>
      <c r="U1990" s="9" t="s">
        <v>106</v>
      </c>
      <c r="V1990" s="9" t="s">
        <v>106</v>
      </c>
      <c r="W1990" s="9" t="s">
        <v>106</v>
      </c>
      <c r="X1990" s="9" t="s">
        <v>106</v>
      </c>
      <c r="Y1990" s="9" t="s">
        <v>106</v>
      </c>
      <c r="Z1990" s="9" t="s">
        <v>106</v>
      </c>
      <c r="AA1990" s="9" t="s">
        <v>106</v>
      </c>
      <c r="AB1990" s="9" t="s">
        <v>106</v>
      </c>
      <c r="AC1990" s="9" t="s">
        <v>5100</v>
      </c>
      <c r="AD1990" s="9" t="s">
        <v>5100</v>
      </c>
    </row>
    <row r="1991" spans="1:30">
      <c r="A1991" s="9" t="s">
        <v>4442</v>
      </c>
      <c r="B1991" s="9" t="s">
        <v>4444</v>
      </c>
      <c r="C1991" s="9" t="s">
        <v>105</v>
      </c>
      <c r="D1991" s="9">
        <v>7.48</v>
      </c>
      <c r="E1991" s="9" t="s">
        <v>106</v>
      </c>
      <c r="F1991" s="9">
        <v>275</v>
      </c>
      <c r="G1991" s="9" t="s">
        <v>106</v>
      </c>
      <c r="H1991" s="9">
        <v>3.96</v>
      </c>
      <c r="I1991" s="9">
        <v>4</v>
      </c>
      <c r="J1991" s="9" t="s">
        <v>122</v>
      </c>
      <c r="K1991" s="9" t="s">
        <v>4161</v>
      </c>
      <c r="L1991" t="str">
        <f>IF(OR(J1991="Cattle",J1991="Zebu Cattle"),IF(COUNTIF(lists!$M$2:$M$258, K1991) &gt; 0,"bos.indicus",IF(COUNTIF(lists!$L$2:$L$258, K1991) &gt; 0,"cross.bred","pure.bred.exotic")),"NA")</f>
        <v>bos.indicus</v>
      </c>
      <c r="O1991" s="9" t="s">
        <v>4193</v>
      </c>
      <c r="P1991" s="9" t="s">
        <v>4045</v>
      </c>
      <c r="Q1991" s="9" t="s">
        <v>3809</v>
      </c>
      <c r="R1991" s="9" t="s">
        <v>3830</v>
      </c>
      <c r="S1991" s="9" t="s">
        <v>106</v>
      </c>
      <c r="T1991" s="9" t="s">
        <v>106</v>
      </c>
      <c r="U1991" s="9" t="s">
        <v>106</v>
      </c>
      <c r="V1991" s="9" t="s">
        <v>106</v>
      </c>
      <c r="W1991" s="9" t="s">
        <v>106</v>
      </c>
      <c r="X1991" s="9" t="s">
        <v>106</v>
      </c>
      <c r="Y1991" s="9" t="s">
        <v>106</v>
      </c>
      <c r="Z1991" s="9" t="s">
        <v>106</v>
      </c>
      <c r="AA1991" s="9" t="s">
        <v>106</v>
      </c>
      <c r="AB1991" s="9" t="s">
        <v>106</v>
      </c>
      <c r="AC1991" s="9" t="s">
        <v>5100</v>
      </c>
      <c r="AD1991" s="9" t="s">
        <v>5100</v>
      </c>
    </row>
    <row r="1992" spans="1:30">
      <c r="A1992" s="9" t="s">
        <v>4442</v>
      </c>
      <c r="B1992" s="9" t="s">
        <v>4445</v>
      </c>
      <c r="C1992" s="9" t="s">
        <v>105</v>
      </c>
      <c r="D1992" s="9">
        <v>7.46</v>
      </c>
      <c r="E1992" s="9" t="s">
        <v>106</v>
      </c>
      <c r="F1992" s="9">
        <v>275.3</v>
      </c>
      <c r="G1992" s="9" t="s">
        <v>106</v>
      </c>
      <c r="H1992" s="9">
        <v>3.95</v>
      </c>
      <c r="I1992" s="9">
        <v>4</v>
      </c>
      <c r="J1992" s="9" t="s">
        <v>122</v>
      </c>
      <c r="K1992" s="9" t="s">
        <v>4161</v>
      </c>
      <c r="L1992" t="str">
        <f>IF(OR(J1992="Cattle",J1992="Zebu Cattle"),IF(COUNTIF(lists!$M$2:$M$258, K1992) &gt; 0,"bos.indicus",IF(COUNTIF(lists!$L$2:$L$258, K1992) &gt; 0,"cross.bred","pure.bred.exotic")),"NA")</f>
        <v>bos.indicus</v>
      </c>
      <c r="O1992" s="9" t="s">
        <v>4193</v>
      </c>
      <c r="P1992" s="9" t="s">
        <v>4045</v>
      </c>
      <c r="Q1992" s="9" t="s">
        <v>3809</v>
      </c>
      <c r="R1992" s="9" t="s">
        <v>3830</v>
      </c>
      <c r="S1992" s="9" t="s">
        <v>106</v>
      </c>
      <c r="T1992" s="9" t="s">
        <v>106</v>
      </c>
      <c r="U1992" s="9" t="s">
        <v>106</v>
      </c>
      <c r="V1992" s="9" t="s">
        <v>106</v>
      </c>
      <c r="W1992" s="9" t="s">
        <v>106</v>
      </c>
      <c r="X1992" s="9" t="s">
        <v>106</v>
      </c>
      <c r="Y1992" s="9" t="s">
        <v>106</v>
      </c>
      <c r="Z1992" s="9" t="s">
        <v>106</v>
      </c>
      <c r="AA1992" s="9" t="s">
        <v>106</v>
      </c>
      <c r="AB1992" s="9" t="s">
        <v>106</v>
      </c>
      <c r="AC1992" s="9" t="s">
        <v>5100</v>
      </c>
      <c r="AD1992" s="9" t="s">
        <v>5100</v>
      </c>
    </row>
    <row r="1993" spans="1:30">
      <c r="A1993" s="9" t="s">
        <v>4442</v>
      </c>
      <c r="B1993" s="9" t="s">
        <v>4446</v>
      </c>
      <c r="C1993" s="9" t="s">
        <v>105</v>
      </c>
      <c r="D1993" s="9">
        <v>7.55</v>
      </c>
      <c r="E1993" s="9" t="s">
        <v>106</v>
      </c>
      <c r="F1993" s="9">
        <v>274.5</v>
      </c>
      <c r="G1993" s="9" t="s">
        <v>106</v>
      </c>
      <c r="H1993" s="9">
        <v>4.0999999999999996</v>
      </c>
      <c r="I1993" s="9">
        <v>4</v>
      </c>
      <c r="J1993" s="9" t="s">
        <v>122</v>
      </c>
      <c r="K1993" s="9" t="s">
        <v>4161</v>
      </c>
      <c r="L1993" t="str">
        <f>IF(OR(J1993="Cattle",J1993="Zebu Cattle"),IF(COUNTIF(lists!$M$2:$M$258, K1993) &gt; 0,"bos.indicus",IF(COUNTIF(lists!$L$2:$L$258, K1993) &gt; 0,"cross.bred","pure.bred.exotic")),"NA")</f>
        <v>bos.indicus</v>
      </c>
      <c r="O1993" s="9" t="s">
        <v>4193</v>
      </c>
      <c r="P1993" s="9" t="s">
        <v>4045</v>
      </c>
      <c r="Q1993" s="9" t="s">
        <v>3809</v>
      </c>
      <c r="R1993" s="9" t="s">
        <v>3830</v>
      </c>
      <c r="S1993" s="9" t="s">
        <v>106</v>
      </c>
      <c r="T1993" s="9" t="s">
        <v>106</v>
      </c>
      <c r="U1993" s="9" t="s">
        <v>106</v>
      </c>
      <c r="V1993" s="9" t="s">
        <v>106</v>
      </c>
      <c r="W1993" s="9" t="s">
        <v>106</v>
      </c>
      <c r="X1993" s="9" t="s">
        <v>106</v>
      </c>
      <c r="Y1993" s="9" t="s">
        <v>106</v>
      </c>
      <c r="Z1993" s="9" t="s">
        <v>106</v>
      </c>
      <c r="AA1993" s="9" t="s">
        <v>106</v>
      </c>
      <c r="AB1993" s="9" t="s">
        <v>106</v>
      </c>
      <c r="AC1993" s="9" t="s">
        <v>5100</v>
      </c>
      <c r="AD1993" s="9" t="s">
        <v>5100</v>
      </c>
    </row>
    <row r="1994" spans="1:30">
      <c r="A1994" s="9" t="s">
        <v>4453</v>
      </c>
      <c r="B1994" s="9" t="s">
        <v>4448</v>
      </c>
      <c r="C1994" s="9" t="s">
        <v>105</v>
      </c>
      <c r="D1994" s="9">
        <v>12.63</v>
      </c>
      <c r="E1994" s="9" t="s">
        <v>106</v>
      </c>
      <c r="F1994" s="68">
        <v>390</v>
      </c>
      <c r="G1994" s="9" t="s">
        <v>106</v>
      </c>
      <c r="H1994" s="9">
        <v>8.81</v>
      </c>
      <c r="I1994" s="9">
        <v>5</v>
      </c>
      <c r="J1994" s="9" t="s">
        <v>122</v>
      </c>
      <c r="K1994" s="9" t="s">
        <v>4793</v>
      </c>
      <c r="L1994" t="str">
        <f>IF(OR(J1994="Cattle",J1994="Zebu Cattle"),IF(COUNTIF(lists!$M$2:$M$258, K1994) &gt; 0,"bos.indicus",IF(COUNTIF(lists!$L$2:$L$258, K1994) &gt; 0,"cross.bred","pure.bred.exotic")),"NA")</f>
        <v>cross.bred</v>
      </c>
      <c r="O1994" s="9" t="s">
        <v>124</v>
      </c>
      <c r="P1994" s="9" t="s">
        <v>4045</v>
      </c>
      <c r="Q1994" s="9" t="s">
        <v>3809</v>
      </c>
      <c r="R1994" s="9" t="s">
        <v>3830</v>
      </c>
      <c r="S1994" s="9" t="s">
        <v>106</v>
      </c>
      <c r="T1994" s="9" t="s">
        <v>106</v>
      </c>
      <c r="U1994" s="9" t="s">
        <v>106</v>
      </c>
      <c r="V1994" s="9" t="s">
        <v>106</v>
      </c>
      <c r="W1994" s="9" t="s">
        <v>106</v>
      </c>
      <c r="X1994" s="9" t="s">
        <v>106</v>
      </c>
      <c r="Y1994" s="9" t="s">
        <v>106</v>
      </c>
      <c r="Z1994" s="9" t="s">
        <v>106</v>
      </c>
      <c r="AA1994" s="9" t="s">
        <v>106</v>
      </c>
      <c r="AB1994" s="9" t="s">
        <v>106</v>
      </c>
      <c r="AC1994" s="9" t="s">
        <v>5100</v>
      </c>
      <c r="AD1994" s="9" t="s">
        <v>5100</v>
      </c>
    </row>
    <row r="1995" spans="1:30">
      <c r="A1995" s="9" t="s">
        <v>4453</v>
      </c>
      <c r="B1995" s="9" t="s">
        <v>4449</v>
      </c>
      <c r="C1995" s="9" t="s">
        <v>105</v>
      </c>
      <c r="D1995" s="9">
        <v>13.33</v>
      </c>
      <c r="E1995" s="9" t="s">
        <v>106</v>
      </c>
      <c r="F1995" s="68">
        <v>390</v>
      </c>
      <c r="G1995" s="9" t="s">
        <v>106</v>
      </c>
      <c r="H1995" s="9">
        <v>8.76</v>
      </c>
      <c r="I1995" s="9">
        <v>5</v>
      </c>
      <c r="J1995" s="9" t="s">
        <v>122</v>
      </c>
      <c r="K1995" s="9" t="s">
        <v>4793</v>
      </c>
      <c r="L1995" t="str">
        <f>IF(OR(J1995="Cattle",J1995="Zebu Cattle"),IF(COUNTIF(lists!$M$2:$M$258, K1995) &gt; 0,"bos.indicus",IF(COUNTIF(lists!$L$2:$L$258, K1995) &gt; 0,"cross.bred","pure.bred.exotic")),"NA")</f>
        <v>cross.bred</v>
      </c>
      <c r="O1995" s="9" t="s">
        <v>124</v>
      </c>
      <c r="P1995" s="9" t="s">
        <v>4045</v>
      </c>
      <c r="Q1995" s="9" t="s">
        <v>3809</v>
      </c>
      <c r="R1995" s="9" t="s">
        <v>3830</v>
      </c>
      <c r="S1995" s="9" t="s">
        <v>106</v>
      </c>
      <c r="T1995" s="9" t="s">
        <v>106</v>
      </c>
      <c r="U1995" s="9" t="s">
        <v>106</v>
      </c>
      <c r="V1995" s="9" t="s">
        <v>106</v>
      </c>
      <c r="W1995" s="9" t="s">
        <v>106</v>
      </c>
      <c r="X1995" s="9" t="s">
        <v>106</v>
      </c>
      <c r="Y1995" s="9" t="s">
        <v>106</v>
      </c>
      <c r="Z1995" s="9" t="s">
        <v>106</v>
      </c>
      <c r="AA1995" s="9" t="s">
        <v>106</v>
      </c>
      <c r="AB1995" s="9" t="s">
        <v>106</v>
      </c>
      <c r="AC1995" s="9" t="s">
        <v>5100</v>
      </c>
      <c r="AD1995" s="9" t="s">
        <v>5100</v>
      </c>
    </row>
    <row r="1996" spans="1:30">
      <c r="A1996" s="9" t="s">
        <v>4453</v>
      </c>
      <c r="B1996" s="9" t="s">
        <v>4450</v>
      </c>
      <c r="C1996" s="9" t="s">
        <v>105</v>
      </c>
      <c r="D1996" s="9">
        <v>13.96</v>
      </c>
      <c r="E1996" s="9" t="s">
        <v>106</v>
      </c>
      <c r="F1996" s="68">
        <v>390</v>
      </c>
      <c r="G1996" s="9" t="s">
        <v>106</v>
      </c>
      <c r="H1996" s="9">
        <v>8.8000000000000007</v>
      </c>
      <c r="I1996" s="9">
        <v>5</v>
      </c>
      <c r="J1996" s="9" t="s">
        <v>122</v>
      </c>
      <c r="K1996" s="9" t="s">
        <v>4793</v>
      </c>
      <c r="L1996" t="str">
        <f>IF(OR(J1996="Cattle",J1996="Zebu Cattle"),IF(COUNTIF(lists!$M$2:$M$258, K1996) &gt; 0,"bos.indicus",IF(COUNTIF(lists!$L$2:$L$258, K1996) &gt; 0,"cross.bred","pure.bred.exotic")),"NA")</f>
        <v>cross.bred</v>
      </c>
      <c r="O1996" s="9" t="s">
        <v>124</v>
      </c>
      <c r="P1996" s="9" t="s">
        <v>4045</v>
      </c>
      <c r="Q1996" s="9" t="s">
        <v>3809</v>
      </c>
      <c r="R1996" s="9" t="s">
        <v>3830</v>
      </c>
      <c r="S1996" s="9" t="s">
        <v>106</v>
      </c>
      <c r="T1996" s="9" t="s">
        <v>106</v>
      </c>
      <c r="U1996" s="9" t="s">
        <v>106</v>
      </c>
      <c r="V1996" s="9" t="s">
        <v>106</v>
      </c>
      <c r="W1996" s="9" t="s">
        <v>106</v>
      </c>
      <c r="X1996" s="9" t="s">
        <v>106</v>
      </c>
      <c r="Y1996" s="9" t="s">
        <v>106</v>
      </c>
      <c r="Z1996" s="9" t="s">
        <v>106</v>
      </c>
      <c r="AA1996" s="9" t="s">
        <v>106</v>
      </c>
      <c r="AB1996" s="9" t="s">
        <v>106</v>
      </c>
      <c r="AC1996" s="9" t="s">
        <v>5100</v>
      </c>
      <c r="AD1996" s="9" t="s">
        <v>5100</v>
      </c>
    </row>
    <row r="1997" spans="1:30">
      <c r="A1997" s="9" t="s">
        <v>4453</v>
      </c>
      <c r="B1997" s="9" t="s">
        <v>4451</v>
      </c>
      <c r="C1997" s="9" t="s">
        <v>105</v>
      </c>
      <c r="D1997" s="9">
        <v>14.39</v>
      </c>
      <c r="E1997" s="9" t="s">
        <v>106</v>
      </c>
      <c r="F1997" s="68">
        <v>390</v>
      </c>
      <c r="G1997" s="9" t="s">
        <v>106</v>
      </c>
      <c r="H1997" s="9">
        <v>9.69</v>
      </c>
      <c r="I1997" s="9">
        <v>5</v>
      </c>
      <c r="J1997" s="9" t="s">
        <v>122</v>
      </c>
      <c r="K1997" s="9" t="s">
        <v>4793</v>
      </c>
      <c r="L1997" t="str">
        <f>IF(OR(J1997="Cattle",J1997="Zebu Cattle"),IF(COUNTIF(lists!$M$2:$M$258, K1997) &gt; 0,"bos.indicus",IF(COUNTIF(lists!$L$2:$L$258, K1997) &gt; 0,"cross.bred","pure.bred.exotic")),"NA")</f>
        <v>cross.bred</v>
      </c>
      <c r="O1997" s="9" t="s">
        <v>124</v>
      </c>
      <c r="P1997" s="9" t="s">
        <v>4045</v>
      </c>
      <c r="Q1997" s="9" t="s">
        <v>3809</v>
      </c>
      <c r="R1997" s="9" t="s">
        <v>3830</v>
      </c>
      <c r="S1997" s="9" t="s">
        <v>106</v>
      </c>
      <c r="T1997" s="9" t="s">
        <v>106</v>
      </c>
      <c r="U1997" s="9" t="s">
        <v>106</v>
      </c>
      <c r="V1997" s="9" t="s">
        <v>106</v>
      </c>
      <c r="W1997" s="9" t="s">
        <v>106</v>
      </c>
      <c r="X1997" s="9" t="s">
        <v>106</v>
      </c>
      <c r="Y1997" s="9" t="s">
        <v>106</v>
      </c>
      <c r="Z1997" s="9" t="s">
        <v>106</v>
      </c>
      <c r="AA1997" s="9" t="s">
        <v>106</v>
      </c>
      <c r="AB1997" s="9" t="s">
        <v>106</v>
      </c>
      <c r="AC1997" s="9" t="s">
        <v>5100</v>
      </c>
      <c r="AD1997" s="9" t="s">
        <v>5100</v>
      </c>
    </row>
    <row r="1998" spans="1:30">
      <c r="A1998" s="9" t="s">
        <v>4453</v>
      </c>
      <c r="B1998" s="9" t="s">
        <v>4452</v>
      </c>
      <c r="C1998" s="9" t="s">
        <v>105</v>
      </c>
      <c r="D1998" s="9">
        <v>13.87</v>
      </c>
      <c r="E1998" s="9" t="s">
        <v>106</v>
      </c>
      <c r="F1998" s="68">
        <v>390</v>
      </c>
      <c r="G1998" s="9" t="s">
        <v>106</v>
      </c>
      <c r="H1998" s="9">
        <v>9.36</v>
      </c>
      <c r="I1998" s="9">
        <v>5</v>
      </c>
      <c r="J1998" s="9" t="s">
        <v>122</v>
      </c>
      <c r="K1998" s="9" t="s">
        <v>4793</v>
      </c>
      <c r="L1998" t="str">
        <f>IF(OR(J1998="Cattle",J1998="Zebu Cattle"),IF(COUNTIF(lists!$M$2:$M$258, K1998) &gt; 0,"bos.indicus",IF(COUNTIF(lists!$L$2:$L$258, K1998) &gt; 0,"cross.bred","pure.bred.exotic")),"NA")</f>
        <v>cross.bred</v>
      </c>
      <c r="O1998" s="9" t="s">
        <v>124</v>
      </c>
      <c r="P1998" s="9" t="s">
        <v>4045</v>
      </c>
      <c r="Q1998" s="9" t="s">
        <v>3809</v>
      </c>
      <c r="R1998" s="9" t="s">
        <v>3830</v>
      </c>
      <c r="S1998" s="9" t="s">
        <v>106</v>
      </c>
      <c r="T1998" s="9" t="s">
        <v>106</v>
      </c>
      <c r="U1998" s="9" t="s">
        <v>106</v>
      </c>
      <c r="V1998" s="9" t="s">
        <v>106</v>
      </c>
      <c r="W1998" s="9" t="s">
        <v>106</v>
      </c>
      <c r="X1998" s="9" t="s">
        <v>106</v>
      </c>
      <c r="Y1998" s="9" t="s">
        <v>106</v>
      </c>
      <c r="Z1998" s="9" t="s">
        <v>106</v>
      </c>
      <c r="AA1998" s="9" t="s">
        <v>106</v>
      </c>
      <c r="AB1998" s="9" t="s">
        <v>106</v>
      </c>
      <c r="AC1998" s="9" t="s">
        <v>5100</v>
      </c>
      <c r="AD1998" s="9" t="s">
        <v>5100</v>
      </c>
    </row>
    <row r="1999" spans="1:30">
      <c r="A1999" s="9" t="s">
        <v>4459</v>
      </c>
      <c r="B1999" s="9" t="s">
        <v>4455</v>
      </c>
      <c r="C1999" s="9" t="s">
        <v>105</v>
      </c>
      <c r="D1999" s="9">
        <v>4.43</v>
      </c>
      <c r="E1999" s="9" t="s">
        <v>106</v>
      </c>
      <c r="F1999" s="9">
        <v>149</v>
      </c>
      <c r="G1999" s="9">
        <v>0.81333</v>
      </c>
      <c r="H1999" s="9" t="s">
        <v>106</v>
      </c>
      <c r="I1999" s="9">
        <v>5</v>
      </c>
      <c r="J1999" s="9" t="s">
        <v>122</v>
      </c>
      <c r="K1999" s="9" t="s">
        <v>4793</v>
      </c>
      <c r="L1999" t="str">
        <f>IF(OR(J1999="Cattle",J1999="Zebu Cattle"),IF(COUNTIF(lists!$M$2:$M$258, K1999) &gt; 0,"bos.indicus",IF(COUNTIF(lists!$L$2:$L$258, K1999) &gt; 0,"cross.bred","pure.bred.exotic")),"NA")</f>
        <v>cross.bred</v>
      </c>
      <c r="O1999" s="9" t="s">
        <v>124</v>
      </c>
      <c r="P1999" s="16" t="s">
        <v>4461</v>
      </c>
      <c r="Q1999" s="9" t="s">
        <v>3806</v>
      </c>
      <c r="R1999" s="9" t="s">
        <v>3830</v>
      </c>
      <c r="S1999" s="9">
        <v>331.9</v>
      </c>
      <c r="T1999" s="9">
        <v>84.2</v>
      </c>
      <c r="U1999" s="9">
        <v>151.69999999999999</v>
      </c>
      <c r="V1999" s="9">
        <v>899.8</v>
      </c>
      <c r="W1999" s="9" t="s">
        <v>106</v>
      </c>
      <c r="X1999" s="9">
        <v>558.1</v>
      </c>
      <c r="Y1999" s="9" t="s">
        <v>106</v>
      </c>
      <c r="Z1999" s="9">
        <v>58.1</v>
      </c>
      <c r="AA1999" s="9" t="s">
        <v>106</v>
      </c>
      <c r="AB1999" s="9" t="s">
        <v>106</v>
      </c>
      <c r="AC1999" s="9" t="s">
        <v>5100</v>
      </c>
      <c r="AD1999" s="9" t="s">
        <v>5100</v>
      </c>
    </row>
    <row r="2000" spans="1:30">
      <c r="A2000" s="9" t="s">
        <v>4459</v>
      </c>
      <c r="B2000" s="9" t="s">
        <v>4456</v>
      </c>
      <c r="C2000" s="9" t="s">
        <v>105</v>
      </c>
      <c r="D2000" s="9">
        <v>4.0599999999999996</v>
      </c>
      <c r="E2000" s="9" t="s">
        <v>106</v>
      </c>
      <c r="F2000" s="9">
        <v>138.75</v>
      </c>
      <c r="G2000" s="9">
        <v>0.82333000000000001</v>
      </c>
      <c r="H2000" s="9" t="s">
        <v>106</v>
      </c>
      <c r="I2000" s="9">
        <v>5</v>
      </c>
      <c r="J2000" s="9" t="s">
        <v>122</v>
      </c>
      <c r="K2000" s="9" t="s">
        <v>4793</v>
      </c>
      <c r="L2000" t="str">
        <f>IF(OR(J2000="Cattle",J2000="Zebu Cattle"),IF(COUNTIF(lists!$M$2:$M$258, K2000) &gt; 0,"bos.indicus",IF(COUNTIF(lists!$L$2:$L$258, K2000) &gt; 0,"cross.bred","pure.bred.exotic")),"NA")</f>
        <v>cross.bred</v>
      </c>
      <c r="O2000" s="9" t="s">
        <v>124</v>
      </c>
      <c r="P2000" s="16" t="s">
        <v>4461</v>
      </c>
      <c r="Q2000" s="9" t="s">
        <v>3806</v>
      </c>
      <c r="R2000" s="9" t="s">
        <v>3830</v>
      </c>
      <c r="S2000" s="9">
        <v>307.60000000000002</v>
      </c>
      <c r="T2000" s="9">
        <v>81.400000000000006</v>
      </c>
      <c r="U2000" s="9">
        <v>143.19999999999999</v>
      </c>
      <c r="V2000" s="9">
        <v>896.9</v>
      </c>
      <c r="W2000" s="9" t="s">
        <v>106</v>
      </c>
      <c r="X2000" s="9">
        <v>559.6</v>
      </c>
      <c r="Y2000" s="9" t="s">
        <v>106</v>
      </c>
      <c r="Z2000" s="9">
        <v>55.4</v>
      </c>
      <c r="AA2000" s="9" t="s">
        <v>106</v>
      </c>
      <c r="AB2000" s="9" t="s">
        <v>106</v>
      </c>
      <c r="AC2000" s="9" t="s">
        <v>5100</v>
      </c>
      <c r="AD2000" s="9" t="s">
        <v>5100</v>
      </c>
    </row>
    <row r="2001" spans="1:30">
      <c r="A2001" s="9" t="s">
        <v>4459</v>
      </c>
      <c r="B2001" s="9" t="s">
        <v>4457</v>
      </c>
      <c r="C2001" s="9" t="s">
        <v>105</v>
      </c>
      <c r="D2001" s="9">
        <v>3.95</v>
      </c>
      <c r="E2001" s="9" t="s">
        <v>106</v>
      </c>
      <c r="F2001" s="9">
        <v>126.45</v>
      </c>
      <c r="G2001" s="9">
        <v>0.78555999999999993</v>
      </c>
      <c r="H2001" s="9" t="s">
        <v>106</v>
      </c>
      <c r="I2001" s="9">
        <v>5</v>
      </c>
      <c r="J2001" s="9" t="s">
        <v>122</v>
      </c>
      <c r="K2001" s="9" t="s">
        <v>4793</v>
      </c>
      <c r="L2001" t="str">
        <f>IF(OR(J2001="Cattle",J2001="Zebu Cattle"),IF(COUNTIF(lists!$M$2:$M$258, K2001) &gt; 0,"bos.indicus",IF(COUNTIF(lists!$L$2:$L$258, K2001) &gt; 0,"cross.bred","pure.bred.exotic")),"NA")</f>
        <v>cross.bred</v>
      </c>
      <c r="O2001" s="9" t="s">
        <v>124</v>
      </c>
      <c r="P2001" s="16" t="s">
        <v>4461</v>
      </c>
      <c r="Q2001" s="9" t="s">
        <v>3806</v>
      </c>
      <c r="R2001" s="9" t="s">
        <v>3830</v>
      </c>
      <c r="S2001" s="9">
        <v>299.10000000000002</v>
      </c>
      <c r="T2001" s="9">
        <v>79.2</v>
      </c>
      <c r="U2001" s="9">
        <v>125.6</v>
      </c>
      <c r="V2001" s="9">
        <v>896.6</v>
      </c>
      <c r="W2001" s="9" t="s">
        <v>106</v>
      </c>
      <c r="X2001" s="9">
        <v>582.79999999999995</v>
      </c>
      <c r="Y2001" s="9" t="s">
        <v>106</v>
      </c>
      <c r="Z2001" s="9">
        <v>54.8</v>
      </c>
      <c r="AA2001" s="9" t="s">
        <v>106</v>
      </c>
      <c r="AB2001" s="9" t="s">
        <v>106</v>
      </c>
      <c r="AC2001" s="9" t="s">
        <v>5100</v>
      </c>
      <c r="AD2001" s="9" t="s">
        <v>5100</v>
      </c>
    </row>
    <row r="2002" spans="1:30">
      <c r="A2002" s="9" t="s">
        <v>4459</v>
      </c>
      <c r="B2002" s="9" t="s">
        <v>4458</v>
      </c>
      <c r="C2002" s="9" t="s">
        <v>105</v>
      </c>
      <c r="D2002" s="9">
        <v>3.68</v>
      </c>
      <c r="E2002" s="9" t="s">
        <v>106</v>
      </c>
      <c r="F2002" s="9">
        <v>127.25</v>
      </c>
      <c r="G2002" s="9">
        <v>0.69667000000000001</v>
      </c>
      <c r="H2002" s="9" t="s">
        <v>106</v>
      </c>
      <c r="I2002" s="9">
        <v>5</v>
      </c>
      <c r="J2002" s="9" t="s">
        <v>122</v>
      </c>
      <c r="K2002" s="9" t="s">
        <v>4793</v>
      </c>
      <c r="L2002" t="str">
        <f>IF(OR(J2002="Cattle",J2002="Zebu Cattle"),IF(COUNTIF(lists!$M$2:$M$258, K2002) &gt; 0,"bos.indicus",IF(COUNTIF(lists!$L$2:$L$258, K2002) &gt; 0,"cross.bred","pure.bred.exotic")),"NA")</f>
        <v>cross.bred</v>
      </c>
      <c r="O2002" s="9" t="s">
        <v>124</v>
      </c>
      <c r="P2002" s="16" t="s">
        <v>4461</v>
      </c>
      <c r="Q2002" s="9" t="s">
        <v>3806</v>
      </c>
      <c r="R2002" s="9" t="s">
        <v>3830</v>
      </c>
      <c r="S2002" s="9">
        <v>284.10000000000002</v>
      </c>
      <c r="T2002" s="9">
        <v>76.400000000000006</v>
      </c>
      <c r="U2002" s="9">
        <v>108.5</v>
      </c>
      <c r="V2002" s="9">
        <v>895</v>
      </c>
      <c r="W2002" s="9" t="s">
        <v>106</v>
      </c>
      <c r="X2002" s="9">
        <v>602.20000000000005</v>
      </c>
      <c r="Y2002" s="9" t="s">
        <v>106</v>
      </c>
      <c r="Z2002" s="9">
        <v>53.4</v>
      </c>
      <c r="AA2002" s="9" t="s">
        <v>106</v>
      </c>
      <c r="AB2002" s="9" t="s">
        <v>106</v>
      </c>
      <c r="AC2002" s="9" t="s">
        <v>5100</v>
      </c>
      <c r="AD2002" s="9" t="s">
        <v>5100</v>
      </c>
    </row>
    <row r="2003" spans="1:30">
      <c r="A2003" s="9" t="s">
        <v>4465</v>
      </c>
      <c r="B2003" s="9" t="s">
        <v>4462</v>
      </c>
      <c r="C2003" s="9" t="s">
        <v>105</v>
      </c>
      <c r="D2003" s="9">
        <v>6.0030000000000001</v>
      </c>
      <c r="E2003" s="9" t="s">
        <v>106</v>
      </c>
      <c r="F2003" s="68">
        <v>245</v>
      </c>
      <c r="G2003" s="9">
        <v>0.40300000000000002</v>
      </c>
      <c r="H2003" s="9" t="s">
        <v>106</v>
      </c>
      <c r="I2003" s="9">
        <v>12</v>
      </c>
      <c r="J2003" s="9" t="s">
        <v>122</v>
      </c>
      <c r="K2003" s="9" t="s">
        <v>4161</v>
      </c>
      <c r="L2003" t="str">
        <f>IF(OR(J2003="Cattle",J2003="Zebu Cattle"),IF(COUNTIF(lists!$M$2:$M$258, K2003) &gt; 0,"bos.indicus",IF(COUNTIF(lists!$L$2:$L$258, K2003) &gt; 0,"cross.bred","pure.bred.exotic")),"NA")</f>
        <v>bos.indicus</v>
      </c>
      <c r="O2003" s="9" t="s">
        <v>4193</v>
      </c>
      <c r="P2003" s="9" t="s">
        <v>4466</v>
      </c>
      <c r="Q2003" s="9" t="s">
        <v>3813</v>
      </c>
      <c r="R2003" s="9" t="s">
        <v>3830</v>
      </c>
      <c r="S2003" s="9" t="s">
        <v>106</v>
      </c>
      <c r="T2003" s="9" t="s">
        <v>106</v>
      </c>
      <c r="U2003" s="9" t="s">
        <v>106</v>
      </c>
      <c r="V2003" s="9" t="s">
        <v>106</v>
      </c>
      <c r="W2003" s="9" t="s">
        <v>106</v>
      </c>
      <c r="X2003" s="9" t="s">
        <v>106</v>
      </c>
      <c r="Y2003" s="9">
        <v>58.9</v>
      </c>
      <c r="Z2003" s="9" t="s">
        <v>106</v>
      </c>
      <c r="AA2003" s="9">
        <v>54.3</v>
      </c>
      <c r="AB2003" s="9">
        <v>57.1</v>
      </c>
      <c r="AC2003" s="9" t="s">
        <v>5100</v>
      </c>
      <c r="AD2003" s="9" t="s">
        <v>5100</v>
      </c>
    </row>
    <row r="2004" spans="1:30">
      <c r="A2004" s="9" t="s">
        <v>4465</v>
      </c>
      <c r="B2004" s="9" t="s">
        <v>4463</v>
      </c>
      <c r="C2004" s="9" t="s">
        <v>105</v>
      </c>
      <c r="D2004" s="9">
        <v>5.7329999999999997</v>
      </c>
      <c r="E2004" s="9" t="s">
        <v>106</v>
      </c>
      <c r="F2004" s="68">
        <v>245</v>
      </c>
      <c r="G2004" s="9">
        <v>0.44700000000000001</v>
      </c>
      <c r="H2004" s="9" t="s">
        <v>106</v>
      </c>
      <c r="I2004" s="9">
        <v>12</v>
      </c>
      <c r="J2004" s="9" t="s">
        <v>122</v>
      </c>
      <c r="K2004" s="9" t="s">
        <v>4161</v>
      </c>
      <c r="L2004" t="str">
        <f>IF(OR(J2004="Cattle",J2004="Zebu Cattle"),IF(COUNTIF(lists!$M$2:$M$258, K2004) &gt; 0,"bos.indicus",IF(COUNTIF(lists!$L$2:$L$258, K2004) &gt; 0,"cross.bred","pure.bred.exotic")),"NA")</f>
        <v>bos.indicus</v>
      </c>
      <c r="O2004" s="9" t="s">
        <v>4193</v>
      </c>
      <c r="P2004" s="9" t="s">
        <v>4466</v>
      </c>
      <c r="Q2004" s="9" t="s">
        <v>3813</v>
      </c>
      <c r="R2004" s="9" t="s">
        <v>3830</v>
      </c>
      <c r="S2004" s="9" t="s">
        <v>106</v>
      </c>
      <c r="T2004" s="9" t="s">
        <v>106</v>
      </c>
      <c r="U2004" s="9" t="s">
        <v>106</v>
      </c>
      <c r="V2004" s="9" t="s">
        <v>106</v>
      </c>
      <c r="W2004" s="9" t="s">
        <v>106</v>
      </c>
      <c r="X2004" s="9" t="s">
        <v>106</v>
      </c>
      <c r="Y2004" s="9">
        <v>63.6</v>
      </c>
      <c r="Z2004" s="9" t="s">
        <v>106</v>
      </c>
      <c r="AA2004" s="9">
        <v>61.3</v>
      </c>
      <c r="AB2004" s="9">
        <v>64</v>
      </c>
      <c r="AC2004" s="9" t="s">
        <v>5100</v>
      </c>
      <c r="AD2004" s="9" t="s">
        <v>5100</v>
      </c>
    </row>
    <row r="2005" spans="1:30">
      <c r="A2005" s="9" t="s">
        <v>4465</v>
      </c>
      <c r="B2005" s="9" t="s">
        <v>4464</v>
      </c>
      <c r="C2005" s="9" t="s">
        <v>105</v>
      </c>
      <c r="D2005" s="9">
        <v>5.8070000000000004</v>
      </c>
      <c r="E2005" s="9" t="s">
        <v>106</v>
      </c>
      <c r="F2005" s="68">
        <v>245</v>
      </c>
      <c r="G2005" s="9">
        <v>0.47099999999999997</v>
      </c>
      <c r="H2005" s="9" t="s">
        <v>106</v>
      </c>
      <c r="I2005" s="9">
        <v>11</v>
      </c>
      <c r="J2005" s="9" t="s">
        <v>122</v>
      </c>
      <c r="K2005" s="9" t="s">
        <v>4161</v>
      </c>
      <c r="L2005" t="str">
        <f>IF(OR(J2005="Cattle",J2005="Zebu Cattle"),IF(COUNTIF(lists!$M$2:$M$258, K2005) &gt; 0,"bos.indicus",IF(COUNTIF(lists!$L$2:$L$258, K2005) &gt; 0,"cross.bred","pure.bred.exotic")),"NA")</f>
        <v>bos.indicus</v>
      </c>
      <c r="O2005" s="9" t="s">
        <v>4193</v>
      </c>
      <c r="P2005" s="9" t="s">
        <v>4466</v>
      </c>
      <c r="Q2005" s="9" t="s">
        <v>3813</v>
      </c>
      <c r="R2005" s="9" t="s">
        <v>3830</v>
      </c>
      <c r="S2005" s="9" t="s">
        <v>106</v>
      </c>
      <c r="T2005" s="9" t="s">
        <v>106</v>
      </c>
      <c r="U2005" s="9" t="s">
        <v>106</v>
      </c>
      <c r="V2005" s="9" t="s">
        <v>106</v>
      </c>
      <c r="W2005" s="9" t="s">
        <v>106</v>
      </c>
      <c r="X2005" s="9" t="s">
        <v>106</v>
      </c>
      <c r="Y2005" s="9">
        <v>61.3</v>
      </c>
      <c r="Z2005" s="9" t="s">
        <v>106</v>
      </c>
      <c r="AA2005" s="9">
        <v>58.6</v>
      </c>
      <c r="AB2005" s="9">
        <v>61</v>
      </c>
      <c r="AC2005" s="9" t="s">
        <v>5100</v>
      </c>
      <c r="AD2005" s="9" t="s">
        <v>5100</v>
      </c>
    </row>
    <row r="2006" spans="1:30">
      <c r="A2006" s="9" t="s">
        <v>4470</v>
      </c>
      <c r="B2006" s="9" t="s">
        <v>4467</v>
      </c>
      <c r="C2006" s="9" t="s">
        <v>105</v>
      </c>
      <c r="D2006" s="9">
        <v>10.18</v>
      </c>
      <c r="E2006" s="9" t="s">
        <v>106</v>
      </c>
      <c r="F2006" s="9" t="s">
        <v>106</v>
      </c>
      <c r="G2006" s="9">
        <v>0.28000000000000003</v>
      </c>
      <c r="H2006" s="9">
        <v>9.61</v>
      </c>
      <c r="I2006" s="9">
        <v>13</v>
      </c>
      <c r="J2006" s="9" t="s">
        <v>122</v>
      </c>
      <c r="K2006" s="9" t="s">
        <v>4474</v>
      </c>
      <c r="L2006" t="str">
        <f>IF(OR(J2006="Cattle",J2006="Zebu Cattle"),IF(COUNTIF(lists!$M$2:$M$258, K2006) &gt; 0,"bos.indicus",IF(COUNTIF(lists!$L$2:$L$258, K2006) &gt; 0,"cross.bred","pure.bred.exotic")),"NA")</f>
        <v>cross.bred</v>
      </c>
      <c r="O2006" s="9" t="s">
        <v>124</v>
      </c>
      <c r="P2006" s="9" t="s">
        <v>4473</v>
      </c>
      <c r="Q2006" s="9" t="s">
        <v>3809</v>
      </c>
      <c r="R2006" s="9" t="s">
        <v>3830</v>
      </c>
      <c r="S2006" s="9" t="s">
        <v>106</v>
      </c>
      <c r="T2006" s="9" t="s">
        <v>106</v>
      </c>
      <c r="U2006" s="9" t="s">
        <v>106</v>
      </c>
      <c r="V2006" s="9" t="s">
        <v>106</v>
      </c>
      <c r="W2006" s="9" t="s">
        <v>106</v>
      </c>
      <c r="X2006" s="9" t="s">
        <v>106</v>
      </c>
      <c r="Y2006" s="9" t="s">
        <v>106</v>
      </c>
      <c r="Z2006" s="9" t="s">
        <v>106</v>
      </c>
      <c r="AA2006" s="9" t="s">
        <v>106</v>
      </c>
      <c r="AB2006" s="9" t="s">
        <v>106</v>
      </c>
      <c r="AC2006" s="9" t="s">
        <v>5100</v>
      </c>
      <c r="AD2006" s="9" t="s">
        <v>5100</v>
      </c>
    </row>
    <row r="2007" spans="1:30">
      <c r="A2007" s="9" t="s">
        <v>4470</v>
      </c>
      <c r="B2007" s="9" t="s">
        <v>4468</v>
      </c>
      <c r="C2007" s="9" t="s">
        <v>105</v>
      </c>
      <c r="D2007" s="9">
        <v>10.58</v>
      </c>
      <c r="E2007" s="9" t="s">
        <v>106</v>
      </c>
      <c r="F2007" s="9" t="s">
        <v>106</v>
      </c>
      <c r="G2007" s="9">
        <v>0.16</v>
      </c>
      <c r="H2007" s="9">
        <v>10.06</v>
      </c>
      <c r="I2007" s="9">
        <v>13</v>
      </c>
      <c r="J2007" s="9" t="s">
        <v>122</v>
      </c>
      <c r="K2007" s="9" t="s">
        <v>4474</v>
      </c>
      <c r="L2007" t="str">
        <f>IF(OR(J2007="Cattle",J2007="Zebu Cattle"),IF(COUNTIF(lists!$M$2:$M$258, K2007) &gt; 0,"bos.indicus",IF(COUNTIF(lists!$L$2:$L$258, K2007) &gt; 0,"cross.bred","pure.bred.exotic")),"NA")</f>
        <v>cross.bred</v>
      </c>
      <c r="O2007" s="9" t="s">
        <v>124</v>
      </c>
      <c r="P2007" s="9" t="s">
        <v>4473</v>
      </c>
      <c r="Q2007" s="9" t="s">
        <v>3809</v>
      </c>
      <c r="R2007" s="9" t="s">
        <v>3830</v>
      </c>
      <c r="S2007" s="9" t="s">
        <v>106</v>
      </c>
      <c r="T2007" s="9" t="s">
        <v>106</v>
      </c>
      <c r="U2007" s="9" t="s">
        <v>106</v>
      </c>
      <c r="V2007" s="9" t="s">
        <v>106</v>
      </c>
      <c r="W2007" s="9" t="s">
        <v>106</v>
      </c>
      <c r="X2007" s="9" t="s">
        <v>106</v>
      </c>
      <c r="Y2007" s="9" t="s">
        <v>106</v>
      </c>
      <c r="Z2007" s="9" t="s">
        <v>106</v>
      </c>
      <c r="AA2007" s="9" t="s">
        <v>106</v>
      </c>
      <c r="AB2007" s="9" t="s">
        <v>106</v>
      </c>
      <c r="AC2007" s="9" t="s">
        <v>5100</v>
      </c>
      <c r="AD2007" s="9" t="s">
        <v>5100</v>
      </c>
    </row>
    <row r="2008" spans="1:30">
      <c r="A2008" s="9" t="s">
        <v>4470</v>
      </c>
      <c r="B2008" s="9" t="s">
        <v>4469</v>
      </c>
      <c r="C2008" s="9" t="s">
        <v>105</v>
      </c>
      <c r="D2008" s="9">
        <v>10.1</v>
      </c>
      <c r="E2008" s="9" t="s">
        <v>106</v>
      </c>
      <c r="F2008" s="9" t="s">
        <v>106</v>
      </c>
      <c r="G2008" s="9">
        <v>0.02</v>
      </c>
      <c r="H2008" s="9">
        <v>8.6999999999999993</v>
      </c>
      <c r="I2008" s="9">
        <v>14</v>
      </c>
      <c r="J2008" s="9" t="s">
        <v>122</v>
      </c>
      <c r="K2008" s="9" t="s">
        <v>4474</v>
      </c>
      <c r="L2008" t="str">
        <f>IF(OR(J2008="Cattle",J2008="Zebu Cattle"),IF(COUNTIF(lists!$M$2:$M$258, K2008) &gt; 0,"bos.indicus",IF(COUNTIF(lists!$L$2:$L$258, K2008) &gt; 0,"cross.bred","pure.bred.exotic")),"NA")</f>
        <v>cross.bred</v>
      </c>
      <c r="O2008" s="9" t="s">
        <v>124</v>
      </c>
      <c r="P2008" s="9" t="s">
        <v>4473</v>
      </c>
      <c r="Q2008" s="9" t="s">
        <v>3809</v>
      </c>
      <c r="R2008" s="9" t="s">
        <v>3830</v>
      </c>
      <c r="S2008" s="9" t="s">
        <v>106</v>
      </c>
      <c r="T2008" s="9" t="s">
        <v>106</v>
      </c>
      <c r="U2008" s="9" t="s">
        <v>106</v>
      </c>
      <c r="V2008" s="9" t="s">
        <v>106</v>
      </c>
      <c r="W2008" s="9" t="s">
        <v>106</v>
      </c>
      <c r="X2008" s="9" t="s">
        <v>106</v>
      </c>
      <c r="Y2008" s="9" t="s">
        <v>106</v>
      </c>
      <c r="Z2008" s="9" t="s">
        <v>106</v>
      </c>
      <c r="AA2008" s="9" t="s">
        <v>106</v>
      </c>
      <c r="AB2008" s="9" t="s">
        <v>106</v>
      </c>
      <c r="AC2008" s="9" t="s">
        <v>5100</v>
      </c>
      <c r="AD2008" s="9" t="s">
        <v>5100</v>
      </c>
    </row>
    <row r="2009" spans="1:30">
      <c r="A2009" s="9" t="s">
        <v>3864</v>
      </c>
      <c r="B2009" s="9" t="s">
        <v>4475</v>
      </c>
      <c r="C2009" s="9" t="s">
        <v>105</v>
      </c>
      <c r="D2009" s="65">
        <v>7.1340000000000003</v>
      </c>
      <c r="E2009" s="9" t="s">
        <v>106</v>
      </c>
      <c r="F2009" s="68">
        <v>292</v>
      </c>
      <c r="G2009" s="9" t="s">
        <v>106</v>
      </c>
      <c r="H2009" s="9" t="s">
        <v>106</v>
      </c>
      <c r="I2009" s="9">
        <v>4</v>
      </c>
      <c r="J2009" s="9" t="s">
        <v>122</v>
      </c>
      <c r="K2009" s="9" t="s">
        <v>4790</v>
      </c>
      <c r="L2009" t="str">
        <f>IF(OR(J2009="Cattle",J2009="Zebu Cattle"),IF(COUNTIF(lists!$M$2:$M$258, K2009) &gt; 0,"bos.indicus",IF(COUNTIF(lists!$L$2:$L$258, K2009) &gt; 0,"cross.bred","pure.bred.exotic")),"NA")</f>
        <v>bos.indicus</v>
      </c>
      <c r="O2009" s="9" t="s">
        <v>4193</v>
      </c>
      <c r="P2009" s="9" t="s">
        <v>4768</v>
      </c>
      <c r="Q2009" s="9" t="s">
        <v>3808</v>
      </c>
      <c r="R2009" s="9" t="s">
        <v>3828</v>
      </c>
      <c r="S2009" s="9" t="s">
        <v>106</v>
      </c>
      <c r="T2009" s="9" t="s">
        <v>106</v>
      </c>
      <c r="U2009" s="9" t="s">
        <v>106</v>
      </c>
      <c r="V2009" s="9" t="s">
        <v>106</v>
      </c>
      <c r="W2009" s="9" t="s">
        <v>106</v>
      </c>
      <c r="X2009" s="9" t="s">
        <v>106</v>
      </c>
      <c r="Y2009" s="9" t="s">
        <v>106</v>
      </c>
      <c r="Z2009" s="9" t="s">
        <v>106</v>
      </c>
      <c r="AA2009" s="9" t="s">
        <v>106</v>
      </c>
      <c r="AB2009" s="9">
        <v>70</v>
      </c>
      <c r="AC2009" s="9" t="s">
        <v>5100</v>
      </c>
      <c r="AD2009" s="9" t="s">
        <v>5100</v>
      </c>
    </row>
    <row r="2010" spans="1:30">
      <c r="A2010" s="9" t="s">
        <v>3864</v>
      </c>
      <c r="B2010" s="9" t="s">
        <v>4476</v>
      </c>
      <c r="C2010" s="9" t="s">
        <v>105</v>
      </c>
      <c r="D2010" s="65">
        <v>7.9260000000000002</v>
      </c>
      <c r="E2010" s="9" t="s">
        <v>106</v>
      </c>
      <c r="F2010" s="68">
        <v>292</v>
      </c>
      <c r="G2010" s="9" t="s">
        <v>106</v>
      </c>
      <c r="H2010" s="9" t="s">
        <v>106</v>
      </c>
      <c r="I2010" s="9">
        <v>4</v>
      </c>
      <c r="J2010" s="9" t="s">
        <v>122</v>
      </c>
      <c r="K2010" s="9" t="s">
        <v>4790</v>
      </c>
      <c r="L2010" t="str">
        <f>IF(OR(J2010="Cattle",J2010="Zebu Cattle"),IF(COUNTIF(lists!$M$2:$M$258, K2010) &gt; 0,"bos.indicus",IF(COUNTIF(lists!$L$2:$L$258, K2010) &gt; 0,"cross.bred","pure.bred.exotic")),"NA")</f>
        <v>bos.indicus</v>
      </c>
      <c r="O2010" s="9" t="s">
        <v>4193</v>
      </c>
      <c r="P2010" s="9" t="s">
        <v>4768</v>
      </c>
      <c r="Q2010" s="9" t="s">
        <v>3808</v>
      </c>
      <c r="R2010" s="9" t="s">
        <v>3828</v>
      </c>
      <c r="S2010" s="9" t="s">
        <v>106</v>
      </c>
      <c r="T2010" s="9" t="s">
        <v>106</v>
      </c>
      <c r="U2010" s="9" t="s">
        <v>106</v>
      </c>
      <c r="V2010" s="9" t="s">
        <v>106</v>
      </c>
      <c r="W2010" s="9" t="s">
        <v>106</v>
      </c>
      <c r="X2010" s="9" t="s">
        <v>106</v>
      </c>
      <c r="Y2010" s="9" t="s">
        <v>106</v>
      </c>
      <c r="Z2010" s="9" t="s">
        <v>106</v>
      </c>
      <c r="AA2010" s="9" t="s">
        <v>106</v>
      </c>
      <c r="AB2010" s="9">
        <v>70</v>
      </c>
      <c r="AC2010" s="9" t="s">
        <v>5100</v>
      </c>
      <c r="AD2010" s="9" t="s">
        <v>5100</v>
      </c>
    </row>
    <row r="2011" spans="1:30">
      <c r="A2011" s="9" t="s">
        <v>3864</v>
      </c>
      <c r="B2011" s="9" t="s">
        <v>4477</v>
      </c>
      <c r="C2011" s="9" t="s">
        <v>105</v>
      </c>
      <c r="D2011" s="65">
        <v>7.5439999999999996</v>
      </c>
      <c r="E2011" s="9" t="s">
        <v>106</v>
      </c>
      <c r="F2011" s="68">
        <v>292</v>
      </c>
      <c r="G2011" s="9" t="s">
        <v>106</v>
      </c>
      <c r="H2011" s="9" t="s">
        <v>106</v>
      </c>
      <c r="I2011" s="9">
        <v>4</v>
      </c>
      <c r="J2011" s="9" t="s">
        <v>122</v>
      </c>
      <c r="K2011" s="9" t="s">
        <v>4790</v>
      </c>
      <c r="L2011" t="str">
        <f>IF(OR(J2011="Cattle",J2011="Zebu Cattle"),IF(COUNTIF(lists!$M$2:$M$258, K2011) &gt; 0,"bos.indicus",IF(COUNTIF(lists!$L$2:$L$258, K2011) &gt; 0,"cross.bred","pure.bred.exotic")),"NA")</f>
        <v>bos.indicus</v>
      </c>
      <c r="O2011" s="9" t="s">
        <v>4193</v>
      </c>
      <c r="P2011" s="9" t="s">
        <v>4768</v>
      </c>
      <c r="Q2011" s="9" t="s">
        <v>3808</v>
      </c>
      <c r="R2011" s="9" t="s">
        <v>3828</v>
      </c>
      <c r="S2011" s="9" t="s">
        <v>106</v>
      </c>
      <c r="T2011" s="9" t="s">
        <v>106</v>
      </c>
      <c r="U2011" s="9" t="s">
        <v>106</v>
      </c>
      <c r="V2011" s="9" t="s">
        <v>106</v>
      </c>
      <c r="W2011" s="9" t="s">
        <v>106</v>
      </c>
      <c r="X2011" s="9" t="s">
        <v>106</v>
      </c>
      <c r="Y2011" s="9" t="s">
        <v>106</v>
      </c>
      <c r="Z2011" s="9" t="s">
        <v>106</v>
      </c>
      <c r="AA2011" s="9" t="s">
        <v>106</v>
      </c>
      <c r="AB2011" s="9">
        <v>70</v>
      </c>
      <c r="AC2011" s="9" t="s">
        <v>5100</v>
      </c>
      <c r="AD2011" s="9" t="s">
        <v>5100</v>
      </c>
    </row>
    <row r="2012" spans="1:30">
      <c r="A2012" s="9" t="s">
        <v>3864</v>
      </c>
      <c r="B2012" s="9" t="s">
        <v>4478</v>
      </c>
      <c r="C2012" s="9" t="s">
        <v>105</v>
      </c>
      <c r="D2012" s="65">
        <v>6.9080000000000004</v>
      </c>
      <c r="E2012" s="9" t="s">
        <v>106</v>
      </c>
      <c r="F2012" s="68">
        <v>292</v>
      </c>
      <c r="G2012" s="9" t="s">
        <v>106</v>
      </c>
      <c r="H2012" s="9" t="s">
        <v>106</v>
      </c>
      <c r="I2012" s="9">
        <v>4</v>
      </c>
      <c r="J2012" s="9" t="s">
        <v>122</v>
      </c>
      <c r="K2012" s="9" t="s">
        <v>4790</v>
      </c>
      <c r="L2012" t="str">
        <f>IF(OR(J2012="Cattle",J2012="Zebu Cattle"),IF(COUNTIF(lists!$M$2:$M$258, K2012) &gt; 0,"bos.indicus",IF(COUNTIF(lists!$L$2:$L$258, K2012) &gt; 0,"cross.bred","pure.bred.exotic")),"NA")</f>
        <v>bos.indicus</v>
      </c>
      <c r="O2012" s="9" t="s">
        <v>4193</v>
      </c>
      <c r="P2012" s="9" t="s">
        <v>4768</v>
      </c>
      <c r="Q2012" s="9" t="s">
        <v>3808</v>
      </c>
      <c r="R2012" s="9" t="s">
        <v>3828</v>
      </c>
      <c r="S2012" s="9" t="s">
        <v>106</v>
      </c>
      <c r="T2012" s="9" t="s">
        <v>106</v>
      </c>
      <c r="U2012" s="9" t="s">
        <v>106</v>
      </c>
      <c r="V2012" s="9" t="s">
        <v>106</v>
      </c>
      <c r="W2012" s="9" t="s">
        <v>106</v>
      </c>
      <c r="X2012" s="9" t="s">
        <v>106</v>
      </c>
      <c r="Y2012" s="9" t="s">
        <v>106</v>
      </c>
      <c r="Z2012" s="9" t="s">
        <v>106</v>
      </c>
      <c r="AA2012" s="9" t="s">
        <v>106</v>
      </c>
      <c r="AB2012" s="9">
        <v>67</v>
      </c>
      <c r="AC2012" s="9" t="s">
        <v>5100</v>
      </c>
      <c r="AD2012" s="9" t="s">
        <v>5100</v>
      </c>
    </row>
    <row r="2013" spans="1:30">
      <c r="A2013" s="9" t="s">
        <v>3864</v>
      </c>
      <c r="B2013" s="9" t="s">
        <v>4479</v>
      </c>
      <c r="C2013" s="9" t="s">
        <v>105</v>
      </c>
      <c r="D2013" s="65">
        <v>7.3680000000000003</v>
      </c>
      <c r="E2013" s="9" t="s">
        <v>106</v>
      </c>
      <c r="F2013" s="68">
        <v>292</v>
      </c>
      <c r="G2013" s="9" t="s">
        <v>106</v>
      </c>
      <c r="H2013" s="9" t="s">
        <v>106</v>
      </c>
      <c r="I2013" s="9">
        <v>4</v>
      </c>
      <c r="J2013" s="9" t="s">
        <v>122</v>
      </c>
      <c r="K2013" s="9" t="s">
        <v>4790</v>
      </c>
      <c r="L2013" t="str">
        <f>IF(OR(J2013="Cattle",J2013="Zebu Cattle"),IF(COUNTIF(lists!$M$2:$M$258, K2013) &gt; 0,"bos.indicus",IF(COUNTIF(lists!$L$2:$L$258, K2013) &gt; 0,"cross.bred","pure.bred.exotic")),"NA")</f>
        <v>bos.indicus</v>
      </c>
      <c r="O2013" s="9" t="s">
        <v>4193</v>
      </c>
      <c r="P2013" s="9" t="s">
        <v>4768</v>
      </c>
      <c r="Q2013" s="9" t="s">
        <v>3808</v>
      </c>
      <c r="R2013" s="9" t="s">
        <v>3828</v>
      </c>
      <c r="S2013" s="9" t="s">
        <v>106</v>
      </c>
      <c r="T2013" s="9" t="s">
        <v>106</v>
      </c>
      <c r="U2013" s="9" t="s">
        <v>106</v>
      </c>
      <c r="V2013" s="9" t="s">
        <v>106</v>
      </c>
      <c r="W2013" s="9" t="s">
        <v>106</v>
      </c>
      <c r="X2013" s="9" t="s">
        <v>106</v>
      </c>
      <c r="Y2013" s="9" t="s">
        <v>106</v>
      </c>
      <c r="Z2013" s="9" t="s">
        <v>106</v>
      </c>
      <c r="AA2013" s="9" t="s">
        <v>106</v>
      </c>
      <c r="AB2013" s="9">
        <v>67</v>
      </c>
      <c r="AC2013" s="9" t="s">
        <v>5100</v>
      </c>
      <c r="AD2013" s="9" t="s">
        <v>5100</v>
      </c>
    </row>
    <row r="2014" spans="1:30">
      <c r="A2014" s="9" t="s">
        <v>3864</v>
      </c>
      <c r="B2014" s="9" t="s">
        <v>4480</v>
      </c>
      <c r="C2014" s="9" t="s">
        <v>105</v>
      </c>
      <c r="D2014" s="65">
        <v>6.117</v>
      </c>
      <c r="E2014" s="9" t="s">
        <v>106</v>
      </c>
      <c r="F2014" s="68">
        <v>292</v>
      </c>
      <c r="G2014" s="9" t="s">
        <v>106</v>
      </c>
      <c r="H2014" s="9" t="s">
        <v>106</v>
      </c>
      <c r="I2014" s="9">
        <v>4</v>
      </c>
      <c r="J2014" s="9" t="s">
        <v>122</v>
      </c>
      <c r="K2014" s="9" t="s">
        <v>4790</v>
      </c>
      <c r="L2014" t="str">
        <f>IF(OR(J2014="Cattle",J2014="Zebu Cattle"),IF(COUNTIF(lists!$M$2:$M$258, K2014) &gt; 0,"bos.indicus",IF(COUNTIF(lists!$L$2:$L$258, K2014) &gt; 0,"cross.bred","pure.bred.exotic")),"NA")</f>
        <v>bos.indicus</v>
      </c>
      <c r="O2014" s="9" t="s">
        <v>4193</v>
      </c>
      <c r="P2014" s="9" t="s">
        <v>4768</v>
      </c>
      <c r="Q2014" s="9" t="s">
        <v>3808</v>
      </c>
      <c r="R2014" s="9" t="s">
        <v>3828</v>
      </c>
      <c r="S2014" s="9" t="s">
        <v>106</v>
      </c>
      <c r="T2014" s="9" t="s">
        <v>106</v>
      </c>
      <c r="U2014" s="9" t="s">
        <v>106</v>
      </c>
      <c r="V2014" s="9" t="s">
        <v>106</v>
      </c>
      <c r="W2014" s="9" t="s">
        <v>106</v>
      </c>
      <c r="X2014" s="9" t="s">
        <v>106</v>
      </c>
      <c r="Y2014" s="9" t="s">
        <v>106</v>
      </c>
      <c r="Z2014" s="9" t="s">
        <v>106</v>
      </c>
      <c r="AA2014" s="9" t="s">
        <v>106</v>
      </c>
      <c r="AB2014" s="9">
        <v>67</v>
      </c>
      <c r="AC2014" s="9" t="s">
        <v>5100</v>
      </c>
      <c r="AD2014" s="9" t="s">
        <v>5100</v>
      </c>
    </row>
    <row r="2015" spans="1:30">
      <c r="A2015" s="9" t="s">
        <v>4481</v>
      </c>
      <c r="B2015" s="9" t="s">
        <v>4484</v>
      </c>
      <c r="C2015" s="9" t="s">
        <v>105</v>
      </c>
      <c r="D2015" s="67">
        <v>4.3</v>
      </c>
      <c r="E2015" s="9" t="s">
        <v>106</v>
      </c>
      <c r="F2015" s="9">
        <v>104</v>
      </c>
      <c r="G2015" s="9">
        <v>0.55000000000000004</v>
      </c>
      <c r="H2015" s="9" t="s">
        <v>106</v>
      </c>
      <c r="I2015" s="9">
        <v>15</v>
      </c>
      <c r="J2015" s="9" t="s">
        <v>122</v>
      </c>
      <c r="K2015" s="9" t="s">
        <v>4487</v>
      </c>
      <c r="L2015" t="str">
        <f>IF(OR(J2015="Cattle",J2015="Zebu Cattle"),IF(COUNTIF(lists!$M$2:$M$258, K2015) &gt; 0,"bos.indicus",IF(COUNTIF(lists!$L$2:$L$258, K2015) &gt; 0,"cross.bred","pure.bred.exotic")),"NA")</f>
        <v>bos.indicus</v>
      </c>
      <c r="O2015" s="9" t="s">
        <v>4193</v>
      </c>
      <c r="P2015" s="16" t="s">
        <v>4488</v>
      </c>
      <c r="Q2015" s="9" t="s">
        <v>3806</v>
      </c>
      <c r="R2015" s="9" t="s">
        <v>3830</v>
      </c>
      <c r="S2015" s="9" t="s">
        <v>106</v>
      </c>
      <c r="T2015" s="9">
        <v>69.900000000000006</v>
      </c>
      <c r="U2015" s="9">
        <v>103.5</v>
      </c>
      <c r="V2015" s="9">
        <v>896.6</v>
      </c>
      <c r="W2015" s="9">
        <v>14.6</v>
      </c>
      <c r="X2015" s="9">
        <v>203.8</v>
      </c>
      <c r="Y2015" s="9" t="s">
        <v>106</v>
      </c>
      <c r="Z2015" s="9" t="s">
        <v>106</v>
      </c>
      <c r="AA2015" s="9" t="s">
        <v>106</v>
      </c>
      <c r="AB2015" s="9" t="s">
        <v>106</v>
      </c>
      <c r="AC2015" s="9" t="s">
        <v>5100</v>
      </c>
      <c r="AD2015" s="9" t="s">
        <v>5100</v>
      </c>
    </row>
    <row r="2016" spans="1:30">
      <c r="A2016" s="9" t="s">
        <v>4481</v>
      </c>
      <c r="B2016" s="9" t="s">
        <v>4485</v>
      </c>
      <c r="C2016" s="9" t="s">
        <v>105</v>
      </c>
      <c r="D2016" s="67">
        <v>5</v>
      </c>
      <c r="E2016" s="9" t="s">
        <v>106</v>
      </c>
      <c r="F2016" s="9">
        <v>116</v>
      </c>
      <c r="G2016" s="9">
        <v>0.75</v>
      </c>
      <c r="H2016" s="9" t="s">
        <v>106</v>
      </c>
      <c r="I2016" s="9">
        <v>15</v>
      </c>
      <c r="J2016" s="9" t="s">
        <v>122</v>
      </c>
      <c r="K2016" s="9" t="s">
        <v>4487</v>
      </c>
      <c r="L2016" t="str">
        <f>IF(OR(J2016="Cattle",J2016="Zebu Cattle"),IF(COUNTIF(lists!$M$2:$M$258, K2016) &gt; 0,"bos.indicus",IF(COUNTIF(lists!$L$2:$L$258, K2016) &gt; 0,"cross.bred","pure.bred.exotic")),"NA")</f>
        <v>bos.indicus</v>
      </c>
      <c r="O2016" s="9" t="s">
        <v>4193</v>
      </c>
      <c r="P2016" s="16" t="s">
        <v>4488</v>
      </c>
      <c r="Q2016" s="9" t="s">
        <v>3806</v>
      </c>
      <c r="R2016" s="9" t="s">
        <v>3830</v>
      </c>
      <c r="S2016" s="9" t="s">
        <v>106</v>
      </c>
      <c r="T2016" s="9">
        <v>80</v>
      </c>
      <c r="U2016" s="9">
        <v>121.5</v>
      </c>
      <c r="V2016" s="9">
        <v>900</v>
      </c>
      <c r="W2016" s="9">
        <v>15</v>
      </c>
      <c r="X2016" s="9">
        <v>257</v>
      </c>
      <c r="Y2016" s="9" t="s">
        <v>106</v>
      </c>
      <c r="Z2016" s="9" t="s">
        <v>106</v>
      </c>
      <c r="AA2016" s="9" t="s">
        <v>106</v>
      </c>
      <c r="AB2016" s="9" t="s">
        <v>106</v>
      </c>
      <c r="AC2016" s="9" t="s">
        <v>5100</v>
      </c>
      <c r="AD2016" s="9" t="s">
        <v>5100</v>
      </c>
    </row>
    <row r="2017" spans="1:31">
      <c r="A2017" s="9" t="s">
        <v>4481</v>
      </c>
      <c r="B2017" s="9" t="s">
        <v>4486</v>
      </c>
      <c r="C2017" s="9" t="s">
        <v>105</v>
      </c>
      <c r="D2017" s="67">
        <v>5</v>
      </c>
      <c r="E2017" s="9" t="s">
        <v>106</v>
      </c>
      <c r="F2017" s="9">
        <v>118</v>
      </c>
      <c r="G2017" s="9">
        <v>0.85</v>
      </c>
      <c r="H2017" s="9" t="s">
        <v>106</v>
      </c>
      <c r="I2017" s="9">
        <v>15</v>
      </c>
      <c r="J2017" s="9" t="s">
        <v>122</v>
      </c>
      <c r="K2017" s="9" t="s">
        <v>4487</v>
      </c>
      <c r="L2017" t="str">
        <f>IF(OR(J2017="Cattle",J2017="Zebu Cattle"),IF(COUNTIF(lists!$M$2:$M$258, K2017) &gt; 0,"bos.indicus",IF(COUNTIF(lists!$L$2:$L$258, K2017) &gt; 0,"cross.bred","pure.bred.exotic")),"NA")</f>
        <v>bos.indicus</v>
      </c>
      <c r="O2017" s="9" t="s">
        <v>4193</v>
      </c>
      <c r="P2017" s="16" t="s">
        <v>4488</v>
      </c>
      <c r="Q2017" s="9" t="s">
        <v>3806</v>
      </c>
      <c r="R2017" s="9" t="s">
        <v>3830</v>
      </c>
      <c r="S2017" s="9" t="s">
        <v>106</v>
      </c>
      <c r="T2017" s="9">
        <v>91</v>
      </c>
      <c r="U2017" s="9">
        <v>140</v>
      </c>
      <c r="V2017" s="9">
        <v>903.9</v>
      </c>
      <c r="W2017" s="9">
        <v>15.1</v>
      </c>
      <c r="X2017" s="9">
        <v>241.8</v>
      </c>
      <c r="Y2017" s="9" t="s">
        <v>106</v>
      </c>
      <c r="Z2017" s="9" t="s">
        <v>106</v>
      </c>
      <c r="AA2017" s="9" t="s">
        <v>106</v>
      </c>
      <c r="AB2017" s="9" t="s">
        <v>106</v>
      </c>
      <c r="AC2017" s="9" t="s">
        <v>5100</v>
      </c>
      <c r="AD2017" s="9" t="s">
        <v>5100</v>
      </c>
    </row>
    <row r="2018" spans="1:31" s="9" customFormat="1">
      <c r="A2018" s="9" t="s">
        <v>3907</v>
      </c>
      <c r="B2018" s="9" t="s">
        <v>4491</v>
      </c>
      <c r="C2018" s="9" t="s">
        <v>105</v>
      </c>
      <c r="D2018" s="9">
        <v>6.88</v>
      </c>
      <c r="E2018" s="9" t="s">
        <v>106</v>
      </c>
      <c r="F2018" s="9">
        <v>337</v>
      </c>
      <c r="G2018" s="9" t="s">
        <v>106</v>
      </c>
      <c r="H2018" s="9">
        <v>5.73</v>
      </c>
      <c r="I2018" s="9">
        <v>10</v>
      </c>
      <c r="J2018" s="9" t="s">
        <v>122</v>
      </c>
      <c r="K2018" s="9" t="s">
        <v>924</v>
      </c>
      <c r="L2018" t="str">
        <f>IF(OR(J2018="Cattle",J2018="Zebu Cattle"),IF(COUNTIF(lists!$M$2:$M$258, K2018) &gt; 0,"bos.indicus",IF(COUNTIF(lists!$L$2:$L$258, K2018) &gt; 0,"cross.bred","pure.bred.exotic")),"NA")</f>
        <v>pure.bred.exotic</v>
      </c>
      <c r="O2018" s="9" t="s">
        <v>4194</v>
      </c>
      <c r="P2018" s="9" t="s">
        <v>4473</v>
      </c>
      <c r="Q2018" s="9" t="s">
        <v>3809</v>
      </c>
      <c r="R2018" s="9" t="s">
        <v>3830</v>
      </c>
      <c r="S2018" s="9">
        <v>359.3</v>
      </c>
      <c r="T2018" s="9">
        <v>74.2</v>
      </c>
      <c r="U2018" s="9">
        <v>97.6</v>
      </c>
      <c r="V2018" s="9">
        <v>361.2</v>
      </c>
      <c r="W2018" s="9">
        <v>23.8</v>
      </c>
      <c r="X2018" s="9">
        <v>664.4</v>
      </c>
      <c r="Y2018" s="9">
        <v>52.33</v>
      </c>
      <c r="Z2018" s="9">
        <v>46.3</v>
      </c>
      <c r="AA2018" s="9">
        <v>59.09</v>
      </c>
      <c r="AB2018" s="9">
        <v>64.709999999999994</v>
      </c>
      <c r="AC2018" s="9" t="s">
        <v>5100</v>
      </c>
      <c r="AD2018" s="9" t="s">
        <v>5100</v>
      </c>
      <c r="AE2018" s="72"/>
    </row>
    <row r="2019" spans="1:31" s="9" customFormat="1">
      <c r="A2019" s="9" t="s">
        <v>3907</v>
      </c>
      <c r="B2019" s="9" t="s">
        <v>4071</v>
      </c>
      <c r="C2019" s="9" t="s">
        <v>105</v>
      </c>
      <c r="D2019" s="9">
        <v>8.11</v>
      </c>
      <c r="E2019" s="9" t="s">
        <v>106</v>
      </c>
      <c r="F2019" s="9">
        <v>337</v>
      </c>
      <c r="G2019" s="9" t="s">
        <v>106</v>
      </c>
      <c r="H2019" s="9">
        <v>9.48</v>
      </c>
      <c r="I2019" s="9">
        <v>10</v>
      </c>
      <c r="J2019" s="9" t="s">
        <v>122</v>
      </c>
      <c r="K2019" s="9" t="s">
        <v>924</v>
      </c>
      <c r="L2019" t="str">
        <f>IF(OR(J2019="Cattle",J2019="Zebu Cattle"),IF(COUNTIF(lists!$M$2:$M$258, K2019) &gt; 0,"bos.indicus",IF(COUNTIF(lists!$L$2:$L$258, K2019) &gt; 0,"cross.bred","pure.bred.exotic")),"NA")</f>
        <v>pure.bred.exotic</v>
      </c>
      <c r="O2019" s="9" t="s">
        <v>4194</v>
      </c>
      <c r="P2019" s="9" t="s">
        <v>4473</v>
      </c>
      <c r="Q2019" s="9" t="s">
        <v>3809</v>
      </c>
      <c r="R2019" s="9" t="s">
        <v>3830</v>
      </c>
      <c r="S2019" s="9">
        <v>301</v>
      </c>
      <c r="T2019" s="9">
        <v>77.3</v>
      </c>
      <c r="U2019" s="9">
        <v>116.5</v>
      </c>
      <c r="V2019" s="9">
        <v>452</v>
      </c>
      <c r="W2019" s="9">
        <v>31.8</v>
      </c>
      <c r="X2019" s="9">
        <v>548.1</v>
      </c>
      <c r="Y2019" s="9">
        <v>60.52</v>
      </c>
      <c r="Z2019" s="9">
        <v>37.299999999999997</v>
      </c>
      <c r="AA2019" s="9">
        <v>63.76</v>
      </c>
      <c r="AB2019" s="9">
        <v>67.59</v>
      </c>
      <c r="AC2019" s="9" t="s">
        <v>5100</v>
      </c>
      <c r="AD2019" s="9" t="s">
        <v>5100</v>
      </c>
      <c r="AE2019" s="72"/>
    </row>
    <row r="2020" spans="1:31">
      <c r="A2020" s="9" t="s">
        <v>4034</v>
      </c>
      <c r="B2020" s="9" t="s">
        <v>4494</v>
      </c>
      <c r="C2020" s="9" t="s">
        <v>105</v>
      </c>
      <c r="D2020" s="9">
        <v>3.65</v>
      </c>
      <c r="E2020" s="9" t="s">
        <v>106</v>
      </c>
      <c r="F2020" s="9">
        <v>156</v>
      </c>
      <c r="G2020" s="9" t="s">
        <v>106</v>
      </c>
      <c r="H2020" s="9" t="s">
        <v>106</v>
      </c>
      <c r="I2020" s="9">
        <v>4</v>
      </c>
      <c r="J2020" s="9" t="s">
        <v>122</v>
      </c>
      <c r="K2020" s="9" t="s">
        <v>4794</v>
      </c>
      <c r="L2020" t="str">
        <f>IF(OR(J2020="Cattle",J2020="Zebu Cattle"),IF(COUNTIF(lists!$M$2:$M$258, K2020) &gt; 0,"bos.indicus",IF(COUNTIF(lists!$L$2:$L$258, K2020) &gt; 0,"cross.bred","pure.bred.exotic")),"NA")</f>
        <v>cross.bred</v>
      </c>
      <c r="O2020" s="9" t="s">
        <v>4193</v>
      </c>
      <c r="P2020" s="9" t="s">
        <v>4504</v>
      </c>
      <c r="Q2020" s="9" t="s">
        <v>3802</v>
      </c>
      <c r="R2020" s="9" t="s">
        <v>3830</v>
      </c>
      <c r="S2020" s="9">
        <v>387</v>
      </c>
      <c r="T2020" s="9">
        <v>91</v>
      </c>
      <c r="U2020" s="9">
        <v>87</v>
      </c>
      <c r="V2020" s="9" t="s">
        <v>106</v>
      </c>
      <c r="W2020" s="9" t="s">
        <v>106</v>
      </c>
      <c r="X2020" s="9">
        <v>622</v>
      </c>
      <c r="Y2020" s="9">
        <v>65.2</v>
      </c>
      <c r="Z2020" s="9" t="s">
        <v>106</v>
      </c>
      <c r="AA2020" s="9">
        <v>59.5</v>
      </c>
      <c r="AB2020" s="9">
        <v>63.7</v>
      </c>
      <c r="AC2020" s="9" t="s">
        <v>5100</v>
      </c>
      <c r="AD2020" s="9" t="s">
        <v>5100</v>
      </c>
    </row>
    <row r="2021" spans="1:31">
      <c r="A2021" s="9" t="s">
        <v>4034</v>
      </c>
      <c r="B2021" s="9" t="s">
        <v>4495</v>
      </c>
      <c r="C2021" s="9" t="s">
        <v>105</v>
      </c>
      <c r="D2021" s="9">
        <v>1.83</v>
      </c>
      <c r="E2021" s="9" t="s">
        <v>106</v>
      </c>
      <c r="F2021" s="9">
        <v>152</v>
      </c>
      <c r="G2021" s="9" t="s">
        <v>106</v>
      </c>
      <c r="H2021" s="9" t="s">
        <v>106</v>
      </c>
      <c r="I2021" s="9">
        <v>4</v>
      </c>
      <c r="J2021" s="9" t="s">
        <v>122</v>
      </c>
      <c r="K2021" s="9" t="s">
        <v>4794</v>
      </c>
      <c r="L2021" t="str">
        <f>IF(OR(J2021="Cattle",J2021="Zebu Cattle"),IF(COUNTIF(lists!$M$2:$M$258, K2021) &gt; 0,"bos.indicus",IF(COUNTIF(lists!$L$2:$L$258, K2021) &gt; 0,"cross.bred","pure.bred.exotic")),"NA")</f>
        <v>cross.bred</v>
      </c>
      <c r="O2021" s="9" t="s">
        <v>4193</v>
      </c>
      <c r="P2021" s="9" t="s">
        <v>4504</v>
      </c>
      <c r="Q2021" s="9" t="s">
        <v>3802</v>
      </c>
      <c r="R2021" s="9" t="s">
        <v>3830</v>
      </c>
      <c r="S2021" s="9">
        <v>387</v>
      </c>
      <c r="T2021" s="9">
        <v>91</v>
      </c>
      <c r="U2021" s="9">
        <v>87</v>
      </c>
      <c r="V2021" s="9" t="s">
        <v>106</v>
      </c>
      <c r="W2021" s="9" t="s">
        <v>106</v>
      </c>
      <c r="X2021" s="9">
        <v>622</v>
      </c>
      <c r="Y2021" s="9">
        <v>61.2</v>
      </c>
      <c r="Z2021" s="9" t="s">
        <v>106</v>
      </c>
      <c r="AA2021" s="9">
        <v>53.3</v>
      </c>
      <c r="AB2021" s="9">
        <v>59.1</v>
      </c>
      <c r="AC2021" s="9" t="s">
        <v>5100</v>
      </c>
      <c r="AD2021" s="9" t="s">
        <v>5100</v>
      </c>
    </row>
    <row r="2022" spans="1:31">
      <c r="A2022" s="9" t="s">
        <v>4034</v>
      </c>
      <c r="B2022" s="9" t="s">
        <v>4496</v>
      </c>
      <c r="C2022" s="9" t="s">
        <v>105</v>
      </c>
      <c r="D2022" s="9">
        <v>1.83</v>
      </c>
      <c r="E2022" s="9" t="s">
        <v>106</v>
      </c>
      <c r="F2022" s="9">
        <v>147.5</v>
      </c>
      <c r="G2022" s="9" t="s">
        <v>106</v>
      </c>
      <c r="H2022" s="9" t="s">
        <v>106</v>
      </c>
      <c r="I2022" s="9">
        <v>4</v>
      </c>
      <c r="J2022" s="9" t="s">
        <v>122</v>
      </c>
      <c r="K2022" s="9" t="s">
        <v>4794</v>
      </c>
      <c r="L2022" t="str">
        <f>IF(OR(J2022="Cattle",J2022="Zebu Cattle"),IF(COUNTIF(lists!$M$2:$M$258, K2022) &gt; 0,"bos.indicus",IF(COUNTIF(lists!$L$2:$L$258, K2022) &gt; 0,"cross.bred","pure.bred.exotic")),"NA")</f>
        <v>cross.bred</v>
      </c>
      <c r="O2022" s="9" t="s">
        <v>4193</v>
      </c>
      <c r="P2022" s="9" t="s">
        <v>4504</v>
      </c>
      <c r="Q2022" s="9" t="s">
        <v>3802</v>
      </c>
      <c r="R2022" s="9" t="s">
        <v>3830</v>
      </c>
      <c r="S2022" s="9">
        <v>387</v>
      </c>
      <c r="T2022" s="9">
        <v>91</v>
      </c>
      <c r="U2022" s="9">
        <v>87</v>
      </c>
      <c r="V2022" s="9" t="s">
        <v>106</v>
      </c>
      <c r="W2022" s="9" t="s">
        <v>106</v>
      </c>
      <c r="X2022" s="9">
        <v>622</v>
      </c>
      <c r="Y2022" s="9">
        <v>68.5</v>
      </c>
      <c r="Z2022" s="9" t="s">
        <v>106</v>
      </c>
      <c r="AA2022" s="9">
        <v>60.1</v>
      </c>
      <c r="AB2022" s="9">
        <v>65.2</v>
      </c>
      <c r="AC2022" s="9" t="s">
        <v>5100</v>
      </c>
      <c r="AD2022" s="9" t="s">
        <v>5100</v>
      </c>
    </row>
    <row r="2023" spans="1:31">
      <c r="A2023" s="9" t="s">
        <v>4034</v>
      </c>
      <c r="B2023" s="9" t="s">
        <v>4497</v>
      </c>
      <c r="C2023" s="9" t="s">
        <v>105</v>
      </c>
      <c r="D2023" s="9">
        <v>3.65</v>
      </c>
      <c r="E2023" s="9" t="s">
        <v>106</v>
      </c>
      <c r="F2023" s="9">
        <v>150.5</v>
      </c>
      <c r="G2023" s="9" t="s">
        <v>106</v>
      </c>
      <c r="H2023" s="9" t="s">
        <v>106</v>
      </c>
      <c r="I2023" s="9">
        <v>4</v>
      </c>
      <c r="J2023" s="9" t="s">
        <v>122</v>
      </c>
      <c r="K2023" s="9" t="s">
        <v>4794</v>
      </c>
      <c r="L2023" t="str">
        <f>IF(OR(J2023="Cattle",J2023="Zebu Cattle"),IF(COUNTIF(lists!$M$2:$M$258, K2023) &gt; 0,"bos.indicus",IF(COUNTIF(lists!$L$2:$L$258, K2023) &gt; 0,"cross.bred","pure.bred.exotic")),"NA")</f>
        <v>cross.bred</v>
      </c>
      <c r="O2023" s="9" t="s">
        <v>4193</v>
      </c>
      <c r="P2023" s="9" t="s">
        <v>4504</v>
      </c>
      <c r="Q2023" s="9" t="s">
        <v>3802</v>
      </c>
      <c r="R2023" s="9" t="s">
        <v>3830</v>
      </c>
      <c r="S2023" s="9">
        <v>387</v>
      </c>
      <c r="T2023" s="9">
        <v>91</v>
      </c>
      <c r="U2023" s="9">
        <v>87</v>
      </c>
      <c r="V2023" s="9" t="s">
        <v>106</v>
      </c>
      <c r="W2023" s="9" t="s">
        <v>106</v>
      </c>
      <c r="X2023" s="9">
        <v>622</v>
      </c>
      <c r="Y2023" s="9">
        <v>69.900000000000006</v>
      </c>
      <c r="Z2023" s="9" t="s">
        <v>106</v>
      </c>
      <c r="AA2023" s="9">
        <v>65.099999999999994</v>
      </c>
      <c r="AB2023" s="9">
        <v>69.2</v>
      </c>
      <c r="AC2023" s="9" t="s">
        <v>5100</v>
      </c>
      <c r="AD2023" s="9" t="s">
        <v>5100</v>
      </c>
    </row>
    <row r="2024" spans="1:31">
      <c r="A2024" s="9" t="s">
        <v>4034</v>
      </c>
      <c r="B2024" s="9" t="s">
        <v>4498</v>
      </c>
      <c r="C2024" s="9" t="s">
        <v>105</v>
      </c>
      <c r="D2024" s="9">
        <v>3.65</v>
      </c>
      <c r="E2024" s="9" t="s">
        <v>106</v>
      </c>
      <c r="F2024" s="9">
        <v>154.5</v>
      </c>
      <c r="G2024" s="9" t="s">
        <v>106</v>
      </c>
      <c r="H2024" s="9" t="s">
        <v>106</v>
      </c>
      <c r="I2024" s="9">
        <v>4</v>
      </c>
      <c r="J2024" s="9" t="s">
        <v>122</v>
      </c>
      <c r="K2024" s="9" t="s">
        <v>4794</v>
      </c>
      <c r="L2024" t="str">
        <f>IF(OR(J2024="Cattle",J2024="Zebu Cattle"),IF(COUNTIF(lists!$M$2:$M$258, K2024) &gt; 0,"bos.indicus",IF(COUNTIF(lists!$L$2:$L$258, K2024) &gt; 0,"cross.bred","pure.bred.exotic")),"NA")</f>
        <v>cross.bred</v>
      </c>
      <c r="O2024" s="9" t="s">
        <v>4193</v>
      </c>
      <c r="P2024" s="9" t="s">
        <v>4504</v>
      </c>
      <c r="Q2024" s="9" t="s">
        <v>3802</v>
      </c>
      <c r="R2024" s="9" t="s">
        <v>3830</v>
      </c>
      <c r="S2024" s="9">
        <v>387</v>
      </c>
      <c r="T2024" s="9">
        <v>91</v>
      </c>
      <c r="U2024" s="9">
        <v>87</v>
      </c>
      <c r="V2024" s="9" t="s">
        <v>106</v>
      </c>
      <c r="W2024" s="9" t="s">
        <v>106</v>
      </c>
      <c r="X2024" s="9">
        <v>622</v>
      </c>
      <c r="Y2024" s="9">
        <v>68.3</v>
      </c>
      <c r="Z2024" s="9" t="s">
        <v>106</v>
      </c>
      <c r="AA2024" s="9">
        <v>62.7</v>
      </c>
      <c r="AB2024" s="9">
        <v>66.900000000000006</v>
      </c>
      <c r="AC2024" s="9" t="s">
        <v>5100</v>
      </c>
      <c r="AD2024" s="9" t="s">
        <v>5100</v>
      </c>
    </row>
    <row r="2025" spans="1:31">
      <c r="A2025" s="9" t="s">
        <v>4034</v>
      </c>
      <c r="B2025" s="9" t="s">
        <v>4499</v>
      </c>
      <c r="C2025" s="9" t="s">
        <v>105</v>
      </c>
      <c r="D2025" s="9">
        <v>4.66</v>
      </c>
      <c r="E2025" s="9" t="s">
        <v>106</v>
      </c>
      <c r="F2025" s="9">
        <v>207</v>
      </c>
      <c r="G2025" s="9" t="s">
        <v>106</v>
      </c>
      <c r="H2025" s="9" t="s">
        <v>106</v>
      </c>
      <c r="I2025" s="9">
        <v>4</v>
      </c>
      <c r="J2025" s="9" t="s">
        <v>122</v>
      </c>
      <c r="K2025" s="9" t="s">
        <v>4794</v>
      </c>
      <c r="L2025" t="str">
        <f>IF(OR(J2025="Cattle",J2025="Zebu Cattle"),IF(COUNTIF(lists!$M$2:$M$258, K2025) &gt; 0,"bos.indicus",IF(COUNTIF(lists!$L$2:$L$258, K2025) &gt; 0,"cross.bred","pure.bred.exotic")),"NA")</f>
        <v>cross.bred</v>
      </c>
      <c r="O2025" s="9" t="s">
        <v>4193</v>
      </c>
      <c r="P2025" s="9" t="s">
        <v>4504</v>
      </c>
      <c r="Q2025" s="9" t="s">
        <v>3802</v>
      </c>
      <c r="R2025" s="9" t="s">
        <v>3830</v>
      </c>
      <c r="S2025" s="9">
        <v>387</v>
      </c>
      <c r="T2025" s="9">
        <v>91</v>
      </c>
      <c r="U2025" s="9">
        <v>87</v>
      </c>
      <c r="V2025" s="9" t="s">
        <v>106</v>
      </c>
      <c r="W2025" s="9" t="s">
        <v>106</v>
      </c>
      <c r="X2025" s="9">
        <v>622</v>
      </c>
      <c r="Y2025" s="9">
        <v>67.400000000000006</v>
      </c>
      <c r="Z2025" s="9" t="s">
        <v>106</v>
      </c>
      <c r="AA2025" s="9">
        <v>63.7</v>
      </c>
      <c r="AB2025" s="9">
        <v>67.400000000000006</v>
      </c>
      <c r="AC2025" s="9" t="s">
        <v>5100</v>
      </c>
      <c r="AD2025" s="9" t="s">
        <v>5100</v>
      </c>
    </row>
    <row r="2026" spans="1:31">
      <c r="A2026" s="9" t="s">
        <v>4034</v>
      </c>
      <c r="B2026" s="9" t="s">
        <v>4500</v>
      </c>
      <c r="C2026" s="9" t="s">
        <v>105</v>
      </c>
      <c r="D2026" s="9">
        <v>2.33</v>
      </c>
      <c r="E2026" s="9" t="s">
        <v>106</v>
      </c>
      <c r="F2026" s="9">
        <v>201</v>
      </c>
      <c r="G2026" s="9" t="s">
        <v>106</v>
      </c>
      <c r="H2026" s="9" t="s">
        <v>106</v>
      </c>
      <c r="I2026" s="9">
        <v>4</v>
      </c>
      <c r="J2026" s="9" t="s">
        <v>122</v>
      </c>
      <c r="K2026" s="9" t="s">
        <v>4794</v>
      </c>
      <c r="L2026" t="str">
        <f>IF(OR(J2026="Cattle",J2026="Zebu Cattle"),IF(COUNTIF(lists!$M$2:$M$258, K2026) &gt; 0,"bos.indicus",IF(COUNTIF(lists!$L$2:$L$258, K2026) &gt; 0,"cross.bred","pure.bred.exotic")),"NA")</f>
        <v>cross.bred</v>
      </c>
      <c r="O2026" s="9" t="s">
        <v>4193</v>
      </c>
      <c r="P2026" s="9" t="s">
        <v>4504</v>
      </c>
      <c r="Q2026" s="9" t="s">
        <v>3802</v>
      </c>
      <c r="R2026" s="9" t="s">
        <v>3830</v>
      </c>
      <c r="S2026" s="9">
        <v>387</v>
      </c>
      <c r="T2026" s="9">
        <v>91</v>
      </c>
      <c r="U2026" s="9">
        <v>87</v>
      </c>
      <c r="V2026" s="9" t="s">
        <v>106</v>
      </c>
      <c r="W2026" s="9" t="s">
        <v>106</v>
      </c>
      <c r="X2026" s="9">
        <v>622</v>
      </c>
      <c r="Y2026" s="9">
        <v>59.6</v>
      </c>
      <c r="Z2026" s="9" t="s">
        <v>106</v>
      </c>
      <c r="AA2026" s="9">
        <v>49.3</v>
      </c>
      <c r="AB2026" s="9">
        <v>56</v>
      </c>
      <c r="AC2026" s="9" t="s">
        <v>5100</v>
      </c>
      <c r="AD2026" s="9" t="s">
        <v>5100</v>
      </c>
    </row>
    <row r="2027" spans="1:31">
      <c r="A2027" s="9" t="s">
        <v>4034</v>
      </c>
      <c r="B2027" s="9" t="s">
        <v>4501</v>
      </c>
      <c r="C2027" s="9" t="s">
        <v>105</v>
      </c>
      <c r="D2027" s="9">
        <v>2.33</v>
      </c>
      <c r="E2027" s="9" t="s">
        <v>106</v>
      </c>
      <c r="F2027" s="9">
        <v>195.5</v>
      </c>
      <c r="G2027" s="9" t="s">
        <v>106</v>
      </c>
      <c r="H2027" s="9" t="s">
        <v>106</v>
      </c>
      <c r="I2027" s="9">
        <v>4</v>
      </c>
      <c r="J2027" s="9" t="s">
        <v>122</v>
      </c>
      <c r="K2027" s="9" t="s">
        <v>4794</v>
      </c>
      <c r="L2027" t="str">
        <f>IF(OR(J2027="Cattle",J2027="Zebu Cattle"),IF(COUNTIF(lists!$M$2:$M$258, K2027) &gt; 0,"bos.indicus",IF(COUNTIF(lists!$L$2:$L$258, K2027) &gt; 0,"cross.bred","pure.bred.exotic")),"NA")</f>
        <v>cross.bred</v>
      </c>
      <c r="O2027" s="9" t="s">
        <v>4193</v>
      </c>
      <c r="P2027" s="9" t="s">
        <v>4504</v>
      </c>
      <c r="Q2027" s="9" t="s">
        <v>3802</v>
      </c>
      <c r="R2027" s="9" t="s">
        <v>3830</v>
      </c>
      <c r="S2027" s="9">
        <v>387</v>
      </c>
      <c r="T2027" s="9">
        <v>91</v>
      </c>
      <c r="U2027" s="9">
        <v>87</v>
      </c>
      <c r="V2027" s="9" t="s">
        <v>106</v>
      </c>
      <c r="W2027" s="9" t="s">
        <v>106</v>
      </c>
      <c r="X2027" s="9">
        <v>622</v>
      </c>
      <c r="Y2027" s="9">
        <v>59.5</v>
      </c>
      <c r="Z2027" s="9" t="s">
        <v>106</v>
      </c>
      <c r="AA2027" s="9">
        <v>52.1</v>
      </c>
      <c r="AB2027" s="9">
        <v>58</v>
      </c>
      <c r="AC2027" s="9" t="s">
        <v>5100</v>
      </c>
      <c r="AD2027" s="9" t="s">
        <v>5100</v>
      </c>
    </row>
    <row r="2028" spans="1:31">
      <c r="A2028" s="9" t="s">
        <v>4034</v>
      </c>
      <c r="B2028" s="9" t="s">
        <v>4502</v>
      </c>
      <c r="C2028" s="9" t="s">
        <v>105</v>
      </c>
      <c r="D2028" s="9">
        <v>4.66</v>
      </c>
      <c r="E2028" s="9" t="s">
        <v>106</v>
      </c>
      <c r="F2028" s="9">
        <v>195.5</v>
      </c>
      <c r="G2028" s="9" t="s">
        <v>106</v>
      </c>
      <c r="H2028" s="9" t="s">
        <v>106</v>
      </c>
      <c r="I2028" s="9">
        <v>4</v>
      </c>
      <c r="J2028" s="9" t="s">
        <v>122</v>
      </c>
      <c r="K2028" s="9" t="s">
        <v>4794</v>
      </c>
      <c r="L2028" t="str">
        <f>IF(OR(J2028="Cattle",J2028="Zebu Cattle"),IF(COUNTIF(lists!$M$2:$M$258, K2028) &gt; 0,"bos.indicus",IF(COUNTIF(lists!$L$2:$L$258, K2028) &gt; 0,"cross.bred","pure.bred.exotic")),"NA")</f>
        <v>cross.bred</v>
      </c>
      <c r="O2028" s="9" t="s">
        <v>4193</v>
      </c>
      <c r="P2028" s="9" t="s">
        <v>4504</v>
      </c>
      <c r="Q2028" s="9" t="s">
        <v>3802</v>
      </c>
      <c r="R2028" s="9" t="s">
        <v>3830</v>
      </c>
      <c r="S2028" s="9">
        <v>387</v>
      </c>
      <c r="T2028" s="9">
        <v>91</v>
      </c>
      <c r="U2028" s="9">
        <v>87</v>
      </c>
      <c r="V2028" s="9" t="s">
        <v>106</v>
      </c>
      <c r="W2028" s="9" t="s">
        <v>106</v>
      </c>
      <c r="X2028" s="9">
        <v>622</v>
      </c>
      <c r="Y2028" s="9">
        <v>71.599999999999994</v>
      </c>
      <c r="Z2028" s="9" t="s">
        <v>106</v>
      </c>
      <c r="AA2028" s="9">
        <v>65.900000000000006</v>
      </c>
      <c r="AB2028" s="9">
        <v>69.8</v>
      </c>
      <c r="AC2028" s="9" t="s">
        <v>5100</v>
      </c>
      <c r="AD2028" s="9" t="s">
        <v>5100</v>
      </c>
    </row>
    <row r="2029" spans="1:31">
      <c r="A2029" s="9" t="s">
        <v>4034</v>
      </c>
      <c r="B2029" s="9" t="s">
        <v>4503</v>
      </c>
      <c r="C2029" s="9" t="s">
        <v>105</v>
      </c>
      <c r="D2029" s="9">
        <v>4.66</v>
      </c>
      <c r="E2029" s="9" t="s">
        <v>106</v>
      </c>
      <c r="F2029" s="9">
        <v>196</v>
      </c>
      <c r="G2029" s="9" t="s">
        <v>106</v>
      </c>
      <c r="H2029" s="9" t="s">
        <v>106</v>
      </c>
      <c r="I2029" s="9">
        <v>4</v>
      </c>
      <c r="J2029" s="9" t="s">
        <v>122</v>
      </c>
      <c r="K2029" s="9" t="s">
        <v>4794</v>
      </c>
      <c r="L2029" t="str">
        <f>IF(OR(J2029="Cattle",J2029="Zebu Cattle"),IF(COUNTIF(lists!$M$2:$M$258, K2029) &gt; 0,"bos.indicus",IF(COUNTIF(lists!$L$2:$L$258, K2029) &gt; 0,"cross.bred","pure.bred.exotic")),"NA")</f>
        <v>cross.bred</v>
      </c>
      <c r="O2029" s="9" t="s">
        <v>4193</v>
      </c>
      <c r="P2029" s="9" t="s">
        <v>4504</v>
      </c>
      <c r="Q2029" s="9" t="s">
        <v>3802</v>
      </c>
      <c r="R2029" s="9" t="s">
        <v>3830</v>
      </c>
      <c r="S2029" s="9">
        <v>387</v>
      </c>
      <c r="T2029" s="9">
        <v>91</v>
      </c>
      <c r="U2029" s="9">
        <v>87</v>
      </c>
      <c r="V2029" s="9" t="s">
        <v>106</v>
      </c>
      <c r="W2029" s="9" t="s">
        <v>106</v>
      </c>
      <c r="X2029" s="9">
        <v>622</v>
      </c>
      <c r="Y2029" s="9">
        <v>69.599999999999994</v>
      </c>
      <c r="Z2029" s="9" t="s">
        <v>106</v>
      </c>
      <c r="AA2029" s="9">
        <v>65.400000000000006</v>
      </c>
      <c r="AB2029" s="9">
        <v>69.2</v>
      </c>
      <c r="AC2029" s="9" t="s">
        <v>5100</v>
      </c>
      <c r="AD2029" s="9" t="s">
        <v>5100</v>
      </c>
    </row>
    <row r="2030" spans="1:31">
      <c r="A2030" s="9" t="s">
        <v>4489</v>
      </c>
      <c r="B2030" s="9" t="s">
        <v>4506</v>
      </c>
      <c r="C2030" s="9" t="s">
        <v>105</v>
      </c>
      <c r="D2030" s="65">
        <v>10.256</v>
      </c>
      <c r="E2030" s="9" t="s">
        <v>106</v>
      </c>
      <c r="F2030" s="9">
        <v>267.10000000000002</v>
      </c>
      <c r="G2030" s="9" t="s">
        <v>106</v>
      </c>
      <c r="H2030" s="9">
        <v>5.1829999999999998</v>
      </c>
      <c r="I2030" s="9">
        <v>4</v>
      </c>
      <c r="J2030" s="9" t="s">
        <v>122</v>
      </c>
      <c r="K2030" s="9" t="s">
        <v>4795</v>
      </c>
      <c r="L2030" t="str">
        <f>IF(OR(J2030="Cattle",J2030="Zebu Cattle"),IF(COUNTIF(lists!$M$2:$M$258, K2030) &gt; 0,"bos.indicus",IF(COUNTIF(lists!$L$2:$L$258, K2030) &gt; 0,"cross.bred","pure.bred.exotic")),"NA")</f>
        <v>bos.indicus</v>
      </c>
      <c r="O2030" s="9" t="s">
        <v>4193</v>
      </c>
      <c r="P2030" s="9" t="s">
        <v>4198</v>
      </c>
      <c r="Q2030" s="9" t="s">
        <v>3809</v>
      </c>
      <c r="R2030" s="9" t="s">
        <v>3830</v>
      </c>
      <c r="S2030" s="9" t="s">
        <v>106</v>
      </c>
      <c r="T2030" s="9" t="s">
        <v>106</v>
      </c>
      <c r="U2030" s="9" t="s">
        <v>106</v>
      </c>
      <c r="V2030" s="9" t="s">
        <v>106</v>
      </c>
      <c r="W2030" s="9" t="s">
        <v>106</v>
      </c>
      <c r="X2030" s="9" t="s">
        <v>106</v>
      </c>
      <c r="Y2030" s="9" t="s">
        <v>106</v>
      </c>
      <c r="Z2030" s="9" t="s">
        <v>106</v>
      </c>
      <c r="AA2030" s="9" t="s">
        <v>106</v>
      </c>
      <c r="AB2030" s="9" t="s">
        <v>106</v>
      </c>
      <c r="AC2030" s="9" t="s">
        <v>5100</v>
      </c>
      <c r="AD2030" s="9" t="s">
        <v>5100</v>
      </c>
    </row>
    <row r="2031" spans="1:31">
      <c r="A2031" s="9" t="s">
        <v>4489</v>
      </c>
      <c r="B2031" s="9" t="s">
        <v>4507</v>
      </c>
      <c r="C2031" s="9" t="s">
        <v>105</v>
      </c>
      <c r="D2031" s="65">
        <v>10.305</v>
      </c>
      <c r="E2031" s="9" t="s">
        <v>106</v>
      </c>
      <c r="F2031" s="65">
        <v>267.125</v>
      </c>
      <c r="G2031" s="9" t="s">
        <v>106</v>
      </c>
      <c r="H2031" s="9">
        <v>5.1820000000000004</v>
      </c>
      <c r="I2031" s="9">
        <v>4</v>
      </c>
      <c r="J2031" s="9" t="s">
        <v>122</v>
      </c>
      <c r="K2031" s="9" t="s">
        <v>4795</v>
      </c>
      <c r="L2031" t="str">
        <f>IF(OR(J2031="Cattle",J2031="Zebu Cattle"),IF(COUNTIF(lists!$M$2:$M$258, K2031) &gt; 0,"bos.indicus",IF(COUNTIF(lists!$L$2:$L$258, K2031) &gt; 0,"cross.bred","pure.bred.exotic")),"NA")</f>
        <v>bos.indicus</v>
      </c>
      <c r="O2031" s="9" t="s">
        <v>4193</v>
      </c>
      <c r="P2031" s="9" t="s">
        <v>4198</v>
      </c>
      <c r="Q2031" s="9" t="s">
        <v>3809</v>
      </c>
      <c r="R2031" s="9" t="s">
        <v>3830</v>
      </c>
      <c r="S2031" s="9" t="s">
        <v>106</v>
      </c>
      <c r="T2031" s="9" t="s">
        <v>106</v>
      </c>
      <c r="U2031" s="9" t="s">
        <v>106</v>
      </c>
      <c r="V2031" s="9" t="s">
        <v>106</v>
      </c>
      <c r="W2031" s="9" t="s">
        <v>106</v>
      </c>
      <c r="X2031" s="9" t="s">
        <v>106</v>
      </c>
      <c r="Y2031" s="9" t="s">
        <v>106</v>
      </c>
      <c r="Z2031" s="9" t="s">
        <v>106</v>
      </c>
      <c r="AA2031" s="9" t="s">
        <v>106</v>
      </c>
      <c r="AB2031" s="9" t="s">
        <v>106</v>
      </c>
      <c r="AC2031" s="9" t="s">
        <v>5100</v>
      </c>
      <c r="AD2031" s="9" t="s">
        <v>5100</v>
      </c>
    </row>
    <row r="2032" spans="1:31">
      <c r="A2032" s="9" t="s">
        <v>4489</v>
      </c>
      <c r="B2032" s="9" t="s">
        <v>4508</v>
      </c>
      <c r="C2032" s="9" t="s">
        <v>105</v>
      </c>
      <c r="D2032" s="65">
        <v>9.9570000000000007</v>
      </c>
      <c r="E2032" s="9" t="s">
        <v>106</v>
      </c>
      <c r="F2032" s="65">
        <v>241.875</v>
      </c>
      <c r="G2032" s="9" t="s">
        <v>106</v>
      </c>
      <c r="H2032" s="9">
        <v>4.6559999999999997</v>
      </c>
      <c r="I2032" s="9">
        <v>4</v>
      </c>
      <c r="J2032" s="9" t="s">
        <v>122</v>
      </c>
      <c r="K2032" s="9" t="s">
        <v>4795</v>
      </c>
      <c r="L2032" t="str">
        <f>IF(OR(J2032="Cattle",J2032="Zebu Cattle"),IF(COUNTIF(lists!$M$2:$M$258, K2032) &gt; 0,"bos.indicus",IF(COUNTIF(lists!$L$2:$L$258, K2032) &gt; 0,"cross.bred","pure.bred.exotic")),"NA")</f>
        <v>bos.indicus</v>
      </c>
      <c r="O2032" s="9" t="s">
        <v>4193</v>
      </c>
      <c r="P2032" s="9" t="s">
        <v>4198</v>
      </c>
      <c r="Q2032" s="9" t="s">
        <v>3809</v>
      </c>
      <c r="R2032" s="9" t="s">
        <v>3830</v>
      </c>
      <c r="S2032" s="9" t="s">
        <v>106</v>
      </c>
      <c r="T2032" s="9" t="s">
        <v>106</v>
      </c>
      <c r="U2032" s="9" t="s">
        <v>106</v>
      </c>
      <c r="V2032" s="9" t="s">
        <v>106</v>
      </c>
      <c r="W2032" s="9" t="s">
        <v>106</v>
      </c>
      <c r="X2032" s="9" t="s">
        <v>106</v>
      </c>
      <c r="Y2032" s="9" t="s">
        <v>106</v>
      </c>
      <c r="Z2032" s="9" t="s">
        <v>106</v>
      </c>
      <c r="AA2032" s="9" t="s">
        <v>106</v>
      </c>
      <c r="AB2032" s="9" t="s">
        <v>106</v>
      </c>
      <c r="AC2032" s="9" t="s">
        <v>5100</v>
      </c>
      <c r="AD2032" s="9" t="s">
        <v>5100</v>
      </c>
    </row>
    <row r="2033" spans="1:30">
      <c r="A2033" s="9" t="s">
        <v>4489</v>
      </c>
      <c r="B2033" s="9" t="s">
        <v>4509</v>
      </c>
      <c r="C2033" s="9" t="s">
        <v>105</v>
      </c>
      <c r="D2033" s="65">
        <v>10.247</v>
      </c>
      <c r="E2033" s="9" t="s">
        <v>106</v>
      </c>
      <c r="F2033" s="65">
        <v>255.125</v>
      </c>
      <c r="G2033" s="9" t="s">
        <v>106</v>
      </c>
      <c r="H2033" s="9">
        <v>5.8339999999999996</v>
      </c>
      <c r="I2033" s="9">
        <v>4</v>
      </c>
      <c r="J2033" s="9" t="s">
        <v>122</v>
      </c>
      <c r="K2033" s="9" t="s">
        <v>4795</v>
      </c>
      <c r="L2033" t="str">
        <f>IF(OR(J2033="Cattle",J2033="Zebu Cattle"),IF(COUNTIF(lists!$M$2:$M$258, K2033) &gt; 0,"bos.indicus",IF(COUNTIF(lists!$L$2:$L$258, K2033) &gt; 0,"cross.bred","pure.bred.exotic")),"NA")</f>
        <v>bos.indicus</v>
      </c>
      <c r="O2033" s="9" t="s">
        <v>4193</v>
      </c>
      <c r="P2033" s="9" t="s">
        <v>4198</v>
      </c>
      <c r="Q2033" s="9" t="s">
        <v>3809</v>
      </c>
      <c r="R2033" s="9" t="s">
        <v>3830</v>
      </c>
      <c r="S2033" s="9" t="s">
        <v>106</v>
      </c>
      <c r="T2033" s="9" t="s">
        <v>106</v>
      </c>
      <c r="U2033" s="9" t="s">
        <v>106</v>
      </c>
      <c r="V2033" s="9" t="s">
        <v>106</v>
      </c>
      <c r="W2033" s="9" t="s">
        <v>106</v>
      </c>
      <c r="X2033" s="9" t="s">
        <v>106</v>
      </c>
      <c r="Y2033" s="9" t="s">
        <v>106</v>
      </c>
      <c r="Z2033" s="9" t="s">
        <v>106</v>
      </c>
      <c r="AA2033" s="9" t="s">
        <v>106</v>
      </c>
      <c r="AB2033" s="9" t="s">
        <v>106</v>
      </c>
      <c r="AC2033" s="9" t="s">
        <v>5100</v>
      </c>
      <c r="AD2033" s="9" t="s">
        <v>5100</v>
      </c>
    </row>
    <row r="2034" spans="1:30">
      <c r="A2034" s="9" t="s">
        <v>4489</v>
      </c>
      <c r="B2034" s="9" t="s">
        <v>4510</v>
      </c>
      <c r="C2034" s="9" t="s">
        <v>105</v>
      </c>
      <c r="D2034" s="65">
        <v>10.275</v>
      </c>
      <c r="E2034" s="9" t="s">
        <v>106</v>
      </c>
      <c r="F2034" s="9">
        <v>265.5</v>
      </c>
      <c r="G2034" s="9" t="s">
        <v>106</v>
      </c>
      <c r="H2034" s="9">
        <v>5.4720000000000004</v>
      </c>
      <c r="I2034" s="9">
        <v>4</v>
      </c>
      <c r="J2034" s="9" t="s">
        <v>122</v>
      </c>
      <c r="K2034" s="9" t="s">
        <v>4795</v>
      </c>
      <c r="L2034" t="str">
        <f>IF(OR(J2034="Cattle",J2034="Zebu Cattle"),IF(COUNTIF(lists!$M$2:$M$258, K2034) &gt; 0,"bos.indicus",IF(COUNTIF(lists!$L$2:$L$258, K2034) &gt; 0,"cross.bred","pure.bred.exotic")),"NA")</f>
        <v>bos.indicus</v>
      </c>
      <c r="O2034" s="9" t="s">
        <v>4193</v>
      </c>
      <c r="P2034" s="9" t="s">
        <v>4198</v>
      </c>
      <c r="Q2034" s="9" t="s">
        <v>3809</v>
      </c>
      <c r="R2034" s="9" t="s">
        <v>3830</v>
      </c>
      <c r="S2034" s="9" t="s">
        <v>106</v>
      </c>
      <c r="T2034" s="9" t="s">
        <v>106</v>
      </c>
      <c r="U2034" s="9" t="s">
        <v>106</v>
      </c>
      <c r="V2034" s="9" t="s">
        <v>106</v>
      </c>
      <c r="W2034" s="9" t="s">
        <v>106</v>
      </c>
      <c r="X2034" s="9" t="s">
        <v>106</v>
      </c>
      <c r="Y2034" s="9" t="s">
        <v>106</v>
      </c>
      <c r="Z2034" s="9" t="s">
        <v>106</v>
      </c>
      <c r="AA2034" s="9" t="s">
        <v>106</v>
      </c>
      <c r="AB2034" s="9" t="s">
        <v>106</v>
      </c>
      <c r="AC2034" s="9" t="s">
        <v>5100</v>
      </c>
      <c r="AD2034" s="9" t="s">
        <v>5100</v>
      </c>
    </row>
    <row r="2035" spans="1:30">
      <c r="A2035" s="9" t="s">
        <v>4490</v>
      </c>
      <c r="B2035" s="9" t="s">
        <v>4512</v>
      </c>
      <c r="C2035" s="9" t="s">
        <v>105</v>
      </c>
      <c r="D2035" s="9">
        <v>5.4</v>
      </c>
      <c r="E2035" s="9" t="s">
        <v>106</v>
      </c>
      <c r="F2035" s="9">
        <v>170.1</v>
      </c>
      <c r="G2035" s="9">
        <v>0.34</v>
      </c>
      <c r="H2035" s="9" t="s">
        <v>106</v>
      </c>
      <c r="I2035" s="9">
        <v>4</v>
      </c>
      <c r="J2035" s="9" t="s">
        <v>122</v>
      </c>
      <c r="K2035" s="9" t="s">
        <v>4796</v>
      </c>
      <c r="L2035" t="str">
        <f>IF(OR(J2035="Cattle",J2035="Zebu Cattle"),IF(COUNTIF(lists!$M$2:$M$258, K2035) &gt; 0,"bos.indicus",IF(COUNTIF(lists!$L$2:$L$258, K2035) &gt; 0,"cross.bred","pure.bred.exotic")),"NA")</f>
        <v>pure.bred.exotic</v>
      </c>
      <c r="O2035" s="9" t="s">
        <v>4194</v>
      </c>
      <c r="P2035" s="9" t="s">
        <v>4524</v>
      </c>
      <c r="Q2035" s="9" t="s">
        <v>3805</v>
      </c>
      <c r="R2035" s="9" t="s">
        <v>3830</v>
      </c>
      <c r="S2035" s="9">
        <v>336</v>
      </c>
      <c r="T2035" s="9">
        <v>116</v>
      </c>
      <c r="U2035" s="9">
        <v>85</v>
      </c>
      <c r="V2035" s="9">
        <v>173</v>
      </c>
      <c r="W2035" s="9" t="s">
        <v>106</v>
      </c>
      <c r="X2035" s="9">
        <v>593</v>
      </c>
      <c r="Y2035" s="9" t="s">
        <v>106</v>
      </c>
      <c r="Z2035" s="9">
        <v>37</v>
      </c>
      <c r="AA2035" s="9" t="s">
        <v>106</v>
      </c>
      <c r="AB2035" s="9" t="s">
        <v>106</v>
      </c>
      <c r="AC2035" s="9" t="s">
        <v>5100</v>
      </c>
      <c r="AD2035" s="9" t="s">
        <v>5100</v>
      </c>
    </row>
    <row r="2036" spans="1:30">
      <c r="A2036" s="9" t="s">
        <v>4490</v>
      </c>
      <c r="B2036" s="9" t="s">
        <v>4513</v>
      </c>
      <c r="C2036" s="9" t="s">
        <v>105</v>
      </c>
      <c r="D2036" s="9">
        <v>4.7</v>
      </c>
      <c r="E2036" s="9" t="s">
        <v>106</v>
      </c>
      <c r="F2036" s="9">
        <v>124.1</v>
      </c>
      <c r="G2036" s="9">
        <v>0.28999999999999998</v>
      </c>
      <c r="H2036" s="9" t="s">
        <v>106</v>
      </c>
      <c r="I2036" s="9">
        <v>4</v>
      </c>
      <c r="J2036" s="9" t="s">
        <v>122</v>
      </c>
      <c r="K2036" s="9" t="s">
        <v>4525</v>
      </c>
      <c r="L2036" t="str">
        <f>IF(OR(J2036="Cattle",J2036="Zebu Cattle"),IF(COUNTIF(lists!$M$2:$M$258, K2036) &gt; 0,"bos.indicus",IF(COUNTIF(lists!$L$2:$L$258, K2036) &gt; 0,"cross.bred","pure.bred.exotic")),"NA")</f>
        <v>bos.indicus</v>
      </c>
      <c r="O2036" s="9" t="s">
        <v>4193</v>
      </c>
      <c r="P2036" s="9" t="s">
        <v>4524</v>
      </c>
      <c r="Q2036" s="9" t="s">
        <v>3805</v>
      </c>
      <c r="R2036" s="9" t="s">
        <v>3830</v>
      </c>
      <c r="S2036" s="9">
        <v>336</v>
      </c>
      <c r="T2036" s="9">
        <v>116</v>
      </c>
      <c r="U2036" s="9">
        <v>85</v>
      </c>
      <c r="V2036" s="9">
        <v>173</v>
      </c>
      <c r="W2036" s="9" t="s">
        <v>106</v>
      </c>
      <c r="X2036" s="9">
        <v>593</v>
      </c>
      <c r="Y2036" s="9" t="s">
        <v>106</v>
      </c>
      <c r="Z2036" s="9">
        <v>37</v>
      </c>
      <c r="AA2036" s="9" t="s">
        <v>106</v>
      </c>
      <c r="AB2036" s="9" t="s">
        <v>106</v>
      </c>
      <c r="AC2036" s="9" t="s">
        <v>5100</v>
      </c>
      <c r="AD2036" s="9" t="s">
        <v>5100</v>
      </c>
    </row>
    <row r="2037" spans="1:30">
      <c r="A2037" s="9" t="s">
        <v>4490</v>
      </c>
      <c r="B2037" s="9" t="s">
        <v>4514</v>
      </c>
      <c r="C2037" s="9" t="s">
        <v>105</v>
      </c>
      <c r="D2037" s="9">
        <v>6.4</v>
      </c>
      <c r="E2037" s="9" t="s">
        <v>106</v>
      </c>
      <c r="F2037" s="9">
        <v>170.1</v>
      </c>
      <c r="G2037" s="9">
        <v>0.52</v>
      </c>
      <c r="H2037" s="9" t="s">
        <v>106</v>
      </c>
      <c r="I2037" s="9">
        <v>4</v>
      </c>
      <c r="J2037" s="9" t="s">
        <v>122</v>
      </c>
      <c r="K2037" s="9" t="s">
        <v>4796</v>
      </c>
      <c r="L2037" t="str">
        <f>IF(OR(J2037="Cattle",J2037="Zebu Cattle"),IF(COUNTIF(lists!$M$2:$M$258, K2037) &gt; 0,"bos.indicus",IF(COUNTIF(lists!$L$2:$L$258, K2037) &gt; 0,"cross.bred","pure.bred.exotic")),"NA")</f>
        <v>pure.bred.exotic</v>
      </c>
      <c r="O2037" s="9" t="s">
        <v>4194</v>
      </c>
      <c r="P2037" s="9" t="s">
        <v>4524</v>
      </c>
      <c r="Q2037" s="9" t="s">
        <v>3805</v>
      </c>
      <c r="R2037" s="9" t="s">
        <v>3830</v>
      </c>
      <c r="S2037" s="9" t="s">
        <v>106</v>
      </c>
      <c r="T2037" s="9" t="s">
        <v>106</v>
      </c>
      <c r="U2037" s="9" t="s">
        <v>106</v>
      </c>
      <c r="V2037" s="9" t="s">
        <v>106</v>
      </c>
      <c r="W2037" s="9" t="s">
        <v>106</v>
      </c>
      <c r="X2037" s="9" t="s">
        <v>106</v>
      </c>
      <c r="Y2037" s="9" t="s">
        <v>106</v>
      </c>
      <c r="Z2037" s="9" t="s">
        <v>106</v>
      </c>
      <c r="AA2037" s="9" t="s">
        <v>106</v>
      </c>
      <c r="AB2037" s="9" t="s">
        <v>106</v>
      </c>
      <c r="AC2037" s="9" t="s">
        <v>5100</v>
      </c>
      <c r="AD2037" s="9" t="s">
        <v>5100</v>
      </c>
    </row>
    <row r="2038" spans="1:30">
      <c r="A2038" s="9" t="s">
        <v>4490</v>
      </c>
      <c r="B2038" s="9" t="s">
        <v>4515</v>
      </c>
      <c r="C2038" s="9" t="s">
        <v>105</v>
      </c>
      <c r="D2038" s="9">
        <v>5.3</v>
      </c>
      <c r="E2038" s="9" t="s">
        <v>106</v>
      </c>
      <c r="F2038" s="9">
        <v>124.1</v>
      </c>
      <c r="G2038" s="9">
        <v>0.4</v>
      </c>
      <c r="H2038" s="9" t="s">
        <v>106</v>
      </c>
      <c r="I2038" s="9">
        <v>4</v>
      </c>
      <c r="J2038" s="9" t="s">
        <v>122</v>
      </c>
      <c r="K2038" s="9" t="s">
        <v>4525</v>
      </c>
      <c r="L2038" t="str">
        <f>IF(OR(J2038="Cattle",J2038="Zebu Cattle"),IF(COUNTIF(lists!$M$2:$M$258, K2038) &gt; 0,"bos.indicus",IF(COUNTIF(lists!$L$2:$L$258, K2038) &gt; 0,"cross.bred","pure.bred.exotic")),"NA")</f>
        <v>bos.indicus</v>
      </c>
      <c r="O2038" s="9" t="s">
        <v>4193</v>
      </c>
      <c r="P2038" s="9" t="s">
        <v>4524</v>
      </c>
      <c r="Q2038" s="9" t="s">
        <v>3805</v>
      </c>
      <c r="R2038" s="9" t="s">
        <v>3830</v>
      </c>
      <c r="S2038" s="9" t="s">
        <v>106</v>
      </c>
      <c r="T2038" s="9" t="s">
        <v>106</v>
      </c>
      <c r="U2038" s="9" t="s">
        <v>106</v>
      </c>
      <c r="V2038" s="9" t="s">
        <v>106</v>
      </c>
      <c r="W2038" s="9" t="s">
        <v>106</v>
      </c>
      <c r="X2038" s="9" t="s">
        <v>106</v>
      </c>
      <c r="Y2038" s="9" t="s">
        <v>106</v>
      </c>
      <c r="Z2038" s="9" t="s">
        <v>106</v>
      </c>
      <c r="AA2038" s="9" t="s">
        <v>106</v>
      </c>
      <c r="AB2038" s="9" t="s">
        <v>106</v>
      </c>
      <c r="AC2038" s="9" t="s">
        <v>5100</v>
      </c>
      <c r="AD2038" s="9" t="s">
        <v>5100</v>
      </c>
    </row>
    <row r="2039" spans="1:30">
      <c r="A2039" s="9" t="s">
        <v>4490</v>
      </c>
      <c r="B2039" s="9" t="s">
        <v>4516</v>
      </c>
      <c r="C2039" s="9" t="s">
        <v>105</v>
      </c>
      <c r="D2039" s="9">
        <v>5.2</v>
      </c>
      <c r="E2039" s="9" t="s">
        <v>106</v>
      </c>
      <c r="F2039" s="9">
        <v>170.1</v>
      </c>
      <c r="G2039" s="9">
        <v>0.35</v>
      </c>
      <c r="H2039" s="9" t="s">
        <v>106</v>
      </c>
      <c r="I2039" s="9">
        <v>4</v>
      </c>
      <c r="J2039" s="9" t="s">
        <v>122</v>
      </c>
      <c r="K2039" s="9" t="s">
        <v>4796</v>
      </c>
      <c r="L2039" t="str">
        <f>IF(OR(J2039="Cattle",J2039="Zebu Cattle"),IF(COUNTIF(lists!$M$2:$M$258, K2039) &gt; 0,"bos.indicus",IF(COUNTIF(lists!$L$2:$L$258, K2039) &gt; 0,"cross.bred","pure.bred.exotic")),"NA")</f>
        <v>pure.bred.exotic</v>
      </c>
      <c r="O2039" s="9" t="s">
        <v>4194</v>
      </c>
      <c r="P2039" s="9" t="s">
        <v>4524</v>
      </c>
      <c r="Q2039" s="9" t="s">
        <v>3805</v>
      </c>
      <c r="R2039" s="9" t="s">
        <v>3830</v>
      </c>
      <c r="S2039" s="9">
        <v>384</v>
      </c>
      <c r="T2039" s="9">
        <v>203</v>
      </c>
      <c r="U2039" s="9">
        <v>63</v>
      </c>
      <c r="V2039" s="9">
        <v>185</v>
      </c>
      <c r="W2039" s="9" t="s">
        <v>106</v>
      </c>
      <c r="X2039" s="9">
        <v>611</v>
      </c>
      <c r="Y2039" s="9" t="s">
        <v>106</v>
      </c>
      <c r="Z2039" s="9">
        <v>50</v>
      </c>
      <c r="AA2039" s="9" t="s">
        <v>106</v>
      </c>
      <c r="AB2039" s="9" t="s">
        <v>106</v>
      </c>
      <c r="AC2039" s="9" t="s">
        <v>5100</v>
      </c>
      <c r="AD2039" s="9" t="s">
        <v>5100</v>
      </c>
    </row>
    <row r="2040" spans="1:30">
      <c r="A2040" s="9" t="s">
        <v>4490</v>
      </c>
      <c r="B2040" s="9" t="s">
        <v>4517</v>
      </c>
      <c r="C2040" s="9" t="s">
        <v>105</v>
      </c>
      <c r="D2040" s="9">
        <v>4.3</v>
      </c>
      <c r="E2040" s="9" t="s">
        <v>106</v>
      </c>
      <c r="F2040" s="9">
        <v>124.1</v>
      </c>
      <c r="G2040" s="9">
        <v>0.3</v>
      </c>
      <c r="H2040" s="9" t="s">
        <v>106</v>
      </c>
      <c r="I2040" s="9">
        <v>4</v>
      </c>
      <c r="J2040" s="9" t="s">
        <v>122</v>
      </c>
      <c r="K2040" s="9" t="s">
        <v>4526</v>
      </c>
      <c r="L2040" t="str">
        <f>IF(OR(J2040="Cattle",J2040="Zebu Cattle"),IF(COUNTIF(lists!$M$2:$M$258, K2040) &gt; 0,"bos.indicus",IF(COUNTIF(lists!$L$2:$L$258, K2040) &gt; 0,"cross.bred","pure.bred.exotic")),"NA")</f>
        <v>bos.indicus</v>
      </c>
      <c r="O2040" s="9" t="s">
        <v>4193</v>
      </c>
      <c r="P2040" s="9" t="s">
        <v>4524</v>
      </c>
      <c r="Q2040" s="9" t="s">
        <v>3805</v>
      </c>
      <c r="R2040" s="9" t="s">
        <v>3830</v>
      </c>
      <c r="S2040" s="9">
        <v>384</v>
      </c>
      <c r="T2040" s="9">
        <v>203</v>
      </c>
      <c r="U2040" s="9">
        <v>63</v>
      </c>
      <c r="V2040" s="9">
        <v>185</v>
      </c>
      <c r="W2040" s="9" t="s">
        <v>106</v>
      </c>
      <c r="X2040" s="9">
        <v>611</v>
      </c>
      <c r="Y2040" s="9" t="s">
        <v>106</v>
      </c>
      <c r="Z2040" s="9">
        <v>50</v>
      </c>
      <c r="AA2040" s="9" t="s">
        <v>106</v>
      </c>
      <c r="AB2040" s="9" t="s">
        <v>106</v>
      </c>
      <c r="AC2040" s="9" t="s">
        <v>5100</v>
      </c>
      <c r="AD2040" s="9" t="s">
        <v>5100</v>
      </c>
    </row>
    <row r="2041" spans="1:30">
      <c r="A2041" s="9" t="s">
        <v>4490</v>
      </c>
      <c r="B2041" s="9" t="s">
        <v>4518</v>
      </c>
      <c r="C2041" s="9" t="s">
        <v>105</v>
      </c>
      <c r="D2041" s="9">
        <v>6.1</v>
      </c>
      <c r="E2041" s="9" t="s">
        <v>106</v>
      </c>
      <c r="F2041" s="9">
        <v>170.1</v>
      </c>
      <c r="G2041" s="9">
        <v>0.52</v>
      </c>
      <c r="H2041" s="9" t="s">
        <v>106</v>
      </c>
      <c r="I2041" s="9">
        <v>4</v>
      </c>
      <c r="J2041" s="9" t="s">
        <v>122</v>
      </c>
      <c r="K2041" s="9" t="s">
        <v>4796</v>
      </c>
      <c r="L2041" t="str">
        <f>IF(OR(J2041="Cattle",J2041="Zebu Cattle"),IF(COUNTIF(lists!$M$2:$M$258, K2041) &gt; 0,"bos.indicus",IF(COUNTIF(lists!$L$2:$L$258, K2041) &gt; 0,"cross.bred","pure.bred.exotic")),"NA")</f>
        <v>pure.bred.exotic</v>
      </c>
      <c r="O2041" s="9" t="s">
        <v>4194</v>
      </c>
      <c r="P2041" s="9" t="s">
        <v>4524</v>
      </c>
      <c r="Q2041" s="9" t="s">
        <v>3805</v>
      </c>
      <c r="R2041" s="9" t="s">
        <v>3830</v>
      </c>
      <c r="S2041" s="9" t="s">
        <v>106</v>
      </c>
      <c r="T2041" s="9" t="s">
        <v>106</v>
      </c>
      <c r="U2041" s="9" t="s">
        <v>106</v>
      </c>
      <c r="V2041" s="9" t="s">
        <v>106</v>
      </c>
      <c r="W2041" s="9" t="s">
        <v>106</v>
      </c>
      <c r="X2041" s="9" t="s">
        <v>106</v>
      </c>
      <c r="Y2041" s="9" t="s">
        <v>106</v>
      </c>
      <c r="Z2041" s="9" t="s">
        <v>106</v>
      </c>
      <c r="AA2041" s="9" t="s">
        <v>106</v>
      </c>
      <c r="AB2041" s="9" t="s">
        <v>106</v>
      </c>
      <c r="AC2041" s="9" t="s">
        <v>5100</v>
      </c>
      <c r="AD2041" s="9" t="s">
        <v>5100</v>
      </c>
    </row>
    <row r="2042" spans="1:30">
      <c r="A2042" s="9" t="s">
        <v>4490</v>
      </c>
      <c r="B2042" s="9" t="s">
        <v>4519</v>
      </c>
      <c r="C2042" s="9" t="s">
        <v>105</v>
      </c>
      <c r="D2042" s="9">
        <v>5.3</v>
      </c>
      <c r="E2042" s="9" t="s">
        <v>106</v>
      </c>
      <c r="F2042" s="9">
        <v>124.1</v>
      </c>
      <c r="G2042" s="9">
        <v>0.42</v>
      </c>
      <c r="H2042" s="9" t="s">
        <v>106</v>
      </c>
      <c r="I2042" s="9">
        <v>4</v>
      </c>
      <c r="J2042" s="9" t="s">
        <v>122</v>
      </c>
      <c r="K2042" s="9" t="s">
        <v>4525</v>
      </c>
      <c r="L2042" t="str">
        <f>IF(OR(J2042="Cattle",J2042="Zebu Cattle"),IF(COUNTIF(lists!$M$2:$M$258, K2042) &gt; 0,"bos.indicus",IF(COUNTIF(lists!$L$2:$L$258, K2042) &gt; 0,"cross.bred","pure.bred.exotic")),"NA")</f>
        <v>bos.indicus</v>
      </c>
      <c r="O2042" s="9" t="s">
        <v>4193</v>
      </c>
      <c r="P2042" s="9" t="s">
        <v>4524</v>
      </c>
      <c r="Q2042" s="9" t="s">
        <v>3805</v>
      </c>
      <c r="R2042" s="9" t="s">
        <v>3830</v>
      </c>
      <c r="S2042" s="9" t="s">
        <v>106</v>
      </c>
      <c r="T2042" s="9" t="s">
        <v>106</v>
      </c>
      <c r="U2042" s="9" t="s">
        <v>106</v>
      </c>
      <c r="V2042" s="9" t="s">
        <v>106</v>
      </c>
      <c r="W2042" s="9" t="s">
        <v>106</v>
      </c>
      <c r="X2042" s="9" t="s">
        <v>106</v>
      </c>
      <c r="Y2042" s="9" t="s">
        <v>106</v>
      </c>
      <c r="Z2042" s="9" t="s">
        <v>106</v>
      </c>
      <c r="AA2042" s="9" t="s">
        <v>106</v>
      </c>
      <c r="AB2042" s="9" t="s">
        <v>106</v>
      </c>
      <c r="AC2042" s="9" t="s">
        <v>5100</v>
      </c>
      <c r="AD2042" s="9" t="s">
        <v>5100</v>
      </c>
    </row>
    <row r="2043" spans="1:30">
      <c r="A2043" s="9" t="s">
        <v>4490</v>
      </c>
      <c r="B2043" s="9" t="s">
        <v>4520</v>
      </c>
      <c r="C2043" s="9" t="s">
        <v>105</v>
      </c>
      <c r="D2043" s="9">
        <v>7.5</v>
      </c>
      <c r="E2043" s="9" t="s">
        <v>106</v>
      </c>
      <c r="F2043" s="9">
        <v>170.1</v>
      </c>
      <c r="G2043" s="9">
        <v>0.65</v>
      </c>
      <c r="H2043" s="9" t="s">
        <v>106</v>
      </c>
      <c r="I2043" s="9">
        <v>4</v>
      </c>
      <c r="J2043" s="9" t="s">
        <v>122</v>
      </c>
      <c r="K2043" s="9" t="s">
        <v>4796</v>
      </c>
      <c r="L2043" t="str">
        <f>IF(OR(J2043="Cattle",J2043="Zebu Cattle"),IF(COUNTIF(lists!$M$2:$M$258, K2043) &gt; 0,"bos.indicus",IF(COUNTIF(lists!$L$2:$L$258, K2043) &gt; 0,"cross.bred","pure.bred.exotic")),"NA")</f>
        <v>pure.bred.exotic</v>
      </c>
      <c r="O2043" s="9" t="s">
        <v>4194</v>
      </c>
      <c r="P2043" s="9" t="s">
        <v>4524</v>
      </c>
      <c r="Q2043" s="9" t="s">
        <v>3805</v>
      </c>
      <c r="R2043" s="9" t="s">
        <v>3830</v>
      </c>
      <c r="S2043" s="9" t="s">
        <v>106</v>
      </c>
      <c r="T2043" s="9" t="s">
        <v>106</v>
      </c>
      <c r="U2043" s="9" t="s">
        <v>106</v>
      </c>
      <c r="V2043" s="9" t="s">
        <v>106</v>
      </c>
      <c r="W2043" s="9" t="s">
        <v>106</v>
      </c>
      <c r="X2043" s="9" t="s">
        <v>106</v>
      </c>
      <c r="Y2043" s="9" t="s">
        <v>106</v>
      </c>
      <c r="Z2043" s="9" t="s">
        <v>106</v>
      </c>
      <c r="AA2043" s="9" t="s">
        <v>106</v>
      </c>
      <c r="AB2043" s="9" t="s">
        <v>106</v>
      </c>
      <c r="AC2043" s="9" t="s">
        <v>5100</v>
      </c>
      <c r="AD2043" s="9" t="s">
        <v>5100</v>
      </c>
    </row>
    <row r="2044" spans="1:30">
      <c r="A2044" s="9" t="s">
        <v>4490</v>
      </c>
      <c r="B2044" s="9" t="s">
        <v>4521</v>
      </c>
      <c r="C2044" s="9" t="s">
        <v>105</v>
      </c>
      <c r="D2044" s="9">
        <v>6.3</v>
      </c>
      <c r="E2044" s="9" t="s">
        <v>106</v>
      </c>
      <c r="F2044" s="9">
        <v>124.1</v>
      </c>
      <c r="G2044" s="9">
        <v>0.61</v>
      </c>
      <c r="H2044" s="9" t="s">
        <v>106</v>
      </c>
      <c r="I2044" s="9">
        <v>4</v>
      </c>
      <c r="J2044" s="9" t="s">
        <v>122</v>
      </c>
      <c r="K2044" s="9" t="s">
        <v>4526</v>
      </c>
      <c r="L2044" t="str">
        <f>IF(OR(J2044="Cattle",J2044="Zebu Cattle"),IF(COUNTIF(lists!$M$2:$M$258, K2044) &gt; 0,"bos.indicus",IF(COUNTIF(lists!$L$2:$L$258, K2044) &gt; 0,"cross.bred","pure.bred.exotic")),"NA")</f>
        <v>bos.indicus</v>
      </c>
      <c r="O2044" s="9" t="s">
        <v>4193</v>
      </c>
      <c r="P2044" s="9" t="s">
        <v>4524</v>
      </c>
      <c r="Q2044" s="9" t="s">
        <v>3805</v>
      </c>
      <c r="R2044" s="9" t="s">
        <v>3830</v>
      </c>
      <c r="S2044" s="9" t="s">
        <v>106</v>
      </c>
      <c r="T2044" s="9" t="s">
        <v>106</v>
      </c>
      <c r="U2044" s="9" t="s">
        <v>106</v>
      </c>
      <c r="V2044" s="9" t="s">
        <v>106</v>
      </c>
      <c r="W2044" s="9" t="s">
        <v>106</v>
      </c>
      <c r="X2044" s="9" t="s">
        <v>106</v>
      </c>
      <c r="Y2044" s="9" t="s">
        <v>106</v>
      </c>
      <c r="Z2044" s="9" t="s">
        <v>106</v>
      </c>
      <c r="AA2044" s="9" t="s">
        <v>106</v>
      </c>
      <c r="AB2044" s="9" t="s">
        <v>106</v>
      </c>
      <c r="AC2044" s="9" t="s">
        <v>5100</v>
      </c>
      <c r="AD2044" s="9" t="s">
        <v>5100</v>
      </c>
    </row>
    <row r="2045" spans="1:30">
      <c r="A2045" s="9" t="s">
        <v>4490</v>
      </c>
      <c r="B2045" s="9" t="s">
        <v>4522</v>
      </c>
      <c r="C2045" s="9" t="s">
        <v>105</v>
      </c>
      <c r="D2045" s="9">
        <v>7.8</v>
      </c>
      <c r="E2045" s="9" t="s">
        <v>106</v>
      </c>
      <c r="F2045" s="9">
        <v>170.1</v>
      </c>
      <c r="G2045" s="9">
        <v>0.66</v>
      </c>
      <c r="H2045" s="9" t="s">
        <v>106</v>
      </c>
      <c r="I2045" s="9">
        <v>4</v>
      </c>
      <c r="J2045" s="9" t="s">
        <v>122</v>
      </c>
      <c r="K2045" s="9" t="s">
        <v>4796</v>
      </c>
      <c r="L2045" t="str">
        <f>IF(OR(J2045="Cattle",J2045="Zebu Cattle"),IF(COUNTIF(lists!$M$2:$M$258, K2045) &gt; 0,"bos.indicus",IF(COUNTIF(lists!$L$2:$L$258, K2045) &gt; 0,"cross.bred","pure.bred.exotic")),"NA")</f>
        <v>pure.bred.exotic</v>
      </c>
      <c r="O2045" s="9" t="s">
        <v>4194</v>
      </c>
      <c r="P2045" s="9" t="s">
        <v>4524</v>
      </c>
      <c r="Q2045" s="9" t="s">
        <v>3805</v>
      </c>
      <c r="R2045" s="9" t="s">
        <v>3830</v>
      </c>
      <c r="S2045" s="9" t="s">
        <v>106</v>
      </c>
      <c r="T2045" s="9" t="s">
        <v>106</v>
      </c>
      <c r="U2045" s="9" t="s">
        <v>106</v>
      </c>
      <c r="V2045" s="9" t="s">
        <v>106</v>
      </c>
      <c r="W2045" s="9" t="s">
        <v>106</v>
      </c>
      <c r="X2045" s="9" t="s">
        <v>106</v>
      </c>
      <c r="Y2045" s="9" t="s">
        <v>106</v>
      </c>
      <c r="Z2045" s="9" t="s">
        <v>106</v>
      </c>
      <c r="AA2045" s="9" t="s">
        <v>106</v>
      </c>
      <c r="AB2045" s="9" t="s">
        <v>106</v>
      </c>
      <c r="AC2045" s="9" t="s">
        <v>5100</v>
      </c>
      <c r="AD2045" s="9" t="s">
        <v>5100</v>
      </c>
    </row>
    <row r="2046" spans="1:30">
      <c r="A2046" s="9" t="s">
        <v>4490</v>
      </c>
      <c r="B2046" s="9" t="s">
        <v>4523</v>
      </c>
      <c r="C2046" s="9" t="s">
        <v>105</v>
      </c>
      <c r="D2046" s="9">
        <v>6.7</v>
      </c>
      <c r="E2046" s="9" t="s">
        <v>106</v>
      </c>
      <c r="F2046" s="9">
        <v>124.1</v>
      </c>
      <c r="G2046" s="9">
        <v>0.64</v>
      </c>
      <c r="H2046" s="9" t="s">
        <v>106</v>
      </c>
      <c r="I2046" s="9">
        <v>4</v>
      </c>
      <c r="J2046" s="9" t="s">
        <v>122</v>
      </c>
      <c r="K2046" s="9" t="s">
        <v>4525</v>
      </c>
      <c r="L2046" t="str">
        <f>IF(OR(J2046="Cattle",J2046="Zebu Cattle"),IF(COUNTIF(lists!$M$2:$M$258, K2046) &gt; 0,"bos.indicus",IF(COUNTIF(lists!$L$2:$L$258, K2046) &gt; 0,"cross.bred","pure.bred.exotic")),"NA")</f>
        <v>bos.indicus</v>
      </c>
      <c r="O2046" s="9" t="s">
        <v>4193</v>
      </c>
      <c r="P2046" s="9" t="s">
        <v>4524</v>
      </c>
      <c r="Q2046" s="9" t="s">
        <v>3805</v>
      </c>
      <c r="R2046" s="9" t="s">
        <v>3830</v>
      </c>
      <c r="S2046" s="9" t="s">
        <v>106</v>
      </c>
      <c r="T2046" s="9" t="s">
        <v>106</v>
      </c>
      <c r="U2046" s="9" t="s">
        <v>106</v>
      </c>
      <c r="V2046" s="9" t="s">
        <v>106</v>
      </c>
      <c r="W2046" s="9" t="s">
        <v>106</v>
      </c>
      <c r="X2046" s="9" t="s">
        <v>106</v>
      </c>
      <c r="Y2046" s="9" t="s">
        <v>106</v>
      </c>
      <c r="Z2046" s="9" t="s">
        <v>106</v>
      </c>
      <c r="AA2046" s="9" t="s">
        <v>106</v>
      </c>
      <c r="AB2046" s="9" t="s">
        <v>106</v>
      </c>
      <c r="AC2046" s="9" t="s">
        <v>5100</v>
      </c>
      <c r="AD2046" s="9" t="s">
        <v>5100</v>
      </c>
    </row>
    <row r="2047" spans="1:30">
      <c r="A2047" s="9" t="s">
        <v>4528</v>
      </c>
      <c r="B2047" s="9" t="s">
        <v>4529</v>
      </c>
      <c r="C2047" s="9" t="s">
        <v>105</v>
      </c>
      <c r="D2047" s="9">
        <v>5.13</v>
      </c>
      <c r="E2047" s="9" t="s">
        <v>106</v>
      </c>
      <c r="F2047" s="9">
        <v>182.7</v>
      </c>
      <c r="G2047" s="9">
        <v>0.41199999999999998</v>
      </c>
      <c r="H2047" s="9" t="s">
        <v>106</v>
      </c>
      <c r="I2047" s="9">
        <v>6</v>
      </c>
      <c r="J2047" s="9" t="s">
        <v>122</v>
      </c>
      <c r="K2047" s="9" t="s">
        <v>4531</v>
      </c>
      <c r="L2047" t="str">
        <f>IF(OR(J2047="Cattle",J2047="Zebu Cattle"),IF(COUNTIF(lists!$M$2:$M$258, K2047) &gt; 0,"bos.indicus",IF(COUNTIF(lists!$L$2:$L$258, K2047) &gt; 0,"cross.bred","pure.bred.exotic")),"NA")</f>
        <v>cross.bred</v>
      </c>
      <c r="O2047" s="9" t="s">
        <v>124</v>
      </c>
      <c r="P2047" s="9" t="s">
        <v>4532</v>
      </c>
      <c r="Q2047" s="9" t="s">
        <v>3805</v>
      </c>
      <c r="R2047" s="9" t="s">
        <v>3830</v>
      </c>
      <c r="S2047" s="9" t="s">
        <v>106</v>
      </c>
      <c r="T2047" s="9" t="s">
        <v>106</v>
      </c>
      <c r="U2047" s="9" t="s">
        <v>106</v>
      </c>
      <c r="V2047" s="9" t="s">
        <v>106</v>
      </c>
      <c r="W2047" s="9" t="s">
        <v>106</v>
      </c>
      <c r="X2047" s="9" t="s">
        <v>106</v>
      </c>
      <c r="Y2047" s="9" t="s">
        <v>106</v>
      </c>
      <c r="Z2047" s="9" t="s">
        <v>106</v>
      </c>
      <c r="AA2047" s="9" t="s">
        <v>106</v>
      </c>
      <c r="AB2047" s="9" t="s">
        <v>106</v>
      </c>
      <c r="AC2047" s="9" t="s">
        <v>5100</v>
      </c>
      <c r="AD2047" s="9" t="s">
        <v>5100</v>
      </c>
    </row>
    <row r="2048" spans="1:30">
      <c r="A2048" s="9" t="s">
        <v>4528</v>
      </c>
      <c r="B2048" s="9" t="s">
        <v>4530</v>
      </c>
      <c r="C2048" s="9" t="s">
        <v>105</v>
      </c>
      <c r="D2048" s="9">
        <v>6.62</v>
      </c>
      <c r="E2048" s="9" t="s">
        <v>106</v>
      </c>
      <c r="F2048" s="9">
        <v>214.4</v>
      </c>
      <c r="G2048" s="9">
        <v>0.58499999999999996</v>
      </c>
      <c r="H2048" s="9" t="s">
        <v>106</v>
      </c>
      <c r="I2048" s="9">
        <v>6</v>
      </c>
      <c r="J2048" s="9" t="s">
        <v>122</v>
      </c>
      <c r="K2048" s="9" t="s">
        <v>4531</v>
      </c>
      <c r="L2048" t="str">
        <f>IF(OR(J2048="Cattle",J2048="Zebu Cattle"),IF(COUNTIF(lists!$M$2:$M$258, K2048) &gt; 0,"bos.indicus",IF(COUNTIF(lists!$L$2:$L$258, K2048) &gt; 0,"cross.bred","pure.bred.exotic")),"NA")</f>
        <v>cross.bred</v>
      </c>
      <c r="O2048" s="9" t="s">
        <v>124</v>
      </c>
      <c r="P2048" s="9" t="s">
        <v>4532</v>
      </c>
      <c r="Q2048" s="9" t="s">
        <v>3805</v>
      </c>
      <c r="R2048" s="9" t="s">
        <v>3830</v>
      </c>
      <c r="S2048" s="9" t="s">
        <v>106</v>
      </c>
      <c r="T2048" s="9" t="s">
        <v>106</v>
      </c>
      <c r="U2048" s="9" t="s">
        <v>106</v>
      </c>
      <c r="V2048" s="9" t="s">
        <v>106</v>
      </c>
      <c r="W2048" s="9" t="s">
        <v>106</v>
      </c>
      <c r="X2048" s="9" t="s">
        <v>106</v>
      </c>
      <c r="Y2048" s="9" t="s">
        <v>106</v>
      </c>
      <c r="Z2048" s="9" t="s">
        <v>106</v>
      </c>
      <c r="AA2048" s="9" t="s">
        <v>106</v>
      </c>
      <c r="AB2048" s="9" t="s">
        <v>106</v>
      </c>
      <c r="AC2048" s="9" t="s">
        <v>5100</v>
      </c>
      <c r="AD2048" s="9" t="s">
        <v>5100</v>
      </c>
    </row>
    <row r="2049" spans="1:30">
      <c r="A2049" s="9" t="s">
        <v>4533</v>
      </c>
      <c r="B2049" s="9" t="s">
        <v>4534</v>
      </c>
      <c r="C2049" s="9" t="s">
        <v>105</v>
      </c>
      <c r="D2049" s="9">
        <v>7.7</v>
      </c>
      <c r="E2049" s="9" t="s">
        <v>106</v>
      </c>
      <c r="F2049" s="68">
        <v>270</v>
      </c>
      <c r="G2049" s="9" t="s">
        <v>106</v>
      </c>
      <c r="H2049" s="9">
        <v>5.2</v>
      </c>
      <c r="I2049" s="9">
        <v>6</v>
      </c>
      <c r="J2049" s="9" t="s">
        <v>122</v>
      </c>
      <c r="K2049" s="9" t="s">
        <v>924</v>
      </c>
      <c r="L2049" t="str">
        <f>IF(OR(J2049="Cattle",J2049="Zebu Cattle"),IF(COUNTIF(lists!$M$2:$M$258, K2049) &gt; 0,"bos.indicus",IF(COUNTIF(lists!$L$2:$L$258, K2049) &gt; 0,"cross.bred","pure.bred.exotic")),"NA")</f>
        <v>pure.bred.exotic</v>
      </c>
      <c r="O2049" s="9" t="s">
        <v>4194</v>
      </c>
      <c r="P2049" s="9" t="s">
        <v>4198</v>
      </c>
      <c r="Q2049" s="9" t="s">
        <v>3809</v>
      </c>
      <c r="R2049" s="9" t="s">
        <v>3830</v>
      </c>
      <c r="S2049" s="9" t="s">
        <v>106</v>
      </c>
      <c r="T2049" s="9" t="s">
        <v>106</v>
      </c>
      <c r="U2049" s="9" t="s">
        <v>106</v>
      </c>
      <c r="V2049" s="9" t="s">
        <v>106</v>
      </c>
      <c r="W2049" s="9" t="s">
        <v>106</v>
      </c>
      <c r="X2049" s="9" t="s">
        <v>106</v>
      </c>
      <c r="Y2049" s="9" t="s">
        <v>106</v>
      </c>
      <c r="Z2049" s="9" t="s">
        <v>106</v>
      </c>
      <c r="AA2049" s="9" t="s">
        <v>106</v>
      </c>
      <c r="AB2049" s="9" t="s">
        <v>106</v>
      </c>
      <c r="AC2049" s="9" t="s">
        <v>5100</v>
      </c>
      <c r="AD2049" s="9" t="s">
        <v>5100</v>
      </c>
    </row>
    <row r="2050" spans="1:30">
      <c r="A2050" s="9" t="s">
        <v>4533</v>
      </c>
      <c r="B2050" s="9" t="s">
        <v>4535</v>
      </c>
      <c r="C2050" s="9" t="s">
        <v>105</v>
      </c>
      <c r="D2050" s="9">
        <v>8</v>
      </c>
      <c r="E2050" s="9" t="s">
        <v>106</v>
      </c>
      <c r="F2050" s="68">
        <v>270</v>
      </c>
      <c r="G2050" s="9" t="s">
        <v>106</v>
      </c>
      <c r="H2050" s="9">
        <v>5.5</v>
      </c>
      <c r="I2050" s="9">
        <v>6</v>
      </c>
      <c r="J2050" s="9" t="s">
        <v>122</v>
      </c>
      <c r="K2050" s="9" t="s">
        <v>924</v>
      </c>
      <c r="L2050" t="str">
        <f>IF(OR(J2050="Cattle",J2050="Zebu Cattle"),IF(COUNTIF(lists!$M$2:$M$258, K2050) &gt; 0,"bos.indicus",IF(COUNTIF(lists!$L$2:$L$258, K2050) &gt; 0,"cross.bred","pure.bred.exotic")),"NA")</f>
        <v>pure.bred.exotic</v>
      </c>
      <c r="O2050" s="9" t="s">
        <v>4194</v>
      </c>
      <c r="P2050" s="9" t="s">
        <v>4198</v>
      </c>
      <c r="Q2050" s="9" t="s">
        <v>3809</v>
      </c>
      <c r="R2050" s="9" t="s">
        <v>3830</v>
      </c>
      <c r="S2050" s="9" t="s">
        <v>106</v>
      </c>
      <c r="T2050" s="9" t="s">
        <v>106</v>
      </c>
      <c r="U2050" s="9" t="s">
        <v>106</v>
      </c>
      <c r="V2050" s="9" t="s">
        <v>106</v>
      </c>
      <c r="W2050" s="9" t="s">
        <v>106</v>
      </c>
      <c r="X2050" s="9" t="s">
        <v>106</v>
      </c>
      <c r="Y2050" s="9" t="s">
        <v>106</v>
      </c>
      <c r="Z2050" s="9" t="s">
        <v>106</v>
      </c>
      <c r="AA2050" s="9" t="s">
        <v>106</v>
      </c>
      <c r="AB2050" s="9" t="s">
        <v>106</v>
      </c>
      <c r="AC2050" s="9" t="s">
        <v>5100</v>
      </c>
      <c r="AD2050" s="9" t="s">
        <v>5100</v>
      </c>
    </row>
    <row r="2051" spans="1:30">
      <c r="A2051" s="9" t="s">
        <v>4536</v>
      </c>
      <c r="B2051" s="9" t="s">
        <v>455</v>
      </c>
      <c r="C2051" s="9" t="s">
        <v>105</v>
      </c>
      <c r="D2051" s="9">
        <v>6.87</v>
      </c>
      <c r="E2051" s="9" t="s">
        <v>106</v>
      </c>
      <c r="F2051" s="68">
        <v>270</v>
      </c>
      <c r="G2051" s="9" t="s">
        <v>106</v>
      </c>
      <c r="H2051" s="9">
        <v>3.78</v>
      </c>
      <c r="I2051" s="9">
        <v>6</v>
      </c>
      <c r="J2051" s="9" t="s">
        <v>122</v>
      </c>
      <c r="K2051" s="9" t="s">
        <v>4541</v>
      </c>
      <c r="L2051" t="str">
        <f>IF(OR(J2051="Cattle",J2051="Zebu Cattle"),IF(COUNTIF(lists!$M$2:$M$258, K2051) &gt; 0,"bos.indicus",IF(COUNTIF(lists!$L$2:$L$258, K2051) &gt; 0,"cross.bred","pure.bred.exotic")),"NA")</f>
        <v>bos.indicus</v>
      </c>
      <c r="O2051" s="9" t="s">
        <v>4193</v>
      </c>
      <c r="P2051" s="9" t="s">
        <v>4198</v>
      </c>
      <c r="Q2051" s="9" t="s">
        <v>3809</v>
      </c>
      <c r="R2051" s="9" t="s">
        <v>3830</v>
      </c>
      <c r="S2051" s="9" t="s">
        <v>106</v>
      </c>
      <c r="T2051" s="9" t="s">
        <v>106</v>
      </c>
      <c r="U2051" s="9">
        <v>125.1</v>
      </c>
      <c r="V2051" s="9" t="s">
        <v>106</v>
      </c>
      <c r="W2051" s="9" t="s">
        <v>106</v>
      </c>
      <c r="X2051" s="9" t="s">
        <v>106</v>
      </c>
      <c r="Y2051" s="9">
        <v>55.7</v>
      </c>
      <c r="Z2051" s="9" t="s">
        <v>106</v>
      </c>
      <c r="AA2051" s="9">
        <v>56.3</v>
      </c>
      <c r="AB2051" s="9">
        <v>59.7</v>
      </c>
      <c r="AC2051" s="9" t="s">
        <v>5100</v>
      </c>
      <c r="AD2051" s="9" t="s">
        <v>5100</v>
      </c>
    </row>
    <row r="2052" spans="1:30">
      <c r="A2052" s="9" t="s">
        <v>4536</v>
      </c>
      <c r="B2052" s="9" t="s">
        <v>4539</v>
      </c>
      <c r="C2052" s="9" t="s">
        <v>105</v>
      </c>
      <c r="D2052" s="9">
        <v>6.79</v>
      </c>
      <c r="E2052" s="9" t="s">
        <v>106</v>
      </c>
      <c r="F2052" s="68">
        <v>270</v>
      </c>
      <c r="G2052" s="9" t="s">
        <v>106</v>
      </c>
      <c r="H2052" s="9">
        <v>3.86</v>
      </c>
      <c r="I2052" s="9">
        <v>6</v>
      </c>
      <c r="J2052" s="9" t="s">
        <v>122</v>
      </c>
      <c r="K2052" s="9" t="s">
        <v>4541</v>
      </c>
      <c r="L2052" t="str">
        <f>IF(OR(J2052="Cattle",J2052="Zebu Cattle"),IF(COUNTIF(lists!$M$2:$M$258, K2052) &gt; 0,"bos.indicus",IF(COUNTIF(lists!$L$2:$L$258, K2052) &gt; 0,"cross.bred","pure.bred.exotic")),"NA")</f>
        <v>bos.indicus</v>
      </c>
      <c r="O2052" s="9" t="s">
        <v>4193</v>
      </c>
      <c r="P2052" s="9" t="s">
        <v>4198</v>
      </c>
      <c r="Q2052" s="9" t="s">
        <v>3809</v>
      </c>
      <c r="R2052" s="9" t="s">
        <v>3830</v>
      </c>
      <c r="S2052" s="9" t="s">
        <v>106</v>
      </c>
      <c r="T2052" s="9" t="s">
        <v>106</v>
      </c>
      <c r="U2052" s="9">
        <v>134.5</v>
      </c>
      <c r="V2052" s="9" t="s">
        <v>106</v>
      </c>
      <c r="W2052" s="9" t="s">
        <v>106</v>
      </c>
      <c r="X2052" s="9" t="s">
        <v>106</v>
      </c>
      <c r="Y2052" s="9">
        <v>65.7</v>
      </c>
      <c r="Z2052" s="9" t="s">
        <v>106</v>
      </c>
      <c r="AA2052" s="9">
        <v>58.7</v>
      </c>
      <c r="AB2052" s="9">
        <v>61.3</v>
      </c>
      <c r="AC2052" s="9" t="s">
        <v>5100</v>
      </c>
      <c r="AD2052" s="9" t="s">
        <v>5100</v>
      </c>
    </row>
    <row r="2053" spans="1:30">
      <c r="A2053" s="9" t="s">
        <v>4536</v>
      </c>
      <c r="B2053" s="9" t="s">
        <v>4540</v>
      </c>
      <c r="C2053" s="9" t="s">
        <v>105</v>
      </c>
      <c r="D2053" s="9">
        <v>6.76</v>
      </c>
      <c r="E2053" s="9" t="s">
        <v>106</v>
      </c>
      <c r="F2053" s="68">
        <v>270</v>
      </c>
      <c r="G2053" s="9" t="s">
        <v>106</v>
      </c>
      <c r="H2053" s="9">
        <v>3.8</v>
      </c>
      <c r="I2053" s="9">
        <v>6</v>
      </c>
      <c r="J2053" s="9" t="s">
        <v>122</v>
      </c>
      <c r="K2053" s="9" t="s">
        <v>4541</v>
      </c>
      <c r="L2053" t="str">
        <f>IF(OR(J2053="Cattle",J2053="Zebu Cattle"),IF(COUNTIF(lists!$M$2:$M$258, K2053) &gt; 0,"bos.indicus",IF(COUNTIF(lists!$L$2:$L$258, K2053) &gt; 0,"cross.bred","pure.bred.exotic")),"NA")</f>
        <v>bos.indicus</v>
      </c>
      <c r="O2053" s="9" t="s">
        <v>4193</v>
      </c>
      <c r="P2053" s="9" t="s">
        <v>4198</v>
      </c>
      <c r="Q2053" s="9" t="s">
        <v>3809</v>
      </c>
      <c r="R2053" s="9" t="s">
        <v>3830</v>
      </c>
      <c r="S2053" s="9" t="s">
        <v>106</v>
      </c>
      <c r="T2053" s="9" t="s">
        <v>106</v>
      </c>
      <c r="U2053" s="9">
        <v>138.9</v>
      </c>
      <c r="V2053" s="9" t="s">
        <v>106</v>
      </c>
      <c r="W2053" s="9" t="s">
        <v>106</v>
      </c>
      <c r="X2053" s="9" t="s">
        <v>106</v>
      </c>
      <c r="Y2053" s="9">
        <v>60.3</v>
      </c>
      <c r="Z2053" s="9" t="s">
        <v>106</v>
      </c>
      <c r="AA2053" s="9">
        <v>60.7</v>
      </c>
      <c r="AB2053" s="9">
        <v>63</v>
      </c>
      <c r="AC2053" s="9" t="s">
        <v>5100</v>
      </c>
      <c r="AD2053" s="9" t="s">
        <v>5100</v>
      </c>
    </row>
    <row r="2054" spans="1:30">
      <c r="A2054" s="9" t="s">
        <v>4543</v>
      </c>
      <c r="B2054" s="9" t="s">
        <v>4546</v>
      </c>
      <c r="C2054" s="9" t="s">
        <v>105</v>
      </c>
      <c r="D2054" s="65">
        <v>4.0450962789909006</v>
      </c>
      <c r="E2054" s="9" t="s">
        <v>106</v>
      </c>
      <c r="F2054" s="68">
        <v>183</v>
      </c>
      <c r="G2054" s="9">
        <v>0.2</v>
      </c>
      <c r="H2054" s="9" t="s">
        <v>106</v>
      </c>
      <c r="I2054" s="9">
        <v>12</v>
      </c>
      <c r="J2054" s="9" t="s">
        <v>122</v>
      </c>
      <c r="K2054" s="9" t="s">
        <v>4161</v>
      </c>
      <c r="L2054" t="str">
        <f>IF(OR(J2054="Cattle",J2054="Zebu Cattle"),IF(COUNTIF(lists!$M$2:$M$258, K2054) &gt; 0,"bos.indicus",IF(COUNTIF(lists!$L$2:$L$258, K2054) &gt; 0,"cross.bred","pure.bred.exotic")),"NA")</f>
        <v>bos.indicus</v>
      </c>
      <c r="O2054" s="9" t="s">
        <v>4193</v>
      </c>
      <c r="P2054" s="9" t="s">
        <v>4550</v>
      </c>
      <c r="Q2054" s="9" t="s">
        <v>3813</v>
      </c>
      <c r="R2054" s="9" t="s">
        <v>3830</v>
      </c>
      <c r="S2054" s="9" t="s">
        <v>106</v>
      </c>
      <c r="T2054" s="9" t="s">
        <v>106</v>
      </c>
      <c r="U2054" s="9" t="s">
        <v>106</v>
      </c>
      <c r="V2054" s="9" t="s">
        <v>106</v>
      </c>
      <c r="W2054" s="9" t="s">
        <v>106</v>
      </c>
      <c r="X2054" s="9" t="s">
        <v>106</v>
      </c>
      <c r="Y2054" s="9">
        <v>56.2</v>
      </c>
      <c r="Z2054" s="9" t="s">
        <v>106</v>
      </c>
      <c r="AA2054" s="9">
        <v>56.7</v>
      </c>
      <c r="AB2054" s="9">
        <v>59.1</v>
      </c>
      <c r="AC2054" s="9" t="s">
        <v>5100</v>
      </c>
      <c r="AD2054" s="9" t="s">
        <v>5100</v>
      </c>
    </row>
    <row r="2055" spans="1:30">
      <c r="A2055" s="9" t="s">
        <v>4543</v>
      </c>
      <c r="B2055" s="9" t="s">
        <v>4547</v>
      </c>
      <c r="C2055" s="9" t="s">
        <v>105</v>
      </c>
      <c r="D2055" s="65">
        <v>3.1992581886730007</v>
      </c>
      <c r="E2055" s="9" t="s">
        <v>106</v>
      </c>
      <c r="F2055" s="68">
        <v>183</v>
      </c>
      <c r="G2055" s="9">
        <v>-7.0000000000000007E-2</v>
      </c>
      <c r="H2055" s="9" t="s">
        <v>106</v>
      </c>
      <c r="I2055" s="9">
        <v>12</v>
      </c>
      <c r="J2055" s="9" t="s">
        <v>122</v>
      </c>
      <c r="K2055" s="9" t="s">
        <v>4161</v>
      </c>
      <c r="L2055" t="str">
        <f>IF(OR(J2055="Cattle",J2055="Zebu Cattle"),IF(COUNTIF(lists!$M$2:$M$258, K2055) &gt; 0,"bos.indicus",IF(COUNTIF(lists!$L$2:$L$258, K2055) &gt; 0,"cross.bred","pure.bred.exotic")),"NA")</f>
        <v>bos.indicus</v>
      </c>
      <c r="O2055" s="9" t="s">
        <v>4193</v>
      </c>
      <c r="P2055" s="9" t="s">
        <v>4550</v>
      </c>
      <c r="Q2055" s="9" t="s">
        <v>3813</v>
      </c>
      <c r="R2055" s="9" t="s">
        <v>3830</v>
      </c>
      <c r="S2055" s="9" t="s">
        <v>106</v>
      </c>
      <c r="T2055" s="9" t="s">
        <v>106</v>
      </c>
      <c r="U2055" s="9" t="s">
        <v>106</v>
      </c>
      <c r="V2055" s="9" t="s">
        <v>106</v>
      </c>
      <c r="W2055" s="9" t="s">
        <v>106</v>
      </c>
      <c r="X2055" s="9" t="s">
        <v>106</v>
      </c>
      <c r="Y2055" s="9">
        <v>60.8</v>
      </c>
      <c r="Z2055" s="9" t="s">
        <v>106</v>
      </c>
      <c r="AA2055" s="9">
        <v>56.9</v>
      </c>
      <c r="AB2055" s="9">
        <v>60.1</v>
      </c>
      <c r="AC2055" s="9" t="s">
        <v>5100</v>
      </c>
      <c r="AD2055" s="9" t="s">
        <v>5100</v>
      </c>
    </row>
    <row r="2056" spans="1:30">
      <c r="A2056" s="9" t="s">
        <v>4543</v>
      </c>
      <c r="B2056" s="9" t="s">
        <v>4548</v>
      </c>
      <c r="C2056" s="9" t="s">
        <v>105</v>
      </c>
      <c r="D2056" s="65">
        <v>2.8161432889407751</v>
      </c>
      <c r="E2056" s="9" t="s">
        <v>106</v>
      </c>
      <c r="F2056" s="68">
        <v>183</v>
      </c>
      <c r="G2056" s="9">
        <v>-0.32</v>
      </c>
      <c r="H2056" s="9" t="s">
        <v>106</v>
      </c>
      <c r="I2056" s="9">
        <v>12</v>
      </c>
      <c r="J2056" s="9" t="s">
        <v>122</v>
      </c>
      <c r="K2056" s="9" t="s">
        <v>4161</v>
      </c>
      <c r="L2056" t="str">
        <f>IF(OR(J2056="Cattle",J2056="Zebu Cattle"),IF(COUNTIF(lists!$M$2:$M$258, K2056) &gt; 0,"bos.indicus",IF(COUNTIF(lists!$L$2:$L$258, K2056) &gt; 0,"cross.bred","pure.bred.exotic")),"NA")</f>
        <v>bos.indicus</v>
      </c>
      <c r="O2056" s="9" t="s">
        <v>4193</v>
      </c>
      <c r="P2056" s="9" t="s">
        <v>4550</v>
      </c>
      <c r="Q2056" s="9" t="s">
        <v>3813</v>
      </c>
      <c r="R2056" s="9" t="s">
        <v>3830</v>
      </c>
      <c r="S2056" s="9" t="s">
        <v>106</v>
      </c>
      <c r="T2056" s="9" t="s">
        <v>106</v>
      </c>
      <c r="U2056" s="9" t="s">
        <v>106</v>
      </c>
      <c r="V2056" s="9" t="s">
        <v>106</v>
      </c>
      <c r="W2056" s="9" t="s">
        <v>106</v>
      </c>
      <c r="X2056" s="9" t="s">
        <v>106</v>
      </c>
      <c r="Y2056" s="9">
        <v>59.7</v>
      </c>
      <c r="Z2056" s="9" t="s">
        <v>106</v>
      </c>
      <c r="AA2056" s="9">
        <v>56</v>
      </c>
      <c r="AB2056" s="9">
        <v>59</v>
      </c>
      <c r="AC2056" s="9" t="s">
        <v>5100</v>
      </c>
      <c r="AD2056" s="9" t="s">
        <v>5100</v>
      </c>
    </row>
    <row r="2057" spans="1:30">
      <c r="A2057" s="9" t="s">
        <v>4543</v>
      </c>
      <c r="B2057" s="9" t="s">
        <v>4549</v>
      </c>
      <c r="C2057" s="9" t="s">
        <v>105</v>
      </c>
      <c r="D2057" s="65">
        <v>2.0051338258712588</v>
      </c>
      <c r="E2057" s="9" t="s">
        <v>106</v>
      </c>
      <c r="F2057" s="68">
        <v>183</v>
      </c>
      <c r="G2057" s="9">
        <v>-0.71</v>
      </c>
      <c r="H2057" s="9" t="s">
        <v>106</v>
      </c>
      <c r="I2057" s="9">
        <v>12</v>
      </c>
      <c r="J2057" s="9" t="s">
        <v>122</v>
      </c>
      <c r="K2057" s="9" t="s">
        <v>4161</v>
      </c>
      <c r="L2057" t="str">
        <f>IF(OR(J2057="Cattle",J2057="Zebu Cattle"),IF(COUNTIF(lists!$M$2:$M$258, K2057) &gt; 0,"bos.indicus",IF(COUNTIF(lists!$L$2:$L$258, K2057) &gt; 0,"cross.bred","pure.bred.exotic")),"NA")</f>
        <v>bos.indicus</v>
      </c>
      <c r="O2057" s="9" t="s">
        <v>4193</v>
      </c>
      <c r="P2057" s="9" t="s">
        <v>4550</v>
      </c>
      <c r="Q2057" s="9" t="s">
        <v>3813</v>
      </c>
      <c r="R2057" s="9" t="s">
        <v>3830</v>
      </c>
      <c r="S2057" s="9" t="s">
        <v>106</v>
      </c>
      <c r="T2057" s="9" t="s">
        <v>106</v>
      </c>
      <c r="U2057" s="9" t="s">
        <v>106</v>
      </c>
      <c r="V2057" s="9" t="s">
        <v>106</v>
      </c>
      <c r="W2057" s="9" t="s">
        <v>106</v>
      </c>
      <c r="X2057" s="9" t="s">
        <v>106</v>
      </c>
      <c r="Y2057" s="9">
        <v>58.1</v>
      </c>
      <c r="Z2057" s="9" t="s">
        <v>106</v>
      </c>
      <c r="AA2057" s="9">
        <v>54.1</v>
      </c>
      <c r="AB2057" s="9">
        <v>57.4</v>
      </c>
      <c r="AC2057" s="9" t="s">
        <v>5100</v>
      </c>
      <c r="AD2057" s="9" t="s">
        <v>5100</v>
      </c>
    </row>
    <row r="2058" spans="1:30">
      <c r="A2058" s="9" t="s">
        <v>4551</v>
      </c>
      <c r="B2058" s="9" t="s">
        <v>4554</v>
      </c>
      <c r="C2058" s="9" t="s">
        <v>105</v>
      </c>
      <c r="D2058" s="9">
        <v>6.73</v>
      </c>
      <c r="E2058" s="9" t="s">
        <v>106</v>
      </c>
      <c r="F2058" s="9">
        <v>228.5</v>
      </c>
      <c r="G2058" s="9">
        <v>0.65800000000000003</v>
      </c>
      <c r="H2058" s="9" t="s">
        <v>106</v>
      </c>
      <c r="I2058" s="9">
        <v>9</v>
      </c>
      <c r="J2058" s="9" t="s">
        <v>122</v>
      </c>
      <c r="K2058" s="9" t="s">
        <v>4559</v>
      </c>
      <c r="L2058" t="str">
        <f>IF(OR(J2058="Cattle",J2058="Zebu Cattle"),IF(COUNTIF(lists!$M$2:$M$258, K2058) &gt; 0,"bos.indicus",IF(COUNTIF(lists!$L$2:$L$258, K2058) &gt; 0,"cross.bred","pure.bred.exotic")),"NA")</f>
        <v>bos.indicus</v>
      </c>
      <c r="O2058" s="9" t="s">
        <v>4193</v>
      </c>
      <c r="P2058" s="9" t="s">
        <v>4560</v>
      </c>
      <c r="Q2058" s="9" t="s">
        <v>3810</v>
      </c>
      <c r="R2058" s="9" t="s">
        <v>3830</v>
      </c>
      <c r="S2058" s="9">
        <v>49</v>
      </c>
      <c r="T2058" s="9">
        <v>86</v>
      </c>
      <c r="U2058" s="9">
        <v>122</v>
      </c>
      <c r="V2058" s="9">
        <v>892</v>
      </c>
      <c r="W2058" s="9">
        <v>19</v>
      </c>
      <c r="X2058" s="9">
        <v>141</v>
      </c>
      <c r="Y2058" s="9" t="s">
        <v>106</v>
      </c>
      <c r="Z2058" s="9" t="s">
        <v>106</v>
      </c>
      <c r="AA2058" s="9" t="s">
        <v>106</v>
      </c>
      <c r="AB2058" s="9">
        <v>94</v>
      </c>
      <c r="AC2058" s="9" t="s">
        <v>5100</v>
      </c>
      <c r="AD2058" s="9" t="s">
        <v>5100</v>
      </c>
    </row>
    <row r="2059" spans="1:30">
      <c r="A2059" s="9" t="s">
        <v>4551</v>
      </c>
      <c r="B2059" s="9" t="s">
        <v>4555</v>
      </c>
      <c r="C2059" s="9" t="s">
        <v>105</v>
      </c>
      <c r="D2059" s="9">
        <v>7.35</v>
      </c>
      <c r="E2059" s="9" t="s">
        <v>106</v>
      </c>
      <c r="F2059" s="9">
        <v>243</v>
      </c>
      <c r="G2059" s="9">
        <v>0.91900000000000004</v>
      </c>
      <c r="H2059" s="9" t="s">
        <v>106</v>
      </c>
      <c r="I2059" s="9">
        <v>9</v>
      </c>
      <c r="J2059" s="9" t="s">
        <v>122</v>
      </c>
      <c r="K2059" s="9" t="s">
        <v>4559</v>
      </c>
      <c r="L2059" t="str">
        <f>IF(OR(J2059="Cattle",J2059="Zebu Cattle"),IF(COUNTIF(lists!$M$2:$M$258, K2059) &gt; 0,"bos.indicus",IF(COUNTIF(lists!$L$2:$L$258, K2059) &gt; 0,"cross.bred","pure.bred.exotic")),"NA")</f>
        <v>bos.indicus</v>
      </c>
      <c r="O2059" s="9" t="s">
        <v>4193</v>
      </c>
      <c r="P2059" s="9" t="s">
        <v>4560</v>
      </c>
      <c r="Q2059" s="9" t="s">
        <v>3810</v>
      </c>
      <c r="R2059" s="9" t="s">
        <v>3830</v>
      </c>
      <c r="S2059" s="9">
        <v>58</v>
      </c>
      <c r="T2059" s="9">
        <v>88</v>
      </c>
      <c r="U2059" s="9">
        <v>120</v>
      </c>
      <c r="V2059" s="9">
        <v>899</v>
      </c>
      <c r="W2059" s="9">
        <v>57</v>
      </c>
      <c r="X2059" s="9">
        <v>170</v>
      </c>
      <c r="Y2059" s="9" t="s">
        <v>106</v>
      </c>
      <c r="Z2059" s="9" t="s">
        <v>106</v>
      </c>
      <c r="AA2059" s="9" t="s">
        <v>106</v>
      </c>
      <c r="AB2059" s="9">
        <v>93.9</v>
      </c>
      <c r="AC2059" s="9" t="s">
        <v>5100</v>
      </c>
      <c r="AD2059" s="9" t="s">
        <v>5100</v>
      </c>
    </row>
    <row r="2060" spans="1:30">
      <c r="A2060" s="9" t="s">
        <v>4551</v>
      </c>
      <c r="B2060" s="9" t="s">
        <v>4556</v>
      </c>
      <c r="C2060" s="9" t="s">
        <v>105</v>
      </c>
      <c r="D2060" s="9">
        <v>7.64</v>
      </c>
      <c r="E2060" s="9" t="s">
        <v>106</v>
      </c>
      <c r="F2060" s="9">
        <v>231.5</v>
      </c>
      <c r="G2060" s="9">
        <v>0.70899999999999996</v>
      </c>
      <c r="H2060" s="9" t="s">
        <v>106</v>
      </c>
      <c r="I2060" s="9">
        <v>9</v>
      </c>
      <c r="J2060" s="9" t="s">
        <v>122</v>
      </c>
      <c r="K2060" s="9" t="s">
        <v>4559</v>
      </c>
      <c r="L2060" t="str">
        <f>IF(OR(J2060="Cattle",J2060="Zebu Cattle"),IF(COUNTIF(lists!$M$2:$M$258, K2060) &gt; 0,"bos.indicus",IF(COUNTIF(lists!$L$2:$L$258, K2060) &gt; 0,"cross.bred","pure.bred.exotic")),"NA")</f>
        <v>bos.indicus</v>
      </c>
      <c r="O2060" s="9" t="s">
        <v>4193</v>
      </c>
      <c r="P2060" s="9" t="s">
        <v>4560</v>
      </c>
      <c r="Q2060" s="9" t="s">
        <v>3810</v>
      </c>
      <c r="R2060" s="9" t="s">
        <v>3830</v>
      </c>
      <c r="S2060" s="9">
        <v>136</v>
      </c>
      <c r="T2060" s="9">
        <v>140</v>
      </c>
      <c r="U2060" s="9">
        <v>97</v>
      </c>
      <c r="V2060" s="9">
        <v>908</v>
      </c>
      <c r="W2060" s="9">
        <v>37</v>
      </c>
      <c r="X2060" s="9">
        <v>227</v>
      </c>
      <c r="Y2060" s="9" t="s">
        <v>106</v>
      </c>
      <c r="Z2060" s="9" t="s">
        <v>106</v>
      </c>
      <c r="AA2060" s="9" t="s">
        <v>106</v>
      </c>
      <c r="AB2060" s="9">
        <v>76.900000000000006</v>
      </c>
      <c r="AC2060" s="9" t="s">
        <v>5100</v>
      </c>
      <c r="AD2060" s="9" t="s">
        <v>5100</v>
      </c>
    </row>
    <row r="2061" spans="1:30">
      <c r="A2061" s="9" t="s">
        <v>4551</v>
      </c>
      <c r="B2061" s="9" t="s">
        <v>4557</v>
      </c>
      <c r="C2061" s="9" t="s">
        <v>105</v>
      </c>
      <c r="D2061" s="9">
        <v>6.19</v>
      </c>
      <c r="E2061" s="9" t="s">
        <v>106</v>
      </c>
      <c r="F2061" s="9">
        <v>234.5</v>
      </c>
      <c r="G2061" s="9">
        <v>0.79100000000000004</v>
      </c>
      <c r="H2061" s="9" t="s">
        <v>106</v>
      </c>
      <c r="I2061" s="9">
        <v>9</v>
      </c>
      <c r="J2061" s="9" t="s">
        <v>122</v>
      </c>
      <c r="K2061" s="9" t="s">
        <v>4559</v>
      </c>
      <c r="L2061" t="str">
        <f>IF(OR(J2061="Cattle",J2061="Zebu Cattle"),IF(COUNTIF(lists!$M$2:$M$258, K2061) &gt; 0,"bos.indicus",IF(COUNTIF(lists!$L$2:$L$258, K2061) &gt; 0,"cross.bred","pure.bred.exotic")),"NA")</f>
        <v>bos.indicus</v>
      </c>
      <c r="O2061" s="9" t="s">
        <v>4193</v>
      </c>
      <c r="P2061" s="9" t="s">
        <v>4560</v>
      </c>
      <c r="Q2061" s="9" t="s">
        <v>3810</v>
      </c>
      <c r="R2061" s="9" t="s">
        <v>3830</v>
      </c>
      <c r="S2061" s="9">
        <v>68</v>
      </c>
      <c r="T2061" s="9">
        <v>47</v>
      </c>
      <c r="U2061" s="9">
        <v>145</v>
      </c>
      <c r="V2061" s="9">
        <v>924</v>
      </c>
      <c r="W2061" s="9">
        <v>65</v>
      </c>
      <c r="X2061" s="9">
        <v>243</v>
      </c>
      <c r="Y2061" s="9" t="s">
        <v>106</v>
      </c>
      <c r="Z2061" s="9" t="s">
        <v>106</v>
      </c>
      <c r="AA2061" s="9" t="s">
        <v>106</v>
      </c>
      <c r="AB2061" s="9">
        <v>92.9</v>
      </c>
      <c r="AC2061" s="9" t="s">
        <v>5100</v>
      </c>
      <c r="AD2061" s="9" t="s">
        <v>5100</v>
      </c>
    </row>
    <row r="2062" spans="1:30">
      <c r="A2062" s="9" t="s">
        <v>4551</v>
      </c>
      <c r="B2062" s="9" t="s">
        <v>4558</v>
      </c>
      <c r="C2062" s="9" t="s">
        <v>105</v>
      </c>
      <c r="D2062" s="9">
        <v>6.94</v>
      </c>
      <c r="E2062" s="9" t="s">
        <v>106</v>
      </c>
      <c r="F2062" s="9">
        <v>230.5</v>
      </c>
      <c r="G2062" s="9">
        <v>0.63900000000000001</v>
      </c>
      <c r="H2062" s="9" t="s">
        <v>106</v>
      </c>
      <c r="I2062" s="9">
        <v>9</v>
      </c>
      <c r="J2062" s="9" t="s">
        <v>122</v>
      </c>
      <c r="K2062" s="9" t="s">
        <v>4559</v>
      </c>
      <c r="L2062" t="str">
        <f>IF(OR(J2062="Cattle",J2062="Zebu Cattle"),IF(COUNTIF(lists!$M$2:$M$258, K2062) &gt; 0,"bos.indicus",IF(COUNTIF(lists!$L$2:$L$258, K2062) &gt; 0,"cross.bred","pure.bred.exotic")),"NA")</f>
        <v>bos.indicus</v>
      </c>
      <c r="O2062" s="9" t="s">
        <v>4193</v>
      </c>
      <c r="P2062" s="9" t="s">
        <v>4560</v>
      </c>
      <c r="Q2062" s="9" t="s">
        <v>3810</v>
      </c>
      <c r="R2062" s="9" t="s">
        <v>3830</v>
      </c>
      <c r="S2062" s="9">
        <v>200</v>
      </c>
      <c r="T2062" s="9">
        <v>125</v>
      </c>
      <c r="U2062" s="9">
        <v>111</v>
      </c>
      <c r="V2062" s="9">
        <v>909</v>
      </c>
      <c r="W2062" s="9">
        <v>40</v>
      </c>
      <c r="X2062" s="9">
        <v>352</v>
      </c>
      <c r="Y2062" s="9" t="s">
        <v>106</v>
      </c>
      <c r="Z2062" s="9" t="s">
        <v>106</v>
      </c>
      <c r="AA2062" s="9" t="s">
        <v>106</v>
      </c>
      <c r="AB2062" s="9">
        <v>72.400000000000006</v>
      </c>
      <c r="AC2062" s="9" t="s">
        <v>5100</v>
      </c>
      <c r="AD2062" s="9" t="s">
        <v>5100</v>
      </c>
    </row>
    <row r="2063" spans="1:30">
      <c r="A2063" s="79" t="s">
        <v>4563</v>
      </c>
      <c r="B2063" s="78" t="s">
        <v>4565</v>
      </c>
      <c r="C2063" s="78" t="s">
        <v>105</v>
      </c>
      <c r="D2063" s="78">
        <v>4.45</v>
      </c>
      <c r="E2063" s="78" t="s">
        <v>106</v>
      </c>
      <c r="F2063" s="78">
        <v>209.5</v>
      </c>
      <c r="G2063" s="78">
        <v>0.9</v>
      </c>
      <c r="H2063" s="78" t="s">
        <v>106</v>
      </c>
      <c r="I2063" s="78">
        <v>8</v>
      </c>
      <c r="J2063" s="78" t="s">
        <v>122</v>
      </c>
      <c r="K2063" s="78" t="s">
        <v>4559</v>
      </c>
      <c r="L2063" s="77" t="str">
        <f>IF(OR(J2063="Cattle",J2063="Zebu Cattle"),IF(COUNTIF(lists!$M$2:$M$258, K2063) &gt; 0,"bos.indicus",IF(COUNTIF(lists!$L$2:$L$258, K2063) &gt; 0,"cross.bred","pure.bred.exotic")),"NA")</f>
        <v>bos.indicus</v>
      </c>
      <c r="O2063" s="9" t="s">
        <v>4193</v>
      </c>
      <c r="P2063" s="9" t="s">
        <v>4570</v>
      </c>
      <c r="Q2063" s="9" t="s">
        <v>3800</v>
      </c>
      <c r="R2063" s="9" t="s">
        <v>3830</v>
      </c>
      <c r="S2063" s="78">
        <v>66</v>
      </c>
      <c r="T2063" s="9">
        <v>105</v>
      </c>
      <c r="U2063" s="9">
        <v>124</v>
      </c>
      <c r="V2063" s="9">
        <v>935</v>
      </c>
      <c r="W2063" s="9">
        <v>33.200000000000003</v>
      </c>
      <c r="X2063" s="78">
        <v>282</v>
      </c>
      <c r="Y2063" s="9" t="s">
        <v>106</v>
      </c>
      <c r="Z2063" s="78">
        <v>13.3</v>
      </c>
      <c r="AA2063" s="9" t="s">
        <v>106</v>
      </c>
      <c r="AB2063" s="9" t="s">
        <v>106</v>
      </c>
      <c r="AC2063" s="9" t="s">
        <v>5100</v>
      </c>
      <c r="AD2063" s="9" t="s">
        <v>5100</v>
      </c>
    </row>
    <row r="2064" spans="1:30">
      <c r="A2064" s="79" t="s">
        <v>4563</v>
      </c>
      <c r="B2064" s="9" t="s">
        <v>4566</v>
      </c>
      <c r="C2064" s="9" t="s">
        <v>105</v>
      </c>
      <c r="D2064" s="9">
        <v>4.07</v>
      </c>
      <c r="E2064" s="9" t="s">
        <v>106</v>
      </c>
      <c r="F2064" s="9">
        <v>198.5</v>
      </c>
      <c r="G2064" s="9">
        <v>0.86</v>
      </c>
      <c r="H2064" s="9" t="s">
        <v>106</v>
      </c>
      <c r="I2064" s="9">
        <v>8</v>
      </c>
      <c r="J2064" s="9" t="s">
        <v>122</v>
      </c>
      <c r="K2064" s="9" t="s">
        <v>4559</v>
      </c>
      <c r="L2064" t="str">
        <f>IF(OR(J2064="Cattle",J2064="Zebu Cattle"),IF(COUNTIF(lists!$M$2:$M$258, K2064) &gt; 0,"bos.indicus",IF(COUNTIF(lists!$L$2:$L$258, K2064) &gt; 0,"cross.bred","pure.bred.exotic")),"NA")</f>
        <v>bos.indicus</v>
      </c>
      <c r="O2064" s="9" t="s">
        <v>4193</v>
      </c>
      <c r="P2064" s="9" t="s">
        <v>4570</v>
      </c>
      <c r="Q2064" s="9" t="s">
        <v>3800</v>
      </c>
      <c r="R2064" s="9" t="s">
        <v>3830</v>
      </c>
      <c r="S2064" s="78">
        <v>297</v>
      </c>
      <c r="T2064" s="9">
        <v>64.400000000000006</v>
      </c>
      <c r="U2064" s="9">
        <v>141</v>
      </c>
      <c r="V2064" s="9">
        <v>941</v>
      </c>
      <c r="W2064" s="9">
        <v>77</v>
      </c>
      <c r="X2064" s="9">
        <v>565</v>
      </c>
      <c r="Y2064" s="9" t="s">
        <v>106</v>
      </c>
      <c r="Z2064" s="9">
        <v>68.8</v>
      </c>
      <c r="AA2064" s="9" t="s">
        <v>106</v>
      </c>
      <c r="AB2064" s="9" t="s">
        <v>106</v>
      </c>
      <c r="AC2064" s="9" t="s">
        <v>5100</v>
      </c>
      <c r="AD2064" s="9" t="s">
        <v>5100</v>
      </c>
    </row>
    <row r="2065" spans="1:30">
      <c r="A2065" s="79" t="s">
        <v>4563</v>
      </c>
      <c r="B2065" s="9" t="s">
        <v>4567</v>
      </c>
      <c r="C2065" s="9" t="s">
        <v>105</v>
      </c>
      <c r="D2065" s="9">
        <v>4.74</v>
      </c>
      <c r="E2065" s="9" t="s">
        <v>106</v>
      </c>
      <c r="F2065" s="9">
        <v>186</v>
      </c>
      <c r="G2065" s="9">
        <v>0.61</v>
      </c>
      <c r="H2065" s="9" t="s">
        <v>106</v>
      </c>
      <c r="I2065" s="9">
        <v>8</v>
      </c>
      <c r="J2065" s="9" t="s">
        <v>122</v>
      </c>
      <c r="K2065" s="9" t="s">
        <v>4559</v>
      </c>
      <c r="L2065" t="str">
        <f>IF(OR(J2065="Cattle",J2065="Zebu Cattle"),IF(COUNTIF(lists!$M$2:$M$258, K2065) &gt; 0,"bos.indicus",IF(COUNTIF(lists!$L$2:$L$258, K2065) &gt; 0,"cross.bred","pure.bred.exotic")),"NA")</f>
        <v>bos.indicus</v>
      </c>
      <c r="O2065" s="9" t="s">
        <v>4193</v>
      </c>
      <c r="P2065" s="9" t="s">
        <v>4570</v>
      </c>
      <c r="Q2065" s="9" t="s">
        <v>3800</v>
      </c>
      <c r="R2065" s="9" t="s">
        <v>3830</v>
      </c>
      <c r="S2065" s="78">
        <v>412</v>
      </c>
      <c r="T2065" s="9">
        <v>116</v>
      </c>
      <c r="U2065" s="9">
        <v>73.099999999999994</v>
      </c>
      <c r="V2065" s="9">
        <v>951</v>
      </c>
      <c r="W2065" s="9">
        <v>53.9</v>
      </c>
      <c r="X2065" s="9">
        <v>564</v>
      </c>
      <c r="Y2065" s="9" t="s">
        <v>106</v>
      </c>
      <c r="Z2065" s="9">
        <v>83</v>
      </c>
      <c r="AA2065" s="9" t="s">
        <v>106</v>
      </c>
      <c r="AB2065" s="9" t="s">
        <v>106</v>
      </c>
      <c r="AC2065" s="9" t="s">
        <v>5100</v>
      </c>
      <c r="AD2065" s="9" t="s">
        <v>5100</v>
      </c>
    </row>
    <row r="2066" spans="1:30">
      <c r="A2066" s="79" t="s">
        <v>4563</v>
      </c>
      <c r="B2066" s="9" t="s">
        <v>4568</v>
      </c>
      <c r="C2066" s="9" t="s">
        <v>105</v>
      </c>
      <c r="D2066" s="9">
        <v>4.16</v>
      </c>
      <c r="E2066" s="9" t="s">
        <v>106</v>
      </c>
      <c r="F2066" s="9">
        <v>198.5</v>
      </c>
      <c r="G2066" s="9">
        <v>0.83</v>
      </c>
      <c r="H2066" s="9" t="s">
        <v>106</v>
      </c>
      <c r="I2066" s="9">
        <v>8</v>
      </c>
      <c r="J2066" s="9" t="s">
        <v>122</v>
      </c>
      <c r="K2066" s="9" t="s">
        <v>4559</v>
      </c>
      <c r="L2066" t="str">
        <f>IF(OR(J2066="Cattle",J2066="Zebu Cattle"),IF(COUNTIF(lists!$M$2:$M$258, K2066) &gt; 0,"bos.indicus",IF(COUNTIF(lists!$L$2:$L$258, K2066) &gt; 0,"cross.bred","pure.bred.exotic")),"NA")</f>
        <v>bos.indicus</v>
      </c>
      <c r="O2066" s="9" t="s">
        <v>4193</v>
      </c>
      <c r="P2066" s="9" t="s">
        <v>4570</v>
      </c>
      <c r="Q2066" s="9" t="s">
        <v>3800</v>
      </c>
      <c r="R2066" s="9" t="s">
        <v>3830</v>
      </c>
      <c r="S2066" s="78">
        <v>337</v>
      </c>
      <c r="T2066" s="9">
        <v>103</v>
      </c>
      <c r="U2066" s="9">
        <v>115</v>
      </c>
      <c r="V2066" s="9">
        <v>936</v>
      </c>
      <c r="W2066" s="9">
        <v>70.8</v>
      </c>
      <c r="X2066" s="9">
        <v>700</v>
      </c>
      <c r="Y2066" s="9" t="s">
        <v>106</v>
      </c>
      <c r="Z2066" s="9">
        <v>70.400000000000006</v>
      </c>
      <c r="AA2066" s="9" t="s">
        <v>106</v>
      </c>
      <c r="AB2066" s="9" t="s">
        <v>106</v>
      </c>
      <c r="AC2066" s="9" t="s">
        <v>5100</v>
      </c>
      <c r="AD2066" s="9" t="s">
        <v>5100</v>
      </c>
    </row>
    <row r="2067" spans="1:30">
      <c r="A2067" s="79" t="s">
        <v>4563</v>
      </c>
      <c r="B2067" s="9" t="s">
        <v>4569</v>
      </c>
      <c r="C2067" s="9" t="s">
        <v>105</v>
      </c>
      <c r="D2067" s="9">
        <v>5.58</v>
      </c>
      <c r="E2067" s="9" t="s">
        <v>106</v>
      </c>
      <c r="F2067" s="9">
        <v>203</v>
      </c>
      <c r="G2067" s="9">
        <v>0.57999999999999996</v>
      </c>
      <c r="H2067" s="9" t="s">
        <v>106</v>
      </c>
      <c r="I2067" s="9">
        <v>8</v>
      </c>
      <c r="J2067" s="9" t="s">
        <v>122</v>
      </c>
      <c r="K2067" s="9" t="s">
        <v>4559</v>
      </c>
      <c r="L2067" t="str">
        <f>IF(OR(J2067="Cattle",J2067="Zebu Cattle"),IF(COUNTIF(lists!$M$2:$M$258, K2067) &gt; 0,"bos.indicus",IF(COUNTIF(lists!$L$2:$L$258, K2067) &gt; 0,"cross.bred","pure.bred.exotic")),"NA")</f>
        <v>bos.indicus</v>
      </c>
      <c r="O2067" s="9" t="s">
        <v>4193</v>
      </c>
      <c r="P2067" s="9" t="s">
        <v>4570</v>
      </c>
      <c r="Q2067" s="9" t="s">
        <v>3800</v>
      </c>
      <c r="R2067" s="9" t="s">
        <v>3830</v>
      </c>
      <c r="S2067" s="78">
        <v>493</v>
      </c>
      <c r="T2067" s="9">
        <v>52.3</v>
      </c>
      <c r="U2067" s="9">
        <v>62.8</v>
      </c>
      <c r="V2067" s="9">
        <v>922</v>
      </c>
      <c r="W2067" s="9">
        <v>51.9</v>
      </c>
      <c r="X2067" s="9">
        <v>688</v>
      </c>
      <c r="Y2067" s="9" t="s">
        <v>106</v>
      </c>
      <c r="Z2067" s="9">
        <v>114</v>
      </c>
      <c r="AA2067" s="9" t="s">
        <v>106</v>
      </c>
      <c r="AB2067" s="9" t="s">
        <v>106</v>
      </c>
      <c r="AC2067" s="9" t="s">
        <v>5100</v>
      </c>
      <c r="AD2067" s="9" t="s">
        <v>5100</v>
      </c>
    </row>
    <row r="2068" spans="1:30">
      <c r="A2068" s="9" t="s">
        <v>4572</v>
      </c>
      <c r="B2068" s="9" t="s">
        <v>4573</v>
      </c>
      <c r="C2068" s="9" t="s">
        <v>105</v>
      </c>
      <c r="D2068" s="65">
        <v>5.2874999999999996</v>
      </c>
      <c r="E2068" s="9" t="s">
        <v>106</v>
      </c>
      <c r="F2068" s="9">
        <v>225</v>
      </c>
      <c r="G2068" s="9">
        <v>1.0900000000000001</v>
      </c>
      <c r="H2068" s="9" t="s">
        <v>106</v>
      </c>
      <c r="I2068" s="9">
        <v>11</v>
      </c>
      <c r="J2068" s="9" t="s">
        <v>122</v>
      </c>
      <c r="K2068" s="9" t="s">
        <v>4584</v>
      </c>
      <c r="L2068" t="str">
        <f>IF(OR(J2068="Cattle",J2068="Zebu Cattle"),IF(COUNTIF(lists!$M$2:$M$258, K2068) &gt; 0,"bos.indicus",IF(COUNTIF(lists!$L$2:$L$258, K2068) &gt; 0,"cross.bred","pure.bred.exotic")),"NA")</f>
        <v>cross.bred</v>
      </c>
      <c r="O2068" s="9" t="s">
        <v>124</v>
      </c>
      <c r="P2068" s="9" t="s">
        <v>4585</v>
      </c>
      <c r="Q2068" s="9" t="s">
        <v>3813</v>
      </c>
      <c r="R2068" s="9" t="s">
        <v>3830</v>
      </c>
      <c r="S2068" s="9" t="s">
        <v>106</v>
      </c>
      <c r="T2068" s="9" t="s">
        <v>106</v>
      </c>
      <c r="U2068" s="9" t="s">
        <v>106</v>
      </c>
      <c r="V2068" s="9" t="s">
        <v>106</v>
      </c>
      <c r="W2068" s="9" t="s">
        <v>106</v>
      </c>
      <c r="X2068" s="9" t="s">
        <v>106</v>
      </c>
      <c r="Y2068" s="9" t="s">
        <v>106</v>
      </c>
      <c r="Z2068" s="9" t="s">
        <v>106</v>
      </c>
      <c r="AA2068" s="9" t="s">
        <v>106</v>
      </c>
      <c r="AB2068" s="9" t="s">
        <v>106</v>
      </c>
      <c r="AC2068" s="9" t="s">
        <v>5100</v>
      </c>
      <c r="AD2068" s="9" t="s">
        <v>5100</v>
      </c>
    </row>
    <row r="2069" spans="1:30">
      <c r="A2069" s="9" t="s">
        <v>4572</v>
      </c>
      <c r="B2069" s="9" t="s">
        <v>4574</v>
      </c>
      <c r="C2069" s="9" t="s">
        <v>105</v>
      </c>
      <c r="D2069" s="65">
        <v>5.9950000000000001</v>
      </c>
      <c r="E2069" s="9" t="s">
        <v>106</v>
      </c>
      <c r="F2069" s="9">
        <v>275</v>
      </c>
      <c r="G2069" s="9">
        <v>1.03</v>
      </c>
      <c r="H2069" s="9" t="s">
        <v>106</v>
      </c>
      <c r="I2069" s="9">
        <v>11</v>
      </c>
      <c r="J2069" s="9" t="s">
        <v>122</v>
      </c>
      <c r="K2069" s="9" t="s">
        <v>4584</v>
      </c>
      <c r="L2069" t="str">
        <f>IF(OR(J2069="Cattle",J2069="Zebu Cattle"),IF(COUNTIF(lists!$M$2:$M$258, K2069) &gt; 0,"bos.indicus",IF(COUNTIF(lists!$L$2:$L$258, K2069) &gt; 0,"cross.bred","pure.bred.exotic")),"NA")</f>
        <v>cross.bred</v>
      </c>
      <c r="O2069" s="9" t="s">
        <v>124</v>
      </c>
      <c r="P2069" s="9" t="s">
        <v>4585</v>
      </c>
      <c r="Q2069" s="9" t="s">
        <v>3813</v>
      </c>
      <c r="R2069" s="9" t="s">
        <v>3830</v>
      </c>
      <c r="S2069" s="9" t="s">
        <v>106</v>
      </c>
      <c r="T2069" s="9" t="s">
        <v>106</v>
      </c>
      <c r="U2069" s="9" t="s">
        <v>106</v>
      </c>
      <c r="V2069" s="9" t="s">
        <v>106</v>
      </c>
      <c r="W2069" s="9" t="s">
        <v>106</v>
      </c>
      <c r="X2069" s="9" t="s">
        <v>106</v>
      </c>
      <c r="Y2069" s="9" t="s">
        <v>106</v>
      </c>
      <c r="Z2069" s="9" t="s">
        <v>106</v>
      </c>
      <c r="AA2069" s="9" t="s">
        <v>106</v>
      </c>
      <c r="AB2069" s="9" t="s">
        <v>106</v>
      </c>
      <c r="AC2069" s="9" t="s">
        <v>5100</v>
      </c>
      <c r="AD2069" s="9" t="s">
        <v>5100</v>
      </c>
    </row>
    <row r="2070" spans="1:30">
      <c r="A2070" s="9" t="s">
        <v>4572</v>
      </c>
      <c r="B2070" s="9" t="s">
        <v>4575</v>
      </c>
      <c r="C2070" s="9" t="s">
        <v>105</v>
      </c>
      <c r="D2070" s="65">
        <v>6.5650000000000004</v>
      </c>
      <c r="E2070" s="9" t="s">
        <v>106</v>
      </c>
      <c r="F2070" s="9">
        <v>325</v>
      </c>
      <c r="G2070" s="9">
        <v>0.96</v>
      </c>
      <c r="H2070" s="9" t="s">
        <v>106</v>
      </c>
      <c r="I2070" s="9">
        <v>11</v>
      </c>
      <c r="J2070" s="9" t="s">
        <v>122</v>
      </c>
      <c r="K2070" s="9" t="s">
        <v>4584</v>
      </c>
      <c r="L2070" t="str">
        <f>IF(OR(J2070="Cattle",J2070="Zebu Cattle"),IF(COUNTIF(lists!$M$2:$M$258, K2070) &gt; 0,"bos.indicus",IF(COUNTIF(lists!$L$2:$L$258, K2070) &gt; 0,"cross.bred","pure.bred.exotic")),"NA")</f>
        <v>cross.bred</v>
      </c>
      <c r="O2070" s="9" t="s">
        <v>124</v>
      </c>
      <c r="P2070" s="9" t="s">
        <v>4585</v>
      </c>
      <c r="Q2070" s="9" t="s">
        <v>3813</v>
      </c>
      <c r="R2070" s="9" t="s">
        <v>3830</v>
      </c>
      <c r="S2070" s="9" t="s">
        <v>106</v>
      </c>
      <c r="T2070" s="9" t="s">
        <v>106</v>
      </c>
      <c r="U2070" s="9" t="s">
        <v>106</v>
      </c>
      <c r="V2070" s="9" t="s">
        <v>106</v>
      </c>
      <c r="W2070" s="9" t="s">
        <v>106</v>
      </c>
      <c r="X2070" s="9" t="s">
        <v>106</v>
      </c>
      <c r="Y2070" s="9" t="s">
        <v>106</v>
      </c>
      <c r="Z2070" s="9" t="s">
        <v>106</v>
      </c>
      <c r="AA2070" s="9" t="s">
        <v>106</v>
      </c>
      <c r="AB2070" s="9" t="s">
        <v>106</v>
      </c>
      <c r="AC2070" s="9" t="s">
        <v>5100</v>
      </c>
      <c r="AD2070" s="9" t="s">
        <v>5100</v>
      </c>
    </row>
    <row r="2071" spans="1:30">
      <c r="A2071" s="9" t="s">
        <v>4572</v>
      </c>
      <c r="B2071" s="9" t="s">
        <v>4576</v>
      </c>
      <c r="C2071" s="9" t="s">
        <v>105</v>
      </c>
      <c r="D2071" s="65">
        <v>6.9750000000000014</v>
      </c>
      <c r="E2071" s="9" t="s">
        <v>106</v>
      </c>
      <c r="F2071" s="9">
        <v>375</v>
      </c>
      <c r="G2071" s="9">
        <v>1.01</v>
      </c>
      <c r="H2071" s="9" t="s">
        <v>106</v>
      </c>
      <c r="I2071" s="9">
        <v>11</v>
      </c>
      <c r="J2071" s="9" t="s">
        <v>122</v>
      </c>
      <c r="K2071" s="9" t="s">
        <v>4584</v>
      </c>
      <c r="L2071" t="str">
        <f>IF(OR(J2071="Cattle",J2071="Zebu Cattle"),IF(COUNTIF(lists!$M$2:$M$258, K2071) &gt; 0,"bos.indicus",IF(COUNTIF(lists!$L$2:$L$258, K2071) &gt; 0,"cross.bred","pure.bred.exotic")),"NA")</f>
        <v>cross.bred</v>
      </c>
      <c r="O2071" s="9" t="s">
        <v>124</v>
      </c>
      <c r="P2071" s="9" t="s">
        <v>4585</v>
      </c>
      <c r="Q2071" s="9" t="s">
        <v>3813</v>
      </c>
      <c r="R2071" s="9" t="s">
        <v>3830</v>
      </c>
      <c r="S2071" s="9" t="s">
        <v>106</v>
      </c>
      <c r="T2071" s="9" t="s">
        <v>106</v>
      </c>
      <c r="U2071" s="9" t="s">
        <v>106</v>
      </c>
      <c r="V2071" s="9" t="s">
        <v>106</v>
      </c>
      <c r="W2071" s="9" t="s">
        <v>106</v>
      </c>
      <c r="X2071" s="9" t="s">
        <v>106</v>
      </c>
      <c r="Y2071" s="9" t="s">
        <v>106</v>
      </c>
      <c r="Z2071" s="9" t="s">
        <v>106</v>
      </c>
      <c r="AA2071" s="9" t="s">
        <v>106</v>
      </c>
      <c r="AB2071" s="9" t="s">
        <v>106</v>
      </c>
      <c r="AC2071" s="9" t="s">
        <v>5100</v>
      </c>
      <c r="AD2071" s="9" t="s">
        <v>5100</v>
      </c>
    </row>
    <row r="2072" spans="1:30">
      <c r="A2072" s="9" t="s">
        <v>4572</v>
      </c>
      <c r="B2072" s="9" t="s">
        <v>4577</v>
      </c>
      <c r="C2072" s="9" t="s">
        <v>105</v>
      </c>
      <c r="D2072" s="65">
        <v>7.2249999999999996</v>
      </c>
      <c r="E2072" s="9" t="s">
        <v>106</v>
      </c>
      <c r="F2072" s="9">
        <v>425</v>
      </c>
      <c r="G2072" s="9">
        <v>0.74</v>
      </c>
      <c r="H2072" s="9" t="s">
        <v>106</v>
      </c>
      <c r="I2072" s="9">
        <v>11</v>
      </c>
      <c r="J2072" s="9" t="s">
        <v>122</v>
      </c>
      <c r="K2072" s="9" t="s">
        <v>4584</v>
      </c>
      <c r="L2072" t="str">
        <f>IF(OR(J2072="Cattle",J2072="Zebu Cattle"),IF(COUNTIF(lists!$M$2:$M$258, K2072) &gt; 0,"bos.indicus",IF(COUNTIF(lists!$L$2:$L$258, K2072) &gt; 0,"cross.bred","pure.bred.exotic")),"NA")</f>
        <v>cross.bred</v>
      </c>
      <c r="O2072" s="9" t="s">
        <v>124</v>
      </c>
      <c r="P2072" s="9" t="s">
        <v>4585</v>
      </c>
      <c r="Q2072" s="9" t="s">
        <v>3813</v>
      </c>
      <c r="R2072" s="9" t="s">
        <v>3830</v>
      </c>
      <c r="S2072" s="9" t="s">
        <v>106</v>
      </c>
      <c r="T2072" s="9" t="s">
        <v>106</v>
      </c>
      <c r="U2072" s="9" t="s">
        <v>106</v>
      </c>
      <c r="V2072" s="9" t="s">
        <v>106</v>
      </c>
      <c r="W2072" s="9" t="s">
        <v>106</v>
      </c>
      <c r="X2072" s="9" t="s">
        <v>106</v>
      </c>
      <c r="Y2072" s="9" t="s">
        <v>106</v>
      </c>
      <c r="Z2072" s="9" t="s">
        <v>106</v>
      </c>
      <c r="AA2072" s="9" t="s">
        <v>106</v>
      </c>
      <c r="AB2072" s="9" t="s">
        <v>106</v>
      </c>
      <c r="AC2072" s="9" t="s">
        <v>5100</v>
      </c>
      <c r="AD2072" s="9" t="s">
        <v>5100</v>
      </c>
    </row>
    <row r="2073" spans="1:30">
      <c r="A2073" s="9" t="s">
        <v>4572</v>
      </c>
      <c r="B2073" s="9" t="s">
        <v>4578</v>
      </c>
      <c r="C2073" s="9" t="s">
        <v>105</v>
      </c>
      <c r="D2073" s="9">
        <v>3.99</v>
      </c>
      <c r="E2073" s="9" t="s">
        <v>106</v>
      </c>
      <c r="F2073" s="9">
        <v>175</v>
      </c>
      <c r="G2073" s="9">
        <v>0.53</v>
      </c>
      <c r="H2073" s="9" t="s">
        <v>106</v>
      </c>
      <c r="I2073" s="9">
        <v>10</v>
      </c>
      <c r="J2073" s="9" t="s">
        <v>122</v>
      </c>
      <c r="K2073" s="9" t="s">
        <v>4161</v>
      </c>
      <c r="L2073" t="str">
        <f>IF(OR(J2073="Cattle",J2073="Zebu Cattle"),IF(COUNTIF(lists!$M$2:$M$258, K2073) &gt; 0,"bos.indicus",IF(COUNTIF(lists!$L$2:$L$258, K2073) &gt; 0,"cross.bred","pure.bred.exotic")),"NA")</f>
        <v>bos.indicus</v>
      </c>
      <c r="O2073" s="9" t="s">
        <v>4193</v>
      </c>
      <c r="P2073" s="9" t="s">
        <v>4585</v>
      </c>
      <c r="Q2073" s="9" t="s">
        <v>3813</v>
      </c>
      <c r="R2073" s="9" t="s">
        <v>3830</v>
      </c>
      <c r="S2073" s="9" t="s">
        <v>106</v>
      </c>
      <c r="T2073" s="9" t="s">
        <v>106</v>
      </c>
      <c r="U2073" s="9" t="s">
        <v>106</v>
      </c>
      <c r="V2073" s="9" t="s">
        <v>106</v>
      </c>
      <c r="W2073" s="9" t="s">
        <v>106</v>
      </c>
      <c r="X2073" s="9" t="s">
        <v>106</v>
      </c>
      <c r="Y2073" s="9" t="s">
        <v>106</v>
      </c>
      <c r="Z2073" s="9" t="s">
        <v>106</v>
      </c>
      <c r="AA2073" s="9" t="s">
        <v>106</v>
      </c>
      <c r="AB2073" s="9" t="s">
        <v>106</v>
      </c>
      <c r="AC2073" s="9" t="s">
        <v>5100</v>
      </c>
      <c r="AD2073" s="9" t="s">
        <v>5100</v>
      </c>
    </row>
    <row r="2074" spans="1:30">
      <c r="A2074" s="9" t="s">
        <v>4572</v>
      </c>
      <c r="B2074" s="9" t="s">
        <v>4579</v>
      </c>
      <c r="C2074" s="9" t="s">
        <v>105</v>
      </c>
      <c r="D2074" s="65">
        <v>4.3875000000000002</v>
      </c>
      <c r="E2074" s="9" t="s">
        <v>106</v>
      </c>
      <c r="F2074" s="9">
        <v>225</v>
      </c>
      <c r="G2074" s="9">
        <v>0.47</v>
      </c>
      <c r="H2074" s="9" t="s">
        <v>106</v>
      </c>
      <c r="I2074" s="9">
        <v>10</v>
      </c>
      <c r="J2074" s="9" t="s">
        <v>122</v>
      </c>
      <c r="K2074" s="9" t="s">
        <v>4161</v>
      </c>
      <c r="L2074" t="str">
        <f>IF(OR(J2074="Cattle",J2074="Zebu Cattle"),IF(COUNTIF(lists!$M$2:$M$258, K2074) &gt; 0,"bos.indicus",IF(COUNTIF(lists!$L$2:$L$258, K2074) &gt; 0,"cross.bred","pure.bred.exotic")),"NA")</f>
        <v>bos.indicus</v>
      </c>
      <c r="O2074" s="9" t="s">
        <v>4193</v>
      </c>
      <c r="P2074" s="9" t="s">
        <v>4585</v>
      </c>
      <c r="Q2074" s="9" t="s">
        <v>3813</v>
      </c>
      <c r="R2074" s="9" t="s">
        <v>3830</v>
      </c>
      <c r="S2074" s="9" t="s">
        <v>106</v>
      </c>
      <c r="T2074" s="9" t="s">
        <v>106</v>
      </c>
      <c r="U2074" s="9" t="s">
        <v>106</v>
      </c>
      <c r="V2074" s="9" t="s">
        <v>106</v>
      </c>
      <c r="W2074" s="9" t="s">
        <v>106</v>
      </c>
      <c r="X2074" s="9" t="s">
        <v>106</v>
      </c>
      <c r="Y2074" s="9" t="s">
        <v>106</v>
      </c>
      <c r="Z2074" s="9" t="s">
        <v>106</v>
      </c>
      <c r="AA2074" s="9" t="s">
        <v>106</v>
      </c>
      <c r="AB2074" s="9" t="s">
        <v>106</v>
      </c>
      <c r="AC2074" s="9" t="s">
        <v>5100</v>
      </c>
      <c r="AD2074" s="9" t="s">
        <v>5100</v>
      </c>
    </row>
    <row r="2075" spans="1:30">
      <c r="A2075" s="9" t="s">
        <v>4572</v>
      </c>
      <c r="B2075" s="9" t="s">
        <v>4580</v>
      </c>
      <c r="C2075" s="9" t="s">
        <v>105</v>
      </c>
      <c r="D2075" s="65">
        <v>4.5925000000000002</v>
      </c>
      <c r="E2075" s="9" t="s">
        <v>106</v>
      </c>
      <c r="F2075" s="9">
        <v>275</v>
      </c>
      <c r="G2075" s="9">
        <v>0.33</v>
      </c>
      <c r="H2075" s="9" t="s">
        <v>106</v>
      </c>
      <c r="I2075" s="9">
        <v>10</v>
      </c>
      <c r="J2075" s="9" t="s">
        <v>122</v>
      </c>
      <c r="K2075" s="9" t="s">
        <v>4161</v>
      </c>
      <c r="L2075" t="str">
        <f>IF(OR(J2075="Cattle",J2075="Zebu Cattle"),IF(COUNTIF(lists!$M$2:$M$258, K2075) &gt; 0,"bos.indicus",IF(COUNTIF(lists!$L$2:$L$258, K2075) &gt; 0,"cross.bred","pure.bred.exotic")),"NA")</f>
        <v>bos.indicus</v>
      </c>
      <c r="O2075" s="9" t="s">
        <v>4193</v>
      </c>
      <c r="P2075" s="9" t="s">
        <v>4585</v>
      </c>
      <c r="Q2075" s="9" t="s">
        <v>3813</v>
      </c>
      <c r="R2075" s="9" t="s">
        <v>3830</v>
      </c>
      <c r="S2075" s="9" t="s">
        <v>106</v>
      </c>
      <c r="T2075" s="9" t="s">
        <v>106</v>
      </c>
      <c r="U2075" s="9" t="s">
        <v>106</v>
      </c>
      <c r="V2075" s="9" t="s">
        <v>106</v>
      </c>
      <c r="W2075" s="9" t="s">
        <v>106</v>
      </c>
      <c r="X2075" s="9" t="s">
        <v>106</v>
      </c>
      <c r="Y2075" s="9" t="s">
        <v>106</v>
      </c>
      <c r="Z2075" s="9" t="s">
        <v>106</v>
      </c>
      <c r="AA2075" s="9" t="s">
        <v>106</v>
      </c>
      <c r="AB2075" s="9" t="s">
        <v>106</v>
      </c>
      <c r="AC2075" s="9" t="s">
        <v>5100</v>
      </c>
      <c r="AD2075" s="9" t="s">
        <v>5100</v>
      </c>
    </row>
    <row r="2076" spans="1:30">
      <c r="A2076" s="9" t="s">
        <v>4572</v>
      </c>
      <c r="B2076" s="9" t="s">
        <v>4581</v>
      </c>
      <c r="C2076" s="9" t="s">
        <v>105</v>
      </c>
      <c r="D2076" s="65">
        <v>4.7125000000000004</v>
      </c>
      <c r="E2076" s="9" t="s">
        <v>106</v>
      </c>
      <c r="F2076" s="9">
        <v>325</v>
      </c>
      <c r="G2076" s="9">
        <v>0.34</v>
      </c>
      <c r="H2076" s="9" t="s">
        <v>106</v>
      </c>
      <c r="I2076" s="9">
        <v>10</v>
      </c>
      <c r="J2076" s="9" t="s">
        <v>122</v>
      </c>
      <c r="K2076" s="9" t="s">
        <v>4161</v>
      </c>
      <c r="L2076" t="str">
        <f>IF(OR(J2076="Cattle",J2076="Zebu Cattle"),IF(COUNTIF(lists!$M$2:$M$258, K2076) &gt; 0,"bos.indicus",IF(COUNTIF(lists!$L$2:$L$258, K2076) &gt; 0,"cross.bred","pure.bred.exotic")),"NA")</f>
        <v>bos.indicus</v>
      </c>
      <c r="O2076" s="9" t="s">
        <v>4193</v>
      </c>
      <c r="P2076" s="9" t="s">
        <v>4585</v>
      </c>
      <c r="Q2076" s="9" t="s">
        <v>3813</v>
      </c>
      <c r="R2076" s="9" t="s">
        <v>3830</v>
      </c>
      <c r="S2076" s="9" t="s">
        <v>106</v>
      </c>
      <c r="T2076" s="9" t="s">
        <v>106</v>
      </c>
      <c r="U2076" s="9" t="s">
        <v>106</v>
      </c>
      <c r="V2076" s="9" t="s">
        <v>106</v>
      </c>
      <c r="W2076" s="9" t="s">
        <v>106</v>
      </c>
      <c r="X2076" s="9" t="s">
        <v>106</v>
      </c>
      <c r="Y2076" s="9" t="s">
        <v>106</v>
      </c>
      <c r="Z2076" s="9" t="s">
        <v>106</v>
      </c>
      <c r="AA2076" s="9" t="s">
        <v>106</v>
      </c>
      <c r="AB2076" s="9" t="s">
        <v>106</v>
      </c>
      <c r="AC2076" s="9" t="s">
        <v>5100</v>
      </c>
      <c r="AD2076" s="9" t="s">
        <v>5100</v>
      </c>
    </row>
    <row r="2077" spans="1:30">
      <c r="A2077" s="9" t="s">
        <v>4572</v>
      </c>
      <c r="B2077" s="9" t="s">
        <v>4582</v>
      </c>
      <c r="C2077" s="9" t="s">
        <v>105</v>
      </c>
      <c r="D2077" s="65">
        <v>4.8375000000000004</v>
      </c>
      <c r="E2077" s="9" t="s">
        <v>106</v>
      </c>
      <c r="F2077" s="9">
        <v>375</v>
      </c>
      <c r="G2077" s="9">
        <v>0.25</v>
      </c>
      <c r="H2077" s="9" t="s">
        <v>106</v>
      </c>
      <c r="I2077" s="9">
        <v>10</v>
      </c>
      <c r="J2077" s="9" t="s">
        <v>122</v>
      </c>
      <c r="K2077" s="9" t="s">
        <v>4161</v>
      </c>
      <c r="L2077" t="str">
        <f>IF(OR(J2077="Cattle",J2077="Zebu Cattle"),IF(COUNTIF(lists!$M$2:$M$258, K2077) &gt; 0,"bos.indicus",IF(COUNTIF(lists!$L$2:$L$258, K2077) &gt; 0,"cross.bred","pure.bred.exotic")),"NA")</f>
        <v>bos.indicus</v>
      </c>
      <c r="O2077" s="9" t="s">
        <v>4193</v>
      </c>
      <c r="P2077" s="9" t="s">
        <v>4585</v>
      </c>
      <c r="Q2077" s="9" t="s">
        <v>3813</v>
      </c>
      <c r="R2077" s="9" t="s">
        <v>3830</v>
      </c>
      <c r="S2077" s="9" t="s">
        <v>106</v>
      </c>
      <c r="T2077" s="9" t="s">
        <v>106</v>
      </c>
      <c r="U2077" s="9" t="s">
        <v>106</v>
      </c>
      <c r="V2077" s="9" t="s">
        <v>106</v>
      </c>
      <c r="W2077" s="9" t="s">
        <v>106</v>
      </c>
      <c r="X2077" s="9" t="s">
        <v>106</v>
      </c>
      <c r="Y2077" s="9" t="s">
        <v>106</v>
      </c>
      <c r="Z2077" s="9" t="s">
        <v>106</v>
      </c>
      <c r="AA2077" s="9" t="s">
        <v>106</v>
      </c>
      <c r="AB2077" s="9" t="s">
        <v>106</v>
      </c>
      <c r="AC2077" s="9" t="s">
        <v>5100</v>
      </c>
      <c r="AD2077" s="9" t="s">
        <v>5100</v>
      </c>
    </row>
    <row r="2078" spans="1:30">
      <c r="A2078" s="9" t="s">
        <v>4572</v>
      </c>
      <c r="B2078" s="9" t="s">
        <v>4583</v>
      </c>
      <c r="C2078" s="9" t="s">
        <v>105</v>
      </c>
      <c r="D2078" s="65">
        <v>5.0575000000000001</v>
      </c>
      <c r="E2078" s="9" t="s">
        <v>106</v>
      </c>
      <c r="F2078" s="9">
        <v>425</v>
      </c>
      <c r="G2078" s="9">
        <v>0.23</v>
      </c>
      <c r="H2078" s="9" t="s">
        <v>106</v>
      </c>
      <c r="I2078" s="9">
        <v>10</v>
      </c>
      <c r="J2078" s="9" t="s">
        <v>122</v>
      </c>
      <c r="K2078" s="9" t="s">
        <v>4161</v>
      </c>
      <c r="L2078" t="str">
        <f>IF(OR(J2078="Cattle",J2078="Zebu Cattle"),IF(COUNTIF(lists!$M$2:$M$258, K2078) &gt; 0,"bos.indicus",IF(COUNTIF(lists!$L$2:$L$258, K2078) &gt; 0,"cross.bred","pure.bred.exotic")),"NA")</f>
        <v>bos.indicus</v>
      </c>
      <c r="O2078" s="9" t="s">
        <v>4193</v>
      </c>
      <c r="P2078" s="9" t="s">
        <v>4585</v>
      </c>
      <c r="Q2078" s="9" t="s">
        <v>3813</v>
      </c>
      <c r="R2078" s="9" t="s">
        <v>3830</v>
      </c>
      <c r="S2078" s="9" t="s">
        <v>106</v>
      </c>
      <c r="T2078" s="9" t="s">
        <v>106</v>
      </c>
      <c r="U2078" s="9" t="s">
        <v>106</v>
      </c>
      <c r="V2078" s="9" t="s">
        <v>106</v>
      </c>
      <c r="W2078" s="9" t="s">
        <v>106</v>
      </c>
      <c r="X2078" s="9" t="s">
        <v>106</v>
      </c>
      <c r="Y2078" s="9" t="s">
        <v>106</v>
      </c>
      <c r="Z2078" s="9" t="s">
        <v>106</v>
      </c>
      <c r="AA2078" s="9" t="s">
        <v>106</v>
      </c>
      <c r="AB2078" s="9" t="s">
        <v>106</v>
      </c>
      <c r="AC2078" s="9" t="s">
        <v>5100</v>
      </c>
      <c r="AD2078" s="9" t="s">
        <v>5100</v>
      </c>
    </row>
    <row r="2079" spans="1:30">
      <c r="A2079" s="9" t="s">
        <v>4587</v>
      </c>
      <c r="B2079" s="9" t="s">
        <v>4546</v>
      </c>
      <c r="C2079" s="9" t="s">
        <v>105</v>
      </c>
      <c r="D2079" s="9">
        <v>4.5</v>
      </c>
      <c r="E2079" s="9" t="s">
        <v>106</v>
      </c>
      <c r="F2079" s="9" t="s">
        <v>106</v>
      </c>
      <c r="G2079" s="9">
        <v>0.19500000000000001</v>
      </c>
      <c r="H2079" s="9" t="s">
        <v>106</v>
      </c>
      <c r="I2079" s="9">
        <v>12</v>
      </c>
      <c r="J2079" s="9" t="s">
        <v>122</v>
      </c>
      <c r="K2079" s="9" t="s">
        <v>4161</v>
      </c>
      <c r="L2079" t="str">
        <f>IF(OR(J2079="Cattle",J2079="Zebu Cattle"),IF(COUNTIF(lists!$M$2:$M$258, K2079) &gt; 0,"bos.indicus",IF(COUNTIF(lists!$L$2:$L$258, K2079) &gt; 0,"cross.bred","pure.bred.exotic")),"NA")</f>
        <v>bos.indicus</v>
      </c>
      <c r="O2079" s="9" t="s">
        <v>4193</v>
      </c>
      <c r="P2079" s="9" t="s">
        <v>4589</v>
      </c>
      <c r="Q2079" s="9" t="s">
        <v>3813</v>
      </c>
      <c r="R2079" s="9" t="s">
        <v>3830</v>
      </c>
      <c r="S2079" s="9" t="s">
        <v>106</v>
      </c>
      <c r="T2079" s="9">
        <v>86</v>
      </c>
      <c r="U2079" s="9">
        <v>59</v>
      </c>
      <c r="V2079" s="9">
        <v>894</v>
      </c>
      <c r="W2079" s="9" t="s">
        <v>106</v>
      </c>
      <c r="X2079" s="9">
        <v>665</v>
      </c>
      <c r="Y2079" s="9" t="s">
        <v>106</v>
      </c>
      <c r="Z2079" s="9" t="s">
        <v>106</v>
      </c>
      <c r="AA2079" s="9" t="s">
        <v>106</v>
      </c>
      <c r="AB2079" s="9" t="s">
        <v>106</v>
      </c>
      <c r="AC2079" s="9" t="s">
        <v>5100</v>
      </c>
      <c r="AD2079" s="9" t="s">
        <v>5100</v>
      </c>
    </row>
    <row r="2080" spans="1:30">
      <c r="A2080" s="9" t="s">
        <v>4587</v>
      </c>
      <c r="B2080" s="9" t="s">
        <v>4547</v>
      </c>
      <c r="C2080" s="9" t="s">
        <v>105</v>
      </c>
      <c r="D2080" s="9">
        <v>3.7</v>
      </c>
      <c r="E2080" s="9" t="s">
        <v>106</v>
      </c>
      <c r="F2080" s="9" t="s">
        <v>106</v>
      </c>
      <c r="G2080" s="9">
        <v>-6.7000000000000004E-2</v>
      </c>
      <c r="H2080" s="9" t="s">
        <v>106</v>
      </c>
      <c r="I2080" s="9">
        <v>12</v>
      </c>
      <c r="J2080" s="9" t="s">
        <v>122</v>
      </c>
      <c r="K2080" s="9" t="s">
        <v>4161</v>
      </c>
      <c r="L2080" t="str">
        <f>IF(OR(J2080="Cattle",J2080="Zebu Cattle"),IF(COUNTIF(lists!$M$2:$M$258, K2080) &gt; 0,"bos.indicus",IF(COUNTIF(lists!$L$2:$L$258, K2080) &gt; 0,"cross.bred","pure.bred.exotic")),"NA")</f>
        <v>bos.indicus</v>
      </c>
      <c r="O2080" s="9" t="s">
        <v>4193</v>
      </c>
      <c r="P2080" s="9" t="s">
        <v>4589</v>
      </c>
      <c r="Q2080" s="9" t="s">
        <v>3813</v>
      </c>
      <c r="R2080" s="9" t="s">
        <v>3830</v>
      </c>
      <c r="S2080" s="9">
        <v>508</v>
      </c>
      <c r="T2080" s="9">
        <v>87</v>
      </c>
      <c r="U2080" s="9">
        <v>33</v>
      </c>
      <c r="V2080" s="9">
        <v>915</v>
      </c>
      <c r="W2080" s="9">
        <v>7.4</v>
      </c>
      <c r="X2080" s="9">
        <v>769</v>
      </c>
      <c r="Y2080" s="9" t="s">
        <v>106</v>
      </c>
      <c r="Z2080" s="9" t="s">
        <v>106</v>
      </c>
      <c r="AA2080" s="9" t="s">
        <v>106</v>
      </c>
      <c r="AB2080" s="9" t="s">
        <v>106</v>
      </c>
      <c r="AC2080" s="9" t="s">
        <v>5100</v>
      </c>
      <c r="AD2080" s="9" t="s">
        <v>5100</v>
      </c>
    </row>
    <row r="2081" spans="1:31">
      <c r="A2081" s="9" t="s">
        <v>4587</v>
      </c>
      <c r="B2081" s="9" t="s">
        <v>4548</v>
      </c>
      <c r="C2081" s="9" t="s">
        <v>105</v>
      </c>
      <c r="D2081" s="9">
        <v>3.1</v>
      </c>
      <c r="E2081" s="9" t="s">
        <v>106</v>
      </c>
      <c r="F2081" s="9" t="s">
        <v>106</v>
      </c>
      <c r="G2081" s="9">
        <v>-0.32100000000000001</v>
      </c>
      <c r="H2081" s="9" t="s">
        <v>106</v>
      </c>
      <c r="I2081" s="9">
        <v>12</v>
      </c>
      <c r="J2081" s="9" t="s">
        <v>122</v>
      </c>
      <c r="K2081" s="9" t="s">
        <v>4161</v>
      </c>
      <c r="L2081" t="str">
        <f>IF(OR(J2081="Cattle",J2081="Zebu Cattle"),IF(COUNTIF(lists!$M$2:$M$258, K2081) &gt; 0,"bos.indicus",IF(COUNTIF(lists!$L$2:$L$258, K2081) &gt; 0,"cross.bred","pure.bred.exotic")),"NA")</f>
        <v>bos.indicus</v>
      </c>
      <c r="O2081" s="9" t="s">
        <v>4193</v>
      </c>
      <c r="P2081" s="9" t="s">
        <v>4589</v>
      </c>
      <c r="Q2081" s="9" t="s">
        <v>3813</v>
      </c>
      <c r="R2081" s="9" t="s">
        <v>3830</v>
      </c>
      <c r="S2081" s="9">
        <v>508</v>
      </c>
      <c r="T2081" s="9">
        <v>87</v>
      </c>
      <c r="U2081" s="9">
        <v>33</v>
      </c>
      <c r="V2081" s="9">
        <v>915</v>
      </c>
      <c r="W2081" s="9">
        <v>7.4</v>
      </c>
      <c r="X2081" s="9">
        <v>769</v>
      </c>
      <c r="Y2081" s="9" t="s">
        <v>106</v>
      </c>
      <c r="Z2081" s="9" t="s">
        <v>106</v>
      </c>
      <c r="AA2081" s="9" t="s">
        <v>106</v>
      </c>
      <c r="AB2081" s="9" t="s">
        <v>106</v>
      </c>
      <c r="AC2081" s="9" t="s">
        <v>5100</v>
      </c>
      <c r="AD2081" s="9" t="s">
        <v>5100</v>
      </c>
    </row>
    <row r="2082" spans="1:31">
      <c r="A2082" s="9" t="s">
        <v>4587</v>
      </c>
      <c r="B2082" s="9" t="s">
        <v>4549</v>
      </c>
      <c r="C2082" s="9" t="s">
        <v>105</v>
      </c>
      <c r="D2082" s="9">
        <v>2.1</v>
      </c>
      <c r="E2082" s="9" t="s">
        <v>106</v>
      </c>
      <c r="F2082" s="9" t="s">
        <v>106</v>
      </c>
      <c r="G2082" s="9">
        <v>-0.70599999999999996</v>
      </c>
      <c r="H2082" s="9" t="s">
        <v>106</v>
      </c>
      <c r="I2082" s="9">
        <v>12</v>
      </c>
      <c r="J2082" s="9" t="s">
        <v>122</v>
      </c>
      <c r="K2082" s="9" t="s">
        <v>4161</v>
      </c>
      <c r="L2082" t="str">
        <f>IF(OR(J2082="Cattle",J2082="Zebu Cattle"),IF(COUNTIF(lists!$M$2:$M$258, K2082) &gt; 0,"bos.indicus",IF(COUNTIF(lists!$L$2:$L$258, K2082) &gt; 0,"cross.bred","pure.bred.exotic")),"NA")</f>
        <v>bos.indicus</v>
      </c>
      <c r="O2082" s="9" t="s">
        <v>4193</v>
      </c>
      <c r="P2082" s="9" t="s">
        <v>4589</v>
      </c>
      <c r="Q2082" s="9" t="s">
        <v>3813</v>
      </c>
      <c r="R2082" s="9" t="s">
        <v>3830</v>
      </c>
      <c r="S2082" s="9">
        <v>508</v>
      </c>
      <c r="T2082" s="9">
        <v>87</v>
      </c>
      <c r="U2082" s="9">
        <v>33</v>
      </c>
      <c r="V2082" s="9">
        <v>915</v>
      </c>
      <c r="W2082" s="9">
        <v>7.4</v>
      </c>
      <c r="X2082" s="9">
        <v>769</v>
      </c>
      <c r="Y2082" s="9" t="s">
        <v>106</v>
      </c>
      <c r="Z2082" s="9" t="s">
        <v>106</v>
      </c>
      <c r="AA2082" s="9" t="s">
        <v>106</v>
      </c>
      <c r="AB2082" s="9" t="s">
        <v>106</v>
      </c>
      <c r="AC2082" s="9" t="s">
        <v>5100</v>
      </c>
      <c r="AD2082" s="9" t="s">
        <v>5100</v>
      </c>
    </row>
    <row r="2083" spans="1:31">
      <c r="A2083" s="9" t="s">
        <v>3858</v>
      </c>
      <c r="B2083" s="9" t="s">
        <v>1651</v>
      </c>
      <c r="C2083" s="9" t="s">
        <v>105</v>
      </c>
      <c r="D2083" s="9">
        <v>13.8</v>
      </c>
      <c r="E2083" s="9" t="s">
        <v>106</v>
      </c>
      <c r="F2083" s="9" t="s">
        <v>106</v>
      </c>
      <c r="G2083" s="9" t="s">
        <v>106</v>
      </c>
      <c r="H2083" s="9">
        <v>11.4</v>
      </c>
      <c r="I2083" s="9">
        <v>5</v>
      </c>
      <c r="J2083" s="9" t="s">
        <v>122</v>
      </c>
      <c r="K2083" s="9" t="s">
        <v>4291</v>
      </c>
      <c r="L2083" t="str">
        <f>IF(OR(J2083="Cattle",J2083="Zebu Cattle"),IF(COUNTIF(lists!$M$2:$M$258, K2083) &gt; 0,"bos.indicus",IF(COUNTIF(lists!$L$2:$L$258, K2083) &gt; 0,"cross.bred","pure.bred.exotic")),"NA")</f>
        <v>cross.bred</v>
      </c>
      <c r="O2083" s="9" t="s">
        <v>124</v>
      </c>
      <c r="P2083" s="9" t="s">
        <v>4595</v>
      </c>
      <c r="Q2083" s="9" t="s">
        <v>3809</v>
      </c>
      <c r="R2083" s="9" t="s">
        <v>3830</v>
      </c>
      <c r="S2083" s="9">
        <v>417</v>
      </c>
      <c r="T2083" s="9">
        <v>139</v>
      </c>
      <c r="U2083" s="9">
        <v>53.7</v>
      </c>
      <c r="V2083" s="9">
        <v>901</v>
      </c>
      <c r="W2083" s="9" t="s">
        <v>106</v>
      </c>
      <c r="X2083" s="9">
        <v>691</v>
      </c>
      <c r="Y2083" s="9" t="s">
        <v>106</v>
      </c>
      <c r="Z2083" s="9">
        <v>134</v>
      </c>
      <c r="AA2083" s="9" t="s">
        <v>106</v>
      </c>
      <c r="AB2083" s="9" t="s">
        <v>106</v>
      </c>
      <c r="AC2083" s="9" t="s">
        <v>5100</v>
      </c>
      <c r="AD2083" s="9" t="s">
        <v>5100</v>
      </c>
    </row>
    <row r="2084" spans="1:31">
      <c r="A2084" s="9" t="s">
        <v>3858</v>
      </c>
      <c r="B2084" s="9" t="s">
        <v>4591</v>
      </c>
      <c r="C2084" s="9" t="s">
        <v>105</v>
      </c>
      <c r="D2084" s="9">
        <v>14.2</v>
      </c>
      <c r="E2084" s="9" t="s">
        <v>106</v>
      </c>
      <c r="F2084" s="9" t="s">
        <v>106</v>
      </c>
      <c r="G2084" s="9" t="s">
        <v>106</v>
      </c>
      <c r="H2084" s="9">
        <v>12.1</v>
      </c>
      <c r="I2084" s="9">
        <v>5</v>
      </c>
      <c r="J2084" s="9" t="s">
        <v>122</v>
      </c>
      <c r="K2084" s="9" t="s">
        <v>4291</v>
      </c>
      <c r="L2084" t="str">
        <f>IF(OR(J2084="Cattle",J2084="Zebu Cattle"),IF(COUNTIF(lists!$M$2:$M$258, K2084) &gt; 0,"bos.indicus",IF(COUNTIF(lists!$L$2:$L$258, K2084) &gt; 0,"cross.bred","pure.bred.exotic")),"NA")</f>
        <v>cross.bred</v>
      </c>
      <c r="O2084" s="9" t="s">
        <v>124</v>
      </c>
      <c r="P2084" s="9" t="s">
        <v>4595</v>
      </c>
      <c r="Q2084" s="9" t="s">
        <v>3809</v>
      </c>
      <c r="R2084" s="9" t="s">
        <v>3830</v>
      </c>
      <c r="S2084" s="9">
        <v>391</v>
      </c>
      <c r="T2084" s="9">
        <v>136</v>
      </c>
      <c r="U2084" s="9">
        <v>68.400000000000006</v>
      </c>
      <c r="V2084" s="9">
        <v>897</v>
      </c>
      <c r="W2084" s="9" t="s">
        <v>106</v>
      </c>
      <c r="X2084" s="9">
        <v>666</v>
      </c>
      <c r="Y2084" s="9" t="s">
        <v>106</v>
      </c>
      <c r="Z2084" s="9">
        <v>111</v>
      </c>
      <c r="AA2084" s="9" t="s">
        <v>106</v>
      </c>
      <c r="AB2084" s="9" t="s">
        <v>106</v>
      </c>
      <c r="AC2084" s="9" t="s">
        <v>5100</v>
      </c>
      <c r="AD2084" s="9" t="s">
        <v>5100</v>
      </c>
    </row>
    <row r="2085" spans="1:31">
      <c r="A2085" s="9" t="s">
        <v>3858</v>
      </c>
      <c r="B2085" s="9" t="s">
        <v>4592</v>
      </c>
      <c r="C2085" s="9" t="s">
        <v>105</v>
      </c>
      <c r="D2085" s="9">
        <v>14.6</v>
      </c>
      <c r="E2085" s="9" t="s">
        <v>106</v>
      </c>
      <c r="F2085" s="9" t="s">
        <v>106</v>
      </c>
      <c r="G2085" s="9" t="s">
        <v>106</v>
      </c>
      <c r="H2085" s="9">
        <v>14.2</v>
      </c>
      <c r="I2085" s="9">
        <v>5</v>
      </c>
      <c r="J2085" s="9" t="s">
        <v>122</v>
      </c>
      <c r="K2085" s="9" t="s">
        <v>4291</v>
      </c>
      <c r="L2085" t="str">
        <f>IF(OR(J2085="Cattle",J2085="Zebu Cattle"),IF(COUNTIF(lists!$M$2:$M$258, K2085) &gt; 0,"bos.indicus",IF(COUNTIF(lists!$L$2:$L$258, K2085) &gt; 0,"cross.bred","pure.bred.exotic")),"NA")</f>
        <v>cross.bred</v>
      </c>
      <c r="O2085" s="9" t="s">
        <v>124</v>
      </c>
      <c r="P2085" s="9" t="s">
        <v>4595</v>
      </c>
      <c r="Q2085" s="9" t="s">
        <v>3809</v>
      </c>
      <c r="R2085" s="9" t="s">
        <v>3830</v>
      </c>
      <c r="S2085" s="9">
        <v>365</v>
      </c>
      <c r="T2085" s="9">
        <v>133</v>
      </c>
      <c r="U2085" s="9">
        <v>83.2</v>
      </c>
      <c r="V2085" s="9">
        <v>892</v>
      </c>
      <c r="W2085" s="9" t="s">
        <v>106</v>
      </c>
      <c r="X2085" s="9">
        <v>641</v>
      </c>
      <c r="Y2085" s="9" t="s">
        <v>106</v>
      </c>
      <c r="Z2085" s="9">
        <v>106</v>
      </c>
      <c r="AA2085" s="9" t="s">
        <v>106</v>
      </c>
      <c r="AB2085" s="9" t="s">
        <v>106</v>
      </c>
      <c r="AC2085" s="9" t="s">
        <v>5100</v>
      </c>
      <c r="AD2085" s="9" t="s">
        <v>5100</v>
      </c>
    </row>
    <row r="2086" spans="1:31">
      <c r="A2086" s="9" t="s">
        <v>3858</v>
      </c>
      <c r="B2086" s="9" t="s">
        <v>4593</v>
      </c>
      <c r="C2086" s="9" t="s">
        <v>105</v>
      </c>
      <c r="D2086" s="9">
        <v>14.9</v>
      </c>
      <c r="E2086" s="9" t="s">
        <v>106</v>
      </c>
      <c r="F2086" s="9" t="s">
        <v>106</v>
      </c>
      <c r="G2086" s="9" t="s">
        <v>106</v>
      </c>
      <c r="H2086" s="9">
        <v>15.1</v>
      </c>
      <c r="I2086" s="9">
        <v>5</v>
      </c>
      <c r="J2086" s="9" t="s">
        <v>122</v>
      </c>
      <c r="K2086" s="9" t="s">
        <v>4291</v>
      </c>
      <c r="L2086" t="str">
        <f>IF(OR(J2086="Cattle",J2086="Zebu Cattle"),IF(COUNTIF(lists!$M$2:$M$258, K2086) &gt; 0,"bos.indicus",IF(COUNTIF(lists!$L$2:$L$258, K2086) &gt; 0,"cross.bred","pure.bred.exotic")),"NA")</f>
        <v>cross.bred</v>
      </c>
      <c r="O2086" s="9" t="s">
        <v>124</v>
      </c>
      <c r="P2086" s="9" t="s">
        <v>4595</v>
      </c>
      <c r="Q2086" s="9" t="s">
        <v>3809</v>
      </c>
      <c r="R2086" s="9" t="s">
        <v>3830</v>
      </c>
      <c r="S2086" s="9">
        <v>339</v>
      </c>
      <c r="T2086" s="9">
        <v>131</v>
      </c>
      <c r="U2086" s="9">
        <v>97.8</v>
      </c>
      <c r="V2086" s="9">
        <v>888</v>
      </c>
      <c r="W2086" s="9" t="s">
        <v>106</v>
      </c>
      <c r="X2086" s="9">
        <v>616</v>
      </c>
      <c r="Y2086" s="9" t="s">
        <v>106</v>
      </c>
      <c r="Z2086" s="9">
        <v>93</v>
      </c>
      <c r="AA2086" s="9" t="s">
        <v>106</v>
      </c>
      <c r="AB2086" s="9" t="s">
        <v>106</v>
      </c>
      <c r="AC2086" s="9" t="s">
        <v>5100</v>
      </c>
      <c r="AD2086" s="9" t="s">
        <v>5100</v>
      </c>
    </row>
    <row r="2087" spans="1:31">
      <c r="A2087" s="9" t="s">
        <v>3858</v>
      </c>
      <c r="B2087" s="9" t="s">
        <v>4594</v>
      </c>
      <c r="C2087" s="9" t="s">
        <v>105</v>
      </c>
      <c r="D2087" s="9">
        <v>15.5</v>
      </c>
      <c r="E2087" s="9" t="s">
        <v>106</v>
      </c>
      <c r="F2087" s="9" t="s">
        <v>106</v>
      </c>
      <c r="G2087" s="9" t="s">
        <v>106</v>
      </c>
      <c r="H2087" s="9">
        <v>16.100000000000001</v>
      </c>
      <c r="I2087" s="9">
        <v>5</v>
      </c>
      <c r="J2087" s="9" t="s">
        <v>122</v>
      </c>
      <c r="K2087" s="9" t="s">
        <v>4291</v>
      </c>
      <c r="L2087" t="str">
        <f>IF(OR(J2087="Cattle",J2087="Zebu Cattle"),IF(COUNTIF(lists!$M$2:$M$258, K2087) &gt; 0,"bos.indicus",IF(COUNTIF(lists!$L$2:$L$258, K2087) &gt; 0,"cross.bred","pure.bred.exotic")),"NA")</f>
        <v>cross.bred</v>
      </c>
      <c r="O2087" s="9" t="s">
        <v>124</v>
      </c>
      <c r="P2087" s="9" t="s">
        <v>4595</v>
      </c>
      <c r="Q2087" s="9" t="s">
        <v>3809</v>
      </c>
      <c r="R2087" s="9" t="s">
        <v>3830</v>
      </c>
      <c r="S2087" s="9">
        <v>343</v>
      </c>
      <c r="T2087" s="9">
        <v>128</v>
      </c>
      <c r="U2087" s="9">
        <v>113</v>
      </c>
      <c r="V2087" s="9">
        <v>883</v>
      </c>
      <c r="W2087" s="9" t="s">
        <v>106</v>
      </c>
      <c r="X2087" s="9">
        <v>591</v>
      </c>
      <c r="Y2087" s="9" t="s">
        <v>106</v>
      </c>
      <c r="Z2087" s="9">
        <v>79</v>
      </c>
      <c r="AA2087" s="9" t="s">
        <v>106</v>
      </c>
      <c r="AB2087" s="9" t="s">
        <v>106</v>
      </c>
      <c r="AC2087" s="9" t="s">
        <v>5100</v>
      </c>
      <c r="AD2087" s="9" t="s">
        <v>5100</v>
      </c>
    </row>
    <row r="2088" spans="1:31">
      <c r="A2088" s="9" t="s">
        <v>3933</v>
      </c>
      <c r="B2088" s="9" t="s">
        <v>4597</v>
      </c>
      <c r="C2088" s="9" t="s">
        <v>105</v>
      </c>
      <c r="D2088" s="9">
        <v>13</v>
      </c>
      <c r="E2088" s="9" t="s">
        <v>106</v>
      </c>
      <c r="F2088" s="9">
        <v>361.8</v>
      </c>
      <c r="G2088" s="9" t="s">
        <v>106</v>
      </c>
      <c r="H2088" s="9">
        <v>10.61</v>
      </c>
      <c r="I2088" s="9">
        <v>9</v>
      </c>
      <c r="J2088" s="9" t="s">
        <v>122</v>
      </c>
      <c r="K2088" s="9" t="s">
        <v>4793</v>
      </c>
      <c r="L2088" t="str">
        <f>IF(OR(J2088="Cattle",J2088="Zebu Cattle"),IF(COUNTIF(lists!$M$2:$M$258, K2088) &gt; 0,"bos.indicus",IF(COUNTIF(lists!$L$2:$L$258, K2088) &gt; 0,"cross.bred","pure.bred.exotic")),"NA")</f>
        <v>cross.bred</v>
      </c>
      <c r="O2088" s="9" t="s">
        <v>124</v>
      </c>
      <c r="P2088" s="9" t="s">
        <v>4595</v>
      </c>
      <c r="Q2088" s="9" t="s">
        <v>3809</v>
      </c>
      <c r="R2088" s="9" t="s">
        <v>3830</v>
      </c>
      <c r="S2088" s="9" t="s">
        <v>106</v>
      </c>
      <c r="T2088" s="9">
        <v>88.3</v>
      </c>
      <c r="U2088" s="9">
        <v>167.8</v>
      </c>
      <c r="V2088" s="9">
        <v>920.9</v>
      </c>
      <c r="W2088" s="9" t="s">
        <v>106</v>
      </c>
      <c r="X2088" s="9">
        <v>576</v>
      </c>
      <c r="Y2088" s="9" t="s">
        <v>106</v>
      </c>
      <c r="Z2088" s="9" t="s">
        <v>106</v>
      </c>
      <c r="AA2088" s="9" t="s">
        <v>106</v>
      </c>
      <c r="AB2088" s="9">
        <v>60.8</v>
      </c>
      <c r="AC2088" s="9" t="s">
        <v>5100</v>
      </c>
      <c r="AD2088" s="9" t="s">
        <v>5100</v>
      </c>
    </row>
    <row r="2089" spans="1:31">
      <c r="A2089" s="9" t="s">
        <v>3933</v>
      </c>
      <c r="B2089" s="9" t="s">
        <v>4598</v>
      </c>
      <c r="C2089" s="9" t="s">
        <v>105</v>
      </c>
      <c r="D2089" s="9">
        <v>9.6</v>
      </c>
      <c r="E2089" s="9" t="s">
        <v>106</v>
      </c>
      <c r="F2089" s="9">
        <v>357</v>
      </c>
      <c r="G2089" s="9" t="s">
        <v>106</v>
      </c>
      <c r="H2089" s="9">
        <v>8.1</v>
      </c>
      <c r="I2089" s="9">
        <v>9</v>
      </c>
      <c r="J2089" s="9" t="s">
        <v>122</v>
      </c>
      <c r="K2089" s="9" t="s">
        <v>4793</v>
      </c>
      <c r="L2089" t="str">
        <f>IF(OR(J2089="Cattle",J2089="Zebu Cattle"),IF(COUNTIF(lists!$M$2:$M$258, K2089) &gt; 0,"bos.indicus",IF(COUNTIF(lists!$L$2:$L$258, K2089) &gt; 0,"cross.bred","pure.bred.exotic")),"NA")</f>
        <v>cross.bred</v>
      </c>
      <c r="O2089" s="9" t="s">
        <v>124</v>
      </c>
      <c r="P2089" s="9" t="s">
        <v>4595</v>
      </c>
      <c r="Q2089" s="9" t="s">
        <v>3809</v>
      </c>
      <c r="R2089" s="9" t="s">
        <v>3830</v>
      </c>
      <c r="S2089" s="9" t="s">
        <v>106</v>
      </c>
      <c r="T2089" s="9">
        <v>89.8</v>
      </c>
      <c r="U2089" s="9">
        <v>107.3</v>
      </c>
      <c r="V2089" s="9">
        <v>922.8</v>
      </c>
      <c r="W2089" s="9" t="s">
        <v>106</v>
      </c>
      <c r="X2089" s="9">
        <v>593.5</v>
      </c>
      <c r="Y2089" s="9" t="s">
        <v>106</v>
      </c>
      <c r="Z2089" s="9" t="s">
        <v>106</v>
      </c>
      <c r="AA2089" s="9" t="s">
        <v>106</v>
      </c>
      <c r="AB2089" s="9">
        <v>44.5</v>
      </c>
      <c r="AC2089" s="9" t="s">
        <v>5100</v>
      </c>
      <c r="AD2089" s="9" t="s">
        <v>5100</v>
      </c>
    </row>
    <row r="2090" spans="1:31">
      <c r="A2090" s="9" t="s">
        <v>3933</v>
      </c>
      <c r="B2090" s="9" t="s">
        <v>4599</v>
      </c>
      <c r="C2090" s="9" t="s">
        <v>105</v>
      </c>
      <c r="D2090" s="9">
        <v>10</v>
      </c>
      <c r="E2090" s="9" t="s">
        <v>106</v>
      </c>
      <c r="F2090" s="9">
        <v>370</v>
      </c>
      <c r="G2090" s="9" t="s">
        <v>106</v>
      </c>
      <c r="H2090" s="9">
        <v>9.1</v>
      </c>
      <c r="I2090" s="9">
        <v>9</v>
      </c>
      <c r="J2090" s="9" t="s">
        <v>122</v>
      </c>
      <c r="K2090" s="9" t="s">
        <v>4793</v>
      </c>
      <c r="L2090" t="str">
        <f>IF(OR(J2090="Cattle",J2090="Zebu Cattle"),IF(COUNTIF(lists!$M$2:$M$258, K2090) &gt; 0,"bos.indicus",IF(COUNTIF(lists!$L$2:$L$258, K2090) &gt; 0,"cross.bred","pure.bred.exotic")),"NA")</f>
        <v>cross.bred</v>
      </c>
      <c r="O2090" s="9" t="s">
        <v>124</v>
      </c>
      <c r="P2090" s="9" t="s">
        <v>4595</v>
      </c>
      <c r="Q2090" s="9" t="s">
        <v>3809</v>
      </c>
      <c r="R2090" s="9" t="s">
        <v>3830</v>
      </c>
      <c r="S2090" s="9" t="s">
        <v>106</v>
      </c>
      <c r="T2090" s="9">
        <v>102.6</v>
      </c>
      <c r="U2090" s="9">
        <v>128.69999999999999</v>
      </c>
      <c r="V2090" s="9">
        <v>935.8</v>
      </c>
      <c r="W2090" s="9" t="s">
        <v>106</v>
      </c>
      <c r="X2090" s="9">
        <v>580.29999999999995</v>
      </c>
      <c r="Y2090" s="9" t="s">
        <v>106</v>
      </c>
      <c r="Z2090" s="9" t="s">
        <v>106</v>
      </c>
      <c r="AA2090" s="9" t="s">
        <v>106</v>
      </c>
      <c r="AB2090" s="9">
        <v>64.099999999999994</v>
      </c>
      <c r="AC2090" s="9" t="s">
        <v>5100</v>
      </c>
      <c r="AD2090" s="9" t="s">
        <v>5100</v>
      </c>
    </row>
    <row r="2091" spans="1:31">
      <c r="A2091" s="9" t="s">
        <v>4616</v>
      </c>
      <c r="B2091" s="9" t="s">
        <v>4618</v>
      </c>
      <c r="C2091" s="9" t="s">
        <v>105</v>
      </c>
      <c r="D2091" s="9">
        <v>11.46</v>
      </c>
      <c r="E2091" s="9" t="s">
        <v>106</v>
      </c>
      <c r="F2091" s="9">
        <v>469</v>
      </c>
      <c r="G2091" s="9" t="s">
        <v>106</v>
      </c>
      <c r="H2091" s="9">
        <v>10.039999999999999</v>
      </c>
      <c r="I2091" s="9">
        <v>8</v>
      </c>
      <c r="J2091" s="9" t="s">
        <v>122</v>
      </c>
      <c r="K2091" s="9" t="s">
        <v>4797</v>
      </c>
      <c r="L2091" t="str">
        <f>IF(OR(J2091="Cattle",J2091="Zebu Cattle"),IF(COUNTIF(lists!$M$2:$M$258, K2091) &gt; 0,"bos.indicus",IF(COUNTIF(lists!$L$2:$L$258, K2091) &gt; 0,"cross.bred","pure.bred.exotic")),"NA")</f>
        <v>cross.bred</v>
      </c>
      <c r="O2091" s="9" t="s">
        <v>124</v>
      </c>
      <c r="P2091" s="9" t="s">
        <v>4045</v>
      </c>
      <c r="Q2091" s="9" t="s">
        <v>3809</v>
      </c>
      <c r="R2091" s="9" t="s">
        <v>3830</v>
      </c>
      <c r="S2091" s="9">
        <v>313.89999999999998</v>
      </c>
      <c r="T2091" s="9">
        <v>110.7</v>
      </c>
      <c r="U2091" s="9">
        <v>156.80000000000001</v>
      </c>
      <c r="V2091" s="9">
        <v>908.5</v>
      </c>
      <c r="W2091" s="9" t="s">
        <v>106</v>
      </c>
      <c r="X2091" s="9">
        <v>578</v>
      </c>
      <c r="Y2091" s="9">
        <v>43.31</v>
      </c>
      <c r="Z2091" s="9" t="s">
        <v>106</v>
      </c>
      <c r="AA2091" s="9">
        <v>70.540000000000006</v>
      </c>
      <c r="AB2091" s="9" t="s">
        <v>106</v>
      </c>
      <c r="AC2091" s="9" t="s">
        <v>5100</v>
      </c>
      <c r="AD2091" s="9" t="s">
        <v>5100</v>
      </c>
    </row>
    <row r="2092" spans="1:31">
      <c r="A2092" s="9" t="s">
        <v>4616</v>
      </c>
      <c r="B2092" s="9" t="s">
        <v>4619</v>
      </c>
      <c r="C2092" s="9" t="s">
        <v>105</v>
      </c>
      <c r="D2092" s="9">
        <v>12.81</v>
      </c>
      <c r="E2092" s="9" t="s">
        <v>106</v>
      </c>
      <c r="F2092" s="9">
        <v>476</v>
      </c>
      <c r="G2092" s="9" t="s">
        <v>106</v>
      </c>
      <c r="H2092" s="9">
        <v>12.74</v>
      </c>
      <c r="I2092" s="9">
        <v>8</v>
      </c>
      <c r="J2092" s="9" t="s">
        <v>122</v>
      </c>
      <c r="K2092" s="9" t="s">
        <v>4797</v>
      </c>
      <c r="L2092" t="str">
        <f>IF(OR(J2092="Cattle",J2092="Zebu Cattle"),IF(COUNTIF(lists!$M$2:$M$258, K2092) &gt; 0,"bos.indicus",IF(COUNTIF(lists!$L$2:$L$258, K2092) &gt; 0,"cross.bred","pure.bred.exotic")),"NA")</f>
        <v>cross.bred</v>
      </c>
      <c r="O2092" s="9" t="s">
        <v>124</v>
      </c>
      <c r="P2092" s="9" t="s">
        <v>4045</v>
      </c>
      <c r="Q2092" s="9" t="s">
        <v>3809</v>
      </c>
      <c r="R2092" s="9" t="s">
        <v>3830</v>
      </c>
      <c r="S2092" s="9">
        <v>316.7</v>
      </c>
      <c r="T2092" s="9">
        <v>111.2</v>
      </c>
      <c r="U2092" s="9">
        <v>152.4</v>
      </c>
      <c r="V2092" s="9">
        <v>908.4</v>
      </c>
      <c r="W2092" s="9" t="s">
        <v>106</v>
      </c>
      <c r="X2092" s="9">
        <v>586</v>
      </c>
      <c r="Y2092" s="9">
        <v>45.6</v>
      </c>
      <c r="Z2092" s="9" t="s">
        <v>106</v>
      </c>
      <c r="AA2092" s="9">
        <v>71.87</v>
      </c>
      <c r="AB2092" s="9" t="s">
        <v>106</v>
      </c>
      <c r="AC2092" s="9" t="s">
        <v>5100</v>
      </c>
      <c r="AD2092" s="9" t="s">
        <v>5100</v>
      </c>
    </row>
    <row r="2093" spans="1:31">
      <c r="A2093" s="9" t="s">
        <v>4616</v>
      </c>
      <c r="B2093" s="9" t="s">
        <v>4620</v>
      </c>
      <c r="C2093" s="9" t="s">
        <v>105</v>
      </c>
      <c r="D2093" s="9">
        <v>14.59</v>
      </c>
      <c r="E2093" s="9" t="s">
        <v>106</v>
      </c>
      <c r="F2093" s="9">
        <v>480</v>
      </c>
      <c r="G2093" s="9" t="s">
        <v>106</v>
      </c>
      <c r="H2093" s="9">
        <v>12.87</v>
      </c>
      <c r="I2093" s="9">
        <v>8</v>
      </c>
      <c r="J2093" s="9" t="s">
        <v>122</v>
      </c>
      <c r="K2093" s="9" t="s">
        <v>4797</v>
      </c>
      <c r="L2093" t="str">
        <f>IF(OR(J2093="Cattle",J2093="Zebu Cattle"),IF(COUNTIF(lists!$M$2:$M$258, K2093) &gt; 0,"bos.indicus",IF(COUNTIF(lists!$L$2:$L$258, K2093) &gt; 0,"cross.bred","pure.bred.exotic")),"NA")</f>
        <v>cross.bred</v>
      </c>
      <c r="O2093" s="9" t="s">
        <v>124</v>
      </c>
      <c r="P2093" s="9" t="s">
        <v>4045</v>
      </c>
      <c r="Q2093" s="9" t="s">
        <v>3809</v>
      </c>
      <c r="R2093" s="9" t="s">
        <v>3830</v>
      </c>
      <c r="S2093" s="9">
        <v>326.5</v>
      </c>
      <c r="T2093" s="9">
        <v>112.8</v>
      </c>
      <c r="U2093" s="9">
        <v>137.30000000000001</v>
      </c>
      <c r="V2093" s="9">
        <v>904.3</v>
      </c>
      <c r="W2093" s="9" t="s">
        <v>106</v>
      </c>
      <c r="X2093" s="9">
        <v>611</v>
      </c>
      <c r="Y2093" s="9">
        <v>48.11</v>
      </c>
      <c r="Z2093" s="9" t="s">
        <v>106</v>
      </c>
      <c r="AA2093" s="9">
        <v>77.400000000000006</v>
      </c>
      <c r="AB2093" s="9" t="s">
        <v>106</v>
      </c>
      <c r="AC2093" s="9" t="s">
        <v>5100</v>
      </c>
      <c r="AD2093" s="9" t="s">
        <v>5100</v>
      </c>
    </row>
    <row r="2094" spans="1:31">
      <c r="A2094" s="9" t="s">
        <v>4616</v>
      </c>
      <c r="B2094" s="9" t="s">
        <v>4621</v>
      </c>
      <c r="C2094" s="9" t="s">
        <v>105</v>
      </c>
      <c r="D2094" s="9">
        <v>15.68</v>
      </c>
      <c r="E2094" s="9" t="s">
        <v>106</v>
      </c>
      <c r="F2094" s="9">
        <v>485</v>
      </c>
      <c r="G2094" s="9" t="s">
        <v>106</v>
      </c>
      <c r="H2094" s="9">
        <v>14.08</v>
      </c>
      <c r="I2094" s="9">
        <v>8</v>
      </c>
      <c r="J2094" s="9" t="s">
        <v>122</v>
      </c>
      <c r="K2094" s="9" t="s">
        <v>4797</v>
      </c>
      <c r="L2094" t="str">
        <f>IF(OR(J2094="Cattle",J2094="Zebu Cattle"),IF(COUNTIF(lists!$M$2:$M$258, K2094) &gt; 0,"bos.indicus",IF(COUNTIF(lists!$L$2:$L$258, K2094) &gt; 0,"cross.bred","pure.bred.exotic")),"NA")</f>
        <v>cross.bred</v>
      </c>
      <c r="O2094" s="9" t="s">
        <v>124</v>
      </c>
      <c r="P2094" s="9" t="s">
        <v>4045</v>
      </c>
      <c r="Q2094" s="9" t="s">
        <v>3809</v>
      </c>
      <c r="R2094" s="9" t="s">
        <v>3830</v>
      </c>
      <c r="S2094" s="9">
        <v>319.5</v>
      </c>
      <c r="T2094" s="9">
        <v>111.7</v>
      </c>
      <c r="U2094" s="9">
        <v>148.1</v>
      </c>
      <c r="V2094" s="9">
        <v>904.3</v>
      </c>
      <c r="W2094" s="9" t="s">
        <v>106</v>
      </c>
      <c r="X2094" s="9">
        <v>593</v>
      </c>
      <c r="Y2094" s="9">
        <v>48.4</v>
      </c>
      <c r="Z2094" s="9" t="s">
        <v>106</v>
      </c>
      <c r="AA2094" s="9">
        <v>78.97</v>
      </c>
      <c r="AB2094" s="9" t="s">
        <v>106</v>
      </c>
      <c r="AC2094" s="9" t="s">
        <v>5100</v>
      </c>
      <c r="AD2094" s="9" t="s">
        <v>5100</v>
      </c>
    </row>
    <row r="2095" spans="1:31" s="64" customFormat="1">
      <c r="A2095" s="26" t="s">
        <v>4633</v>
      </c>
      <c r="B2095" s="64" t="s">
        <v>4664</v>
      </c>
      <c r="C2095" s="26" t="s">
        <v>105</v>
      </c>
      <c r="D2095" s="26">
        <v>3.76</v>
      </c>
      <c r="E2095" s="26" t="s">
        <v>106</v>
      </c>
      <c r="F2095" s="68">
        <v>167</v>
      </c>
      <c r="G2095" s="26">
        <v>0.49</v>
      </c>
      <c r="H2095" s="26" t="s">
        <v>106</v>
      </c>
      <c r="I2095" s="26">
        <v>6</v>
      </c>
      <c r="J2095" s="26" t="s">
        <v>122</v>
      </c>
      <c r="K2095" s="26" t="s">
        <v>4727</v>
      </c>
      <c r="L2095" t="str">
        <f>IF(OR(J2095="Cattle",J2095="Zebu Cattle"),IF(COUNTIF(lists!$M$2:$M$258, K2095) &gt; 0,"bos.indicus",IF(COUNTIF(lists!$L$2:$L$258, K2095) &gt; 0,"cross.bred","pure.bred.exotic")),"NA")</f>
        <v>pure.bred.exotic</v>
      </c>
      <c r="M2095" s="26"/>
      <c r="N2095" s="26"/>
      <c r="O2095" s="26" t="s">
        <v>4194</v>
      </c>
      <c r="P2095" s="26" t="s">
        <v>4735</v>
      </c>
      <c r="Q2095" s="26" t="s">
        <v>3805</v>
      </c>
      <c r="R2095" s="9" t="s">
        <v>3830</v>
      </c>
      <c r="S2095" s="26">
        <v>392</v>
      </c>
      <c r="T2095" s="26">
        <v>35.700000000000003</v>
      </c>
      <c r="U2095" s="26">
        <v>98</v>
      </c>
      <c r="V2095" s="26">
        <v>357</v>
      </c>
      <c r="W2095" s="26" t="s">
        <v>106</v>
      </c>
      <c r="X2095" s="26" t="s">
        <v>106</v>
      </c>
      <c r="Y2095" s="26" t="s">
        <v>106</v>
      </c>
      <c r="Z2095" s="9" t="s">
        <v>106</v>
      </c>
      <c r="AA2095" s="9">
        <v>47.1</v>
      </c>
      <c r="AB2095" s="9" t="s">
        <v>106</v>
      </c>
      <c r="AC2095" s="9" t="s">
        <v>5100</v>
      </c>
      <c r="AD2095" s="9" t="s">
        <v>5100</v>
      </c>
      <c r="AE2095" s="74"/>
    </row>
    <row r="2096" spans="1:31">
      <c r="A2096" s="9" t="s">
        <v>4633</v>
      </c>
      <c r="B2096" t="s">
        <v>4665</v>
      </c>
      <c r="C2096" s="9" t="s">
        <v>105</v>
      </c>
      <c r="D2096" s="9">
        <v>3.51</v>
      </c>
      <c r="E2096" s="9" t="s">
        <v>106</v>
      </c>
      <c r="F2096" s="68">
        <v>167</v>
      </c>
      <c r="G2096" s="9">
        <v>0.48</v>
      </c>
      <c r="H2096" s="9" t="s">
        <v>106</v>
      </c>
      <c r="I2096" s="9">
        <v>6</v>
      </c>
      <c r="J2096" s="9" t="s">
        <v>122</v>
      </c>
      <c r="K2096" s="26" t="s">
        <v>4727</v>
      </c>
      <c r="L2096" t="str">
        <f>IF(OR(J2096="Cattle",J2096="Zebu Cattle"),IF(COUNTIF(lists!$M$2:$M$258, K2096) &gt; 0,"bos.indicus",IF(COUNTIF(lists!$L$2:$L$258, K2096) &gt; 0,"cross.bred","pure.bred.exotic")),"NA")</f>
        <v>pure.bred.exotic</v>
      </c>
      <c r="O2096" s="9" t="s">
        <v>4194</v>
      </c>
      <c r="P2096" s="9" t="s">
        <v>4735</v>
      </c>
      <c r="Q2096" s="26" t="s">
        <v>3805</v>
      </c>
      <c r="R2096" s="9" t="s">
        <v>3830</v>
      </c>
      <c r="S2096" s="9">
        <v>392</v>
      </c>
      <c r="T2096" s="9">
        <v>35.700000000000003</v>
      </c>
      <c r="U2096" s="9">
        <v>98</v>
      </c>
      <c r="V2096" s="9">
        <v>357</v>
      </c>
      <c r="W2096" s="9" t="s">
        <v>106</v>
      </c>
      <c r="X2096" s="9" t="s">
        <v>106</v>
      </c>
      <c r="Y2096" s="9" t="s">
        <v>106</v>
      </c>
      <c r="Z2096" s="9" t="s">
        <v>106</v>
      </c>
      <c r="AA2096" s="9">
        <v>47.1</v>
      </c>
      <c r="AB2096" s="9" t="s">
        <v>106</v>
      </c>
      <c r="AC2096" s="9" t="s">
        <v>5100</v>
      </c>
      <c r="AD2096" s="9" t="s">
        <v>5100</v>
      </c>
    </row>
    <row r="2097" spans="1:30">
      <c r="A2097" s="9" t="s">
        <v>4633</v>
      </c>
      <c r="B2097" t="s">
        <v>4666</v>
      </c>
      <c r="C2097" s="9" t="s">
        <v>105</v>
      </c>
      <c r="D2097" s="9">
        <v>3.45</v>
      </c>
      <c r="E2097" s="9" t="s">
        <v>106</v>
      </c>
      <c r="F2097" s="68">
        <v>167</v>
      </c>
      <c r="G2097" s="9">
        <v>0.79</v>
      </c>
      <c r="H2097" s="9" t="s">
        <v>106</v>
      </c>
      <c r="I2097" s="9">
        <v>6</v>
      </c>
      <c r="J2097" s="9" t="s">
        <v>122</v>
      </c>
      <c r="K2097" s="26" t="s">
        <v>4727</v>
      </c>
      <c r="L2097" t="str">
        <f>IF(OR(J2097="Cattle",J2097="Zebu Cattle"),IF(COUNTIF(lists!$M$2:$M$258, K2097) &gt; 0,"bos.indicus",IF(COUNTIF(lists!$L$2:$L$258, K2097) &gt; 0,"cross.bred","pure.bred.exotic")),"NA")</f>
        <v>pure.bred.exotic</v>
      </c>
      <c r="O2097" s="9" t="s">
        <v>4194</v>
      </c>
      <c r="P2097" s="9" t="s">
        <v>4735</v>
      </c>
      <c r="Q2097" s="26" t="s">
        <v>3805</v>
      </c>
      <c r="R2097" s="9" t="s">
        <v>3830</v>
      </c>
      <c r="S2097" s="9">
        <v>392</v>
      </c>
      <c r="T2097" s="9">
        <v>35.700000000000003</v>
      </c>
      <c r="U2097" s="9">
        <v>98</v>
      </c>
      <c r="V2097" s="9">
        <v>357</v>
      </c>
      <c r="W2097" s="9" t="s">
        <v>106</v>
      </c>
      <c r="X2097" s="9" t="s">
        <v>106</v>
      </c>
      <c r="Y2097" s="9" t="s">
        <v>106</v>
      </c>
      <c r="Z2097" s="9" t="s">
        <v>106</v>
      </c>
      <c r="AA2097" s="9">
        <v>47.1</v>
      </c>
      <c r="AB2097" s="9" t="s">
        <v>106</v>
      </c>
      <c r="AC2097" s="9" t="s">
        <v>5100</v>
      </c>
      <c r="AD2097" s="9" t="s">
        <v>5100</v>
      </c>
    </row>
    <row r="2098" spans="1:30">
      <c r="A2098" s="9" t="s">
        <v>4633</v>
      </c>
      <c r="B2098" t="s">
        <v>4667</v>
      </c>
      <c r="C2098" s="9" t="s">
        <v>105</v>
      </c>
      <c r="D2098" s="9">
        <v>3.49</v>
      </c>
      <c r="E2098" s="9" t="s">
        <v>106</v>
      </c>
      <c r="F2098" s="68">
        <v>167</v>
      </c>
      <c r="G2098" s="9">
        <v>0.48</v>
      </c>
      <c r="H2098" s="9" t="s">
        <v>106</v>
      </c>
      <c r="I2098" s="9">
        <v>6</v>
      </c>
      <c r="J2098" s="9" t="s">
        <v>122</v>
      </c>
      <c r="K2098" s="26" t="s">
        <v>4727</v>
      </c>
      <c r="L2098" t="str">
        <f>IF(OR(J2098="Cattle",J2098="Zebu Cattle"),IF(COUNTIF(lists!$M$2:$M$258, K2098) &gt; 0,"bos.indicus",IF(COUNTIF(lists!$L$2:$L$258, K2098) &gt; 0,"cross.bred","pure.bred.exotic")),"NA")</f>
        <v>pure.bred.exotic</v>
      </c>
      <c r="O2098" s="9" t="s">
        <v>4194</v>
      </c>
      <c r="P2098" s="9" t="s">
        <v>4735</v>
      </c>
      <c r="Q2098" s="26" t="s">
        <v>3805</v>
      </c>
      <c r="R2098" s="9" t="s">
        <v>3830</v>
      </c>
      <c r="S2098" s="9">
        <v>392</v>
      </c>
      <c r="T2098" s="9">
        <v>35.700000000000003</v>
      </c>
      <c r="U2098" s="9">
        <v>98</v>
      </c>
      <c r="V2098" s="9">
        <v>357</v>
      </c>
      <c r="W2098" s="9" t="s">
        <v>106</v>
      </c>
      <c r="X2098" s="9" t="s">
        <v>106</v>
      </c>
      <c r="Y2098" s="9" t="s">
        <v>106</v>
      </c>
      <c r="Z2098" s="9" t="s">
        <v>106</v>
      </c>
      <c r="AA2098" s="9">
        <v>47.1</v>
      </c>
      <c r="AB2098" s="9" t="s">
        <v>106</v>
      </c>
      <c r="AC2098" s="9" t="s">
        <v>5100</v>
      </c>
      <c r="AD2098" s="9" t="s">
        <v>5100</v>
      </c>
    </row>
    <row r="2099" spans="1:30">
      <c r="A2099" s="9" t="s">
        <v>4633</v>
      </c>
      <c r="B2099" t="s">
        <v>4668</v>
      </c>
      <c r="C2099" s="9" t="s">
        <v>105</v>
      </c>
      <c r="D2099" s="9">
        <v>3.79</v>
      </c>
      <c r="E2099" s="9" t="s">
        <v>106</v>
      </c>
      <c r="F2099" s="68">
        <v>167</v>
      </c>
      <c r="G2099" s="9">
        <v>0.79</v>
      </c>
      <c r="H2099" s="9" t="s">
        <v>106</v>
      </c>
      <c r="I2099" s="9">
        <v>6</v>
      </c>
      <c r="J2099" s="9" t="s">
        <v>122</v>
      </c>
      <c r="K2099" s="26" t="s">
        <v>4727</v>
      </c>
      <c r="L2099" t="str">
        <f>IF(OR(J2099="Cattle",J2099="Zebu Cattle"),IF(COUNTIF(lists!$M$2:$M$258, K2099) &gt; 0,"bos.indicus",IF(COUNTIF(lists!$L$2:$L$258, K2099) &gt; 0,"cross.bred","pure.bred.exotic")),"NA")</f>
        <v>pure.bred.exotic</v>
      </c>
      <c r="O2099" s="9" t="s">
        <v>4194</v>
      </c>
      <c r="P2099" s="9" t="s">
        <v>4735</v>
      </c>
      <c r="Q2099" s="26" t="s">
        <v>3805</v>
      </c>
      <c r="R2099" s="9" t="s">
        <v>3830</v>
      </c>
      <c r="S2099" s="9">
        <v>392</v>
      </c>
      <c r="T2099" s="9">
        <v>35.700000000000003</v>
      </c>
      <c r="U2099" s="9">
        <v>98</v>
      </c>
      <c r="V2099" s="9">
        <v>357</v>
      </c>
      <c r="W2099" s="9" t="s">
        <v>106</v>
      </c>
      <c r="X2099" s="9" t="s">
        <v>106</v>
      </c>
      <c r="Y2099" s="9" t="s">
        <v>106</v>
      </c>
      <c r="Z2099" s="9" t="s">
        <v>106</v>
      </c>
      <c r="AA2099" s="9">
        <v>47.1</v>
      </c>
      <c r="AB2099" s="9" t="s">
        <v>106</v>
      </c>
      <c r="AC2099" s="9" t="s">
        <v>5100</v>
      </c>
      <c r="AD2099" s="9" t="s">
        <v>5100</v>
      </c>
    </row>
    <row r="2100" spans="1:30">
      <c r="A2100" s="9" t="s">
        <v>4633</v>
      </c>
      <c r="B2100" t="s">
        <v>4669</v>
      </c>
      <c r="C2100" s="9" t="s">
        <v>105</v>
      </c>
      <c r="D2100" s="9">
        <v>3.76</v>
      </c>
      <c r="E2100" s="9" t="s">
        <v>106</v>
      </c>
      <c r="F2100" s="68">
        <v>167</v>
      </c>
      <c r="G2100" s="9">
        <v>1.1000000000000001</v>
      </c>
      <c r="H2100" s="9" t="s">
        <v>106</v>
      </c>
      <c r="I2100" s="9">
        <v>6</v>
      </c>
      <c r="J2100" s="9" t="s">
        <v>122</v>
      </c>
      <c r="K2100" s="26" t="s">
        <v>4727</v>
      </c>
      <c r="L2100" t="str">
        <f>IF(OR(J2100="Cattle",J2100="Zebu Cattle"),IF(COUNTIF(lists!$M$2:$M$258, K2100) &gt; 0,"bos.indicus",IF(COUNTIF(lists!$L$2:$L$258, K2100) &gt; 0,"cross.bred","pure.bred.exotic")),"NA")</f>
        <v>pure.bred.exotic</v>
      </c>
      <c r="O2100" s="9" t="s">
        <v>4194</v>
      </c>
      <c r="P2100" s="9" t="s">
        <v>4735</v>
      </c>
      <c r="Q2100" s="26" t="s">
        <v>3805</v>
      </c>
      <c r="R2100" s="9" t="s">
        <v>3830</v>
      </c>
      <c r="S2100" s="9">
        <v>392</v>
      </c>
      <c r="T2100" s="9">
        <v>35.700000000000003</v>
      </c>
      <c r="U2100" s="9">
        <v>98</v>
      </c>
      <c r="V2100" s="9">
        <v>357</v>
      </c>
      <c r="W2100" s="9" t="s">
        <v>106</v>
      </c>
      <c r="X2100" s="9" t="s">
        <v>106</v>
      </c>
      <c r="Y2100" s="9" t="s">
        <v>106</v>
      </c>
      <c r="Z2100" s="9" t="s">
        <v>106</v>
      </c>
      <c r="AA2100" s="9">
        <v>47.1</v>
      </c>
      <c r="AB2100" s="9" t="s">
        <v>106</v>
      </c>
      <c r="AC2100" s="9" t="s">
        <v>5100</v>
      </c>
      <c r="AD2100" s="9" t="s">
        <v>5100</v>
      </c>
    </row>
    <row r="2101" spans="1:30">
      <c r="A2101" s="9" t="s">
        <v>4633</v>
      </c>
      <c r="B2101" t="s">
        <v>4670</v>
      </c>
      <c r="C2101" s="9" t="s">
        <v>105</v>
      </c>
      <c r="D2101" s="9">
        <v>3.6</v>
      </c>
      <c r="E2101" s="9" t="s">
        <v>106</v>
      </c>
      <c r="F2101" s="68">
        <v>167</v>
      </c>
      <c r="G2101" s="9">
        <v>0.6</v>
      </c>
      <c r="H2101" s="9" t="s">
        <v>106</v>
      </c>
      <c r="I2101" s="9">
        <v>6</v>
      </c>
      <c r="J2101" s="9" t="s">
        <v>122</v>
      </c>
      <c r="K2101" s="26" t="s">
        <v>4727</v>
      </c>
      <c r="L2101" t="str">
        <f>IF(OR(J2101="Cattle",J2101="Zebu Cattle"),IF(COUNTIF(lists!$M$2:$M$258, K2101) &gt; 0,"bos.indicus",IF(COUNTIF(lists!$L$2:$L$258, K2101) &gt; 0,"cross.bred","pure.bred.exotic")),"NA")</f>
        <v>pure.bred.exotic</v>
      </c>
      <c r="O2101" s="9" t="s">
        <v>4194</v>
      </c>
      <c r="P2101" s="9" t="s">
        <v>4735</v>
      </c>
      <c r="Q2101" s="26" t="s">
        <v>3805</v>
      </c>
      <c r="R2101" s="9" t="s">
        <v>3830</v>
      </c>
      <c r="S2101" s="9">
        <v>392</v>
      </c>
      <c r="T2101" s="9">
        <v>35.700000000000003</v>
      </c>
      <c r="U2101" s="9">
        <v>98</v>
      </c>
      <c r="V2101" s="9">
        <v>357</v>
      </c>
      <c r="W2101" s="9" t="s">
        <v>106</v>
      </c>
      <c r="X2101" s="9" t="s">
        <v>106</v>
      </c>
      <c r="Y2101" s="9" t="s">
        <v>106</v>
      </c>
      <c r="Z2101" s="9" t="s">
        <v>106</v>
      </c>
      <c r="AA2101" s="9">
        <v>47.1</v>
      </c>
      <c r="AB2101" s="9" t="s">
        <v>106</v>
      </c>
      <c r="AC2101" s="9" t="s">
        <v>5100</v>
      </c>
      <c r="AD2101" s="9" t="s">
        <v>5100</v>
      </c>
    </row>
    <row r="2102" spans="1:30">
      <c r="A2102" s="9" t="s">
        <v>4633</v>
      </c>
      <c r="B2102" t="s">
        <v>4671</v>
      </c>
      <c r="C2102" s="9" t="s">
        <v>105</v>
      </c>
      <c r="D2102" s="9">
        <v>3.28</v>
      </c>
      <c r="E2102" s="9" t="s">
        <v>106</v>
      </c>
      <c r="F2102" s="68">
        <v>167</v>
      </c>
      <c r="G2102" s="9">
        <v>0.52</v>
      </c>
      <c r="H2102" s="9" t="s">
        <v>106</v>
      </c>
      <c r="I2102" s="9">
        <v>6</v>
      </c>
      <c r="J2102" s="9" t="s">
        <v>122</v>
      </c>
      <c r="K2102" s="26" t="s">
        <v>4727</v>
      </c>
      <c r="L2102" t="str">
        <f>IF(OR(J2102="Cattle",J2102="Zebu Cattle"),IF(COUNTIF(lists!$M$2:$M$258, K2102) &gt; 0,"bos.indicus",IF(COUNTIF(lists!$L$2:$L$258, K2102) &gt; 0,"cross.bred","pure.bred.exotic")),"NA")</f>
        <v>pure.bred.exotic</v>
      </c>
      <c r="O2102" s="9" t="s">
        <v>4194</v>
      </c>
      <c r="P2102" s="9" t="s">
        <v>4735</v>
      </c>
      <c r="Q2102" s="26" t="s">
        <v>3805</v>
      </c>
      <c r="R2102" s="9" t="s">
        <v>3830</v>
      </c>
      <c r="S2102" s="9">
        <v>392</v>
      </c>
      <c r="T2102" s="9">
        <v>35.700000000000003</v>
      </c>
      <c r="U2102" s="9">
        <v>98</v>
      </c>
      <c r="V2102" s="9">
        <v>357</v>
      </c>
      <c r="W2102" s="9" t="s">
        <v>106</v>
      </c>
      <c r="X2102" s="9" t="s">
        <v>106</v>
      </c>
      <c r="Y2102" s="9" t="s">
        <v>106</v>
      </c>
      <c r="Z2102" s="9" t="s">
        <v>106</v>
      </c>
      <c r="AA2102" s="9">
        <v>47.1</v>
      </c>
      <c r="AB2102" s="9" t="s">
        <v>106</v>
      </c>
      <c r="AC2102" s="9" t="s">
        <v>5100</v>
      </c>
      <c r="AD2102" s="9" t="s">
        <v>5100</v>
      </c>
    </row>
    <row r="2103" spans="1:30">
      <c r="A2103" s="9" t="s">
        <v>4633</v>
      </c>
      <c r="B2103" t="s">
        <v>4672</v>
      </c>
      <c r="C2103" s="9" t="s">
        <v>105</v>
      </c>
      <c r="D2103" s="9">
        <v>2.79</v>
      </c>
      <c r="E2103" s="9" t="s">
        <v>106</v>
      </c>
      <c r="F2103" s="68">
        <v>167</v>
      </c>
      <c r="G2103" s="9">
        <v>0.42</v>
      </c>
      <c r="H2103" s="9" t="s">
        <v>106</v>
      </c>
      <c r="I2103" s="9">
        <v>6</v>
      </c>
      <c r="J2103" s="9" t="s">
        <v>122</v>
      </c>
      <c r="K2103" s="26" t="s">
        <v>4727</v>
      </c>
      <c r="L2103" t="str">
        <f>IF(OR(J2103="Cattle",J2103="Zebu Cattle"),IF(COUNTIF(lists!$M$2:$M$258, K2103) &gt; 0,"bos.indicus",IF(COUNTIF(lists!$L$2:$L$258, K2103) &gt; 0,"cross.bred","pure.bred.exotic")),"NA")</f>
        <v>pure.bred.exotic</v>
      </c>
      <c r="O2103" s="9" t="s">
        <v>4194</v>
      </c>
      <c r="P2103" s="9" t="s">
        <v>4735</v>
      </c>
      <c r="Q2103" s="26" t="s">
        <v>3805</v>
      </c>
      <c r="R2103" s="9" t="s">
        <v>3830</v>
      </c>
      <c r="S2103" s="9">
        <v>392</v>
      </c>
      <c r="T2103" s="9">
        <v>35.700000000000003</v>
      </c>
      <c r="U2103" s="9">
        <v>98</v>
      </c>
      <c r="V2103" s="9">
        <v>357</v>
      </c>
      <c r="W2103" s="9" t="s">
        <v>106</v>
      </c>
      <c r="X2103" s="9" t="s">
        <v>106</v>
      </c>
      <c r="Y2103" s="9" t="s">
        <v>106</v>
      </c>
      <c r="Z2103" s="9" t="s">
        <v>106</v>
      </c>
      <c r="AA2103" s="9">
        <v>47.1</v>
      </c>
      <c r="AB2103" s="9" t="s">
        <v>106</v>
      </c>
      <c r="AC2103" s="9" t="s">
        <v>5100</v>
      </c>
      <c r="AD2103" s="9" t="s">
        <v>5100</v>
      </c>
    </row>
    <row r="2104" spans="1:30">
      <c r="A2104" s="9" t="s">
        <v>4633</v>
      </c>
      <c r="B2104" t="s">
        <v>4673</v>
      </c>
      <c r="C2104" s="9" t="s">
        <v>105</v>
      </c>
      <c r="D2104" s="9">
        <v>2.93</v>
      </c>
      <c r="E2104" s="9" t="s">
        <v>106</v>
      </c>
      <c r="F2104" s="68">
        <v>167</v>
      </c>
      <c r="G2104" s="9">
        <v>0.2</v>
      </c>
      <c r="H2104" s="9" t="s">
        <v>106</v>
      </c>
      <c r="I2104" s="9">
        <v>6</v>
      </c>
      <c r="J2104" s="9" t="s">
        <v>122</v>
      </c>
      <c r="K2104" s="26" t="s">
        <v>4727</v>
      </c>
      <c r="L2104" t="str">
        <f>IF(OR(J2104="Cattle",J2104="Zebu Cattle"),IF(COUNTIF(lists!$M$2:$M$258, K2104) &gt; 0,"bos.indicus",IF(COUNTIF(lists!$L$2:$L$258, K2104) &gt; 0,"cross.bred","pure.bred.exotic")),"NA")</f>
        <v>pure.bred.exotic</v>
      </c>
      <c r="O2104" s="9" t="s">
        <v>4194</v>
      </c>
      <c r="P2104" s="9" t="s">
        <v>4735</v>
      </c>
      <c r="Q2104" s="26" t="s">
        <v>3805</v>
      </c>
      <c r="R2104" s="9" t="s">
        <v>3830</v>
      </c>
      <c r="S2104" s="9">
        <v>392</v>
      </c>
      <c r="T2104" s="9">
        <v>35.700000000000003</v>
      </c>
      <c r="U2104" s="9">
        <v>98</v>
      </c>
      <c r="V2104" s="9">
        <v>357</v>
      </c>
      <c r="W2104" s="9" t="s">
        <v>106</v>
      </c>
      <c r="X2104" s="9" t="s">
        <v>106</v>
      </c>
      <c r="Y2104" s="9" t="s">
        <v>106</v>
      </c>
      <c r="Z2104" s="9" t="s">
        <v>106</v>
      </c>
      <c r="AA2104" s="9">
        <v>47.1</v>
      </c>
      <c r="AB2104" s="9" t="s">
        <v>106</v>
      </c>
      <c r="AC2104" s="9" t="s">
        <v>5100</v>
      </c>
      <c r="AD2104" s="9" t="s">
        <v>5100</v>
      </c>
    </row>
    <row r="2105" spans="1:30">
      <c r="A2105" s="9" t="s">
        <v>4634</v>
      </c>
      <c r="B2105" t="s">
        <v>4674</v>
      </c>
      <c r="C2105" s="9" t="s">
        <v>105</v>
      </c>
      <c r="D2105" s="9">
        <v>3.13</v>
      </c>
      <c r="E2105" s="9" t="s">
        <v>106</v>
      </c>
      <c r="F2105" s="68">
        <v>174.5</v>
      </c>
      <c r="G2105" s="9" t="s">
        <v>106</v>
      </c>
      <c r="H2105" s="9" t="s">
        <v>106</v>
      </c>
      <c r="I2105" s="9">
        <v>4</v>
      </c>
      <c r="J2105" s="9" t="s">
        <v>122</v>
      </c>
      <c r="K2105" s="9" t="s">
        <v>4728</v>
      </c>
      <c r="L2105" t="str">
        <f>IF(OR(J2105="Cattle",J2105="Zebu Cattle"),IF(COUNTIF(lists!$M$2:$M$258, K2105) &gt; 0,"bos.indicus",IF(COUNTIF(lists!$L$2:$L$258, K2105) &gt; 0,"cross.bred","pure.bred.exotic")),"NA")</f>
        <v>cross.bred</v>
      </c>
      <c r="O2105" s="9" t="s">
        <v>124</v>
      </c>
      <c r="P2105" s="16" t="s">
        <v>4736</v>
      </c>
      <c r="Q2105" s="9" t="s">
        <v>3806</v>
      </c>
      <c r="R2105" s="9" t="s">
        <v>3830</v>
      </c>
      <c r="S2105" s="9">
        <v>428</v>
      </c>
      <c r="T2105" s="9">
        <v>78.7</v>
      </c>
      <c r="U2105" s="9">
        <v>32.5</v>
      </c>
      <c r="V2105" s="9">
        <v>942</v>
      </c>
      <c r="W2105" s="9" t="s">
        <v>106</v>
      </c>
      <c r="X2105" s="9">
        <v>781</v>
      </c>
      <c r="Y2105" s="9" t="s">
        <v>106</v>
      </c>
      <c r="Z2105" s="9">
        <v>52</v>
      </c>
      <c r="AA2105" s="9" t="s">
        <v>106</v>
      </c>
      <c r="AB2105" s="9" t="s">
        <v>106</v>
      </c>
      <c r="AC2105" s="9" t="s">
        <v>5100</v>
      </c>
      <c r="AD2105" s="9" t="s">
        <v>5100</v>
      </c>
    </row>
    <row r="2106" spans="1:30">
      <c r="A2106" s="9" t="s">
        <v>4634</v>
      </c>
      <c r="B2106" t="s">
        <v>4675</v>
      </c>
      <c r="C2106" s="9" t="s">
        <v>105</v>
      </c>
      <c r="D2106" s="9">
        <v>4.33</v>
      </c>
      <c r="E2106" s="9" t="s">
        <v>106</v>
      </c>
      <c r="F2106" s="68">
        <v>174.5</v>
      </c>
      <c r="G2106" s="9" t="s">
        <v>106</v>
      </c>
      <c r="H2106" s="9" t="s">
        <v>106</v>
      </c>
      <c r="I2106" s="9">
        <v>4</v>
      </c>
      <c r="J2106" s="9" t="s">
        <v>122</v>
      </c>
      <c r="K2106" s="9" t="s">
        <v>4728</v>
      </c>
      <c r="L2106" t="str">
        <f>IF(OR(J2106="Cattle",J2106="Zebu Cattle"),IF(COUNTIF(lists!$M$2:$M$258, K2106) &gt; 0,"bos.indicus",IF(COUNTIF(lists!$L$2:$L$258, K2106) &gt; 0,"cross.bred","pure.bred.exotic")),"NA")</f>
        <v>cross.bred</v>
      </c>
      <c r="O2106" s="9" t="s">
        <v>124</v>
      </c>
      <c r="P2106" s="16" t="s">
        <v>4736</v>
      </c>
      <c r="Q2106" s="9" t="s">
        <v>3806</v>
      </c>
      <c r="R2106" s="9" t="s">
        <v>3830</v>
      </c>
      <c r="S2106" s="9">
        <v>418.9</v>
      </c>
      <c r="T2106" s="9">
        <v>91.3</v>
      </c>
      <c r="U2106" s="9">
        <v>65.7</v>
      </c>
      <c r="V2106" s="9">
        <v>937.5</v>
      </c>
      <c r="W2106" s="9" t="s">
        <v>106</v>
      </c>
      <c r="X2106" s="9">
        <v>715.4</v>
      </c>
      <c r="Y2106" s="9" t="s">
        <v>106</v>
      </c>
      <c r="Z2106" s="9">
        <v>57.5</v>
      </c>
      <c r="AA2106" s="9" t="s">
        <v>106</v>
      </c>
      <c r="AB2106" s="9" t="s">
        <v>106</v>
      </c>
      <c r="AC2106" s="9" t="s">
        <v>5100</v>
      </c>
      <c r="AD2106" s="9" t="s">
        <v>5100</v>
      </c>
    </row>
    <row r="2107" spans="1:30">
      <c r="A2107" s="9" t="s">
        <v>4634</v>
      </c>
      <c r="B2107" t="s">
        <v>4676</v>
      </c>
      <c r="C2107" s="9" t="s">
        <v>105</v>
      </c>
      <c r="D2107" s="9">
        <v>4.92</v>
      </c>
      <c r="E2107" s="9" t="s">
        <v>106</v>
      </c>
      <c r="F2107" s="68">
        <v>174.5</v>
      </c>
      <c r="G2107" s="9" t="s">
        <v>106</v>
      </c>
      <c r="H2107" s="9" t="s">
        <v>106</v>
      </c>
      <c r="I2107" s="9">
        <v>4</v>
      </c>
      <c r="J2107" s="9" t="s">
        <v>122</v>
      </c>
      <c r="K2107" s="9" t="s">
        <v>4728</v>
      </c>
      <c r="L2107" t="str">
        <f>IF(OR(J2107="Cattle",J2107="Zebu Cattle"),IF(COUNTIF(lists!$M$2:$M$258, K2107) &gt; 0,"bos.indicus",IF(COUNTIF(lists!$L$2:$L$258, K2107) &gt; 0,"cross.bred","pure.bred.exotic")),"NA")</f>
        <v>cross.bred</v>
      </c>
      <c r="O2107" s="9" t="s">
        <v>124</v>
      </c>
      <c r="P2107" s="16" t="s">
        <v>4736</v>
      </c>
      <c r="Q2107" s="9" t="s">
        <v>3806</v>
      </c>
      <c r="R2107" s="9" t="s">
        <v>3830</v>
      </c>
      <c r="S2107" s="9">
        <v>412.8</v>
      </c>
      <c r="T2107" s="9">
        <v>99.9</v>
      </c>
      <c r="U2107" s="9">
        <v>88.2</v>
      </c>
      <c r="V2107" s="9">
        <v>934.4</v>
      </c>
      <c r="W2107" s="9" t="s">
        <v>106</v>
      </c>
      <c r="X2107" s="9">
        <v>671.5</v>
      </c>
      <c r="Y2107" s="9" t="s">
        <v>106</v>
      </c>
      <c r="Z2107" s="9">
        <v>61.3</v>
      </c>
      <c r="AA2107" s="9" t="s">
        <v>106</v>
      </c>
      <c r="AB2107" s="9" t="s">
        <v>106</v>
      </c>
      <c r="AC2107" s="9" t="s">
        <v>5100</v>
      </c>
      <c r="AD2107" s="9" t="s">
        <v>5100</v>
      </c>
    </row>
    <row r="2108" spans="1:30">
      <c r="A2108" s="9" t="s">
        <v>4634</v>
      </c>
      <c r="B2108" t="s">
        <v>4677</v>
      </c>
      <c r="C2108" s="9" t="s">
        <v>105</v>
      </c>
      <c r="D2108" s="9">
        <v>5.61</v>
      </c>
      <c r="E2108" s="9" t="s">
        <v>106</v>
      </c>
      <c r="F2108" s="68">
        <v>174.5</v>
      </c>
      <c r="G2108" s="9" t="s">
        <v>106</v>
      </c>
      <c r="H2108" s="9" t="s">
        <v>106</v>
      </c>
      <c r="I2108" s="9">
        <v>4</v>
      </c>
      <c r="J2108" s="9" t="s">
        <v>122</v>
      </c>
      <c r="K2108" s="9" t="s">
        <v>4728</v>
      </c>
      <c r="L2108" t="str">
        <f>IF(OR(J2108="Cattle",J2108="Zebu Cattle"),IF(COUNTIF(lists!$M$2:$M$258, K2108) &gt; 0,"bos.indicus",IF(COUNTIF(lists!$L$2:$L$258, K2108) &gt; 0,"cross.bred","pure.bred.exotic")),"NA")</f>
        <v>cross.bred</v>
      </c>
      <c r="O2108" s="9" t="s">
        <v>124</v>
      </c>
      <c r="P2108" s="16" t="s">
        <v>4736</v>
      </c>
      <c r="Q2108" s="9" t="s">
        <v>3806</v>
      </c>
      <c r="R2108" s="9" t="s">
        <v>3830</v>
      </c>
      <c r="S2108" s="9">
        <v>409.1</v>
      </c>
      <c r="T2108" s="9">
        <v>105</v>
      </c>
      <c r="U2108" s="9">
        <v>101.7</v>
      </c>
      <c r="V2108" s="9">
        <v>932.5</v>
      </c>
      <c r="W2108" s="9" t="s">
        <v>106</v>
      </c>
      <c r="X2108" s="9">
        <v>644.20000000000005</v>
      </c>
      <c r="Y2108" s="9" t="s">
        <v>106</v>
      </c>
      <c r="Z2108" s="9">
        <v>63.5</v>
      </c>
      <c r="AA2108" s="9" t="s">
        <v>106</v>
      </c>
      <c r="AB2108" s="9" t="s">
        <v>106</v>
      </c>
      <c r="AC2108" s="9" t="s">
        <v>5100</v>
      </c>
      <c r="AD2108" s="9" t="s">
        <v>5100</v>
      </c>
    </row>
    <row r="2109" spans="1:30">
      <c r="A2109" s="9" t="s">
        <v>4634</v>
      </c>
      <c r="B2109" t="s">
        <v>4678</v>
      </c>
      <c r="C2109" s="9" t="s">
        <v>105</v>
      </c>
      <c r="D2109" s="9">
        <v>4.18</v>
      </c>
      <c r="E2109" s="9" t="s">
        <v>106</v>
      </c>
      <c r="F2109" s="68">
        <v>174.5</v>
      </c>
      <c r="G2109" s="9" t="s">
        <v>106</v>
      </c>
      <c r="H2109" s="9" t="s">
        <v>106</v>
      </c>
      <c r="I2109" s="9">
        <v>4</v>
      </c>
      <c r="J2109" s="9" t="s">
        <v>122</v>
      </c>
      <c r="K2109" s="9" t="s">
        <v>4728</v>
      </c>
      <c r="L2109" t="str">
        <f>IF(OR(J2109="Cattle",J2109="Zebu Cattle"),IF(COUNTIF(lists!$M$2:$M$258, K2109) &gt; 0,"bos.indicus",IF(COUNTIF(lists!$L$2:$L$258, K2109) &gt; 0,"cross.bred","pure.bred.exotic")),"NA")</f>
        <v>cross.bred</v>
      </c>
      <c r="O2109" s="9" t="s">
        <v>124</v>
      </c>
      <c r="P2109" s="16" t="s">
        <v>4736</v>
      </c>
      <c r="Q2109" s="9" t="s">
        <v>3806</v>
      </c>
      <c r="R2109" s="9" t="s">
        <v>3830</v>
      </c>
      <c r="S2109" s="9">
        <v>411.7</v>
      </c>
      <c r="T2109" s="9">
        <v>88.3</v>
      </c>
      <c r="U2109" s="9">
        <v>69.3</v>
      </c>
      <c r="V2109" s="9">
        <v>937</v>
      </c>
      <c r="W2109" s="9" t="s">
        <v>106</v>
      </c>
      <c r="X2109" s="9">
        <v>694.7</v>
      </c>
      <c r="Y2109" s="9" t="s">
        <v>106</v>
      </c>
      <c r="Z2109" s="9">
        <v>56.3</v>
      </c>
      <c r="AA2109" s="9" t="s">
        <v>106</v>
      </c>
      <c r="AB2109" s="9" t="s">
        <v>106</v>
      </c>
      <c r="AC2109" s="9" t="s">
        <v>5100</v>
      </c>
      <c r="AD2109" s="9" t="s">
        <v>5100</v>
      </c>
    </row>
    <row r="2110" spans="1:30">
      <c r="A2110" s="9" t="s">
        <v>4634</v>
      </c>
      <c r="B2110" t="s">
        <v>4679</v>
      </c>
      <c r="C2110" s="9" t="s">
        <v>105</v>
      </c>
      <c r="D2110" s="9">
        <v>4.78</v>
      </c>
      <c r="E2110" s="9" t="s">
        <v>106</v>
      </c>
      <c r="F2110" s="68">
        <v>174.5</v>
      </c>
      <c r="G2110" s="9" t="s">
        <v>106</v>
      </c>
      <c r="H2110" s="9" t="s">
        <v>106</v>
      </c>
      <c r="I2110" s="9">
        <v>4</v>
      </c>
      <c r="J2110" s="9" t="s">
        <v>122</v>
      </c>
      <c r="K2110" s="9" t="s">
        <v>4728</v>
      </c>
      <c r="L2110" t="str">
        <f>IF(OR(J2110="Cattle",J2110="Zebu Cattle"),IF(COUNTIF(lists!$M$2:$M$258, K2110) &gt; 0,"bos.indicus",IF(COUNTIF(lists!$L$2:$L$258, K2110) &gt; 0,"cross.bred","pure.bred.exotic")),"NA")</f>
        <v>cross.bred</v>
      </c>
      <c r="O2110" s="9" t="s">
        <v>124</v>
      </c>
      <c r="P2110" s="16" t="s">
        <v>4736</v>
      </c>
      <c r="Q2110" s="9" t="s">
        <v>3806</v>
      </c>
      <c r="R2110" s="9" t="s">
        <v>3830</v>
      </c>
      <c r="S2110" s="9">
        <v>405.7</v>
      </c>
      <c r="T2110" s="9">
        <v>91.9</v>
      </c>
      <c r="U2110" s="9">
        <v>83</v>
      </c>
      <c r="V2110" s="9">
        <v>935.1</v>
      </c>
      <c r="W2110" s="9" t="s">
        <v>106</v>
      </c>
      <c r="X2110" s="9">
        <v>662.3</v>
      </c>
      <c r="Y2110" s="9" t="s">
        <v>106</v>
      </c>
      <c r="Z2110" s="9">
        <v>57.9</v>
      </c>
      <c r="AA2110" s="9" t="s">
        <v>106</v>
      </c>
      <c r="AB2110" s="9" t="s">
        <v>106</v>
      </c>
      <c r="AC2110" s="9" t="s">
        <v>5100</v>
      </c>
      <c r="AD2110" s="9" t="s">
        <v>5100</v>
      </c>
    </row>
    <row r="2111" spans="1:30">
      <c r="A2111" s="9" t="s">
        <v>4634</v>
      </c>
      <c r="B2111" t="s">
        <v>4680</v>
      </c>
      <c r="C2111" s="9" t="s">
        <v>105</v>
      </c>
      <c r="D2111" s="9">
        <v>5.31</v>
      </c>
      <c r="E2111" s="9" t="s">
        <v>106</v>
      </c>
      <c r="F2111" s="68">
        <v>174.5</v>
      </c>
      <c r="G2111" s="9" t="s">
        <v>106</v>
      </c>
      <c r="H2111" s="9" t="s">
        <v>106</v>
      </c>
      <c r="I2111" s="9">
        <v>4</v>
      </c>
      <c r="J2111" s="9" t="s">
        <v>122</v>
      </c>
      <c r="K2111" s="9" t="s">
        <v>4728</v>
      </c>
      <c r="L2111" t="str">
        <f>IF(OR(J2111="Cattle",J2111="Zebu Cattle"),IF(COUNTIF(lists!$M$2:$M$258, K2111) &gt; 0,"bos.indicus",IF(COUNTIF(lists!$L$2:$L$258, K2111) &gt; 0,"cross.bred","pure.bred.exotic")),"NA")</f>
        <v>cross.bred</v>
      </c>
      <c r="O2111" s="9" t="s">
        <v>124</v>
      </c>
      <c r="P2111" s="16" t="s">
        <v>4736</v>
      </c>
      <c r="Q2111" s="9" t="s">
        <v>3806</v>
      </c>
      <c r="R2111" s="9" t="s">
        <v>3830</v>
      </c>
      <c r="S2111" s="9">
        <v>395.9</v>
      </c>
      <c r="T2111" s="9">
        <v>97.7</v>
      </c>
      <c r="U2111" s="9">
        <v>105.2</v>
      </c>
      <c r="V2111" s="9">
        <v>932.1</v>
      </c>
      <c r="W2111" s="9" t="s">
        <v>106</v>
      </c>
      <c r="X2111" s="9">
        <v>610.6</v>
      </c>
      <c r="Y2111" s="9" t="s">
        <v>106</v>
      </c>
      <c r="Z2111" s="9">
        <v>60.5</v>
      </c>
      <c r="AA2111" s="9" t="s">
        <v>106</v>
      </c>
      <c r="AB2111" s="9" t="s">
        <v>106</v>
      </c>
      <c r="AC2111" s="9" t="s">
        <v>5100</v>
      </c>
      <c r="AD2111" s="9" t="s">
        <v>5100</v>
      </c>
    </row>
    <row r="2112" spans="1:30">
      <c r="A2112" s="9" t="s">
        <v>4635</v>
      </c>
      <c r="B2112" t="s">
        <v>4681</v>
      </c>
      <c r="C2112" s="9" t="s">
        <v>105</v>
      </c>
      <c r="D2112" s="9">
        <v>4.21</v>
      </c>
      <c r="E2112" s="9" t="s">
        <v>106</v>
      </c>
      <c r="F2112" s="68">
        <v>188</v>
      </c>
      <c r="G2112" s="9" t="s">
        <v>106</v>
      </c>
      <c r="H2112" s="9" t="s">
        <v>106</v>
      </c>
      <c r="I2112" s="9">
        <v>6</v>
      </c>
      <c r="J2112" s="9" t="s">
        <v>122</v>
      </c>
      <c r="K2112" s="9" t="s">
        <v>4729</v>
      </c>
      <c r="L2112" t="str">
        <f>IF(OR(J2112="Cattle",J2112="Zebu Cattle"),IF(COUNTIF(lists!$M$2:$M$258, K2112) &gt; 0,"bos.indicus",IF(COUNTIF(lists!$L$2:$L$258, K2112) &gt; 0,"cross.bred","pure.bred.exotic")),"NA")</f>
        <v>cross.bred</v>
      </c>
      <c r="O2112" s="9" t="s">
        <v>124</v>
      </c>
      <c r="P2112" s="9" t="s">
        <v>4737</v>
      </c>
      <c r="Q2112" s="9" t="s">
        <v>3804</v>
      </c>
      <c r="R2112" s="9" t="s">
        <v>3830</v>
      </c>
      <c r="S2112" s="9" t="s">
        <v>106</v>
      </c>
      <c r="T2112" s="9">
        <v>71</v>
      </c>
      <c r="U2112" s="9">
        <v>67</v>
      </c>
      <c r="V2112" s="9">
        <v>934</v>
      </c>
      <c r="W2112" s="9" t="s">
        <v>106</v>
      </c>
      <c r="X2112" s="9">
        <v>628</v>
      </c>
      <c r="Y2112" s="9" t="s">
        <v>106</v>
      </c>
      <c r="Z2112" s="9" t="s">
        <v>106</v>
      </c>
      <c r="AA2112" s="9" t="s">
        <v>106</v>
      </c>
      <c r="AB2112" s="9">
        <v>53.2</v>
      </c>
      <c r="AC2112" s="9" t="s">
        <v>5100</v>
      </c>
      <c r="AD2112" s="9" t="s">
        <v>5100</v>
      </c>
    </row>
    <row r="2113" spans="1:30">
      <c r="A2113" s="9" t="s">
        <v>4635</v>
      </c>
      <c r="B2113" t="s">
        <v>4682</v>
      </c>
      <c r="C2113" s="9" t="s">
        <v>105</v>
      </c>
      <c r="D2113" s="9">
        <v>4.8499999999999996</v>
      </c>
      <c r="E2113" s="9" t="s">
        <v>106</v>
      </c>
      <c r="F2113" s="68">
        <v>188</v>
      </c>
      <c r="G2113" s="9" t="s">
        <v>106</v>
      </c>
      <c r="H2113" s="9" t="s">
        <v>106</v>
      </c>
      <c r="I2113" s="9">
        <v>6</v>
      </c>
      <c r="J2113" s="9" t="s">
        <v>122</v>
      </c>
      <c r="K2113" s="9" t="s">
        <v>4729</v>
      </c>
      <c r="L2113" t="str">
        <f>IF(OR(J2113="Cattle",J2113="Zebu Cattle"),IF(COUNTIF(lists!$M$2:$M$258, K2113) &gt; 0,"bos.indicus",IF(COUNTIF(lists!$L$2:$L$258, K2113) &gt; 0,"cross.bred","pure.bred.exotic")),"NA")</f>
        <v>cross.bred</v>
      </c>
      <c r="O2113" s="9" t="s">
        <v>124</v>
      </c>
      <c r="P2113" s="9" t="s">
        <v>4737</v>
      </c>
      <c r="Q2113" s="9" t="s">
        <v>3804</v>
      </c>
      <c r="R2113" s="9" t="s">
        <v>3830</v>
      </c>
      <c r="S2113" s="9" t="s">
        <v>106</v>
      </c>
      <c r="T2113" s="9">
        <v>106</v>
      </c>
      <c r="U2113" s="9">
        <v>189</v>
      </c>
      <c r="V2113" s="9">
        <v>925</v>
      </c>
      <c r="W2113" s="9" t="s">
        <v>106</v>
      </c>
      <c r="X2113" s="9">
        <v>472</v>
      </c>
      <c r="Y2113" s="9" t="s">
        <v>106</v>
      </c>
      <c r="Z2113" s="9" t="s">
        <v>106</v>
      </c>
      <c r="AA2113" s="9" t="s">
        <v>106</v>
      </c>
      <c r="AB2113" s="9">
        <v>64.8</v>
      </c>
      <c r="AC2113" s="9" t="s">
        <v>5100</v>
      </c>
      <c r="AD2113" s="9" t="s">
        <v>5100</v>
      </c>
    </row>
    <row r="2114" spans="1:30">
      <c r="A2114" s="9" t="s">
        <v>4635</v>
      </c>
      <c r="B2114" t="s">
        <v>4683</v>
      </c>
      <c r="C2114" s="9" t="s">
        <v>105</v>
      </c>
      <c r="D2114" s="9">
        <v>4.3600000000000003</v>
      </c>
      <c r="E2114" s="9" t="s">
        <v>106</v>
      </c>
      <c r="F2114" s="68">
        <v>188</v>
      </c>
      <c r="G2114" s="9" t="s">
        <v>106</v>
      </c>
      <c r="H2114" s="9" t="s">
        <v>106</v>
      </c>
      <c r="I2114" s="9">
        <v>6</v>
      </c>
      <c r="J2114" s="9" t="s">
        <v>122</v>
      </c>
      <c r="K2114" s="9" t="s">
        <v>4729</v>
      </c>
      <c r="L2114" t="str">
        <f>IF(OR(J2114="Cattle",J2114="Zebu Cattle"),IF(COUNTIF(lists!$M$2:$M$258, K2114) &gt; 0,"bos.indicus",IF(COUNTIF(lists!$L$2:$L$258, K2114) &gt; 0,"cross.bred","pure.bred.exotic")),"NA")</f>
        <v>cross.bred</v>
      </c>
      <c r="O2114" s="9" t="s">
        <v>124</v>
      </c>
      <c r="P2114" s="9" t="s">
        <v>4737</v>
      </c>
      <c r="Q2114" s="9" t="s">
        <v>3804</v>
      </c>
      <c r="R2114" s="9" t="s">
        <v>3830</v>
      </c>
      <c r="S2114" s="9" t="s">
        <v>106</v>
      </c>
      <c r="T2114" s="9">
        <v>89</v>
      </c>
      <c r="U2114" s="9">
        <v>89</v>
      </c>
      <c r="V2114" s="9">
        <v>941</v>
      </c>
      <c r="W2114" s="9" t="s">
        <v>106</v>
      </c>
      <c r="X2114" s="9">
        <v>647</v>
      </c>
      <c r="Y2114" s="9" t="s">
        <v>106</v>
      </c>
      <c r="Z2114" s="9" t="s">
        <v>106</v>
      </c>
      <c r="AA2114" s="9" t="s">
        <v>106</v>
      </c>
      <c r="AB2114" s="9">
        <v>56.3</v>
      </c>
      <c r="AC2114" s="9" t="s">
        <v>5100</v>
      </c>
      <c r="AD2114" s="9" t="s">
        <v>5100</v>
      </c>
    </row>
    <row r="2115" spans="1:30">
      <c r="A2115" s="9" t="s">
        <v>4635</v>
      </c>
      <c r="B2115" t="s">
        <v>4684</v>
      </c>
      <c r="C2115" s="9" t="s">
        <v>105</v>
      </c>
      <c r="D2115" s="9">
        <v>3.85</v>
      </c>
      <c r="E2115" s="9" t="s">
        <v>106</v>
      </c>
      <c r="F2115" s="68">
        <v>188</v>
      </c>
      <c r="G2115" s="9" t="s">
        <v>106</v>
      </c>
      <c r="H2115" s="9" t="s">
        <v>106</v>
      </c>
      <c r="I2115" s="9">
        <v>6</v>
      </c>
      <c r="J2115" s="9" t="s">
        <v>122</v>
      </c>
      <c r="K2115" s="9" t="s">
        <v>4729</v>
      </c>
      <c r="L2115" t="str">
        <f>IF(OR(J2115="Cattle",J2115="Zebu Cattle"),IF(COUNTIF(lists!$M$2:$M$258, K2115) &gt; 0,"bos.indicus",IF(COUNTIF(lists!$L$2:$L$258, K2115) &gt; 0,"cross.bred","pure.bred.exotic")),"NA")</f>
        <v>cross.bred</v>
      </c>
      <c r="O2115" s="9" t="s">
        <v>124</v>
      </c>
      <c r="P2115" s="9" t="s">
        <v>4737</v>
      </c>
      <c r="Q2115" s="9" t="s">
        <v>3804</v>
      </c>
      <c r="R2115" s="9" t="s">
        <v>3830</v>
      </c>
      <c r="S2115" s="9" t="s">
        <v>106</v>
      </c>
      <c r="T2115" s="9">
        <v>81</v>
      </c>
      <c r="U2115" s="9">
        <v>56</v>
      </c>
      <c r="V2115" s="9">
        <v>943</v>
      </c>
      <c r="W2115" s="9" t="s">
        <v>106</v>
      </c>
      <c r="X2115" s="9">
        <v>677</v>
      </c>
      <c r="Y2115" s="9" t="s">
        <v>106</v>
      </c>
      <c r="Z2115" s="9" t="s">
        <v>106</v>
      </c>
      <c r="AA2115" s="9" t="s">
        <v>106</v>
      </c>
      <c r="AB2115" s="9">
        <v>57.3</v>
      </c>
      <c r="AC2115" s="9" t="s">
        <v>5100</v>
      </c>
      <c r="AD2115" s="9" t="s">
        <v>5100</v>
      </c>
    </row>
    <row r="2116" spans="1:30">
      <c r="A2116" s="9" t="s">
        <v>4636</v>
      </c>
      <c r="B2116" t="s">
        <v>4685</v>
      </c>
      <c r="C2116" s="9" t="s">
        <v>105</v>
      </c>
      <c r="D2116" s="9">
        <v>1.8</v>
      </c>
      <c r="E2116" s="9">
        <v>0.15</v>
      </c>
      <c r="F2116" s="9">
        <v>90.5</v>
      </c>
      <c r="G2116" s="9">
        <v>6.9000000000000006E-2</v>
      </c>
      <c r="H2116" s="9" t="s">
        <v>106</v>
      </c>
      <c r="I2116" s="9">
        <v>8</v>
      </c>
      <c r="J2116" s="9" t="s">
        <v>122</v>
      </c>
      <c r="K2116" s="9" t="s">
        <v>4730</v>
      </c>
      <c r="L2116" t="str">
        <f>IF(OR(J2116="Cattle",J2116="Zebu Cattle"),IF(COUNTIF(lists!$M$2:$M$258, K2116) &gt; 0,"bos.indicus",IF(COUNTIF(lists!$L$2:$L$258, K2116) &gt; 0,"cross.bred","pure.bred.exotic")),"NA")</f>
        <v>cross.bred</v>
      </c>
      <c r="O2116" s="9" t="s">
        <v>4193</v>
      </c>
      <c r="P2116" s="9" t="s">
        <v>4330</v>
      </c>
      <c r="Q2116" s="9" t="s">
        <v>3805</v>
      </c>
      <c r="R2116" s="9" t="s">
        <v>3830</v>
      </c>
      <c r="S2116" s="9">
        <v>408</v>
      </c>
      <c r="T2116" s="9">
        <v>75</v>
      </c>
      <c r="U2116" s="9">
        <v>42</v>
      </c>
      <c r="V2116" s="9">
        <v>940</v>
      </c>
      <c r="W2116" s="9" t="s">
        <v>106</v>
      </c>
      <c r="X2116" s="9">
        <v>725</v>
      </c>
      <c r="Y2116" s="9" t="s">
        <v>106</v>
      </c>
      <c r="Z2116" s="9" t="s">
        <v>106</v>
      </c>
      <c r="AA2116" s="9" t="s">
        <v>106</v>
      </c>
      <c r="AB2116" s="9" t="s">
        <v>106</v>
      </c>
      <c r="AC2116" s="9" t="s">
        <v>5100</v>
      </c>
      <c r="AD2116" s="9" t="s">
        <v>5100</v>
      </c>
    </row>
    <row r="2117" spans="1:30">
      <c r="A2117" s="9" t="s">
        <v>4636</v>
      </c>
      <c r="B2117" t="s">
        <v>4686</v>
      </c>
      <c r="C2117" s="9" t="s">
        <v>105</v>
      </c>
      <c r="D2117" s="9">
        <v>3.1</v>
      </c>
      <c r="E2117" s="9">
        <v>0.06</v>
      </c>
      <c r="F2117" s="9">
        <v>102.5</v>
      </c>
      <c r="G2117" s="9">
        <v>0.315</v>
      </c>
      <c r="H2117" s="9" t="s">
        <v>106</v>
      </c>
      <c r="I2117" s="9">
        <v>9</v>
      </c>
      <c r="J2117" s="9" t="s">
        <v>122</v>
      </c>
      <c r="K2117" s="9" t="s">
        <v>4730</v>
      </c>
      <c r="L2117" t="str">
        <f>IF(OR(J2117="Cattle",J2117="Zebu Cattle"),IF(COUNTIF(lists!$M$2:$M$258, K2117) &gt; 0,"bos.indicus",IF(COUNTIF(lists!$L$2:$L$258, K2117) &gt; 0,"cross.bred","pure.bred.exotic")),"NA")</f>
        <v>cross.bred</v>
      </c>
      <c r="O2117" s="9" t="s">
        <v>4193</v>
      </c>
      <c r="P2117" s="9" t="s">
        <v>4330</v>
      </c>
      <c r="Q2117" s="9" t="s">
        <v>3805</v>
      </c>
      <c r="R2117" s="9" t="s">
        <v>3830</v>
      </c>
      <c r="S2117" s="9">
        <v>360.2</v>
      </c>
      <c r="T2117" s="9" t="s">
        <v>106</v>
      </c>
      <c r="U2117" s="9">
        <v>81.33</v>
      </c>
      <c r="V2117" s="9" t="s">
        <v>106</v>
      </c>
      <c r="W2117" s="9" t="s">
        <v>106</v>
      </c>
      <c r="X2117" s="9" t="s">
        <v>106</v>
      </c>
      <c r="Y2117" s="9" t="s">
        <v>106</v>
      </c>
      <c r="Z2117" s="9" t="s">
        <v>106</v>
      </c>
      <c r="AA2117" s="9" t="s">
        <v>106</v>
      </c>
      <c r="AB2117" s="9" t="s">
        <v>106</v>
      </c>
      <c r="AC2117" s="9" t="s">
        <v>5100</v>
      </c>
      <c r="AD2117" s="9" t="s">
        <v>5100</v>
      </c>
    </row>
    <row r="2118" spans="1:30">
      <c r="A2118" s="9" t="s">
        <v>4636</v>
      </c>
      <c r="B2118" t="s">
        <v>4687</v>
      </c>
      <c r="C2118" s="9" t="s">
        <v>105</v>
      </c>
      <c r="D2118" s="9">
        <v>3.2</v>
      </c>
      <c r="E2118" s="9">
        <v>0.06</v>
      </c>
      <c r="F2118" s="9">
        <v>104</v>
      </c>
      <c r="G2118" s="9">
        <v>0.33200000000000002</v>
      </c>
      <c r="H2118" s="9" t="s">
        <v>106</v>
      </c>
      <c r="I2118" s="9">
        <v>9</v>
      </c>
      <c r="J2118" s="9" t="s">
        <v>122</v>
      </c>
      <c r="K2118" s="9" t="s">
        <v>4730</v>
      </c>
      <c r="L2118" t="str">
        <f>IF(OR(J2118="Cattle",J2118="Zebu Cattle"),IF(COUNTIF(lists!$M$2:$M$258, K2118) &gt; 0,"bos.indicus",IF(COUNTIF(lists!$L$2:$L$258, K2118) &gt; 0,"cross.bred","pure.bred.exotic")),"NA")</f>
        <v>cross.bred</v>
      </c>
      <c r="O2118" s="9" t="s">
        <v>4193</v>
      </c>
      <c r="P2118" s="9" t="s">
        <v>4330</v>
      </c>
      <c r="Q2118" s="9" t="s">
        <v>3805</v>
      </c>
      <c r="R2118" s="9" t="s">
        <v>3830</v>
      </c>
      <c r="S2118" s="9">
        <v>360.2</v>
      </c>
      <c r="T2118" s="9" t="s">
        <v>106</v>
      </c>
      <c r="U2118" s="9">
        <v>81.13</v>
      </c>
      <c r="V2118" s="9" t="s">
        <v>106</v>
      </c>
      <c r="W2118" s="9" t="s">
        <v>106</v>
      </c>
      <c r="X2118" s="9" t="s">
        <v>106</v>
      </c>
      <c r="Y2118" s="9" t="s">
        <v>106</v>
      </c>
      <c r="Z2118" s="9" t="s">
        <v>106</v>
      </c>
      <c r="AA2118" s="9" t="s">
        <v>106</v>
      </c>
      <c r="AB2118" s="9" t="s">
        <v>106</v>
      </c>
      <c r="AC2118" s="9" t="s">
        <v>5100</v>
      </c>
      <c r="AD2118" s="9" t="s">
        <v>5100</v>
      </c>
    </row>
    <row r="2119" spans="1:30">
      <c r="A2119" s="9" t="s">
        <v>4637</v>
      </c>
      <c r="B2119" t="s">
        <v>4688</v>
      </c>
      <c r="C2119" s="9" t="s">
        <v>105</v>
      </c>
      <c r="D2119" s="9">
        <v>22.2</v>
      </c>
      <c r="E2119" s="9">
        <v>0.8</v>
      </c>
      <c r="F2119" s="9">
        <v>639</v>
      </c>
      <c r="G2119" s="9" t="s">
        <v>106</v>
      </c>
      <c r="H2119" s="9">
        <v>36.299999999999997</v>
      </c>
      <c r="I2119" s="9">
        <v>12</v>
      </c>
      <c r="J2119" s="9" t="s">
        <v>122</v>
      </c>
      <c r="K2119" s="9" t="s">
        <v>4165</v>
      </c>
      <c r="L2119" t="str">
        <f>IF(OR(J2119="Cattle",J2119="Zebu Cattle"),IF(COUNTIF(lists!$M$2:$M$258, K2119) &gt; 0,"bos.indicus",IF(COUNTIF(lists!$L$2:$L$258, K2119) &gt; 0,"cross.bred","pure.bred.exotic")),"NA")</f>
        <v>pure.bred.exotic</v>
      </c>
      <c r="O2119" s="9" t="s">
        <v>4194</v>
      </c>
      <c r="P2119" s="9" t="s">
        <v>4738</v>
      </c>
      <c r="Q2119" s="9" t="s">
        <v>3809</v>
      </c>
      <c r="R2119" s="9" t="s">
        <v>3830</v>
      </c>
      <c r="S2119" s="9">
        <v>192</v>
      </c>
      <c r="T2119" s="9">
        <v>77</v>
      </c>
      <c r="U2119" s="9">
        <v>181</v>
      </c>
      <c r="V2119" s="9">
        <v>550</v>
      </c>
      <c r="W2119" s="9">
        <v>58.6</v>
      </c>
      <c r="X2119" s="9">
        <v>312</v>
      </c>
      <c r="Y2119" s="9" t="s">
        <v>106</v>
      </c>
      <c r="Z2119" s="9" t="s">
        <v>106</v>
      </c>
      <c r="AA2119" s="9" t="s">
        <v>106</v>
      </c>
      <c r="AB2119" s="9" t="s">
        <v>106</v>
      </c>
      <c r="AC2119" s="9" t="s">
        <v>5100</v>
      </c>
      <c r="AD2119" s="9" t="s">
        <v>5100</v>
      </c>
    </row>
    <row r="2120" spans="1:30">
      <c r="A2120" s="9" t="s">
        <v>4637</v>
      </c>
      <c r="B2120" t="s">
        <v>4689</v>
      </c>
      <c r="C2120" s="9" t="s">
        <v>105</v>
      </c>
      <c r="D2120" s="9">
        <v>21.7</v>
      </c>
      <c r="E2120" s="9">
        <v>0.8</v>
      </c>
      <c r="F2120" s="9">
        <v>651</v>
      </c>
      <c r="G2120" s="9" t="s">
        <v>106</v>
      </c>
      <c r="H2120" s="9">
        <v>37.9</v>
      </c>
      <c r="I2120" s="9">
        <v>12</v>
      </c>
      <c r="J2120" s="9" t="s">
        <v>122</v>
      </c>
      <c r="K2120" s="9" t="s">
        <v>4165</v>
      </c>
      <c r="L2120" t="str">
        <f>IF(OR(J2120="Cattle",J2120="Zebu Cattle"),IF(COUNTIF(lists!$M$2:$M$258, K2120) &gt; 0,"bos.indicus",IF(COUNTIF(lists!$L$2:$L$258, K2120) &gt; 0,"cross.bred","pure.bred.exotic")),"NA")</f>
        <v>pure.bred.exotic</v>
      </c>
      <c r="O2120" s="9" t="s">
        <v>4194</v>
      </c>
      <c r="P2120" s="9" t="s">
        <v>4738</v>
      </c>
      <c r="Q2120" s="9" t="s">
        <v>3809</v>
      </c>
      <c r="R2120" s="9" t="s">
        <v>3830</v>
      </c>
      <c r="S2120" s="9">
        <v>192</v>
      </c>
      <c r="T2120" s="9">
        <v>77</v>
      </c>
      <c r="U2120" s="9">
        <v>181</v>
      </c>
      <c r="V2120" s="9">
        <v>550</v>
      </c>
      <c r="W2120" s="9">
        <v>58.6</v>
      </c>
      <c r="X2120" s="9">
        <v>312</v>
      </c>
      <c r="Y2120" s="9" t="s">
        <v>106</v>
      </c>
      <c r="Z2120" s="9" t="s">
        <v>106</v>
      </c>
      <c r="AA2120" s="9" t="s">
        <v>106</v>
      </c>
      <c r="AB2120" s="9" t="s">
        <v>106</v>
      </c>
      <c r="AC2120" s="9" t="s">
        <v>5100</v>
      </c>
      <c r="AD2120" s="9" t="s">
        <v>5100</v>
      </c>
    </row>
    <row r="2121" spans="1:30">
      <c r="A2121" s="9" t="s">
        <v>4637</v>
      </c>
      <c r="B2121" t="s">
        <v>4690</v>
      </c>
      <c r="C2121" s="9" t="s">
        <v>105</v>
      </c>
      <c r="D2121" s="9">
        <v>20.8</v>
      </c>
      <c r="E2121" s="9">
        <v>0.8</v>
      </c>
      <c r="F2121" s="9">
        <v>644</v>
      </c>
      <c r="G2121" s="9" t="s">
        <v>106</v>
      </c>
      <c r="H2121" s="9">
        <v>34.799999999999997</v>
      </c>
      <c r="I2121" s="9">
        <v>12</v>
      </c>
      <c r="J2121" s="9" t="s">
        <v>122</v>
      </c>
      <c r="K2121" s="9" t="s">
        <v>4165</v>
      </c>
      <c r="L2121" t="str">
        <f>IF(OR(J2121="Cattle",J2121="Zebu Cattle"),IF(COUNTIF(lists!$M$2:$M$258, K2121) &gt; 0,"bos.indicus",IF(COUNTIF(lists!$L$2:$L$258, K2121) &gt; 0,"cross.bred","pure.bred.exotic")),"NA")</f>
        <v>pure.bred.exotic</v>
      </c>
      <c r="O2121" s="9" t="s">
        <v>4194</v>
      </c>
      <c r="P2121" s="9" t="s">
        <v>4738</v>
      </c>
      <c r="Q2121" s="9" t="s">
        <v>3809</v>
      </c>
      <c r="R2121" s="9" t="s">
        <v>3830</v>
      </c>
      <c r="S2121" s="9">
        <v>192</v>
      </c>
      <c r="T2121" s="9">
        <v>77</v>
      </c>
      <c r="U2121" s="9">
        <v>181</v>
      </c>
      <c r="V2121" s="9">
        <v>550</v>
      </c>
      <c r="W2121" s="9">
        <v>58.6</v>
      </c>
      <c r="X2121" s="9">
        <v>312</v>
      </c>
      <c r="Y2121" s="9" t="s">
        <v>106</v>
      </c>
      <c r="Z2121" s="9" t="s">
        <v>106</v>
      </c>
      <c r="AA2121" s="9" t="s">
        <v>106</v>
      </c>
      <c r="AB2121" s="9" t="s">
        <v>106</v>
      </c>
      <c r="AC2121" s="9" t="s">
        <v>5100</v>
      </c>
      <c r="AD2121" s="9" t="s">
        <v>5100</v>
      </c>
    </row>
    <row r="2122" spans="1:30">
      <c r="A2122" s="9" t="s">
        <v>4637</v>
      </c>
      <c r="B2122" t="s">
        <v>4691</v>
      </c>
      <c r="C2122" s="9" t="s">
        <v>105</v>
      </c>
      <c r="D2122" s="9">
        <v>21.7</v>
      </c>
      <c r="E2122" s="9">
        <v>0.8</v>
      </c>
      <c r="F2122" s="9">
        <v>617</v>
      </c>
      <c r="G2122" s="9" t="s">
        <v>106</v>
      </c>
      <c r="H2122" s="9">
        <v>36.799999999999997</v>
      </c>
      <c r="I2122" s="9">
        <v>12</v>
      </c>
      <c r="J2122" s="9" t="s">
        <v>122</v>
      </c>
      <c r="K2122" s="9" t="s">
        <v>4165</v>
      </c>
      <c r="L2122" t="str">
        <f>IF(OR(J2122="Cattle",J2122="Zebu Cattle"),IF(COUNTIF(lists!$M$2:$M$258, K2122) &gt; 0,"bos.indicus",IF(COUNTIF(lists!$L$2:$L$258, K2122) &gt; 0,"cross.bred","pure.bred.exotic")),"NA")</f>
        <v>pure.bred.exotic</v>
      </c>
      <c r="O2122" s="9" t="s">
        <v>4194</v>
      </c>
      <c r="P2122" s="9" t="s">
        <v>4738</v>
      </c>
      <c r="Q2122" s="9" t="s">
        <v>3809</v>
      </c>
      <c r="R2122" s="9" t="s">
        <v>3830</v>
      </c>
      <c r="S2122" s="9">
        <v>192</v>
      </c>
      <c r="T2122" s="9">
        <v>77</v>
      </c>
      <c r="U2122" s="9">
        <v>181</v>
      </c>
      <c r="V2122" s="9">
        <v>550</v>
      </c>
      <c r="W2122" s="9">
        <v>58.6</v>
      </c>
      <c r="X2122" s="9">
        <v>312</v>
      </c>
      <c r="Y2122" s="9" t="s">
        <v>106</v>
      </c>
      <c r="Z2122" s="9" t="s">
        <v>106</v>
      </c>
      <c r="AA2122" s="9" t="s">
        <v>106</v>
      </c>
      <c r="AB2122" s="9" t="s">
        <v>106</v>
      </c>
      <c r="AC2122" s="9" t="s">
        <v>5100</v>
      </c>
      <c r="AD2122" s="9" t="s">
        <v>5100</v>
      </c>
    </row>
    <row r="2123" spans="1:30">
      <c r="A2123" s="9" t="s">
        <v>4638</v>
      </c>
      <c r="B2123" t="s">
        <v>4692</v>
      </c>
      <c r="C2123" s="9" t="s">
        <v>105</v>
      </c>
      <c r="D2123" s="9">
        <v>3.16</v>
      </c>
      <c r="E2123" s="9" t="s">
        <v>106</v>
      </c>
      <c r="F2123" s="9">
        <v>141.4</v>
      </c>
      <c r="G2123" s="9">
        <v>-8.0000000000000002E-3</v>
      </c>
      <c r="H2123" s="9" t="s">
        <v>106</v>
      </c>
      <c r="I2123" s="9">
        <v>5</v>
      </c>
      <c r="J2123" s="9" t="s">
        <v>122</v>
      </c>
      <c r="K2123" s="9" t="s">
        <v>4291</v>
      </c>
      <c r="L2123" t="str">
        <f>IF(OR(J2123="Cattle",J2123="Zebu Cattle"),IF(COUNTIF(lists!$M$2:$M$258, K2123) &gt; 0,"bos.indicus",IF(COUNTIF(lists!$L$2:$L$258, K2123) &gt; 0,"cross.bred","pure.bred.exotic")),"NA")</f>
        <v>cross.bred</v>
      </c>
      <c r="O2123" s="9" t="s">
        <v>124</v>
      </c>
      <c r="P2123" s="9" t="s">
        <v>4769</v>
      </c>
      <c r="Q2123" s="9" t="s">
        <v>3805</v>
      </c>
      <c r="R2123" s="9" t="s">
        <v>3830</v>
      </c>
      <c r="S2123" s="9" t="s">
        <v>106</v>
      </c>
      <c r="T2123" s="9" t="s">
        <v>106</v>
      </c>
      <c r="U2123" s="9">
        <v>31</v>
      </c>
      <c r="V2123" s="9">
        <v>943</v>
      </c>
      <c r="W2123" s="9">
        <v>13.2</v>
      </c>
      <c r="X2123" s="9" t="s">
        <v>106</v>
      </c>
      <c r="Y2123" s="9" t="s">
        <v>106</v>
      </c>
      <c r="Z2123" s="9" t="s">
        <v>106</v>
      </c>
      <c r="AA2123" s="9">
        <v>39.6</v>
      </c>
      <c r="AB2123" s="9" t="s">
        <v>106</v>
      </c>
      <c r="AC2123" s="9" t="s">
        <v>5100</v>
      </c>
      <c r="AD2123" s="9" t="s">
        <v>5100</v>
      </c>
    </row>
    <row r="2124" spans="1:30">
      <c r="A2124" s="9" t="s">
        <v>4638</v>
      </c>
      <c r="B2124" t="s">
        <v>4744</v>
      </c>
      <c r="C2124" s="9" t="s">
        <v>105</v>
      </c>
      <c r="D2124" s="9">
        <v>3.48</v>
      </c>
      <c r="E2124" s="9" t="s">
        <v>106</v>
      </c>
      <c r="F2124" s="9">
        <v>151.6</v>
      </c>
      <c r="G2124" s="9">
        <v>6.0000000000000001E-3</v>
      </c>
      <c r="H2124" s="9" t="s">
        <v>106</v>
      </c>
      <c r="I2124" s="9">
        <v>5</v>
      </c>
      <c r="J2124" s="9" t="s">
        <v>122</v>
      </c>
      <c r="K2124" s="9" t="s">
        <v>4291</v>
      </c>
      <c r="L2124" t="str">
        <f>IF(OR(J2124="Cattle",J2124="Zebu Cattle"),IF(COUNTIF(lists!$M$2:$M$258, K2124) &gt; 0,"bos.indicus",IF(COUNTIF(lists!$L$2:$L$258, K2124) &gt; 0,"cross.bred","pure.bred.exotic")),"NA")</f>
        <v>cross.bred</v>
      </c>
      <c r="O2124" s="9" t="s">
        <v>124</v>
      </c>
      <c r="P2124" s="9" t="s">
        <v>4769</v>
      </c>
      <c r="Q2124" s="9" t="s">
        <v>3805</v>
      </c>
      <c r="R2124" s="9" t="s">
        <v>3830</v>
      </c>
      <c r="S2124" s="9" t="s">
        <v>106</v>
      </c>
      <c r="T2124" s="9" t="s">
        <v>106</v>
      </c>
      <c r="U2124" s="9">
        <v>35.299999999999997</v>
      </c>
      <c r="V2124" s="9">
        <v>926.98</v>
      </c>
      <c r="W2124" s="9">
        <v>12.97</v>
      </c>
      <c r="X2124" s="9" t="s">
        <v>106</v>
      </c>
      <c r="Y2124" s="9" t="s">
        <v>106</v>
      </c>
      <c r="Z2124" s="9" t="s">
        <v>106</v>
      </c>
      <c r="AA2124" s="9">
        <v>61.3</v>
      </c>
      <c r="AB2124" s="9" t="s">
        <v>106</v>
      </c>
      <c r="AC2124" s="9" t="s">
        <v>5100</v>
      </c>
      <c r="AD2124" s="9" t="s">
        <v>5100</v>
      </c>
    </row>
    <row r="2125" spans="1:30">
      <c r="A2125" s="9" t="s">
        <v>4638</v>
      </c>
      <c r="B2125" t="s">
        <v>4745</v>
      </c>
      <c r="C2125" s="9" t="s">
        <v>105</v>
      </c>
      <c r="D2125" s="9">
        <v>3.48</v>
      </c>
      <c r="E2125" s="9" t="s">
        <v>106</v>
      </c>
      <c r="F2125" s="9">
        <v>142.4</v>
      </c>
      <c r="G2125" s="9">
        <v>2.3999999999999998E-3</v>
      </c>
      <c r="H2125" s="9" t="s">
        <v>106</v>
      </c>
      <c r="I2125" s="9">
        <v>5</v>
      </c>
      <c r="J2125" s="9" t="s">
        <v>122</v>
      </c>
      <c r="K2125" s="9" t="s">
        <v>4291</v>
      </c>
      <c r="L2125" t="str">
        <f>IF(OR(J2125="Cattle",J2125="Zebu Cattle"),IF(COUNTIF(lists!$M$2:$M$258, K2125) &gt; 0,"bos.indicus",IF(COUNTIF(lists!$L$2:$L$258, K2125) &gt; 0,"cross.bred","pure.bred.exotic")),"NA")</f>
        <v>cross.bred</v>
      </c>
      <c r="O2125" s="9" t="s">
        <v>124</v>
      </c>
      <c r="P2125" s="9" t="s">
        <v>4769</v>
      </c>
      <c r="Q2125" s="9" t="s">
        <v>3805</v>
      </c>
      <c r="R2125" s="9" t="s">
        <v>3830</v>
      </c>
      <c r="S2125" s="9" t="s">
        <v>106</v>
      </c>
      <c r="T2125" s="9" t="s">
        <v>106</v>
      </c>
      <c r="U2125" s="9">
        <v>36.200000000000003</v>
      </c>
      <c r="V2125" s="9">
        <v>928.15</v>
      </c>
      <c r="W2125" s="9">
        <v>12.8</v>
      </c>
      <c r="X2125" s="9" t="s">
        <v>106</v>
      </c>
      <c r="Y2125" s="9" t="s">
        <v>106</v>
      </c>
      <c r="Z2125" s="9" t="s">
        <v>106</v>
      </c>
      <c r="AA2125" s="9">
        <v>64.2</v>
      </c>
      <c r="AB2125" s="9" t="s">
        <v>106</v>
      </c>
      <c r="AC2125" s="9" t="s">
        <v>5100</v>
      </c>
      <c r="AD2125" s="9" t="s">
        <v>5100</v>
      </c>
    </row>
    <row r="2126" spans="1:30">
      <c r="A2126" s="9" t="s">
        <v>4638</v>
      </c>
      <c r="B2126" t="s">
        <v>4746</v>
      </c>
      <c r="C2126" s="9" t="s">
        <v>105</v>
      </c>
      <c r="D2126" s="9">
        <v>3.41</v>
      </c>
      <c r="E2126" s="9" t="s">
        <v>106</v>
      </c>
      <c r="F2126" s="9">
        <v>142.4</v>
      </c>
      <c r="G2126" s="9">
        <v>2.8E-3</v>
      </c>
      <c r="H2126" s="9" t="s">
        <v>106</v>
      </c>
      <c r="I2126" s="9">
        <v>5</v>
      </c>
      <c r="J2126" s="9" t="s">
        <v>122</v>
      </c>
      <c r="K2126" s="9" t="s">
        <v>4291</v>
      </c>
      <c r="L2126" t="str">
        <f>IF(OR(J2126="Cattle",J2126="Zebu Cattle"),IF(COUNTIF(lists!$M$2:$M$258, K2126) &gt; 0,"bos.indicus",IF(COUNTIF(lists!$L$2:$L$258, K2126) &gt; 0,"cross.bred","pure.bred.exotic")),"NA")</f>
        <v>cross.bred</v>
      </c>
      <c r="O2126" s="9" t="s">
        <v>124</v>
      </c>
      <c r="P2126" s="9" t="s">
        <v>4769</v>
      </c>
      <c r="Q2126" s="9" t="s">
        <v>3805</v>
      </c>
      <c r="R2126" s="9" t="s">
        <v>3830</v>
      </c>
      <c r="S2126" s="9" t="s">
        <v>106</v>
      </c>
      <c r="T2126" s="9" t="s">
        <v>106</v>
      </c>
      <c r="U2126" s="9">
        <v>37.24</v>
      </c>
      <c r="V2126" s="9">
        <v>929</v>
      </c>
      <c r="W2126" s="9">
        <v>12.48</v>
      </c>
      <c r="X2126" s="9" t="s">
        <v>106</v>
      </c>
      <c r="Y2126" s="9" t="s">
        <v>106</v>
      </c>
      <c r="Z2126" s="9" t="s">
        <v>106</v>
      </c>
      <c r="AA2126" s="9">
        <v>65.400000000000006</v>
      </c>
      <c r="AB2126" s="9" t="s">
        <v>106</v>
      </c>
      <c r="AC2126" s="9" t="s">
        <v>5100</v>
      </c>
      <c r="AD2126" s="9" t="s">
        <v>5100</v>
      </c>
    </row>
    <row r="2127" spans="1:30">
      <c r="A2127" s="9" t="s">
        <v>4638</v>
      </c>
      <c r="B2127" t="s">
        <v>4747</v>
      </c>
      <c r="C2127" s="9" t="s">
        <v>105</v>
      </c>
      <c r="D2127" s="9">
        <v>3.58</v>
      </c>
      <c r="E2127" s="9" t="s">
        <v>106</v>
      </c>
      <c r="F2127" s="9">
        <v>145.30000000000001</v>
      </c>
      <c r="G2127" s="9">
        <v>5.9999999999999995E-4</v>
      </c>
      <c r="H2127" s="9" t="s">
        <v>106</v>
      </c>
      <c r="I2127" s="9">
        <v>5</v>
      </c>
      <c r="J2127" s="9" t="s">
        <v>122</v>
      </c>
      <c r="K2127" s="9" t="s">
        <v>4291</v>
      </c>
      <c r="L2127" t="str">
        <f>IF(OR(J2127="Cattle",J2127="Zebu Cattle"),IF(COUNTIF(lists!$M$2:$M$258, K2127) &gt; 0,"bos.indicus",IF(COUNTIF(lists!$L$2:$L$258, K2127) &gt; 0,"cross.bred","pure.bred.exotic")),"NA")</f>
        <v>cross.bred</v>
      </c>
      <c r="O2127" s="9" t="s">
        <v>124</v>
      </c>
      <c r="P2127" s="9" t="s">
        <v>4769</v>
      </c>
      <c r="Q2127" s="9" t="s">
        <v>3805</v>
      </c>
      <c r="R2127" s="9" t="s">
        <v>3830</v>
      </c>
      <c r="S2127" s="9" t="s">
        <v>106</v>
      </c>
      <c r="T2127" s="9" t="s">
        <v>106</v>
      </c>
      <c r="U2127" s="9">
        <v>36.76</v>
      </c>
      <c r="V2127" s="9">
        <v>915.1</v>
      </c>
      <c r="W2127" s="9">
        <v>12.25</v>
      </c>
      <c r="X2127" s="9" t="s">
        <v>106</v>
      </c>
      <c r="Y2127" s="9" t="s">
        <v>106</v>
      </c>
      <c r="Z2127" s="9" t="s">
        <v>106</v>
      </c>
      <c r="AA2127" s="9">
        <v>64.2</v>
      </c>
      <c r="AB2127" s="9" t="s">
        <v>106</v>
      </c>
      <c r="AC2127" s="9" t="s">
        <v>5100</v>
      </c>
      <c r="AD2127" s="9" t="s">
        <v>5100</v>
      </c>
    </row>
    <row r="2128" spans="1:30">
      <c r="A2128" s="9" t="s">
        <v>4639</v>
      </c>
      <c r="B2128" t="s">
        <v>4693</v>
      </c>
      <c r="C2128" s="9" t="s">
        <v>105</v>
      </c>
      <c r="D2128" s="9">
        <v>4.62</v>
      </c>
      <c r="E2128" s="9" t="s">
        <v>106</v>
      </c>
      <c r="F2128" s="9">
        <v>302</v>
      </c>
      <c r="G2128" s="9">
        <v>6.0999999999999999E-2</v>
      </c>
      <c r="H2128" s="9" t="s">
        <v>106</v>
      </c>
      <c r="I2128" s="9">
        <v>6</v>
      </c>
      <c r="J2128" s="9" t="s">
        <v>122</v>
      </c>
      <c r="K2128" s="9" t="s">
        <v>4798</v>
      </c>
      <c r="L2128" t="str">
        <f>IF(OR(J2128="Cattle",J2128="Zebu Cattle"),IF(COUNTIF(lists!$M$2:$M$258, K2128) &gt; 0,"bos.indicus",IF(COUNTIF(lists!$L$2:$L$258, K2128) &gt; 0,"cross.bred","pure.bred.exotic")),"NA")</f>
        <v>bos.indicus</v>
      </c>
      <c r="O2128" s="9" t="s">
        <v>4193</v>
      </c>
      <c r="P2128" s="9" t="s">
        <v>4748</v>
      </c>
      <c r="Q2128" s="9" t="s">
        <v>3808</v>
      </c>
      <c r="R2128" s="9" t="s">
        <v>3830</v>
      </c>
      <c r="S2128" s="9" t="s">
        <v>106</v>
      </c>
      <c r="T2128" s="9">
        <v>91.2</v>
      </c>
      <c r="U2128" s="9">
        <v>75.900000000000006</v>
      </c>
      <c r="V2128" s="9">
        <v>896.95</v>
      </c>
      <c r="W2128" s="9" t="s">
        <v>106</v>
      </c>
      <c r="X2128" s="9">
        <v>634.1</v>
      </c>
      <c r="Y2128" s="9" t="s">
        <v>106</v>
      </c>
      <c r="Z2128" s="9" t="s">
        <v>106</v>
      </c>
      <c r="AA2128" s="9" t="s">
        <v>106</v>
      </c>
      <c r="AB2128" s="9">
        <v>60.1</v>
      </c>
      <c r="AC2128" s="9" t="s">
        <v>5100</v>
      </c>
      <c r="AD2128" s="9" t="s">
        <v>5100</v>
      </c>
    </row>
    <row r="2129" spans="1:30">
      <c r="A2129" s="9" t="s">
        <v>4639</v>
      </c>
      <c r="B2129" t="s">
        <v>4694</v>
      </c>
      <c r="C2129" s="9" t="s">
        <v>105</v>
      </c>
      <c r="D2129" s="9">
        <v>5.47</v>
      </c>
      <c r="E2129" s="9" t="s">
        <v>106</v>
      </c>
      <c r="F2129" s="9">
        <v>304</v>
      </c>
      <c r="G2129" s="9">
        <v>0.11700000000000001</v>
      </c>
      <c r="H2129" s="9" t="s">
        <v>106</v>
      </c>
      <c r="I2129" s="9">
        <v>6</v>
      </c>
      <c r="J2129" s="9" t="s">
        <v>122</v>
      </c>
      <c r="K2129" s="9" t="s">
        <v>4798</v>
      </c>
      <c r="L2129" t="str">
        <f>IF(OR(J2129="Cattle",J2129="Zebu Cattle"),IF(COUNTIF(lists!$M$2:$M$258, K2129) &gt; 0,"bos.indicus",IF(COUNTIF(lists!$L$2:$L$258, K2129) &gt; 0,"cross.bred","pure.bred.exotic")),"NA")</f>
        <v>bos.indicus</v>
      </c>
      <c r="O2129" s="9" t="s">
        <v>4193</v>
      </c>
      <c r="P2129" s="9" t="s">
        <v>4748</v>
      </c>
      <c r="Q2129" s="9" t="s">
        <v>3808</v>
      </c>
      <c r="R2129" s="9" t="s">
        <v>3830</v>
      </c>
      <c r="S2129" s="9" t="s">
        <v>106</v>
      </c>
      <c r="T2129" s="9">
        <v>91.2</v>
      </c>
      <c r="U2129" s="9">
        <v>75.900000000000006</v>
      </c>
      <c r="V2129" s="9">
        <v>896.95</v>
      </c>
      <c r="W2129" s="9" t="s">
        <v>106</v>
      </c>
      <c r="X2129" s="9">
        <v>635.1</v>
      </c>
      <c r="Y2129" s="9" t="s">
        <v>106</v>
      </c>
      <c r="Z2129" s="9" t="s">
        <v>106</v>
      </c>
      <c r="AA2129" s="9" t="s">
        <v>106</v>
      </c>
      <c r="AB2129" s="9">
        <v>59.1</v>
      </c>
      <c r="AC2129" s="9" t="s">
        <v>5100</v>
      </c>
      <c r="AD2129" s="9" t="s">
        <v>5100</v>
      </c>
    </row>
    <row r="2130" spans="1:30">
      <c r="A2130" s="9" t="s">
        <v>4639</v>
      </c>
      <c r="B2130" t="s">
        <v>4695</v>
      </c>
      <c r="C2130" s="9" t="s">
        <v>105</v>
      </c>
      <c r="D2130" s="9">
        <v>5.75</v>
      </c>
      <c r="E2130" s="9" t="s">
        <v>106</v>
      </c>
      <c r="F2130" s="9">
        <v>311</v>
      </c>
      <c r="G2130" s="9">
        <v>0.124</v>
      </c>
      <c r="H2130" s="9" t="s">
        <v>106</v>
      </c>
      <c r="I2130" s="9">
        <v>6</v>
      </c>
      <c r="J2130" s="9" t="s">
        <v>122</v>
      </c>
      <c r="K2130" s="9" t="s">
        <v>4798</v>
      </c>
      <c r="L2130" t="str">
        <f>IF(OR(J2130="Cattle",J2130="Zebu Cattle"),IF(COUNTIF(lists!$M$2:$M$258, K2130) &gt; 0,"bos.indicus",IF(COUNTIF(lists!$L$2:$L$258, K2130) &gt; 0,"cross.bred","pure.bred.exotic")),"NA")</f>
        <v>bos.indicus</v>
      </c>
      <c r="O2130" s="9" t="s">
        <v>4193</v>
      </c>
      <c r="P2130" s="9" t="s">
        <v>4748</v>
      </c>
      <c r="Q2130" s="9" t="s">
        <v>3808</v>
      </c>
      <c r="R2130" s="9" t="s">
        <v>3830</v>
      </c>
      <c r="S2130" s="9" t="s">
        <v>106</v>
      </c>
      <c r="T2130" s="9">
        <v>91.2</v>
      </c>
      <c r="U2130" s="9">
        <v>75.900000000000006</v>
      </c>
      <c r="V2130" s="9">
        <v>896.95</v>
      </c>
      <c r="W2130" s="9" t="s">
        <v>106</v>
      </c>
      <c r="X2130" s="9">
        <v>636.1</v>
      </c>
      <c r="Y2130" s="9" t="s">
        <v>106</v>
      </c>
      <c r="Z2130" s="9" t="s">
        <v>106</v>
      </c>
      <c r="AA2130" s="9" t="s">
        <v>106</v>
      </c>
      <c r="AB2130" s="9">
        <v>59.1</v>
      </c>
      <c r="AC2130" s="9" t="s">
        <v>5100</v>
      </c>
      <c r="AD2130" s="9" t="s">
        <v>5100</v>
      </c>
    </row>
    <row r="2131" spans="1:30">
      <c r="A2131" s="9" t="s">
        <v>4639</v>
      </c>
      <c r="B2131" t="s">
        <v>4693</v>
      </c>
      <c r="C2131" s="9" t="s">
        <v>105</v>
      </c>
      <c r="D2131" s="9">
        <v>4.53</v>
      </c>
      <c r="E2131" s="9" t="s">
        <v>106</v>
      </c>
      <c r="F2131" s="9">
        <v>293</v>
      </c>
      <c r="G2131" s="9">
        <v>-0.106</v>
      </c>
      <c r="H2131" s="9" t="s">
        <v>106</v>
      </c>
      <c r="I2131" s="9">
        <v>6</v>
      </c>
      <c r="J2131" s="9" t="s">
        <v>122</v>
      </c>
      <c r="K2131" s="9" t="s">
        <v>4798</v>
      </c>
      <c r="L2131" t="str">
        <f>IF(OR(J2131="Cattle",J2131="Zebu Cattle"),IF(COUNTIF(lists!$M$2:$M$258, K2131) &gt; 0,"bos.indicus",IF(COUNTIF(lists!$L$2:$L$258, K2131) &gt; 0,"cross.bred","pure.bred.exotic")),"NA")</f>
        <v>bos.indicus</v>
      </c>
      <c r="O2131" s="9" t="s">
        <v>4193</v>
      </c>
      <c r="P2131" s="9" t="s">
        <v>4749</v>
      </c>
      <c r="Q2131" s="9" t="s">
        <v>3808</v>
      </c>
      <c r="R2131" s="9" t="s">
        <v>3830</v>
      </c>
      <c r="S2131" s="9" t="s">
        <v>106</v>
      </c>
      <c r="T2131" s="9">
        <v>91.2</v>
      </c>
      <c r="U2131" s="9">
        <v>75.900000000000006</v>
      </c>
      <c r="V2131" s="9">
        <v>896.95</v>
      </c>
      <c r="W2131" s="9" t="s">
        <v>106</v>
      </c>
      <c r="X2131" s="9">
        <v>637.1</v>
      </c>
      <c r="Y2131" s="9" t="s">
        <v>106</v>
      </c>
      <c r="Z2131" s="9" t="s">
        <v>106</v>
      </c>
      <c r="AA2131" s="9" t="s">
        <v>106</v>
      </c>
      <c r="AB2131" s="9">
        <v>64.5</v>
      </c>
      <c r="AC2131" s="9" t="s">
        <v>5100</v>
      </c>
      <c r="AD2131" s="9" t="s">
        <v>5100</v>
      </c>
    </row>
    <row r="2132" spans="1:30">
      <c r="A2132" s="9" t="s">
        <v>4639</v>
      </c>
      <c r="B2132" t="s">
        <v>4694</v>
      </c>
      <c r="C2132" s="9" t="s">
        <v>105</v>
      </c>
      <c r="D2132" s="9">
        <v>5.38</v>
      </c>
      <c r="E2132" s="9" t="s">
        <v>106</v>
      </c>
      <c r="F2132" s="9">
        <v>299</v>
      </c>
      <c r="G2132" s="9">
        <v>-3.3000000000000002E-2</v>
      </c>
      <c r="H2132" s="9" t="s">
        <v>106</v>
      </c>
      <c r="I2132" s="9">
        <v>6</v>
      </c>
      <c r="J2132" s="9" t="s">
        <v>122</v>
      </c>
      <c r="K2132" s="9" t="s">
        <v>4798</v>
      </c>
      <c r="L2132" t="str">
        <f>IF(OR(J2132="Cattle",J2132="Zebu Cattle"),IF(COUNTIF(lists!$M$2:$M$258, K2132) &gt; 0,"bos.indicus",IF(COUNTIF(lists!$L$2:$L$258, K2132) &gt; 0,"cross.bred","pure.bred.exotic")),"NA")</f>
        <v>bos.indicus</v>
      </c>
      <c r="O2132" s="9" t="s">
        <v>4193</v>
      </c>
      <c r="P2132" s="9" t="s">
        <v>4749</v>
      </c>
      <c r="Q2132" s="9" t="s">
        <v>3808</v>
      </c>
      <c r="R2132" s="9" t="s">
        <v>3830</v>
      </c>
      <c r="S2132" s="9" t="s">
        <v>106</v>
      </c>
      <c r="T2132" s="9">
        <v>91.2</v>
      </c>
      <c r="U2132" s="9">
        <v>75.900000000000006</v>
      </c>
      <c r="V2132" s="9">
        <v>896.95</v>
      </c>
      <c r="W2132" s="9" t="s">
        <v>106</v>
      </c>
      <c r="X2132" s="9">
        <v>638.1</v>
      </c>
      <c r="Y2132" s="9" t="s">
        <v>106</v>
      </c>
      <c r="Z2132" s="9" t="s">
        <v>106</v>
      </c>
      <c r="AA2132" s="9" t="s">
        <v>106</v>
      </c>
      <c r="AB2132" s="9">
        <v>64.900000000000006</v>
      </c>
      <c r="AC2132" s="9" t="s">
        <v>5100</v>
      </c>
      <c r="AD2132" s="9" t="s">
        <v>5100</v>
      </c>
    </row>
    <row r="2133" spans="1:30">
      <c r="A2133" s="9" t="s">
        <v>4639</v>
      </c>
      <c r="B2133" t="s">
        <v>4695</v>
      </c>
      <c r="C2133" s="9" t="s">
        <v>105</v>
      </c>
      <c r="D2133" s="9">
        <v>5.83</v>
      </c>
      <c r="E2133" s="9" t="s">
        <v>106</v>
      </c>
      <c r="F2133" s="9">
        <v>312</v>
      </c>
      <c r="G2133" s="9">
        <v>0.109</v>
      </c>
      <c r="H2133" s="9" t="s">
        <v>106</v>
      </c>
      <c r="I2133" s="9">
        <v>6</v>
      </c>
      <c r="J2133" s="9" t="s">
        <v>122</v>
      </c>
      <c r="K2133" s="9" t="s">
        <v>4798</v>
      </c>
      <c r="L2133" t="str">
        <f>IF(OR(J2133="Cattle",J2133="Zebu Cattle"),IF(COUNTIF(lists!$M$2:$M$258, K2133) &gt; 0,"bos.indicus",IF(COUNTIF(lists!$L$2:$L$258, K2133) &gt; 0,"cross.bred","pure.bred.exotic")),"NA")</f>
        <v>bos.indicus</v>
      </c>
      <c r="O2133" s="9" t="s">
        <v>4193</v>
      </c>
      <c r="P2133" s="9" t="s">
        <v>4749</v>
      </c>
      <c r="Q2133" s="9" t="s">
        <v>3808</v>
      </c>
      <c r="R2133" s="9" t="s">
        <v>3830</v>
      </c>
      <c r="S2133" s="9" t="s">
        <v>106</v>
      </c>
      <c r="T2133" s="9">
        <v>91.2</v>
      </c>
      <c r="U2133" s="9">
        <v>75.900000000000006</v>
      </c>
      <c r="V2133" s="9">
        <v>896.95</v>
      </c>
      <c r="W2133" s="9" t="s">
        <v>106</v>
      </c>
      <c r="X2133" s="9">
        <v>639.1</v>
      </c>
      <c r="Y2133" s="9" t="s">
        <v>106</v>
      </c>
      <c r="Z2133" s="9" t="s">
        <v>106</v>
      </c>
      <c r="AA2133" s="9" t="s">
        <v>106</v>
      </c>
      <c r="AB2133" s="9">
        <v>64.900000000000006</v>
      </c>
      <c r="AC2133" s="9" t="s">
        <v>5100</v>
      </c>
      <c r="AD2133" s="9" t="s">
        <v>5100</v>
      </c>
    </row>
    <row r="2134" spans="1:30">
      <c r="A2134" s="9" t="s">
        <v>4639</v>
      </c>
      <c r="B2134" t="s">
        <v>4693</v>
      </c>
      <c r="C2134" s="9" t="s">
        <v>105</v>
      </c>
      <c r="D2134" s="9">
        <v>4.63</v>
      </c>
      <c r="E2134" s="9" t="s">
        <v>106</v>
      </c>
      <c r="F2134" s="9">
        <v>306</v>
      </c>
      <c r="G2134" s="9">
        <v>0.23100000000000001</v>
      </c>
      <c r="H2134" s="9" t="s">
        <v>106</v>
      </c>
      <c r="I2134" s="9">
        <v>6</v>
      </c>
      <c r="J2134" s="9" t="s">
        <v>122</v>
      </c>
      <c r="K2134" s="9" t="s">
        <v>4798</v>
      </c>
      <c r="L2134" t="str">
        <f>IF(OR(J2134="Cattle",J2134="Zebu Cattle"),IF(COUNTIF(lists!$M$2:$M$258, K2134) &gt; 0,"bos.indicus",IF(COUNTIF(lists!$L$2:$L$258, K2134) &gt; 0,"cross.bred","pure.bred.exotic")),"NA")</f>
        <v>bos.indicus</v>
      </c>
      <c r="O2134" s="9" t="s">
        <v>4193</v>
      </c>
      <c r="P2134" s="9" t="s">
        <v>4750</v>
      </c>
      <c r="Q2134" s="9" t="s">
        <v>3801</v>
      </c>
      <c r="R2134" s="9" t="s">
        <v>3830</v>
      </c>
      <c r="S2134" s="9" t="s">
        <v>106</v>
      </c>
      <c r="T2134" s="9">
        <v>91.2</v>
      </c>
      <c r="U2134" s="9">
        <v>75.900000000000006</v>
      </c>
      <c r="V2134" s="9">
        <v>896.95</v>
      </c>
      <c r="W2134" s="9" t="s">
        <v>106</v>
      </c>
      <c r="X2134" s="9">
        <v>640.1</v>
      </c>
      <c r="Y2134" s="9" t="s">
        <v>106</v>
      </c>
      <c r="Z2134" s="9" t="s">
        <v>106</v>
      </c>
      <c r="AA2134" s="9" t="s">
        <v>106</v>
      </c>
      <c r="AB2134" s="9">
        <v>67.099999999999994</v>
      </c>
      <c r="AC2134" s="9" t="s">
        <v>5100</v>
      </c>
      <c r="AD2134" s="9" t="s">
        <v>5100</v>
      </c>
    </row>
    <row r="2135" spans="1:30">
      <c r="A2135" s="9" t="s">
        <v>4639</v>
      </c>
      <c r="B2135" t="s">
        <v>4694</v>
      </c>
      <c r="C2135" s="9" t="s">
        <v>105</v>
      </c>
      <c r="D2135" s="9">
        <v>5.76</v>
      </c>
      <c r="E2135" s="9" t="s">
        <v>106</v>
      </c>
      <c r="F2135" s="9">
        <v>322</v>
      </c>
      <c r="G2135" s="9">
        <v>0.26400000000000001</v>
      </c>
      <c r="H2135" s="9" t="s">
        <v>106</v>
      </c>
      <c r="I2135" s="9">
        <v>6</v>
      </c>
      <c r="J2135" s="9" t="s">
        <v>122</v>
      </c>
      <c r="K2135" s="9" t="s">
        <v>4798</v>
      </c>
      <c r="L2135" t="str">
        <f>IF(OR(J2135="Cattle",J2135="Zebu Cattle"),IF(COUNTIF(lists!$M$2:$M$258, K2135) &gt; 0,"bos.indicus",IF(COUNTIF(lists!$L$2:$L$258, K2135) &gt; 0,"cross.bred","pure.bred.exotic")),"NA")</f>
        <v>bos.indicus</v>
      </c>
      <c r="O2135" s="9" t="s">
        <v>4193</v>
      </c>
      <c r="P2135" s="9" t="s">
        <v>4750</v>
      </c>
      <c r="Q2135" s="9" t="s">
        <v>3801</v>
      </c>
      <c r="R2135" s="9" t="s">
        <v>3830</v>
      </c>
      <c r="S2135" s="9" t="s">
        <v>106</v>
      </c>
      <c r="T2135" s="9">
        <v>91.2</v>
      </c>
      <c r="U2135" s="9">
        <v>75.900000000000006</v>
      </c>
      <c r="V2135" s="9">
        <v>896.95</v>
      </c>
      <c r="W2135" s="9" t="s">
        <v>106</v>
      </c>
      <c r="X2135" s="9">
        <v>641.1</v>
      </c>
      <c r="Y2135" s="9" t="s">
        <v>106</v>
      </c>
      <c r="Z2135" s="9" t="s">
        <v>106</v>
      </c>
      <c r="AA2135" s="9" t="s">
        <v>106</v>
      </c>
      <c r="AB2135" s="9">
        <v>65.3</v>
      </c>
      <c r="AC2135" s="9" t="s">
        <v>5100</v>
      </c>
      <c r="AD2135" s="9" t="s">
        <v>5100</v>
      </c>
    </row>
    <row r="2136" spans="1:30">
      <c r="A2136" s="9" t="s">
        <v>4639</v>
      </c>
      <c r="B2136" t="s">
        <v>4695</v>
      </c>
      <c r="C2136" s="9" t="s">
        <v>105</v>
      </c>
      <c r="D2136" s="9">
        <v>6.68</v>
      </c>
      <c r="E2136" s="9" t="s">
        <v>106</v>
      </c>
      <c r="F2136" s="9">
        <v>346</v>
      </c>
      <c r="G2136" s="9">
        <v>0.35599999999999998</v>
      </c>
      <c r="H2136" s="9" t="s">
        <v>106</v>
      </c>
      <c r="I2136" s="9">
        <v>6</v>
      </c>
      <c r="J2136" s="9" t="s">
        <v>122</v>
      </c>
      <c r="K2136" s="9" t="s">
        <v>4798</v>
      </c>
      <c r="L2136" t="str">
        <f>IF(OR(J2136="Cattle",J2136="Zebu Cattle"),IF(COUNTIF(lists!$M$2:$M$258, K2136) &gt; 0,"bos.indicus",IF(COUNTIF(lists!$L$2:$L$258, K2136) &gt; 0,"cross.bred","pure.bred.exotic")),"NA")</f>
        <v>bos.indicus</v>
      </c>
      <c r="O2136" s="9" t="s">
        <v>4193</v>
      </c>
      <c r="P2136" s="9" t="s">
        <v>4750</v>
      </c>
      <c r="Q2136" s="9" t="s">
        <v>3801</v>
      </c>
      <c r="R2136" s="9" t="s">
        <v>3830</v>
      </c>
      <c r="S2136" s="9" t="s">
        <v>106</v>
      </c>
      <c r="T2136" s="9">
        <v>91.2</v>
      </c>
      <c r="U2136" s="9">
        <v>75.900000000000006</v>
      </c>
      <c r="V2136" s="9">
        <v>896.95</v>
      </c>
      <c r="W2136" s="9" t="s">
        <v>106</v>
      </c>
      <c r="X2136" s="9">
        <v>642.1</v>
      </c>
      <c r="Y2136" s="9" t="s">
        <v>106</v>
      </c>
      <c r="Z2136" s="9" t="s">
        <v>106</v>
      </c>
      <c r="AA2136" s="9" t="s">
        <v>106</v>
      </c>
      <c r="AB2136" s="9">
        <v>66.2</v>
      </c>
      <c r="AC2136" s="9" t="s">
        <v>5100</v>
      </c>
      <c r="AD2136" s="9" t="s">
        <v>5100</v>
      </c>
    </row>
    <row r="2137" spans="1:30">
      <c r="A2137" s="9" t="s">
        <v>4639</v>
      </c>
      <c r="B2137" t="s">
        <v>4693</v>
      </c>
      <c r="C2137" s="9" t="s">
        <v>105</v>
      </c>
      <c r="D2137" s="9">
        <v>4.45</v>
      </c>
      <c r="E2137" s="9" t="s">
        <v>106</v>
      </c>
      <c r="F2137" s="9">
        <v>285</v>
      </c>
      <c r="G2137" s="9">
        <v>0.02</v>
      </c>
      <c r="H2137" s="9" t="s">
        <v>106</v>
      </c>
      <c r="I2137" s="9">
        <v>6</v>
      </c>
      <c r="J2137" s="9" t="s">
        <v>122</v>
      </c>
      <c r="K2137" s="9" t="s">
        <v>4799</v>
      </c>
      <c r="L2137" t="str">
        <f>IF(OR(J2137="Cattle",J2137="Zebu Cattle"),IF(COUNTIF(lists!$M$2:$M$258, K2137) &gt; 0,"bos.indicus",IF(COUNTIF(lists!$L$2:$L$258, K2137) &gt; 0,"cross.bred","pure.bred.exotic")),"NA")</f>
        <v>cross.bred</v>
      </c>
      <c r="O2137" s="9" t="s">
        <v>124</v>
      </c>
      <c r="P2137" s="9" t="s">
        <v>4748</v>
      </c>
      <c r="Q2137" s="9" t="s">
        <v>3806</v>
      </c>
      <c r="R2137" s="9" t="s">
        <v>3830</v>
      </c>
      <c r="S2137" s="9" t="s">
        <v>106</v>
      </c>
      <c r="T2137" s="9">
        <v>91.2</v>
      </c>
      <c r="U2137" s="9">
        <v>75.900000000000006</v>
      </c>
      <c r="V2137" s="9">
        <v>896.95</v>
      </c>
      <c r="W2137" s="9" t="s">
        <v>106</v>
      </c>
      <c r="X2137" s="9">
        <v>643.1</v>
      </c>
      <c r="Y2137" s="9" t="s">
        <v>106</v>
      </c>
      <c r="Z2137" s="9" t="s">
        <v>106</v>
      </c>
      <c r="AA2137" s="9" t="s">
        <v>106</v>
      </c>
      <c r="AB2137" s="9">
        <v>58.7</v>
      </c>
      <c r="AC2137" s="9" t="s">
        <v>5100</v>
      </c>
      <c r="AD2137" s="9" t="s">
        <v>5100</v>
      </c>
    </row>
    <row r="2138" spans="1:30">
      <c r="A2138" s="9" t="s">
        <v>4639</v>
      </c>
      <c r="B2138" t="s">
        <v>4694</v>
      </c>
      <c r="C2138" s="9" t="s">
        <v>105</v>
      </c>
      <c r="D2138" s="9">
        <v>5.33</v>
      </c>
      <c r="E2138" s="9" t="s">
        <v>106</v>
      </c>
      <c r="F2138" s="9">
        <v>284</v>
      </c>
      <c r="G2138" s="9">
        <v>0.156</v>
      </c>
      <c r="H2138" s="9" t="s">
        <v>106</v>
      </c>
      <c r="I2138" s="9">
        <v>6</v>
      </c>
      <c r="J2138" s="9" t="s">
        <v>122</v>
      </c>
      <c r="K2138" s="9" t="s">
        <v>4799</v>
      </c>
      <c r="L2138" t="str">
        <f>IF(OR(J2138="Cattle",J2138="Zebu Cattle"),IF(COUNTIF(lists!$M$2:$M$258, K2138) &gt; 0,"bos.indicus",IF(COUNTIF(lists!$L$2:$L$258, K2138) &gt; 0,"cross.bred","pure.bred.exotic")),"NA")</f>
        <v>cross.bred</v>
      </c>
      <c r="O2138" s="9" t="s">
        <v>124</v>
      </c>
      <c r="P2138" s="9" t="s">
        <v>4748</v>
      </c>
      <c r="Q2138" s="9" t="s">
        <v>3806</v>
      </c>
      <c r="R2138" s="9" t="s">
        <v>3830</v>
      </c>
      <c r="S2138" s="9" t="s">
        <v>106</v>
      </c>
      <c r="T2138" s="9">
        <v>91.2</v>
      </c>
      <c r="U2138" s="9">
        <v>75.900000000000006</v>
      </c>
      <c r="V2138" s="9">
        <v>896.95</v>
      </c>
      <c r="W2138" s="9" t="s">
        <v>106</v>
      </c>
      <c r="X2138" s="9">
        <v>644.1</v>
      </c>
      <c r="Y2138" s="9" t="s">
        <v>106</v>
      </c>
      <c r="Z2138" s="9" t="s">
        <v>106</v>
      </c>
      <c r="AA2138" s="9" t="s">
        <v>106</v>
      </c>
      <c r="AB2138" s="9">
        <v>57.9</v>
      </c>
      <c r="AC2138" s="9" t="s">
        <v>5100</v>
      </c>
      <c r="AD2138" s="9" t="s">
        <v>5100</v>
      </c>
    </row>
    <row r="2139" spans="1:30">
      <c r="A2139" s="9" t="s">
        <v>4639</v>
      </c>
      <c r="B2139" t="s">
        <v>4695</v>
      </c>
      <c r="C2139" s="9" t="s">
        <v>105</v>
      </c>
      <c r="D2139" s="9">
        <v>6.46</v>
      </c>
      <c r="E2139" s="9" t="s">
        <v>106</v>
      </c>
      <c r="F2139" s="9">
        <v>304</v>
      </c>
      <c r="G2139" s="9">
        <v>0.312</v>
      </c>
      <c r="H2139" s="9" t="s">
        <v>106</v>
      </c>
      <c r="I2139" s="9">
        <v>6</v>
      </c>
      <c r="J2139" s="9" t="s">
        <v>122</v>
      </c>
      <c r="K2139" s="9" t="s">
        <v>4799</v>
      </c>
      <c r="L2139" t="str">
        <f>IF(OR(J2139="Cattle",J2139="Zebu Cattle"),IF(COUNTIF(lists!$M$2:$M$258, K2139) &gt; 0,"bos.indicus",IF(COUNTIF(lists!$L$2:$L$258, K2139) &gt; 0,"cross.bred","pure.bred.exotic")),"NA")</f>
        <v>cross.bred</v>
      </c>
      <c r="O2139" s="9" t="s">
        <v>124</v>
      </c>
      <c r="P2139" s="9" t="s">
        <v>4748</v>
      </c>
      <c r="Q2139" s="9" t="s">
        <v>3806</v>
      </c>
      <c r="R2139" s="9" t="s">
        <v>3830</v>
      </c>
      <c r="S2139" s="9" t="s">
        <v>106</v>
      </c>
      <c r="T2139" s="9">
        <v>91.2</v>
      </c>
      <c r="U2139" s="9">
        <v>75.900000000000006</v>
      </c>
      <c r="V2139" s="9">
        <v>896.95</v>
      </c>
      <c r="W2139" s="9" t="s">
        <v>106</v>
      </c>
      <c r="X2139" s="9">
        <v>645.1</v>
      </c>
      <c r="Y2139" s="9" t="s">
        <v>106</v>
      </c>
      <c r="Z2139" s="9" t="s">
        <v>106</v>
      </c>
      <c r="AA2139" s="9" t="s">
        <v>106</v>
      </c>
      <c r="AB2139" s="9">
        <v>60.4</v>
      </c>
      <c r="AC2139" s="9" t="s">
        <v>5100</v>
      </c>
      <c r="AD2139" s="9" t="s">
        <v>5100</v>
      </c>
    </row>
    <row r="2140" spans="1:30">
      <c r="A2140" s="9" t="s">
        <v>4639</v>
      </c>
      <c r="B2140" t="s">
        <v>4693</v>
      </c>
      <c r="C2140" s="9" t="s">
        <v>105</v>
      </c>
      <c r="D2140" s="9">
        <v>4.5</v>
      </c>
      <c r="E2140" s="9" t="s">
        <v>106</v>
      </c>
      <c r="F2140" s="9">
        <v>289</v>
      </c>
      <c r="G2140" s="9">
        <v>-1.7000000000000001E-2</v>
      </c>
      <c r="H2140" s="9" t="s">
        <v>106</v>
      </c>
      <c r="I2140" s="9">
        <v>6</v>
      </c>
      <c r="J2140" s="9" t="s">
        <v>122</v>
      </c>
      <c r="K2140" s="9" t="s">
        <v>4799</v>
      </c>
      <c r="L2140" t="str">
        <f>IF(OR(J2140="Cattle",J2140="Zebu Cattle"),IF(COUNTIF(lists!$M$2:$M$258, K2140) &gt; 0,"bos.indicus",IF(COUNTIF(lists!$L$2:$L$258, K2140) &gt; 0,"cross.bred","pure.bred.exotic")),"NA")</f>
        <v>cross.bred</v>
      </c>
      <c r="O2140" s="9" t="s">
        <v>124</v>
      </c>
      <c r="P2140" s="9" t="s">
        <v>4749</v>
      </c>
      <c r="Q2140" s="9" t="s">
        <v>3806</v>
      </c>
      <c r="R2140" s="9" t="s">
        <v>3830</v>
      </c>
      <c r="S2140" s="9" t="s">
        <v>106</v>
      </c>
      <c r="T2140" s="9">
        <v>91.2</v>
      </c>
      <c r="U2140" s="9">
        <v>75.900000000000006</v>
      </c>
      <c r="V2140" s="9">
        <v>896.95</v>
      </c>
      <c r="W2140" s="9" t="s">
        <v>106</v>
      </c>
      <c r="X2140" s="9">
        <v>646.1</v>
      </c>
      <c r="Y2140" s="9" t="s">
        <v>106</v>
      </c>
      <c r="Z2140" s="9" t="s">
        <v>106</v>
      </c>
      <c r="AA2140" s="9" t="s">
        <v>106</v>
      </c>
      <c r="AB2140" s="9">
        <v>65.400000000000006</v>
      </c>
      <c r="AC2140" s="9" t="s">
        <v>5100</v>
      </c>
      <c r="AD2140" s="9" t="s">
        <v>5100</v>
      </c>
    </row>
    <row r="2141" spans="1:30">
      <c r="A2141" s="9" t="s">
        <v>4639</v>
      </c>
      <c r="B2141" t="s">
        <v>4694</v>
      </c>
      <c r="C2141" s="9" t="s">
        <v>105</v>
      </c>
      <c r="D2141" s="9">
        <v>5.52</v>
      </c>
      <c r="E2141" s="9" t="s">
        <v>106</v>
      </c>
      <c r="F2141" s="9">
        <v>298</v>
      </c>
      <c r="G2141" s="9">
        <v>9.1999999999999998E-2</v>
      </c>
      <c r="H2141" s="9" t="s">
        <v>106</v>
      </c>
      <c r="I2141" s="9">
        <v>6</v>
      </c>
      <c r="J2141" s="9" t="s">
        <v>122</v>
      </c>
      <c r="K2141" s="9" t="s">
        <v>4799</v>
      </c>
      <c r="L2141" t="str">
        <f>IF(OR(J2141="Cattle",J2141="Zebu Cattle"),IF(COUNTIF(lists!$M$2:$M$258, K2141) &gt; 0,"bos.indicus",IF(COUNTIF(lists!$L$2:$L$258, K2141) &gt; 0,"cross.bred","pure.bred.exotic")),"NA")</f>
        <v>cross.bred</v>
      </c>
      <c r="O2141" s="9" t="s">
        <v>124</v>
      </c>
      <c r="P2141" s="9" t="s">
        <v>4749</v>
      </c>
      <c r="Q2141" s="9" t="s">
        <v>3806</v>
      </c>
      <c r="R2141" s="9" t="s">
        <v>3830</v>
      </c>
      <c r="S2141" s="9" t="s">
        <v>106</v>
      </c>
      <c r="T2141" s="9">
        <v>91.2</v>
      </c>
      <c r="U2141" s="9">
        <v>75.900000000000006</v>
      </c>
      <c r="V2141" s="9">
        <v>896.95</v>
      </c>
      <c r="W2141" s="9" t="s">
        <v>106</v>
      </c>
      <c r="X2141" s="9">
        <v>647.1</v>
      </c>
      <c r="Y2141" s="9" t="s">
        <v>106</v>
      </c>
      <c r="Z2141" s="9" t="s">
        <v>106</v>
      </c>
      <c r="AA2141" s="9" t="s">
        <v>106</v>
      </c>
      <c r="AB2141" s="9">
        <v>63.8</v>
      </c>
      <c r="AC2141" s="9" t="s">
        <v>5100</v>
      </c>
      <c r="AD2141" s="9" t="s">
        <v>5100</v>
      </c>
    </row>
    <row r="2142" spans="1:30">
      <c r="A2142" s="9" t="s">
        <v>4639</v>
      </c>
      <c r="B2142" t="s">
        <v>4695</v>
      </c>
      <c r="C2142" s="9" t="s">
        <v>105</v>
      </c>
      <c r="D2142" s="9">
        <v>6.88</v>
      </c>
      <c r="E2142" s="9" t="s">
        <v>106</v>
      </c>
      <c r="F2142" s="9">
        <v>331</v>
      </c>
      <c r="G2142" s="9">
        <v>0.219</v>
      </c>
      <c r="H2142" s="9" t="s">
        <v>106</v>
      </c>
      <c r="I2142" s="9">
        <v>6</v>
      </c>
      <c r="J2142" s="9" t="s">
        <v>122</v>
      </c>
      <c r="K2142" s="9" t="s">
        <v>4799</v>
      </c>
      <c r="L2142" t="str">
        <f>IF(OR(J2142="Cattle",J2142="Zebu Cattle"),IF(COUNTIF(lists!$M$2:$M$258, K2142) &gt; 0,"bos.indicus",IF(COUNTIF(lists!$L$2:$L$258, K2142) &gt; 0,"cross.bred","pure.bred.exotic")),"NA")</f>
        <v>cross.bred</v>
      </c>
      <c r="O2142" s="9" t="s">
        <v>124</v>
      </c>
      <c r="P2142" s="9" t="s">
        <v>4749</v>
      </c>
      <c r="Q2142" s="9" t="s">
        <v>3806</v>
      </c>
      <c r="R2142" s="9" t="s">
        <v>3830</v>
      </c>
      <c r="S2142" s="9" t="s">
        <v>106</v>
      </c>
      <c r="T2142" s="9">
        <v>91.2</v>
      </c>
      <c r="U2142" s="9">
        <v>75.900000000000006</v>
      </c>
      <c r="V2142" s="9">
        <v>896.95</v>
      </c>
      <c r="W2142" s="9" t="s">
        <v>106</v>
      </c>
      <c r="X2142" s="9">
        <v>648.1</v>
      </c>
      <c r="Y2142" s="9" t="s">
        <v>106</v>
      </c>
      <c r="Z2142" s="9" t="s">
        <v>106</v>
      </c>
      <c r="AA2142" s="9" t="s">
        <v>106</v>
      </c>
      <c r="AB2142" s="9">
        <v>65.099999999999994</v>
      </c>
      <c r="AC2142" s="9" t="s">
        <v>5100</v>
      </c>
      <c r="AD2142" s="9" t="s">
        <v>5100</v>
      </c>
    </row>
    <row r="2143" spans="1:30">
      <c r="A2143" s="9" t="s">
        <v>4639</v>
      </c>
      <c r="B2143" t="s">
        <v>4693</v>
      </c>
      <c r="C2143" s="9" t="s">
        <v>105</v>
      </c>
      <c r="D2143" s="9">
        <v>4.5999999999999996</v>
      </c>
      <c r="E2143" s="9" t="s">
        <v>106</v>
      </c>
      <c r="F2143" s="9">
        <v>305</v>
      </c>
      <c r="G2143" s="9">
        <v>0.26800000000000002</v>
      </c>
      <c r="H2143" s="9" t="s">
        <v>106</v>
      </c>
      <c r="I2143" s="9">
        <v>6</v>
      </c>
      <c r="J2143" s="9" t="s">
        <v>122</v>
      </c>
      <c r="K2143" s="9" t="s">
        <v>4799</v>
      </c>
      <c r="L2143" t="str">
        <f>IF(OR(J2143="Cattle",J2143="Zebu Cattle"),IF(COUNTIF(lists!$M$2:$M$258, K2143) &gt; 0,"bos.indicus",IF(COUNTIF(lists!$L$2:$L$258, K2143) &gt; 0,"cross.bred","pure.bred.exotic")),"NA")</f>
        <v>cross.bred</v>
      </c>
      <c r="O2143" s="9" t="s">
        <v>124</v>
      </c>
      <c r="P2143" s="9" t="s">
        <v>4750</v>
      </c>
      <c r="Q2143" s="9" t="s">
        <v>3801</v>
      </c>
      <c r="R2143" s="9" t="s">
        <v>3830</v>
      </c>
      <c r="S2143" s="9" t="s">
        <v>106</v>
      </c>
      <c r="T2143" s="9">
        <v>91.2</v>
      </c>
      <c r="U2143" s="9">
        <v>75.900000000000006</v>
      </c>
      <c r="V2143" s="9">
        <v>896.95</v>
      </c>
      <c r="W2143" s="9" t="s">
        <v>106</v>
      </c>
      <c r="X2143" s="9">
        <v>649.1</v>
      </c>
      <c r="Y2143" s="9" t="s">
        <v>106</v>
      </c>
      <c r="Z2143" s="9" t="s">
        <v>106</v>
      </c>
      <c r="AA2143" s="9" t="s">
        <v>106</v>
      </c>
      <c r="AB2143" s="9">
        <v>66.3</v>
      </c>
      <c r="AC2143" s="9" t="s">
        <v>5100</v>
      </c>
      <c r="AD2143" s="9" t="s">
        <v>5100</v>
      </c>
    </row>
    <row r="2144" spans="1:30">
      <c r="A2144" s="9" t="s">
        <v>4639</v>
      </c>
      <c r="B2144" t="s">
        <v>4694</v>
      </c>
      <c r="C2144" s="9" t="s">
        <v>105</v>
      </c>
      <c r="D2144" s="9">
        <v>5.84</v>
      </c>
      <c r="E2144" s="9" t="s">
        <v>106</v>
      </c>
      <c r="F2144" s="9">
        <v>327</v>
      </c>
      <c r="G2144" s="9">
        <v>0.41099999999999998</v>
      </c>
      <c r="H2144" s="9" t="s">
        <v>106</v>
      </c>
      <c r="I2144" s="9">
        <v>6</v>
      </c>
      <c r="J2144" s="9" t="s">
        <v>122</v>
      </c>
      <c r="K2144" s="9" t="s">
        <v>4799</v>
      </c>
      <c r="L2144" t="str">
        <f>IF(OR(J2144="Cattle",J2144="Zebu Cattle"),IF(COUNTIF(lists!$M$2:$M$258, K2144) &gt; 0,"bos.indicus",IF(COUNTIF(lists!$L$2:$L$258, K2144) &gt; 0,"cross.bred","pure.bred.exotic")),"NA")</f>
        <v>cross.bred</v>
      </c>
      <c r="O2144" s="9" t="s">
        <v>124</v>
      </c>
      <c r="P2144" s="9" t="s">
        <v>4750</v>
      </c>
      <c r="Q2144" s="9" t="s">
        <v>3801</v>
      </c>
      <c r="R2144" s="9" t="s">
        <v>3830</v>
      </c>
      <c r="S2144" s="9" t="s">
        <v>106</v>
      </c>
      <c r="T2144" s="9">
        <v>91.2</v>
      </c>
      <c r="U2144" s="9">
        <v>75.900000000000006</v>
      </c>
      <c r="V2144" s="9">
        <v>896.95</v>
      </c>
      <c r="W2144" s="9" t="s">
        <v>106</v>
      </c>
      <c r="X2144" s="9">
        <v>650.1</v>
      </c>
      <c r="Y2144" s="9" t="s">
        <v>106</v>
      </c>
      <c r="Z2144" s="9" t="s">
        <v>106</v>
      </c>
      <c r="AA2144" s="9" t="s">
        <v>106</v>
      </c>
      <c r="AB2144" s="9">
        <v>65.2</v>
      </c>
      <c r="AC2144" s="9" t="s">
        <v>5100</v>
      </c>
      <c r="AD2144" s="9" t="s">
        <v>5100</v>
      </c>
    </row>
    <row r="2145" spans="1:31">
      <c r="A2145" s="9" t="s">
        <v>4639</v>
      </c>
      <c r="B2145" t="s">
        <v>4695</v>
      </c>
      <c r="C2145" s="9" t="s">
        <v>105</v>
      </c>
      <c r="D2145" s="9">
        <v>7.62</v>
      </c>
      <c r="E2145" s="9" t="s">
        <v>106</v>
      </c>
      <c r="F2145" s="9">
        <v>380</v>
      </c>
      <c r="G2145" s="9">
        <v>0.54200000000000004</v>
      </c>
      <c r="H2145" s="9" t="s">
        <v>106</v>
      </c>
      <c r="I2145" s="9">
        <v>6</v>
      </c>
      <c r="J2145" s="9" t="s">
        <v>122</v>
      </c>
      <c r="K2145" s="9" t="s">
        <v>4799</v>
      </c>
      <c r="L2145" t="str">
        <f>IF(OR(J2145="Cattle",J2145="Zebu Cattle"),IF(COUNTIF(lists!$M$2:$M$258, K2145) &gt; 0,"bos.indicus",IF(COUNTIF(lists!$L$2:$L$258, K2145) &gt; 0,"cross.bred","pure.bred.exotic")),"NA")</f>
        <v>cross.bred</v>
      </c>
      <c r="O2145" s="9" t="s">
        <v>124</v>
      </c>
      <c r="P2145" s="9" t="s">
        <v>4750</v>
      </c>
      <c r="Q2145" s="9" t="s">
        <v>3801</v>
      </c>
      <c r="R2145" s="9" t="s">
        <v>3830</v>
      </c>
      <c r="S2145" s="9" t="s">
        <v>106</v>
      </c>
      <c r="T2145" s="9">
        <v>91.2</v>
      </c>
      <c r="U2145" s="9">
        <v>75.900000000000006</v>
      </c>
      <c r="V2145" s="9">
        <v>896.95</v>
      </c>
      <c r="W2145" s="9" t="s">
        <v>106</v>
      </c>
      <c r="X2145" s="9">
        <v>651.1</v>
      </c>
      <c r="Y2145" s="9" t="s">
        <v>106</v>
      </c>
      <c r="Z2145" s="9" t="s">
        <v>106</v>
      </c>
      <c r="AA2145" s="9" t="s">
        <v>106</v>
      </c>
      <c r="AB2145" s="9">
        <v>67.900000000000006</v>
      </c>
      <c r="AC2145" s="9" t="s">
        <v>5100</v>
      </c>
      <c r="AD2145" s="9" t="s">
        <v>5100</v>
      </c>
    </row>
    <row r="2146" spans="1:31">
      <c r="A2146" s="9" t="s">
        <v>4640</v>
      </c>
      <c r="B2146" t="s">
        <v>4696</v>
      </c>
      <c r="C2146" s="9" t="s">
        <v>105</v>
      </c>
      <c r="D2146" s="9">
        <v>5</v>
      </c>
      <c r="E2146" s="9">
        <v>0.21</v>
      </c>
      <c r="F2146" s="9">
        <v>144.30000000000001</v>
      </c>
      <c r="G2146" s="9">
        <v>0.5</v>
      </c>
      <c r="H2146" s="9" t="s">
        <v>106</v>
      </c>
      <c r="I2146" s="9">
        <v>11</v>
      </c>
      <c r="J2146" s="9" t="s">
        <v>122</v>
      </c>
      <c r="K2146" s="9" t="s">
        <v>4291</v>
      </c>
      <c r="L2146" t="str">
        <f>IF(OR(J2146="Cattle",J2146="Zebu Cattle"),IF(COUNTIF(lists!$M$2:$M$258, K2146) &gt; 0,"bos.indicus",IF(COUNTIF(lists!$L$2:$L$258, K2146) &gt; 0,"cross.bred","pure.bred.exotic")),"NA")</f>
        <v>cross.bred</v>
      </c>
      <c r="O2146" s="9" t="s">
        <v>124</v>
      </c>
      <c r="P2146" s="9" t="s">
        <v>4740</v>
      </c>
      <c r="Q2146" s="9" t="s">
        <v>3805</v>
      </c>
      <c r="R2146" s="9" t="s">
        <v>3830</v>
      </c>
      <c r="S2146" s="9">
        <v>301</v>
      </c>
      <c r="T2146" s="9">
        <v>204</v>
      </c>
      <c r="U2146" s="9">
        <v>118</v>
      </c>
      <c r="V2146" s="9">
        <v>155</v>
      </c>
      <c r="W2146" s="9" t="s">
        <v>106</v>
      </c>
      <c r="X2146" s="9">
        <v>587</v>
      </c>
      <c r="Y2146" s="9" t="s">
        <v>106</v>
      </c>
      <c r="Z2146" s="9">
        <v>47</v>
      </c>
      <c r="AA2146" s="9" t="s">
        <v>106</v>
      </c>
      <c r="AB2146" s="9">
        <v>57.1</v>
      </c>
      <c r="AC2146" s="9" t="s">
        <v>5100</v>
      </c>
      <c r="AD2146" s="9" t="s">
        <v>5100</v>
      </c>
    </row>
    <row r="2147" spans="1:31" s="9" customFormat="1">
      <c r="A2147" s="9" t="s">
        <v>4640</v>
      </c>
      <c r="B2147" s="9" t="s">
        <v>4751</v>
      </c>
      <c r="C2147" s="9" t="s">
        <v>105</v>
      </c>
      <c r="D2147" s="9">
        <v>5.5</v>
      </c>
      <c r="E2147" s="9">
        <v>0.18</v>
      </c>
      <c r="F2147" s="9">
        <v>143.1</v>
      </c>
      <c r="G2147" s="9">
        <v>0.67</v>
      </c>
      <c r="H2147" s="9" t="s">
        <v>106</v>
      </c>
      <c r="I2147" s="9">
        <v>11</v>
      </c>
      <c r="J2147" s="9" t="s">
        <v>122</v>
      </c>
      <c r="K2147" s="9" t="s">
        <v>4291</v>
      </c>
      <c r="L2147" t="str">
        <f>IF(OR(J2147="Cattle",J2147="Zebu Cattle"),IF(COUNTIF(lists!$M$2:$M$258, K2147) &gt; 0,"bos.indicus",IF(COUNTIF(lists!$L$2:$L$258, K2147) &gt; 0,"cross.bred","pure.bred.exotic")),"NA")</f>
        <v>cross.bred</v>
      </c>
      <c r="O2147" s="9" t="s">
        <v>124</v>
      </c>
      <c r="P2147" s="9" t="s">
        <v>4740</v>
      </c>
      <c r="Q2147" s="9" t="s">
        <v>3805</v>
      </c>
      <c r="R2147" s="9" t="s">
        <v>3830</v>
      </c>
      <c r="S2147" s="9">
        <v>347</v>
      </c>
      <c r="T2147" s="9">
        <v>156</v>
      </c>
      <c r="U2147" s="9">
        <v>167</v>
      </c>
      <c r="V2147" s="9">
        <v>807</v>
      </c>
      <c r="W2147" s="9" t="s">
        <v>106</v>
      </c>
      <c r="X2147" s="9">
        <v>408</v>
      </c>
      <c r="Y2147" s="9" t="s">
        <v>106</v>
      </c>
      <c r="Z2147" s="9" t="s">
        <v>106</v>
      </c>
      <c r="AA2147" s="9" t="s">
        <v>106</v>
      </c>
      <c r="AB2147" s="9">
        <v>54.3</v>
      </c>
      <c r="AC2147" s="9" t="s">
        <v>5100</v>
      </c>
      <c r="AD2147" s="9" t="s">
        <v>5100</v>
      </c>
      <c r="AE2147" s="72"/>
    </row>
    <row r="2148" spans="1:31" s="9" customFormat="1">
      <c r="A2148" s="9" t="s">
        <v>4640</v>
      </c>
      <c r="B2148" s="9" t="s">
        <v>4752</v>
      </c>
      <c r="C2148" s="9" t="s">
        <v>105</v>
      </c>
      <c r="D2148" s="9">
        <v>4.2</v>
      </c>
      <c r="E2148" s="9">
        <v>0.19</v>
      </c>
      <c r="F2148" s="9">
        <v>144.1</v>
      </c>
      <c r="G2148" s="9">
        <v>0.5</v>
      </c>
      <c r="H2148" s="9" t="s">
        <v>106</v>
      </c>
      <c r="I2148" s="9">
        <v>11</v>
      </c>
      <c r="J2148" s="9" t="s">
        <v>122</v>
      </c>
      <c r="K2148" s="9" t="s">
        <v>4291</v>
      </c>
      <c r="L2148" t="str">
        <f>IF(OR(J2148="Cattle",J2148="Zebu Cattle"),IF(COUNTIF(lists!$M$2:$M$258, K2148) &gt; 0,"bos.indicus",IF(COUNTIF(lists!$L$2:$L$258, K2148) &gt; 0,"cross.bred","pure.bred.exotic")),"NA")</f>
        <v>cross.bred</v>
      </c>
      <c r="O2148" s="9" t="s">
        <v>124</v>
      </c>
      <c r="P2148" s="9" t="s">
        <v>4740</v>
      </c>
      <c r="Q2148" s="9" t="s">
        <v>3805</v>
      </c>
      <c r="R2148" s="9" t="s">
        <v>3830</v>
      </c>
      <c r="S2148" s="9">
        <v>339</v>
      </c>
      <c r="T2148" s="9">
        <v>148</v>
      </c>
      <c r="U2148" s="9">
        <v>135</v>
      </c>
      <c r="V2148" s="9">
        <v>123</v>
      </c>
      <c r="W2148" s="9" t="s">
        <v>106</v>
      </c>
      <c r="X2148" s="9">
        <v>506</v>
      </c>
      <c r="Y2148" s="9" t="s">
        <v>106</v>
      </c>
      <c r="Z2148" s="9" t="s">
        <v>106</v>
      </c>
      <c r="AA2148" s="9" t="s">
        <v>106</v>
      </c>
      <c r="AB2148" s="9">
        <v>50.1</v>
      </c>
      <c r="AC2148" s="9" t="s">
        <v>5100</v>
      </c>
      <c r="AD2148" s="9" t="s">
        <v>5100</v>
      </c>
      <c r="AE2148" s="72"/>
    </row>
    <row r="2149" spans="1:31">
      <c r="A2149" s="9" t="s">
        <v>4641</v>
      </c>
      <c r="B2149" t="s">
        <v>4697</v>
      </c>
      <c r="C2149" s="9" t="s">
        <v>105</v>
      </c>
      <c r="D2149" s="9">
        <v>9.32</v>
      </c>
      <c r="E2149" s="9">
        <v>0.18</v>
      </c>
      <c r="F2149" s="68">
        <v>485</v>
      </c>
      <c r="G2149" s="9" t="s">
        <v>106</v>
      </c>
      <c r="H2149" s="9" t="s">
        <v>106</v>
      </c>
      <c r="I2149" s="9">
        <v>4</v>
      </c>
      <c r="J2149" s="9" t="s">
        <v>122</v>
      </c>
      <c r="K2149" s="9" t="s">
        <v>4197</v>
      </c>
      <c r="L2149" t="str">
        <f>IF(OR(J2149="Cattle",J2149="Zebu Cattle"),IF(COUNTIF(lists!$M$2:$M$258, K2149) &gt; 0,"bos.indicus",IF(COUNTIF(lists!$L$2:$L$258, K2149) &gt; 0,"cross.bred","pure.bred.exotic")),"NA")</f>
        <v>cross.bred</v>
      </c>
      <c r="O2149" s="9" t="s">
        <v>124</v>
      </c>
      <c r="P2149" s="9" t="s">
        <v>4753</v>
      </c>
      <c r="Q2149" s="9" t="s">
        <v>3812</v>
      </c>
      <c r="R2149" s="9" t="s">
        <v>3830</v>
      </c>
      <c r="S2149" s="9" t="s">
        <v>106</v>
      </c>
      <c r="T2149" s="9">
        <v>90</v>
      </c>
      <c r="U2149" s="9">
        <v>111.6</v>
      </c>
      <c r="V2149" s="9">
        <v>892.1</v>
      </c>
      <c r="W2149" s="9" t="s">
        <v>106</v>
      </c>
      <c r="X2149" s="9">
        <v>680.3</v>
      </c>
      <c r="Y2149" s="9">
        <v>56.3</v>
      </c>
      <c r="Z2149" s="9" t="s">
        <v>106</v>
      </c>
      <c r="AA2149" s="9">
        <v>56.7</v>
      </c>
      <c r="AB2149" s="9" t="s">
        <v>106</v>
      </c>
      <c r="AC2149" s="9" t="s">
        <v>5100</v>
      </c>
      <c r="AD2149" s="9" t="s">
        <v>5100</v>
      </c>
    </row>
    <row r="2150" spans="1:31">
      <c r="A2150" s="9" t="s">
        <v>4641</v>
      </c>
      <c r="B2150" t="s">
        <v>4698</v>
      </c>
      <c r="C2150" s="9" t="s">
        <v>105</v>
      </c>
      <c r="D2150" s="9">
        <v>11.96</v>
      </c>
      <c r="E2150" s="9">
        <v>0.18</v>
      </c>
      <c r="F2150" s="68">
        <v>485</v>
      </c>
      <c r="G2150" s="9" t="s">
        <v>106</v>
      </c>
      <c r="H2150" s="9" t="s">
        <v>106</v>
      </c>
      <c r="I2150" s="9">
        <v>4</v>
      </c>
      <c r="J2150" s="9" t="s">
        <v>122</v>
      </c>
      <c r="K2150" s="9" t="s">
        <v>4197</v>
      </c>
      <c r="L2150" t="str">
        <f>IF(OR(J2150="Cattle",J2150="Zebu Cattle"),IF(COUNTIF(lists!$M$2:$M$258, K2150) &gt; 0,"bos.indicus",IF(COUNTIF(lists!$L$2:$L$258, K2150) &gt; 0,"cross.bred","pure.bred.exotic")),"NA")</f>
        <v>cross.bred</v>
      </c>
      <c r="O2150" s="9" t="s">
        <v>124</v>
      </c>
      <c r="P2150" s="9" t="s">
        <v>4753</v>
      </c>
      <c r="Q2150" s="9" t="s">
        <v>3812</v>
      </c>
      <c r="R2150" s="9" t="s">
        <v>3830</v>
      </c>
      <c r="S2150" s="9" t="s">
        <v>106</v>
      </c>
      <c r="T2150" s="9">
        <v>94</v>
      </c>
      <c r="U2150" s="9">
        <v>97</v>
      </c>
      <c r="V2150" s="9">
        <v>868.8</v>
      </c>
      <c r="W2150" s="9" t="s">
        <v>106</v>
      </c>
      <c r="X2150" s="9">
        <v>572.70000000000005</v>
      </c>
      <c r="Y2150" s="9">
        <v>52.3</v>
      </c>
      <c r="Z2150" s="9" t="s">
        <v>106</v>
      </c>
      <c r="AA2150" s="9">
        <v>59.7</v>
      </c>
      <c r="AB2150" s="9" t="s">
        <v>106</v>
      </c>
      <c r="AC2150" s="9" t="s">
        <v>5100</v>
      </c>
      <c r="AD2150" s="9" t="s">
        <v>5100</v>
      </c>
    </row>
    <row r="2151" spans="1:31">
      <c r="A2151" s="9" t="s">
        <v>4641</v>
      </c>
      <c r="B2151" t="s">
        <v>4699</v>
      </c>
      <c r="C2151" s="9" t="s">
        <v>105</v>
      </c>
      <c r="D2151" s="9">
        <v>11.57</v>
      </c>
      <c r="E2151" s="9">
        <v>0.18</v>
      </c>
      <c r="F2151" s="68">
        <v>485</v>
      </c>
      <c r="G2151" s="9" t="s">
        <v>106</v>
      </c>
      <c r="H2151" s="9" t="s">
        <v>106</v>
      </c>
      <c r="I2151" s="9">
        <v>4</v>
      </c>
      <c r="J2151" s="9" t="s">
        <v>122</v>
      </c>
      <c r="K2151" s="9" t="s">
        <v>4197</v>
      </c>
      <c r="L2151" t="str">
        <f>IF(OR(J2151="Cattle",J2151="Zebu Cattle"),IF(COUNTIF(lists!$M$2:$M$258, K2151) &gt; 0,"bos.indicus",IF(COUNTIF(lists!$L$2:$L$258, K2151) &gt; 0,"cross.bred","pure.bred.exotic")),"NA")</f>
        <v>cross.bred</v>
      </c>
      <c r="O2151" s="9" t="s">
        <v>124</v>
      </c>
      <c r="P2151" s="9" t="s">
        <v>4753</v>
      </c>
      <c r="Q2151" s="9" t="s">
        <v>3812</v>
      </c>
      <c r="R2151" s="9" t="s">
        <v>3830</v>
      </c>
      <c r="S2151" s="9" t="s">
        <v>106</v>
      </c>
      <c r="T2151" s="9">
        <v>93</v>
      </c>
      <c r="U2151" s="9">
        <v>98.5</v>
      </c>
      <c r="V2151" s="9">
        <v>868.2</v>
      </c>
      <c r="W2151" s="9" t="s">
        <v>106</v>
      </c>
      <c r="X2151" s="9">
        <v>567</v>
      </c>
      <c r="Y2151" s="9">
        <v>55.4</v>
      </c>
      <c r="Z2151" s="9" t="s">
        <v>106</v>
      </c>
      <c r="AA2151" s="9">
        <v>61.7</v>
      </c>
      <c r="AB2151" s="9" t="s">
        <v>106</v>
      </c>
      <c r="AC2151" s="9" t="s">
        <v>5100</v>
      </c>
      <c r="AD2151" s="9" t="s">
        <v>5100</v>
      </c>
    </row>
    <row r="2152" spans="1:31">
      <c r="A2152" s="9" t="s">
        <v>4641</v>
      </c>
      <c r="B2152" t="s">
        <v>4700</v>
      </c>
      <c r="C2152" s="9" t="s">
        <v>105</v>
      </c>
      <c r="D2152" s="9">
        <v>10.9</v>
      </c>
      <c r="E2152" s="9">
        <v>0.18</v>
      </c>
      <c r="F2152" s="68">
        <v>485</v>
      </c>
      <c r="G2152" s="9" t="s">
        <v>106</v>
      </c>
      <c r="H2152" s="9" t="s">
        <v>106</v>
      </c>
      <c r="I2152" s="9">
        <v>4</v>
      </c>
      <c r="J2152" s="9" t="s">
        <v>122</v>
      </c>
      <c r="K2152" s="9" t="s">
        <v>4197</v>
      </c>
      <c r="L2152" t="str">
        <f>IF(OR(J2152="Cattle",J2152="Zebu Cattle"),IF(COUNTIF(lists!$M$2:$M$258, K2152) &gt; 0,"bos.indicus",IF(COUNTIF(lists!$L$2:$L$258, K2152) &gt; 0,"cross.bred","pure.bred.exotic")),"NA")</f>
        <v>cross.bred</v>
      </c>
      <c r="O2152" s="9" t="s">
        <v>124</v>
      </c>
      <c r="P2152" s="9" t="s">
        <v>4753</v>
      </c>
      <c r="Q2152" s="9" t="s">
        <v>3812</v>
      </c>
      <c r="R2152" s="9" t="s">
        <v>3830</v>
      </c>
      <c r="S2152" s="9" t="s">
        <v>106</v>
      </c>
      <c r="T2152" s="9">
        <v>92</v>
      </c>
      <c r="U2152" s="9">
        <v>100.9</v>
      </c>
      <c r="V2152" s="9">
        <v>866.7</v>
      </c>
      <c r="W2152" s="9" t="s">
        <v>106</v>
      </c>
      <c r="X2152" s="9">
        <v>556</v>
      </c>
      <c r="Y2152" s="9">
        <v>54</v>
      </c>
      <c r="Z2152" s="9" t="s">
        <v>106</v>
      </c>
      <c r="AA2152" s="9">
        <v>61.3</v>
      </c>
      <c r="AB2152" s="9" t="s">
        <v>106</v>
      </c>
      <c r="AC2152" s="9" t="s">
        <v>5100</v>
      </c>
      <c r="AD2152" s="9" t="s">
        <v>5100</v>
      </c>
    </row>
    <row r="2153" spans="1:31">
      <c r="A2153" s="9" t="s">
        <v>4642</v>
      </c>
      <c r="B2153" t="s">
        <v>4701</v>
      </c>
      <c r="C2153" s="9" t="s">
        <v>105</v>
      </c>
      <c r="D2153" s="9">
        <v>8.3699999999999992</v>
      </c>
      <c r="E2153" s="9">
        <v>0.46</v>
      </c>
      <c r="F2153" s="9">
        <v>390.8</v>
      </c>
      <c r="G2153" s="9">
        <v>1.6</v>
      </c>
      <c r="H2153" s="9" t="s">
        <v>106</v>
      </c>
      <c r="I2153" s="9">
        <v>6</v>
      </c>
      <c r="J2153" s="9" t="s">
        <v>122</v>
      </c>
      <c r="K2153" s="9" t="s">
        <v>4266</v>
      </c>
      <c r="L2153" t="str">
        <f>IF(OR(J2153="Cattle",J2153="Zebu Cattle"),IF(COUNTIF(lists!$M$2:$M$258, K2153) &gt; 0,"bos.indicus",IF(COUNTIF(lists!$L$2:$L$258, K2153) &gt; 0,"cross.bred","pure.bred.exotic")),"NA")</f>
        <v>pure.bred.exotic</v>
      </c>
      <c r="O2153" s="9" t="s">
        <v>4194</v>
      </c>
      <c r="P2153" s="9" t="s">
        <v>4754</v>
      </c>
      <c r="Q2153" s="9" t="s">
        <v>3810</v>
      </c>
      <c r="R2153" s="9" t="s">
        <v>3830</v>
      </c>
      <c r="S2153" s="9">
        <v>90.8</v>
      </c>
      <c r="T2153" s="9">
        <v>53</v>
      </c>
      <c r="U2153" s="9">
        <v>97.6</v>
      </c>
      <c r="V2153" s="9">
        <v>887.7</v>
      </c>
      <c r="W2153" s="9">
        <v>23.3</v>
      </c>
      <c r="X2153" s="9">
        <v>182.6</v>
      </c>
      <c r="Y2153" s="9">
        <v>56.8</v>
      </c>
      <c r="Z2153" s="9" t="s">
        <v>106</v>
      </c>
      <c r="AA2153" s="9">
        <v>69.3</v>
      </c>
      <c r="AB2153" s="9" t="s">
        <v>106</v>
      </c>
      <c r="AC2153" s="9" t="s">
        <v>5100</v>
      </c>
      <c r="AD2153" s="9" t="s">
        <v>5100</v>
      </c>
    </row>
    <row r="2154" spans="1:31">
      <c r="A2154" s="9" t="s">
        <v>4642</v>
      </c>
      <c r="B2154" t="s">
        <v>4702</v>
      </c>
      <c r="C2154" s="9" t="s">
        <v>105</v>
      </c>
      <c r="D2154" s="9">
        <v>7.28</v>
      </c>
      <c r="E2154" s="9">
        <v>0.46</v>
      </c>
      <c r="F2154" s="9">
        <v>342.4</v>
      </c>
      <c r="G2154" s="9">
        <v>1.5</v>
      </c>
      <c r="H2154" s="9" t="s">
        <v>106</v>
      </c>
      <c r="I2154" s="9">
        <v>6</v>
      </c>
      <c r="J2154" s="9" t="s">
        <v>122</v>
      </c>
      <c r="K2154" s="9" t="s">
        <v>4266</v>
      </c>
      <c r="L2154" t="str">
        <f>IF(OR(J2154="Cattle",J2154="Zebu Cattle"),IF(COUNTIF(lists!$M$2:$M$258, K2154) &gt; 0,"bos.indicus",IF(COUNTIF(lists!$L$2:$L$258, K2154) &gt; 0,"cross.bred","pure.bred.exotic")),"NA")</f>
        <v>pure.bred.exotic</v>
      </c>
      <c r="O2154" s="9" t="s">
        <v>4194</v>
      </c>
      <c r="P2154" s="9" t="s">
        <v>4754</v>
      </c>
      <c r="Q2154" s="9" t="s">
        <v>3810</v>
      </c>
      <c r="R2154" s="9" t="s">
        <v>3830</v>
      </c>
      <c r="S2154" s="9">
        <v>91.7</v>
      </c>
      <c r="T2154" s="9">
        <v>52.7</v>
      </c>
      <c r="U2154" s="9">
        <v>100.8</v>
      </c>
      <c r="V2154" s="9">
        <v>890.1</v>
      </c>
      <c r="W2154" s="9">
        <v>23.1</v>
      </c>
      <c r="X2154" s="9">
        <v>184.7</v>
      </c>
      <c r="Y2154" s="9">
        <v>67.400000000000006</v>
      </c>
      <c r="Z2154" s="9" t="s">
        <v>106</v>
      </c>
      <c r="AA2154" s="9">
        <v>75.3</v>
      </c>
      <c r="AB2154" s="9" t="s">
        <v>106</v>
      </c>
      <c r="AC2154" s="9" t="s">
        <v>5100</v>
      </c>
      <c r="AD2154" s="9" t="s">
        <v>5100</v>
      </c>
    </row>
    <row r="2155" spans="1:31">
      <c r="A2155" s="9" t="s">
        <v>4642</v>
      </c>
      <c r="B2155" t="s">
        <v>4703</v>
      </c>
      <c r="C2155" s="9" t="s">
        <v>105</v>
      </c>
      <c r="D2155" s="9">
        <v>7.6</v>
      </c>
      <c r="E2155" s="9">
        <v>0.46</v>
      </c>
      <c r="F2155" s="9">
        <v>370.1</v>
      </c>
      <c r="G2155" s="9">
        <v>1.6</v>
      </c>
      <c r="H2155" s="9" t="s">
        <v>106</v>
      </c>
      <c r="I2155" s="9">
        <v>6</v>
      </c>
      <c r="J2155" s="9" t="s">
        <v>122</v>
      </c>
      <c r="K2155" s="9" t="s">
        <v>4266</v>
      </c>
      <c r="L2155" t="str">
        <f>IF(OR(J2155="Cattle",J2155="Zebu Cattle"),IF(COUNTIF(lists!$M$2:$M$258, K2155) &gt; 0,"bos.indicus",IF(COUNTIF(lists!$L$2:$L$258, K2155) &gt; 0,"cross.bred","pure.bred.exotic")),"NA")</f>
        <v>pure.bred.exotic</v>
      </c>
      <c r="O2155" s="9" t="s">
        <v>4194</v>
      </c>
      <c r="P2155" s="9" t="s">
        <v>4754</v>
      </c>
      <c r="Q2155" s="9" t="s">
        <v>3810</v>
      </c>
      <c r="R2155" s="9" t="s">
        <v>3830</v>
      </c>
      <c r="S2155" s="9">
        <v>94.5</v>
      </c>
      <c r="T2155" s="9">
        <v>52.8</v>
      </c>
      <c r="U2155" s="9">
        <v>106.7</v>
      </c>
      <c r="V2155" s="9">
        <v>890.7</v>
      </c>
      <c r="W2155" s="9">
        <v>23.1</v>
      </c>
      <c r="X2155" s="9">
        <v>194.2</v>
      </c>
      <c r="Y2155" s="9">
        <v>55.2</v>
      </c>
      <c r="Z2155" s="9" t="s">
        <v>106</v>
      </c>
      <c r="AA2155" s="9">
        <v>67.400000000000006</v>
      </c>
      <c r="AB2155" s="9" t="s">
        <v>106</v>
      </c>
      <c r="AC2155" s="9" t="s">
        <v>5100</v>
      </c>
      <c r="AD2155" s="9" t="s">
        <v>5100</v>
      </c>
    </row>
    <row r="2156" spans="1:31">
      <c r="A2156" s="9" t="s">
        <v>4642</v>
      </c>
      <c r="B2156" t="s">
        <v>4704</v>
      </c>
      <c r="C2156" s="9" t="s">
        <v>105</v>
      </c>
      <c r="D2156" s="9">
        <v>7.03</v>
      </c>
      <c r="E2156" s="9">
        <v>0.46</v>
      </c>
      <c r="F2156" s="9">
        <v>348.5</v>
      </c>
      <c r="G2156" s="9">
        <v>1.6</v>
      </c>
      <c r="H2156" s="9" t="s">
        <v>106</v>
      </c>
      <c r="I2156" s="9">
        <v>6</v>
      </c>
      <c r="J2156" s="9" t="s">
        <v>122</v>
      </c>
      <c r="K2156" s="9" t="s">
        <v>4266</v>
      </c>
      <c r="L2156" t="str">
        <f>IF(OR(J2156="Cattle",J2156="Zebu Cattle"),IF(COUNTIF(lists!$M$2:$M$258, K2156) &gt; 0,"bos.indicus",IF(COUNTIF(lists!$L$2:$L$258, K2156) &gt; 0,"cross.bred","pure.bred.exotic")),"NA")</f>
        <v>pure.bred.exotic</v>
      </c>
      <c r="O2156" s="9" t="s">
        <v>4194</v>
      </c>
      <c r="P2156" s="9" t="s">
        <v>4754</v>
      </c>
      <c r="Q2156" s="9" t="s">
        <v>3810</v>
      </c>
      <c r="R2156" s="9" t="s">
        <v>3830</v>
      </c>
      <c r="S2156" s="9">
        <v>96.8</v>
      </c>
      <c r="T2156" s="9">
        <v>53.4</v>
      </c>
      <c r="U2156" s="9">
        <v>110.1</v>
      </c>
      <c r="V2156" s="9">
        <v>891.2</v>
      </c>
      <c r="W2156" s="9">
        <v>24.5</v>
      </c>
      <c r="X2156" s="9">
        <v>195.8</v>
      </c>
      <c r="Y2156" s="9">
        <v>60.3</v>
      </c>
      <c r="Z2156" s="9" t="s">
        <v>106</v>
      </c>
      <c r="AA2156" s="9">
        <v>69.8</v>
      </c>
      <c r="AB2156" s="9" t="s">
        <v>106</v>
      </c>
      <c r="AC2156" s="9" t="s">
        <v>5100</v>
      </c>
      <c r="AD2156" s="9" t="s">
        <v>5100</v>
      </c>
    </row>
    <row r="2157" spans="1:31">
      <c r="A2157" s="9" t="s">
        <v>4642</v>
      </c>
      <c r="B2157" t="s">
        <v>4705</v>
      </c>
      <c r="C2157" s="9" t="s">
        <v>105</v>
      </c>
      <c r="D2157" s="9">
        <v>7.51</v>
      </c>
      <c r="E2157" s="9">
        <v>0.46</v>
      </c>
      <c r="F2157" s="9">
        <v>359.4</v>
      </c>
      <c r="G2157" s="9">
        <v>1.6</v>
      </c>
      <c r="H2157" s="9" t="s">
        <v>106</v>
      </c>
      <c r="I2157" s="9">
        <v>6</v>
      </c>
      <c r="J2157" s="9" t="s">
        <v>122</v>
      </c>
      <c r="K2157" s="9" t="s">
        <v>4266</v>
      </c>
      <c r="L2157" t="str">
        <f>IF(OR(J2157="Cattle",J2157="Zebu Cattle"),IF(COUNTIF(lists!$M$2:$M$258, K2157) &gt; 0,"bos.indicus",IF(COUNTIF(lists!$L$2:$L$258, K2157) &gt; 0,"cross.bred","pure.bred.exotic")),"NA")</f>
        <v>pure.bred.exotic</v>
      </c>
      <c r="O2157" s="9" t="s">
        <v>4194</v>
      </c>
      <c r="P2157" s="9" t="s">
        <v>4754</v>
      </c>
      <c r="Q2157" s="9" t="s">
        <v>3810</v>
      </c>
      <c r="R2157" s="9" t="s">
        <v>3830</v>
      </c>
      <c r="S2157" s="9">
        <v>93</v>
      </c>
      <c r="T2157" s="9">
        <v>52.4</v>
      </c>
      <c r="U2157" s="9">
        <v>111.9</v>
      </c>
      <c r="V2157" s="9">
        <v>891</v>
      </c>
      <c r="W2157" s="9">
        <v>23</v>
      </c>
      <c r="X2157" s="9">
        <v>195.6</v>
      </c>
      <c r="Y2157" s="9">
        <v>64</v>
      </c>
      <c r="Z2157" s="9" t="s">
        <v>106</v>
      </c>
      <c r="AA2157" s="9">
        <v>72.900000000000006</v>
      </c>
      <c r="AB2157" s="9" t="s">
        <v>106</v>
      </c>
      <c r="AC2157" s="9" t="s">
        <v>5100</v>
      </c>
      <c r="AD2157" s="9" t="s">
        <v>5100</v>
      </c>
    </row>
    <row r="2158" spans="1:31">
      <c r="A2158" s="9" t="s">
        <v>4643</v>
      </c>
      <c r="B2158" t="s">
        <v>4706</v>
      </c>
      <c r="C2158" s="9" t="s">
        <v>105</v>
      </c>
      <c r="D2158" s="9">
        <v>7.8</v>
      </c>
      <c r="E2158" s="9">
        <v>0.13</v>
      </c>
      <c r="F2158" s="68">
        <v>468</v>
      </c>
      <c r="G2158" s="9" t="s">
        <v>106</v>
      </c>
      <c r="H2158" s="9" t="s">
        <v>106</v>
      </c>
      <c r="I2158" s="9">
        <v>6</v>
      </c>
      <c r="J2158" s="9" t="s">
        <v>122</v>
      </c>
      <c r="K2158" s="9" t="s">
        <v>4731</v>
      </c>
      <c r="L2158" t="str">
        <f>IF(OR(J2158="Cattle",J2158="Zebu Cattle"),IF(COUNTIF(lists!$M$2:$M$258, K2158) &gt; 0,"bos.indicus",IF(COUNTIF(lists!$L$2:$L$258, K2158) &gt; 0,"cross.bred","pure.bred.exotic")),"NA")</f>
        <v>cross.bred</v>
      </c>
      <c r="O2158" s="9" t="s">
        <v>124</v>
      </c>
      <c r="P2158" s="9" t="s">
        <v>4741</v>
      </c>
      <c r="Q2158" s="9" t="s">
        <v>3810</v>
      </c>
      <c r="R2158" s="9" t="s">
        <v>3830</v>
      </c>
      <c r="S2158" s="9" t="s">
        <v>106</v>
      </c>
      <c r="T2158" s="9" t="s">
        <v>106</v>
      </c>
      <c r="U2158" s="9" t="s">
        <v>106</v>
      </c>
      <c r="V2158" s="9" t="s">
        <v>106</v>
      </c>
      <c r="W2158" s="9" t="s">
        <v>106</v>
      </c>
      <c r="X2158" s="9" t="s">
        <v>106</v>
      </c>
      <c r="Y2158" s="9" t="s">
        <v>106</v>
      </c>
      <c r="Z2158" s="9" t="s">
        <v>106</v>
      </c>
      <c r="AA2158" s="9">
        <v>67.3</v>
      </c>
      <c r="AB2158" s="9">
        <v>70.099999999999994</v>
      </c>
      <c r="AC2158" s="9" t="s">
        <v>5100</v>
      </c>
      <c r="AD2158" s="9" t="s">
        <v>5100</v>
      </c>
    </row>
    <row r="2159" spans="1:31">
      <c r="A2159" s="9" t="s">
        <v>4643</v>
      </c>
      <c r="B2159" t="s">
        <v>4707</v>
      </c>
      <c r="C2159" s="9" t="s">
        <v>105</v>
      </c>
      <c r="D2159" s="9">
        <v>7.77</v>
      </c>
      <c r="E2159" s="9">
        <v>0.13</v>
      </c>
      <c r="F2159" s="68">
        <v>468</v>
      </c>
      <c r="G2159" s="9" t="s">
        <v>106</v>
      </c>
      <c r="H2159" s="9" t="s">
        <v>106</v>
      </c>
      <c r="I2159" s="9">
        <v>6</v>
      </c>
      <c r="J2159" s="9" t="s">
        <v>122</v>
      </c>
      <c r="K2159" s="9" t="s">
        <v>4731</v>
      </c>
      <c r="L2159" t="str">
        <f>IF(OR(J2159="Cattle",J2159="Zebu Cattle"),IF(COUNTIF(lists!$M$2:$M$258, K2159) &gt; 0,"bos.indicus",IF(COUNTIF(lists!$L$2:$L$258, K2159) &gt; 0,"cross.bred","pure.bred.exotic")),"NA")</f>
        <v>cross.bred</v>
      </c>
      <c r="O2159" s="9" t="s">
        <v>124</v>
      </c>
      <c r="P2159" s="9" t="s">
        <v>4741</v>
      </c>
      <c r="Q2159" s="9" t="s">
        <v>3810</v>
      </c>
      <c r="R2159" s="9" t="s">
        <v>3830</v>
      </c>
      <c r="S2159" s="9" t="s">
        <v>106</v>
      </c>
      <c r="T2159" s="9" t="s">
        <v>106</v>
      </c>
      <c r="U2159" s="9" t="s">
        <v>106</v>
      </c>
      <c r="V2159" s="9" t="s">
        <v>106</v>
      </c>
      <c r="W2159" s="9" t="s">
        <v>106</v>
      </c>
      <c r="X2159" s="9" t="s">
        <v>106</v>
      </c>
      <c r="Y2159" s="9" t="s">
        <v>106</v>
      </c>
      <c r="Z2159" s="9" t="s">
        <v>106</v>
      </c>
      <c r="AA2159" s="9">
        <v>66.2</v>
      </c>
      <c r="AB2159" s="9">
        <v>69.099999999999994</v>
      </c>
      <c r="AC2159" s="9" t="s">
        <v>5100</v>
      </c>
      <c r="AD2159" s="9" t="s">
        <v>5100</v>
      </c>
    </row>
    <row r="2160" spans="1:31">
      <c r="A2160" s="9" t="s">
        <v>4643</v>
      </c>
      <c r="B2160" t="s">
        <v>4708</v>
      </c>
      <c r="C2160" s="9" t="s">
        <v>105</v>
      </c>
      <c r="D2160" s="9">
        <v>8.16</v>
      </c>
      <c r="E2160" s="9">
        <v>0.13</v>
      </c>
      <c r="F2160" s="68">
        <v>468</v>
      </c>
      <c r="G2160" s="9" t="s">
        <v>106</v>
      </c>
      <c r="H2160" s="9" t="s">
        <v>106</v>
      </c>
      <c r="I2160" s="9">
        <v>6</v>
      </c>
      <c r="J2160" s="9" t="s">
        <v>122</v>
      </c>
      <c r="K2160" s="9" t="s">
        <v>4731</v>
      </c>
      <c r="L2160" t="str">
        <f>IF(OR(J2160="Cattle",J2160="Zebu Cattle"),IF(COUNTIF(lists!$M$2:$M$258, K2160) &gt; 0,"bos.indicus",IF(COUNTIF(lists!$L$2:$L$258, K2160) &gt; 0,"cross.bred","pure.bred.exotic")),"NA")</f>
        <v>cross.bred</v>
      </c>
      <c r="O2160" s="9" t="s">
        <v>124</v>
      </c>
      <c r="P2160" s="9" t="s">
        <v>4741</v>
      </c>
      <c r="Q2160" s="9" t="s">
        <v>3810</v>
      </c>
      <c r="R2160" s="9" t="s">
        <v>3830</v>
      </c>
      <c r="S2160" s="9" t="s">
        <v>106</v>
      </c>
      <c r="T2160" s="9" t="s">
        <v>106</v>
      </c>
      <c r="U2160" s="9" t="s">
        <v>106</v>
      </c>
      <c r="V2160" s="9" t="s">
        <v>106</v>
      </c>
      <c r="W2160" s="9" t="s">
        <v>106</v>
      </c>
      <c r="X2160" s="9" t="s">
        <v>106</v>
      </c>
      <c r="Y2160" s="9" t="s">
        <v>106</v>
      </c>
      <c r="Z2160" s="9" t="s">
        <v>106</v>
      </c>
      <c r="AA2160" s="9">
        <v>68</v>
      </c>
      <c r="AB2160" s="9">
        <v>69.8</v>
      </c>
      <c r="AC2160" s="9" t="s">
        <v>5100</v>
      </c>
      <c r="AD2160" s="9" t="s">
        <v>5100</v>
      </c>
    </row>
    <row r="2161" spans="1:30">
      <c r="A2161" s="9" t="s">
        <v>4643</v>
      </c>
      <c r="B2161" t="s">
        <v>4709</v>
      </c>
      <c r="C2161" s="9" t="s">
        <v>105</v>
      </c>
      <c r="D2161" s="9">
        <v>8.2100000000000009</v>
      </c>
      <c r="E2161" s="9">
        <v>0.13</v>
      </c>
      <c r="F2161" s="68">
        <v>468</v>
      </c>
      <c r="G2161" s="9" t="s">
        <v>106</v>
      </c>
      <c r="H2161" s="9" t="s">
        <v>106</v>
      </c>
      <c r="I2161" s="9">
        <v>6</v>
      </c>
      <c r="J2161" s="9" t="s">
        <v>122</v>
      </c>
      <c r="K2161" s="9" t="s">
        <v>4731</v>
      </c>
      <c r="L2161" t="str">
        <f>IF(OR(J2161="Cattle",J2161="Zebu Cattle"),IF(COUNTIF(lists!$M$2:$M$258, K2161) &gt; 0,"bos.indicus",IF(COUNTIF(lists!$L$2:$L$258, K2161) &gt; 0,"cross.bred","pure.bred.exotic")),"NA")</f>
        <v>cross.bred</v>
      </c>
      <c r="O2161" s="9" t="s">
        <v>124</v>
      </c>
      <c r="P2161" s="9" t="s">
        <v>4741</v>
      </c>
      <c r="Q2161" s="9" t="s">
        <v>3810</v>
      </c>
      <c r="R2161" s="9" t="s">
        <v>3830</v>
      </c>
      <c r="S2161" s="9" t="s">
        <v>106</v>
      </c>
      <c r="T2161" s="9" t="s">
        <v>106</v>
      </c>
      <c r="U2161" s="9" t="s">
        <v>106</v>
      </c>
      <c r="V2161" s="9" t="s">
        <v>106</v>
      </c>
      <c r="W2161" s="9" t="s">
        <v>106</v>
      </c>
      <c r="X2161" s="9" t="s">
        <v>106</v>
      </c>
      <c r="Y2161" s="9" t="s">
        <v>106</v>
      </c>
      <c r="Z2161" s="9" t="s">
        <v>106</v>
      </c>
      <c r="AA2161" s="9">
        <v>68.8</v>
      </c>
      <c r="AB2161" s="9">
        <v>70.8</v>
      </c>
      <c r="AC2161" s="9" t="s">
        <v>5100</v>
      </c>
      <c r="AD2161" s="9" t="s">
        <v>5100</v>
      </c>
    </row>
    <row r="2162" spans="1:30">
      <c r="A2162" s="9" t="s">
        <v>4644</v>
      </c>
      <c r="B2162" t="s">
        <v>4756</v>
      </c>
      <c r="C2162" s="9" t="s">
        <v>105</v>
      </c>
      <c r="D2162" s="9">
        <v>8.85</v>
      </c>
      <c r="E2162" s="9" t="s">
        <v>106</v>
      </c>
      <c r="F2162" s="9">
        <v>319.5</v>
      </c>
      <c r="G2162" s="9">
        <v>1.18</v>
      </c>
      <c r="H2162" s="9" t="s">
        <v>106</v>
      </c>
      <c r="I2162" s="9">
        <v>6</v>
      </c>
      <c r="J2162" s="9" t="s">
        <v>122</v>
      </c>
      <c r="K2162" s="9" t="s">
        <v>4755</v>
      </c>
      <c r="L2162" t="str">
        <f>IF(OR(J2162="Cattle",J2162="Zebu Cattle"),IF(COUNTIF(lists!$M$2:$M$258, K2162) &gt; 0,"bos.indicus",IF(COUNTIF(lists!$L$2:$L$258, K2162) &gt; 0,"cross.bred","pure.bred.exotic")),"NA")</f>
        <v>pure.bred.exotic</v>
      </c>
      <c r="O2162" s="9" t="s">
        <v>4194</v>
      </c>
      <c r="P2162" s="9" t="s">
        <v>4739</v>
      </c>
      <c r="Q2162" s="9" t="s">
        <v>3813</v>
      </c>
      <c r="R2162" s="9" t="s">
        <v>3830</v>
      </c>
      <c r="S2162" s="9" t="s">
        <v>106</v>
      </c>
      <c r="T2162" s="9" t="s">
        <v>106</v>
      </c>
      <c r="U2162" s="9">
        <v>123.5</v>
      </c>
      <c r="V2162" s="9" t="s">
        <v>106</v>
      </c>
      <c r="W2162" s="9" t="s">
        <v>106</v>
      </c>
      <c r="X2162" s="9" t="s">
        <v>106</v>
      </c>
      <c r="Y2162" s="9" t="s">
        <v>106</v>
      </c>
      <c r="Z2162" s="9" t="s">
        <v>106</v>
      </c>
      <c r="AA2162" s="9" t="s">
        <v>106</v>
      </c>
      <c r="AB2162" s="9" t="s">
        <v>106</v>
      </c>
      <c r="AC2162" s="9" t="s">
        <v>5100</v>
      </c>
      <c r="AD2162" s="9" t="s">
        <v>5100</v>
      </c>
    </row>
    <row r="2163" spans="1:30">
      <c r="A2163" s="9" t="s">
        <v>4644</v>
      </c>
      <c r="B2163" t="s">
        <v>4757</v>
      </c>
      <c r="C2163" s="9" t="s">
        <v>105</v>
      </c>
      <c r="D2163" s="9">
        <v>9.77</v>
      </c>
      <c r="E2163" s="9" t="s">
        <v>106</v>
      </c>
      <c r="F2163" s="9">
        <v>331.5</v>
      </c>
      <c r="G2163" s="9">
        <v>1.44</v>
      </c>
      <c r="H2163" s="9" t="s">
        <v>106</v>
      </c>
      <c r="I2163" s="9">
        <v>6</v>
      </c>
      <c r="J2163" s="9" t="s">
        <v>122</v>
      </c>
      <c r="K2163" s="9" t="s">
        <v>4755</v>
      </c>
      <c r="L2163" t="str">
        <f>IF(OR(J2163="Cattle",J2163="Zebu Cattle"),IF(COUNTIF(lists!$M$2:$M$258, K2163) &gt; 0,"bos.indicus",IF(COUNTIF(lists!$L$2:$L$258, K2163) &gt; 0,"cross.bred","pure.bred.exotic")),"NA")</f>
        <v>pure.bred.exotic</v>
      </c>
      <c r="O2163" s="9" t="s">
        <v>4194</v>
      </c>
      <c r="P2163" s="9" t="s">
        <v>4739</v>
      </c>
      <c r="Q2163" s="9" t="s">
        <v>3813</v>
      </c>
      <c r="R2163" s="9" t="s">
        <v>3830</v>
      </c>
      <c r="S2163" s="9" t="s">
        <v>106</v>
      </c>
      <c r="T2163" s="9" t="s">
        <v>106</v>
      </c>
      <c r="U2163" s="9">
        <v>123.1</v>
      </c>
      <c r="V2163" s="9" t="s">
        <v>106</v>
      </c>
      <c r="W2163" s="9" t="s">
        <v>106</v>
      </c>
      <c r="X2163" s="9" t="s">
        <v>106</v>
      </c>
      <c r="Y2163" s="9" t="s">
        <v>106</v>
      </c>
      <c r="Z2163" s="9" t="s">
        <v>106</v>
      </c>
      <c r="AA2163" s="9" t="s">
        <v>106</v>
      </c>
      <c r="AB2163" s="9" t="s">
        <v>106</v>
      </c>
      <c r="AC2163" s="9" t="s">
        <v>5100</v>
      </c>
      <c r="AD2163" s="9" t="s">
        <v>5100</v>
      </c>
    </row>
    <row r="2164" spans="1:30">
      <c r="A2164" s="9" t="s">
        <v>4644</v>
      </c>
      <c r="B2164" t="s">
        <v>4758</v>
      </c>
      <c r="C2164" s="9" t="s">
        <v>105</v>
      </c>
      <c r="D2164" s="9">
        <v>9.58</v>
      </c>
      <c r="E2164" s="9" t="s">
        <v>106</v>
      </c>
      <c r="F2164" s="9">
        <v>332.6</v>
      </c>
      <c r="G2164" s="9">
        <v>1.44</v>
      </c>
      <c r="H2164" s="9" t="s">
        <v>106</v>
      </c>
      <c r="I2164" s="9">
        <v>6</v>
      </c>
      <c r="J2164" s="9" t="s">
        <v>122</v>
      </c>
      <c r="K2164" s="9" t="s">
        <v>4755</v>
      </c>
      <c r="L2164" t="str">
        <f>IF(OR(J2164="Cattle",J2164="Zebu Cattle"),IF(COUNTIF(lists!$M$2:$M$258, K2164) &gt; 0,"bos.indicus",IF(COUNTIF(lists!$L$2:$L$258, K2164) &gt; 0,"cross.bred","pure.bred.exotic")),"NA")</f>
        <v>pure.bred.exotic</v>
      </c>
      <c r="O2164" s="9" t="s">
        <v>4194</v>
      </c>
      <c r="P2164" s="9" t="s">
        <v>4739</v>
      </c>
      <c r="Q2164" s="9" t="s">
        <v>3813</v>
      </c>
      <c r="R2164" s="9" t="s">
        <v>3830</v>
      </c>
      <c r="S2164" s="9" t="s">
        <v>106</v>
      </c>
      <c r="T2164" s="9" t="s">
        <v>106</v>
      </c>
      <c r="U2164" s="9">
        <v>123.7</v>
      </c>
      <c r="V2164" s="9" t="s">
        <v>106</v>
      </c>
      <c r="W2164" s="9" t="s">
        <v>106</v>
      </c>
      <c r="X2164" s="9" t="s">
        <v>106</v>
      </c>
      <c r="Y2164" s="9" t="s">
        <v>106</v>
      </c>
      <c r="Z2164" s="9" t="s">
        <v>106</v>
      </c>
      <c r="AA2164" s="9" t="s">
        <v>106</v>
      </c>
      <c r="AB2164" s="9" t="s">
        <v>106</v>
      </c>
      <c r="AC2164" s="9" t="s">
        <v>5100</v>
      </c>
      <c r="AD2164" s="9" t="s">
        <v>5100</v>
      </c>
    </row>
    <row r="2165" spans="1:30">
      <c r="A2165" s="9" t="s">
        <v>4644</v>
      </c>
      <c r="B2165" t="s">
        <v>4759</v>
      </c>
      <c r="C2165" s="9" t="s">
        <v>105</v>
      </c>
      <c r="D2165" s="9">
        <v>9.81</v>
      </c>
      <c r="E2165" s="9" t="s">
        <v>106</v>
      </c>
      <c r="F2165" s="9">
        <v>331.3</v>
      </c>
      <c r="G2165" s="9">
        <v>1.4</v>
      </c>
      <c r="H2165" s="9" t="s">
        <v>106</v>
      </c>
      <c r="I2165" s="9">
        <v>6</v>
      </c>
      <c r="J2165" s="9" t="s">
        <v>122</v>
      </c>
      <c r="K2165" s="9" t="s">
        <v>4755</v>
      </c>
      <c r="L2165" t="str">
        <f>IF(OR(J2165="Cattle",J2165="Zebu Cattle"),IF(COUNTIF(lists!$M$2:$M$258, K2165) &gt; 0,"bos.indicus",IF(COUNTIF(lists!$L$2:$L$258, K2165) &gt; 0,"cross.bred","pure.bred.exotic")),"NA")</f>
        <v>pure.bred.exotic</v>
      </c>
      <c r="O2165" s="9" t="s">
        <v>4194</v>
      </c>
      <c r="P2165" s="9" t="s">
        <v>4739</v>
      </c>
      <c r="Q2165" s="9" t="s">
        <v>3813</v>
      </c>
      <c r="R2165" s="9" t="s">
        <v>3830</v>
      </c>
      <c r="S2165" s="9" t="s">
        <v>106</v>
      </c>
      <c r="T2165" s="9" t="s">
        <v>106</v>
      </c>
      <c r="U2165" s="9">
        <v>123.4</v>
      </c>
      <c r="V2165" s="9" t="s">
        <v>106</v>
      </c>
      <c r="W2165" s="9" t="s">
        <v>106</v>
      </c>
      <c r="X2165" s="9" t="s">
        <v>106</v>
      </c>
      <c r="Y2165" s="9" t="s">
        <v>106</v>
      </c>
      <c r="Z2165" s="9" t="s">
        <v>106</v>
      </c>
      <c r="AA2165" s="9" t="s">
        <v>106</v>
      </c>
      <c r="AB2165" s="9" t="s">
        <v>106</v>
      </c>
      <c r="AC2165" s="9" t="s">
        <v>5100</v>
      </c>
      <c r="AD2165" s="9" t="s">
        <v>5100</v>
      </c>
    </row>
    <row r="2166" spans="1:30">
      <c r="A2166" s="9" t="s">
        <v>4644</v>
      </c>
      <c r="B2166" t="s">
        <v>4713</v>
      </c>
      <c r="C2166" s="9" t="s">
        <v>105</v>
      </c>
      <c r="D2166" s="9">
        <v>9.69</v>
      </c>
      <c r="E2166" s="9" t="s">
        <v>106</v>
      </c>
      <c r="F2166" s="9">
        <v>327.5</v>
      </c>
      <c r="G2166" s="9">
        <v>1.24</v>
      </c>
      <c r="H2166" s="9" t="s">
        <v>106</v>
      </c>
      <c r="I2166" s="9">
        <v>6</v>
      </c>
      <c r="J2166" s="9" t="s">
        <v>122</v>
      </c>
      <c r="K2166" s="9" t="s">
        <v>4755</v>
      </c>
      <c r="L2166" t="str">
        <f>IF(OR(J2166="Cattle",J2166="Zebu Cattle"),IF(COUNTIF(lists!$M$2:$M$258, K2166) &gt; 0,"bos.indicus",IF(COUNTIF(lists!$L$2:$L$258, K2166) &gt; 0,"cross.bred","pure.bred.exotic")),"NA")</f>
        <v>pure.bred.exotic</v>
      </c>
      <c r="O2166" s="9" t="s">
        <v>4194</v>
      </c>
      <c r="P2166" s="9" t="s">
        <v>4739</v>
      </c>
      <c r="Q2166" s="9" t="s">
        <v>3813</v>
      </c>
      <c r="R2166" s="9" t="s">
        <v>3830</v>
      </c>
      <c r="S2166" s="9" t="s">
        <v>106</v>
      </c>
      <c r="T2166" s="9" t="s">
        <v>106</v>
      </c>
      <c r="U2166" s="9">
        <v>122.9</v>
      </c>
      <c r="V2166" s="9" t="s">
        <v>106</v>
      </c>
      <c r="W2166" s="9" t="s">
        <v>106</v>
      </c>
      <c r="X2166" s="9" t="s">
        <v>106</v>
      </c>
      <c r="Y2166" s="9" t="s">
        <v>106</v>
      </c>
      <c r="Z2166" s="9" t="s">
        <v>106</v>
      </c>
      <c r="AA2166" s="9" t="s">
        <v>106</v>
      </c>
      <c r="AB2166" s="9" t="s">
        <v>106</v>
      </c>
      <c r="AC2166" s="9" t="s">
        <v>5100</v>
      </c>
      <c r="AD2166" s="9" t="s">
        <v>5100</v>
      </c>
    </row>
    <row r="2167" spans="1:30">
      <c r="A2167" s="9" t="s">
        <v>4644</v>
      </c>
      <c r="B2167" t="s">
        <v>4710</v>
      </c>
      <c r="C2167" s="9" t="s">
        <v>105</v>
      </c>
      <c r="D2167" s="9">
        <v>21.2</v>
      </c>
      <c r="E2167" s="9" t="s">
        <v>106</v>
      </c>
      <c r="F2167" s="9">
        <v>585</v>
      </c>
      <c r="G2167" s="9" t="s">
        <v>106</v>
      </c>
      <c r="H2167" s="9">
        <v>27.35</v>
      </c>
      <c r="I2167" s="9">
        <v>8</v>
      </c>
      <c r="J2167" s="9" t="s">
        <v>122</v>
      </c>
      <c r="K2167" s="9" t="s">
        <v>4732</v>
      </c>
      <c r="L2167" t="str">
        <f>IF(OR(J2167="Cattle",J2167="Zebu Cattle"),IF(COUNTIF(lists!$M$2:$M$258, K2167) &gt; 0,"bos.indicus",IF(COUNTIF(lists!$L$2:$L$258, K2167) &gt; 0,"cross.bred","pure.bred.exotic")),"NA")</f>
        <v>pure.bred.exotic</v>
      </c>
      <c r="O2167" s="9" t="s">
        <v>4194</v>
      </c>
      <c r="P2167" s="9" t="s">
        <v>4742</v>
      </c>
      <c r="Q2167" s="9" t="s">
        <v>3809</v>
      </c>
      <c r="R2167" s="9" t="s">
        <v>3830</v>
      </c>
      <c r="S2167" s="9" t="s">
        <v>106</v>
      </c>
      <c r="T2167" s="9" t="s">
        <v>106</v>
      </c>
      <c r="U2167" s="9" t="s">
        <v>106</v>
      </c>
      <c r="V2167" s="9" t="s">
        <v>106</v>
      </c>
      <c r="W2167" s="9" t="s">
        <v>106</v>
      </c>
      <c r="X2167" s="9" t="s">
        <v>106</v>
      </c>
      <c r="Y2167" s="9" t="s">
        <v>106</v>
      </c>
      <c r="Z2167" s="9" t="s">
        <v>106</v>
      </c>
      <c r="AA2167" s="9" t="s">
        <v>106</v>
      </c>
      <c r="AB2167" s="9" t="s">
        <v>106</v>
      </c>
      <c r="AC2167" s="9" t="s">
        <v>5100</v>
      </c>
      <c r="AD2167" s="9" t="s">
        <v>5100</v>
      </c>
    </row>
    <row r="2168" spans="1:30">
      <c r="A2168" s="9" t="s">
        <v>4644</v>
      </c>
      <c r="B2168" t="s">
        <v>4711</v>
      </c>
      <c r="C2168" s="9" t="s">
        <v>105</v>
      </c>
      <c r="D2168" s="9">
        <v>21.56</v>
      </c>
      <c r="E2168" s="9" t="s">
        <v>106</v>
      </c>
      <c r="F2168" s="9">
        <v>590</v>
      </c>
      <c r="G2168" s="9" t="s">
        <v>106</v>
      </c>
      <c r="H2168" s="9">
        <v>28.01</v>
      </c>
      <c r="I2168" s="9">
        <v>8</v>
      </c>
      <c r="J2168" s="9" t="s">
        <v>122</v>
      </c>
      <c r="K2168" s="9" t="s">
        <v>4732</v>
      </c>
      <c r="L2168" t="str">
        <f>IF(OR(J2168="Cattle",J2168="Zebu Cattle"),IF(COUNTIF(lists!$M$2:$M$258, K2168) &gt; 0,"bos.indicus",IF(COUNTIF(lists!$L$2:$L$258, K2168) &gt; 0,"cross.bred","pure.bred.exotic")),"NA")</f>
        <v>pure.bred.exotic</v>
      </c>
      <c r="O2168" s="9" t="s">
        <v>4194</v>
      </c>
      <c r="P2168" s="9" t="s">
        <v>4742</v>
      </c>
      <c r="Q2168" s="9" t="s">
        <v>3809</v>
      </c>
      <c r="R2168" s="9" t="s">
        <v>3830</v>
      </c>
      <c r="S2168" s="9" t="s">
        <v>106</v>
      </c>
      <c r="T2168" s="9" t="s">
        <v>106</v>
      </c>
      <c r="U2168" s="9" t="s">
        <v>106</v>
      </c>
      <c r="V2168" s="9" t="s">
        <v>106</v>
      </c>
      <c r="W2168" s="9" t="s">
        <v>106</v>
      </c>
      <c r="X2168" s="9" t="s">
        <v>106</v>
      </c>
      <c r="Y2168" s="9" t="s">
        <v>106</v>
      </c>
      <c r="Z2168" s="9" t="s">
        <v>106</v>
      </c>
      <c r="AA2168" s="9" t="s">
        <v>106</v>
      </c>
      <c r="AB2168" s="9" t="s">
        <v>106</v>
      </c>
      <c r="AC2168" s="9" t="s">
        <v>5100</v>
      </c>
      <c r="AD2168" s="9" t="s">
        <v>5100</v>
      </c>
    </row>
    <row r="2169" spans="1:30">
      <c r="A2169" s="9" t="s">
        <v>4644</v>
      </c>
      <c r="B2169" t="s">
        <v>4712</v>
      </c>
      <c r="C2169" s="9" t="s">
        <v>105</v>
      </c>
      <c r="D2169" s="9">
        <v>20.72</v>
      </c>
      <c r="E2169" s="9" t="s">
        <v>106</v>
      </c>
      <c r="F2169" s="9">
        <v>582</v>
      </c>
      <c r="G2169" s="9" t="s">
        <v>106</v>
      </c>
      <c r="H2169" s="9">
        <v>26.5</v>
      </c>
      <c r="I2169" s="9">
        <v>8</v>
      </c>
      <c r="J2169" s="9" t="s">
        <v>122</v>
      </c>
      <c r="K2169" s="9" t="s">
        <v>4732</v>
      </c>
      <c r="L2169" t="str">
        <f>IF(OR(J2169="Cattle",J2169="Zebu Cattle"),IF(COUNTIF(lists!$M$2:$M$258, K2169) &gt; 0,"bos.indicus",IF(COUNTIF(lists!$L$2:$L$258, K2169) &gt; 0,"cross.bred","pure.bred.exotic")),"NA")</f>
        <v>pure.bred.exotic</v>
      </c>
      <c r="O2169" s="9" t="s">
        <v>4194</v>
      </c>
      <c r="P2169" s="9" t="s">
        <v>4742</v>
      </c>
      <c r="Q2169" s="9" t="s">
        <v>3809</v>
      </c>
      <c r="R2169" s="9" t="s">
        <v>3830</v>
      </c>
      <c r="S2169" s="9" t="s">
        <v>106</v>
      </c>
      <c r="T2169" s="9" t="s">
        <v>106</v>
      </c>
      <c r="U2169" s="9" t="s">
        <v>106</v>
      </c>
      <c r="V2169" s="9" t="s">
        <v>106</v>
      </c>
      <c r="W2169" s="9" t="s">
        <v>106</v>
      </c>
      <c r="X2169" s="9" t="s">
        <v>106</v>
      </c>
      <c r="Y2169" s="9" t="s">
        <v>106</v>
      </c>
      <c r="Z2169" s="9" t="s">
        <v>106</v>
      </c>
      <c r="AA2169" s="9" t="s">
        <v>106</v>
      </c>
      <c r="AB2169" s="9" t="s">
        <v>106</v>
      </c>
      <c r="AC2169" s="9" t="s">
        <v>5100</v>
      </c>
      <c r="AD2169" s="9" t="s">
        <v>5100</v>
      </c>
    </row>
    <row r="2170" spans="1:30">
      <c r="A2170" s="9" t="s">
        <v>4644</v>
      </c>
      <c r="B2170" t="s">
        <v>4713</v>
      </c>
      <c r="C2170" s="9" t="s">
        <v>105</v>
      </c>
      <c r="D2170" s="9">
        <v>20.68</v>
      </c>
      <c r="E2170" s="9" t="s">
        <v>106</v>
      </c>
      <c r="F2170" s="9">
        <v>580</v>
      </c>
      <c r="G2170" s="9" t="s">
        <v>106</v>
      </c>
      <c r="H2170" s="9">
        <v>26.42</v>
      </c>
      <c r="I2170" s="9">
        <v>8</v>
      </c>
      <c r="J2170" s="9" t="s">
        <v>122</v>
      </c>
      <c r="K2170" s="9" t="s">
        <v>4732</v>
      </c>
      <c r="L2170" t="str">
        <f>IF(OR(J2170="Cattle",J2170="Zebu Cattle"),IF(COUNTIF(lists!$M$2:$M$258, K2170) &gt; 0,"bos.indicus",IF(COUNTIF(lists!$L$2:$L$258, K2170) &gt; 0,"cross.bred","pure.bred.exotic")),"NA")</f>
        <v>pure.bred.exotic</v>
      </c>
      <c r="O2170" s="9" t="s">
        <v>4194</v>
      </c>
      <c r="P2170" s="9" t="s">
        <v>4742</v>
      </c>
      <c r="Q2170" s="9" t="s">
        <v>3809</v>
      </c>
      <c r="R2170" s="9" t="s">
        <v>3830</v>
      </c>
      <c r="S2170" s="9" t="s">
        <v>106</v>
      </c>
      <c r="T2170" s="9" t="s">
        <v>106</v>
      </c>
      <c r="U2170" s="9" t="s">
        <v>106</v>
      </c>
      <c r="V2170" s="9" t="s">
        <v>106</v>
      </c>
      <c r="W2170" s="9" t="s">
        <v>106</v>
      </c>
      <c r="X2170" s="9" t="s">
        <v>106</v>
      </c>
      <c r="Y2170" s="9" t="s">
        <v>106</v>
      </c>
      <c r="Z2170" s="9" t="s">
        <v>106</v>
      </c>
      <c r="AA2170" s="9" t="s">
        <v>106</v>
      </c>
      <c r="AB2170" s="9" t="s">
        <v>106</v>
      </c>
      <c r="AC2170" s="9" t="s">
        <v>5100</v>
      </c>
      <c r="AD2170" s="9" t="s">
        <v>5100</v>
      </c>
    </row>
    <row r="2171" spans="1:30">
      <c r="A2171" s="9" t="s">
        <v>4645</v>
      </c>
      <c r="B2171" t="s">
        <v>4714</v>
      </c>
      <c r="C2171" s="9" t="s">
        <v>105</v>
      </c>
      <c r="D2171" s="9">
        <v>9.1</v>
      </c>
      <c r="E2171" s="9" t="s">
        <v>106</v>
      </c>
      <c r="F2171" s="9">
        <v>446.8</v>
      </c>
      <c r="G2171" s="9" t="s">
        <v>106</v>
      </c>
      <c r="H2171" s="9">
        <v>8.9</v>
      </c>
      <c r="I2171" s="9">
        <v>30</v>
      </c>
      <c r="J2171" s="9" t="s">
        <v>122</v>
      </c>
      <c r="K2171" s="9" t="s">
        <v>4733</v>
      </c>
      <c r="L2171" t="str">
        <f>IF(OR(J2171="Cattle",J2171="Zebu Cattle"),IF(COUNTIF(lists!$M$2:$M$258, K2171) &gt; 0,"bos.indicus",IF(COUNTIF(lists!$L$2:$L$258, K2171) &gt; 0,"cross.bred","pure.bred.exotic")),"NA")</f>
        <v>cross.bred</v>
      </c>
      <c r="O2171" s="9" t="s">
        <v>124</v>
      </c>
      <c r="P2171" s="9" t="s">
        <v>4742</v>
      </c>
      <c r="Q2171" s="9" t="s">
        <v>3809</v>
      </c>
      <c r="R2171" s="9" t="s">
        <v>3829</v>
      </c>
      <c r="S2171" s="9" t="s">
        <v>106</v>
      </c>
      <c r="T2171" s="9" t="s">
        <v>106</v>
      </c>
      <c r="U2171" s="9">
        <v>91</v>
      </c>
      <c r="V2171" s="9">
        <v>262</v>
      </c>
      <c r="W2171" s="9" t="s">
        <v>106</v>
      </c>
      <c r="X2171" s="9">
        <v>600</v>
      </c>
      <c r="Y2171" s="9" t="s">
        <v>106</v>
      </c>
      <c r="Z2171" s="9" t="s">
        <v>106</v>
      </c>
      <c r="AA2171" s="9" t="s">
        <v>106</v>
      </c>
      <c r="AB2171" s="9" t="s">
        <v>106</v>
      </c>
      <c r="AC2171" s="9" t="s">
        <v>5100</v>
      </c>
      <c r="AD2171" s="9" t="s">
        <v>5100</v>
      </c>
    </row>
    <row r="2172" spans="1:30">
      <c r="A2172" s="9" t="s">
        <v>4645</v>
      </c>
      <c r="B2172" t="s">
        <v>4715</v>
      </c>
      <c r="C2172" s="9" t="s">
        <v>105</v>
      </c>
      <c r="D2172" s="9">
        <v>8.6</v>
      </c>
      <c r="E2172" s="9" t="s">
        <v>106</v>
      </c>
      <c r="F2172" s="9">
        <v>398.5</v>
      </c>
      <c r="G2172" s="9" t="s">
        <v>106</v>
      </c>
      <c r="H2172" s="9">
        <v>8.6</v>
      </c>
      <c r="I2172" s="9">
        <v>30</v>
      </c>
      <c r="J2172" s="9" t="s">
        <v>122</v>
      </c>
      <c r="K2172" s="9" t="s">
        <v>4733</v>
      </c>
      <c r="L2172" t="str">
        <f>IF(OR(J2172="Cattle",J2172="Zebu Cattle"),IF(COUNTIF(lists!$M$2:$M$258, K2172) &gt; 0,"bos.indicus",IF(COUNTIF(lists!$L$2:$L$258, K2172) &gt; 0,"cross.bred","pure.bred.exotic")),"NA")</f>
        <v>cross.bred</v>
      </c>
      <c r="O2172" s="9" t="s">
        <v>124</v>
      </c>
      <c r="P2172" s="9" t="s">
        <v>4742</v>
      </c>
      <c r="Q2172" s="9" t="s">
        <v>3809</v>
      </c>
      <c r="R2172" s="9" t="s">
        <v>3829</v>
      </c>
      <c r="S2172" s="9" t="s">
        <v>106</v>
      </c>
      <c r="T2172" s="9" t="s">
        <v>106</v>
      </c>
      <c r="U2172" s="9">
        <v>116</v>
      </c>
      <c r="V2172" s="9">
        <v>234</v>
      </c>
      <c r="W2172" s="9" t="s">
        <v>106</v>
      </c>
      <c r="X2172" s="9">
        <v>556</v>
      </c>
      <c r="Y2172" s="9" t="s">
        <v>106</v>
      </c>
      <c r="Z2172" s="9" t="s">
        <v>106</v>
      </c>
      <c r="AA2172" s="9" t="s">
        <v>106</v>
      </c>
      <c r="AB2172" s="9" t="s">
        <v>106</v>
      </c>
      <c r="AC2172" s="9" t="s">
        <v>5100</v>
      </c>
      <c r="AD2172" s="9" t="s">
        <v>5100</v>
      </c>
    </row>
    <row r="2173" spans="1:30">
      <c r="A2173" s="9" t="s">
        <v>4646</v>
      </c>
      <c r="B2173" t="s">
        <v>4716</v>
      </c>
      <c r="C2173" s="9" t="s">
        <v>105</v>
      </c>
      <c r="D2173" s="9">
        <v>18.100000000000001</v>
      </c>
      <c r="E2173" s="9" t="s">
        <v>106</v>
      </c>
      <c r="F2173" s="68">
        <v>390</v>
      </c>
      <c r="G2173" s="9" t="s">
        <v>106</v>
      </c>
      <c r="H2173" s="9">
        <v>19</v>
      </c>
      <c r="I2173" s="9">
        <v>28</v>
      </c>
      <c r="J2173" s="9" t="s">
        <v>122</v>
      </c>
      <c r="K2173" s="9" t="s">
        <v>4800</v>
      </c>
      <c r="L2173" t="str">
        <f>IF(OR(J2173="Cattle",J2173="Zebu Cattle"),IF(COUNTIF(lists!$M$2:$M$258, K2173) &gt; 0,"bos.indicus",IF(COUNTIF(lists!$L$2:$L$258, K2173) &gt; 0,"cross.bred","pure.bred.exotic")),"NA")</f>
        <v>pure.bred.exotic</v>
      </c>
      <c r="O2173" s="9" t="s">
        <v>4194</v>
      </c>
      <c r="P2173" s="9" t="s">
        <v>4738</v>
      </c>
      <c r="Q2173" s="9" t="s">
        <v>3809</v>
      </c>
      <c r="R2173" s="9" t="s">
        <v>3829</v>
      </c>
      <c r="S2173" s="9" t="s">
        <v>106</v>
      </c>
      <c r="T2173" s="9" t="s">
        <v>106</v>
      </c>
      <c r="U2173" s="9">
        <v>192</v>
      </c>
      <c r="V2173" s="9">
        <v>363.99</v>
      </c>
      <c r="W2173" s="9" t="s">
        <v>106</v>
      </c>
      <c r="X2173" s="9">
        <v>480</v>
      </c>
      <c r="Y2173" s="9" t="s">
        <v>106</v>
      </c>
      <c r="Z2173" s="9" t="s">
        <v>106</v>
      </c>
      <c r="AA2173" s="9" t="s">
        <v>106</v>
      </c>
      <c r="AB2173" s="9" t="s">
        <v>106</v>
      </c>
      <c r="AC2173" s="16" t="s">
        <v>5099</v>
      </c>
      <c r="AD2173" s="16" t="s">
        <v>5099</v>
      </c>
    </row>
    <row r="2174" spans="1:30">
      <c r="A2174" s="9" t="s">
        <v>4646</v>
      </c>
      <c r="B2174" t="s">
        <v>4717</v>
      </c>
      <c r="C2174" s="9" t="s">
        <v>105</v>
      </c>
      <c r="D2174" s="9">
        <v>17.8</v>
      </c>
      <c r="E2174" s="9" t="s">
        <v>106</v>
      </c>
      <c r="F2174" s="68">
        <v>390</v>
      </c>
      <c r="G2174" s="9" t="s">
        <v>106</v>
      </c>
      <c r="H2174" s="9">
        <v>18.899999999999999</v>
      </c>
      <c r="I2174" s="9">
        <v>28</v>
      </c>
      <c r="J2174" s="9" t="s">
        <v>122</v>
      </c>
      <c r="K2174" s="9" t="s">
        <v>4800</v>
      </c>
      <c r="L2174" t="str">
        <f>IF(OR(J2174="Cattle",J2174="Zebu Cattle"),IF(COUNTIF(lists!$M$2:$M$258, K2174) &gt; 0,"bos.indicus",IF(COUNTIF(lists!$L$2:$L$258, K2174) &gt; 0,"cross.bred","pure.bred.exotic")),"NA")</f>
        <v>pure.bred.exotic</v>
      </c>
      <c r="O2174" s="9" t="s">
        <v>4194</v>
      </c>
      <c r="P2174" s="9" t="s">
        <v>4738</v>
      </c>
      <c r="Q2174" s="9" t="s">
        <v>3809</v>
      </c>
      <c r="R2174" s="9" t="s">
        <v>3829</v>
      </c>
      <c r="S2174" s="9" t="s">
        <v>106</v>
      </c>
      <c r="T2174" s="9" t="s">
        <v>106</v>
      </c>
      <c r="U2174" s="9">
        <v>196.8</v>
      </c>
      <c r="V2174" s="9">
        <v>367.46</v>
      </c>
      <c r="W2174" s="9" t="s">
        <v>106</v>
      </c>
      <c r="X2174" s="9">
        <v>420</v>
      </c>
      <c r="Y2174" s="9" t="s">
        <v>106</v>
      </c>
      <c r="Z2174" s="9" t="s">
        <v>106</v>
      </c>
      <c r="AA2174" s="9" t="s">
        <v>106</v>
      </c>
      <c r="AB2174" s="9" t="s">
        <v>106</v>
      </c>
      <c r="AC2174" s="16" t="s">
        <v>5099</v>
      </c>
      <c r="AD2174" s="16" t="s">
        <v>5099</v>
      </c>
    </row>
    <row r="2175" spans="1:30">
      <c r="A2175" s="9" t="s">
        <v>4647</v>
      </c>
      <c r="B2175" t="s">
        <v>4718</v>
      </c>
      <c r="C2175" s="9" t="s">
        <v>105</v>
      </c>
      <c r="D2175" s="9">
        <v>13.4</v>
      </c>
      <c r="E2175" s="9" t="s">
        <v>106</v>
      </c>
      <c r="F2175" s="9">
        <v>385</v>
      </c>
      <c r="G2175" s="9" t="s">
        <v>106</v>
      </c>
      <c r="H2175" s="9">
        <v>12.9</v>
      </c>
      <c r="I2175" s="9">
        <v>10</v>
      </c>
      <c r="J2175" s="9" t="s">
        <v>122</v>
      </c>
      <c r="K2175" s="9" t="s">
        <v>4800</v>
      </c>
      <c r="L2175" t="str">
        <f>IF(OR(J2175="Cattle",J2175="Zebu Cattle"),IF(COUNTIF(lists!$M$2:$M$258, K2175) &gt; 0,"bos.indicus",IF(COUNTIF(lists!$L$2:$L$258, K2175) &gt; 0,"cross.bred","pure.bred.exotic")),"NA")</f>
        <v>pure.bred.exotic</v>
      </c>
      <c r="O2175" s="9" t="s">
        <v>4194</v>
      </c>
      <c r="P2175" s="9" t="s">
        <v>4738</v>
      </c>
      <c r="Q2175" s="9" t="s">
        <v>3809</v>
      </c>
      <c r="R2175" s="9" t="s">
        <v>3829</v>
      </c>
      <c r="S2175" s="9" t="s">
        <v>106</v>
      </c>
      <c r="T2175" s="9">
        <v>110</v>
      </c>
      <c r="U2175" s="9">
        <v>195</v>
      </c>
      <c r="V2175" s="9">
        <v>131</v>
      </c>
      <c r="W2175" s="9" t="s">
        <v>106</v>
      </c>
      <c r="X2175" s="9">
        <v>493</v>
      </c>
      <c r="Y2175" s="9" t="s">
        <v>106</v>
      </c>
      <c r="Z2175" s="9" t="s">
        <v>106</v>
      </c>
      <c r="AA2175" s="9" t="s">
        <v>106</v>
      </c>
      <c r="AB2175" s="9" t="s">
        <v>106</v>
      </c>
      <c r="AC2175" s="16" t="s">
        <v>5099</v>
      </c>
      <c r="AD2175" s="16" t="s">
        <v>5099</v>
      </c>
    </row>
    <row r="2176" spans="1:30">
      <c r="A2176" s="9" t="s">
        <v>4647</v>
      </c>
      <c r="B2176" t="s">
        <v>4278</v>
      </c>
      <c r="C2176" s="9" t="s">
        <v>105</v>
      </c>
      <c r="D2176" s="9">
        <v>16.399999999999999</v>
      </c>
      <c r="E2176" s="9" t="s">
        <v>106</v>
      </c>
      <c r="F2176" s="9">
        <v>392</v>
      </c>
      <c r="G2176" s="9" t="s">
        <v>106</v>
      </c>
      <c r="H2176" s="9">
        <v>16.7</v>
      </c>
      <c r="I2176" s="9">
        <v>10</v>
      </c>
      <c r="J2176" s="9" t="s">
        <v>122</v>
      </c>
      <c r="K2176" s="9" t="s">
        <v>4800</v>
      </c>
      <c r="L2176" t="str">
        <f>IF(OR(J2176="Cattle",J2176="Zebu Cattle"),IF(COUNTIF(lists!$M$2:$M$258, K2176) &gt; 0,"bos.indicus",IF(COUNTIF(lists!$L$2:$L$258, K2176) &gt; 0,"cross.bred","pure.bred.exotic")),"NA")</f>
        <v>pure.bred.exotic</v>
      </c>
      <c r="O2176" s="9" t="s">
        <v>4194</v>
      </c>
      <c r="P2176" s="9" t="s">
        <v>4738</v>
      </c>
      <c r="Q2176" s="9" t="s">
        <v>3809</v>
      </c>
      <c r="R2176" s="9" t="s">
        <v>3829</v>
      </c>
      <c r="S2176" s="9" t="s">
        <v>106</v>
      </c>
      <c r="T2176" s="9">
        <v>100.1</v>
      </c>
      <c r="U2176" s="9">
        <v>181</v>
      </c>
      <c r="V2176" s="9">
        <v>300</v>
      </c>
      <c r="W2176" s="9" t="s">
        <v>106</v>
      </c>
      <c r="X2176" s="9">
        <v>404.96</v>
      </c>
      <c r="Y2176" s="9" t="s">
        <v>106</v>
      </c>
      <c r="Z2176" s="9" t="s">
        <v>106</v>
      </c>
      <c r="AA2176" s="9" t="s">
        <v>106</v>
      </c>
      <c r="AB2176" s="9" t="s">
        <v>106</v>
      </c>
      <c r="AC2176" s="16" t="s">
        <v>5099</v>
      </c>
      <c r="AD2176" s="16" t="s">
        <v>5099</v>
      </c>
    </row>
    <row r="2177" spans="1:30">
      <c r="A2177" s="9" t="s">
        <v>4647</v>
      </c>
      <c r="B2177" t="s">
        <v>4279</v>
      </c>
      <c r="C2177" s="9" t="s">
        <v>105</v>
      </c>
      <c r="D2177" s="9">
        <v>18</v>
      </c>
      <c r="E2177" s="9" t="s">
        <v>106</v>
      </c>
      <c r="F2177" s="9">
        <v>401</v>
      </c>
      <c r="G2177" s="9" t="s">
        <v>106</v>
      </c>
      <c r="H2177" s="9">
        <v>19.2</v>
      </c>
      <c r="I2177" s="9">
        <v>10</v>
      </c>
      <c r="J2177" s="9" t="s">
        <v>122</v>
      </c>
      <c r="K2177" s="9" t="s">
        <v>4800</v>
      </c>
      <c r="L2177" t="str">
        <f>IF(OR(J2177="Cattle",J2177="Zebu Cattle"),IF(COUNTIF(lists!$M$2:$M$258, K2177) &gt; 0,"bos.indicus",IF(COUNTIF(lists!$L$2:$L$258, K2177) &gt; 0,"cross.bred","pure.bred.exotic")),"NA")</f>
        <v>pure.bred.exotic</v>
      </c>
      <c r="O2177" s="9" t="s">
        <v>4194</v>
      </c>
      <c r="P2177" s="9" t="s">
        <v>4738</v>
      </c>
      <c r="Q2177" s="9" t="s">
        <v>3809</v>
      </c>
      <c r="R2177" s="9" t="s">
        <v>3829</v>
      </c>
      <c r="S2177" s="9" t="s">
        <v>106</v>
      </c>
      <c r="T2177" s="9">
        <v>92</v>
      </c>
      <c r="U2177" s="9">
        <v>169.8</v>
      </c>
      <c r="V2177" s="9">
        <v>438.2</v>
      </c>
      <c r="W2177" s="9" t="s">
        <v>106</v>
      </c>
      <c r="X2177" s="9">
        <v>332.9</v>
      </c>
      <c r="Y2177" s="9" t="s">
        <v>106</v>
      </c>
      <c r="Z2177" s="9" t="s">
        <v>106</v>
      </c>
      <c r="AA2177" s="9" t="s">
        <v>106</v>
      </c>
      <c r="AB2177" s="9" t="s">
        <v>106</v>
      </c>
      <c r="AC2177" s="16" t="s">
        <v>5099</v>
      </c>
      <c r="AD2177" s="16" t="s">
        <v>5099</v>
      </c>
    </row>
    <row r="2178" spans="1:30">
      <c r="A2178" s="9" t="s">
        <v>4648</v>
      </c>
      <c r="B2178" t="s">
        <v>4761</v>
      </c>
      <c r="C2178" s="9" t="s">
        <v>105</v>
      </c>
      <c r="D2178" s="9">
        <v>14.6</v>
      </c>
      <c r="E2178" s="9" t="s">
        <v>106</v>
      </c>
      <c r="F2178" s="9">
        <v>407</v>
      </c>
      <c r="G2178" s="9" t="s">
        <v>106</v>
      </c>
      <c r="H2178" s="9">
        <v>13.5</v>
      </c>
      <c r="I2178" s="9">
        <v>11</v>
      </c>
      <c r="J2178" s="9" t="s">
        <v>122</v>
      </c>
      <c r="K2178" s="9" t="s">
        <v>4800</v>
      </c>
      <c r="L2178" t="str">
        <f>IF(OR(J2178="Cattle",J2178="Zebu Cattle"),IF(COUNTIF(lists!$M$2:$M$258, K2178) &gt; 0,"bos.indicus",IF(COUNTIF(lists!$L$2:$L$258, K2178) &gt; 0,"cross.bred","pure.bred.exotic")),"NA")</f>
        <v>pure.bred.exotic</v>
      </c>
      <c r="O2178" s="9" t="s">
        <v>4194</v>
      </c>
      <c r="P2178" s="9" t="s">
        <v>4738</v>
      </c>
      <c r="Q2178" s="9" t="s">
        <v>3809</v>
      </c>
      <c r="R2178" s="9" t="s">
        <v>3829</v>
      </c>
      <c r="S2178" s="9" t="s">
        <v>106</v>
      </c>
      <c r="T2178" s="9">
        <v>93.3</v>
      </c>
      <c r="U2178" s="9">
        <v>174.2</v>
      </c>
      <c r="V2178" s="9">
        <v>446</v>
      </c>
      <c r="W2178" s="9" t="s">
        <v>106</v>
      </c>
      <c r="X2178" s="9">
        <v>421.9</v>
      </c>
      <c r="Y2178" s="9" t="s">
        <v>106</v>
      </c>
      <c r="Z2178" s="9" t="s">
        <v>106</v>
      </c>
      <c r="AA2178" s="9" t="s">
        <v>106</v>
      </c>
      <c r="AB2178" s="9" t="s">
        <v>106</v>
      </c>
      <c r="AC2178" s="16" t="s">
        <v>5099</v>
      </c>
      <c r="AD2178" s="16" t="s">
        <v>5099</v>
      </c>
    </row>
    <row r="2179" spans="1:30">
      <c r="A2179" s="9" t="s">
        <v>4648</v>
      </c>
      <c r="B2179" t="s">
        <v>4760</v>
      </c>
      <c r="C2179" s="9" t="s">
        <v>105</v>
      </c>
      <c r="D2179" s="9">
        <v>15.1</v>
      </c>
      <c r="E2179" s="9" t="s">
        <v>106</v>
      </c>
      <c r="F2179" s="9">
        <v>385</v>
      </c>
      <c r="G2179" s="9" t="s">
        <v>106</v>
      </c>
      <c r="H2179" s="9">
        <v>13.8</v>
      </c>
      <c r="I2179" s="9">
        <v>11</v>
      </c>
      <c r="J2179" s="9" t="s">
        <v>122</v>
      </c>
      <c r="K2179" s="9" t="s">
        <v>4800</v>
      </c>
      <c r="L2179" t="str">
        <f>IF(OR(J2179="Cattle",J2179="Zebu Cattle"),IF(COUNTIF(lists!$M$2:$M$258, K2179) &gt; 0,"bos.indicus",IF(COUNTIF(lists!$L$2:$L$258, K2179) &gt; 0,"cross.bred","pure.bred.exotic")),"NA")</f>
        <v>pure.bred.exotic</v>
      </c>
      <c r="O2179" s="9" t="s">
        <v>4194</v>
      </c>
      <c r="P2179" s="9" t="s">
        <v>4738</v>
      </c>
      <c r="Q2179" s="9" t="s">
        <v>3809</v>
      </c>
      <c r="R2179" s="9" t="s">
        <v>3829</v>
      </c>
      <c r="S2179" s="9" t="s">
        <v>106</v>
      </c>
      <c r="T2179" s="9">
        <v>93</v>
      </c>
      <c r="U2179" s="9">
        <v>175.4</v>
      </c>
      <c r="V2179" s="9">
        <v>436.1</v>
      </c>
      <c r="W2179" s="9" t="s">
        <v>106</v>
      </c>
      <c r="X2179" s="9">
        <v>426.3</v>
      </c>
      <c r="Y2179" s="9" t="s">
        <v>106</v>
      </c>
      <c r="Z2179" s="9" t="s">
        <v>106</v>
      </c>
      <c r="AA2179" s="9" t="s">
        <v>106</v>
      </c>
      <c r="AB2179" s="9" t="s">
        <v>106</v>
      </c>
      <c r="AC2179" s="16" t="s">
        <v>5099</v>
      </c>
      <c r="AD2179" s="16" t="s">
        <v>5099</v>
      </c>
    </row>
    <row r="2180" spans="1:30">
      <c r="A2180" s="9" t="s">
        <v>4648</v>
      </c>
      <c r="B2180" t="s">
        <v>4762</v>
      </c>
      <c r="C2180" s="9" t="s">
        <v>105</v>
      </c>
      <c r="D2180" s="9">
        <v>15</v>
      </c>
      <c r="E2180" s="9" t="s">
        <v>106</v>
      </c>
      <c r="F2180" s="9">
        <v>383</v>
      </c>
      <c r="G2180" s="9" t="s">
        <v>106</v>
      </c>
      <c r="H2180" s="9">
        <v>12</v>
      </c>
      <c r="I2180" s="9">
        <v>11</v>
      </c>
      <c r="J2180" s="9" t="s">
        <v>122</v>
      </c>
      <c r="K2180" s="9" t="s">
        <v>4800</v>
      </c>
      <c r="L2180" t="str">
        <f>IF(OR(J2180="Cattle",J2180="Zebu Cattle"),IF(COUNTIF(lists!$M$2:$M$258, K2180) &gt; 0,"bos.indicus",IF(COUNTIF(lists!$L$2:$L$258, K2180) &gt; 0,"cross.bred","pure.bred.exotic")),"NA")</f>
        <v>pure.bred.exotic</v>
      </c>
      <c r="O2180" s="9" t="s">
        <v>4194</v>
      </c>
      <c r="P2180" s="9" t="s">
        <v>4738</v>
      </c>
      <c r="Q2180" s="9" t="s">
        <v>3809</v>
      </c>
      <c r="R2180" s="9" t="s">
        <v>3829</v>
      </c>
      <c r="S2180" s="9" t="s">
        <v>106</v>
      </c>
      <c r="T2180" s="9">
        <v>101.1</v>
      </c>
      <c r="U2180" s="9">
        <v>179.3</v>
      </c>
      <c r="V2180" s="9">
        <v>352.1</v>
      </c>
      <c r="W2180" s="9" t="s">
        <v>106</v>
      </c>
      <c r="X2180" s="9">
        <v>470.8</v>
      </c>
      <c r="Y2180" s="9" t="s">
        <v>106</v>
      </c>
      <c r="Z2180" s="9" t="s">
        <v>106</v>
      </c>
      <c r="AA2180" s="9" t="s">
        <v>106</v>
      </c>
      <c r="AB2180" s="9" t="s">
        <v>106</v>
      </c>
      <c r="AC2180" s="16" t="s">
        <v>5099</v>
      </c>
      <c r="AD2180" s="16" t="s">
        <v>5099</v>
      </c>
    </row>
    <row r="2181" spans="1:30">
      <c r="A2181" s="9" t="s">
        <v>4658</v>
      </c>
      <c r="B2181" t="s">
        <v>4719</v>
      </c>
      <c r="C2181" s="9" t="s">
        <v>105</v>
      </c>
      <c r="D2181" s="9">
        <v>11.04</v>
      </c>
      <c r="E2181" s="9" t="s">
        <v>106</v>
      </c>
      <c r="F2181" s="9">
        <v>380</v>
      </c>
      <c r="G2181" s="9" t="s">
        <v>106</v>
      </c>
      <c r="H2181" s="9">
        <v>5.18</v>
      </c>
      <c r="I2181" s="9">
        <v>4</v>
      </c>
      <c r="J2181" s="9" t="s">
        <v>122</v>
      </c>
      <c r="K2181" s="9" t="s">
        <v>4728</v>
      </c>
      <c r="L2181" t="str">
        <f>IF(OR(J2181="Cattle",J2181="Zebu Cattle"),IF(COUNTIF(lists!$M$2:$M$258, K2181) &gt; 0,"bos.indicus",IF(COUNTIF(lists!$L$2:$L$258, K2181) &gt; 0,"cross.bred","pure.bred.exotic")),"NA")</f>
        <v>cross.bred</v>
      </c>
      <c r="O2181" s="9" t="s">
        <v>124</v>
      </c>
      <c r="P2181" s="9" t="s">
        <v>4738</v>
      </c>
      <c r="Q2181" s="9" t="s">
        <v>3809</v>
      </c>
      <c r="R2181" s="9" t="s">
        <v>3830</v>
      </c>
      <c r="S2181" s="9" t="s">
        <v>106</v>
      </c>
      <c r="T2181" s="9" t="s">
        <v>106</v>
      </c>
      <c r="U2181" s="9" t="s">
        <v>106</v>
      </c>
      <c r="V2181" s="9" t="s">
        <v>106</v>
      </c>
      <c r="W2181" s="9" t="s">
        <v>106</v>
      </c>
      <c r="X2181" s="9" t="s">
        <v>106</v>
      </c>
      <c r="Y2181" s="9">
        <v>59.6</v>
      </c>
      <c r="Z2181" s="9" t="s">
        <v>106</v>
      </c>
      <c r="AA2181" s="9">
        <v>61.1</v>
      </c>
      <c r="AB2181" s="9">
        <v>64.3</v>
      </c>
      <c r="AC2181" s="9" t="s">
        <v>5100</v>
      </c>
      <c r="AD2181" s="9" t="s">
        <v>5100</v>
      </c>
    </row>
    <row r="2182" spans="1:30">
      <c r="A2182" s="9" t="s">
        <v>4658</v>
      </c>
      <c r="B2182" t="s">
        <v>4720</v>
      </c>
      <c r="C2182" s="9" t="s">
        <v>105</v>
      </c>
      <c r="D2182" s="9">
        <v>10.75</v>
      </c>
      <c r="E2182" s="9" t="s">
        <v>106</v>
      </c>
      <c r="F2182" s="9">
        <v>378</v>
      </c>
      <c r="G2182" s="9" t="s">
        <v>106</v>
      </c>
      <c r="H2182" s="9">
        <v>5.21</v>
      </c>
      <c r="I2182" s="9">
        <v>4</v>
      </c>
      <c r="J2182" s="9" t="s">
        <v>122</v>
      </c>
      <c r="K2182" s="9" t="s">
        <v>4728</v>
      </c>
      <c r="L2182" t="str">
        <f>IF(OR(J2182="Cattle",J2182="Zebu Cattle"),IF(COUNTIF(lists!$M$2:$M$258, K2182) &gt; 0,"bos.indicus",IF(COUNTIF(lists!$L$2:$L$258, K2182) &gt; 0,"cross.bred","pure.bred.exotic")),"NA")</f>
        <v>cross.bred</v>
      </c>
      <c r="O2182" s="9" t="s">
        <v>124</v>
      </c>
      <c r="P2182" s="9" t="s">
        <v>4738</v>
      </c>
      <c r="Q2182" s="9" t="s">
        <v>3809</v>
      </c>
      <c r="R2182" s="9" t="s">
        <v>3830</v>
      </c>
      <c r="S2182" s="9" t="s">
        <v>106</v>
      </c>
      <c r="T2182" s="9" t="s">
        <v>106</v>
      </c>
      <c r="U2182" s="9" t="s">
        <v>106</v>
      </c>
      <c r="V2182" s="9" t="s">
        <v>106</v>
      </c>
      <c r="W2182" s="9" t="s">
        <v>106</v>
      </c>
      <c r="X2182" s="9" t="s">
        <v>106</v>
      </c>
      <c r="Y2182" s="9">
        <v>60.9</v>
      </c>
      <c r="Z2182" s="9" t="s">
        <v>106</v>
      </c>
      <c r="AA2182" s="9">
        <v>60.8</v>
      </c>
      <c r="AB2182" s="9">
        <v>63.8</v>
      </c>
      <c r="AC2182" s="9" t="s">
        <v>5100</v>
      </c>
      <c r="AD2182" s="9" t="s">
        <v>5100</v>
      </c>
    </row>
    <row r="2183" spans="1:30">
      <c r="A2183" s="9" t="s">
        <v>4658</v>
      </c>
      <c r="B2183" t="s">
        <v>4721</v>
      </c>
      <c r="C2183" s="9" t="s">
        <v>105</v>
      </c>
      <c r="D2183" s="9">
        <v>10.19</v>
      </c>
      <c r="E2183" s="9" t="s">
        <v>106</v>
      </c>
      <c r="F2183" s="9">
        <v>375</v>
      </c>
      <c r="G2183" s="9" t="s">
        <v>106</v>
      </c>
      <c r="H2183" s="9">
        <v>4.3899999999999997</v>
      </c>
      <c r="I2183" s="9">
        <v>4</v>
      </c>
      <c r="J2183" s="9" t="s">
        <v>122</v>
      </c>
      <c r="K2183" s="9" t="s">
        <v>4728</v>
      </c>
      <c r="L2183" t="str">
        <f>IF(OR(J2183="Cattle",J2183="Zebu Cattle"),IF(COUNTIF(lists!$M$2:$M$258, K2183) &gt; 0,"bos.indicus",IF(COUNTIF(lists!$L$2:$L$258, K2183) &gt; 0,"cross.bred","pure.bred.exotic")),"NA")</f>
        <v>cross.bred</v>
      </c>
      <c r="O2183" s="9" t="s">
        <v>124</v>
      </c>
      <c r="P2183" s="9" t="s">
        <v>4738</v>
      </c>
      <c r="Q2183" s="9" t="s">
        <v>3809</v>
      </c>
      <c r="R2183" s="9" t="s">
        <v>3830</v>
      </c>
      <c r="S2183" s="9" t="s">
        <v>106</v>
      </c>
      <c r="T2183" s="9" t="s">
        <v>106</v>
      </c>
      <c r="U2183" s="9" t="s">
        <v>106</v>
      </c>
      <c r="V2183" s="9" t="s">
        <v>106</v>
      </c>
      <c r="W2183" s="9" t="s">
        <v>106</v>
      </c>
      <c r="X2183" s="9" t="s">
        <v>106</v>
      </c>
      <c r="Y2183" s="9">
        <v>63.6</v>
      </c>
      <c r="Z2183" s="9" t="s">
        <v>106</v>
      </c>
      <c r="AA2183" s="9">
        <v>61.9</v>
      </c>
      <c r="AB2183" s="9">
        <v>64.8</v>
      </c>
      <c r="AC2183" s="9" t="s">
        <v>5100</v>
      </c>
      <c r="AD2183" s="9" t="s">
        <v>5100</v>
      </c>
    </row>
    <row r="2184" spans="1:30">
      <c r="A2184" s="9" t="s">
        <v>4658</v>
      </c>
      <c r="B2184" t="s">
        <v>4722</v>
      </c>
      <c r="C2184" s="9" t="s">
        <v>105</v>
      </c>
      <c r="D2184" s="9">
        <v>9.09</v>
      </c>
      <c r="E2184" s="9" t="s">
        <v>106</v>
      </c>
      <c r="F2184" s="9">
        <v>370</v>
      </c>
      <c r="G2184" s="9" t="s">
        <v>106</v>
      </c>
      <c r="H2184" s="9">
        <v>4.0199999999999996</v>
      </c>
      <c r="I2184" s="9">
        <v>4</v>
      </c>
      <c r="J2184" s="9" t="s">
        <v>122</v>
      </c>
      <c r="K2184" s="9" t="s">
        <v>4728</v>
      </c>
      <c r="L2184" t="str">
        <f>IF(OR(J2184="Cattle",J2184="Zebu Cattle"),IF(COUNTIF(lists!$M$2:$M$258, K2184) &gt; 0,"bos.indicus",IF(COUNTIF(lists!$L$2:$L$258, K2184) &gt; 0,"cross.bred","pure.bred.exotic")),"NA")</f>
        <v>cross.bred</v>
      </c>
      <c r="O2184" s="9" t="s">
        <v>124</v>
      </c>
      <c r="P2184" s="9" t="s">
        <v>4738</v>
      </c>
      <c r="Q2184" s="9" t="s">
        <v>3809</v>
      </c>
      <c r="R2184" s="9" t="s">
        <v>3830</v>
      </c>
      <c r="S2184" s="9" t="s">
        <v>106</v>
      </c>
      <c r="T2184" s="9" t="s">
        <v>106</v>
      </c>
      <c r="U2184" s="9" t="s">
        <v>106</v>
      </c>
      <c r="V2184" s="9" t="s">
        <v>106</v>
      </c>
      <c r="W2184" s="9" t="s">
        <v>106</v>
      </c>
      <c r="X2184" s="9" t="s">
        <v>106</v>
      </c>
      <c r="Y2184" s="9">
        <v>65.400000000000006</v>
      </c>
      <c r="Z2184" s="9" t="s">
        <v>106</v>
      </c>
      <c r="AA2184" s="9">
        <v>61.7</v>
      </c>
      <c r="AB2184" s="9">
        <v>64.5</v>
      </c>
      <c r="AC2184" s="9" t="s">
        <v>5100</v>
      </c>
      <c r="AD2184" s="9" t="s">
        <v>5100</v>
      </c>
    </row>
    <row r="2185" spans="1:30">
      <c r="A2185" s="9" t="s">
        <v>4659</v>
      </c>
      <c r="B2185" t="s">
        <v>4723</v>
      </c>
      <c r="C2185" s="9" t="s">
        <v>105</v>
      </c>
      <c r="D2185" s="9">
        <v>7.8</v>
      </c>
      <c r="E2185" s="9" t="s">
        <v>106</v>
      </c>
      <c r="F2185" s="9">
        <v>298</v>
      </c>
      <c r="G2185" s="9">
        <v>1.7999999999999999E-2</v>
      </c>
      <c r="H2185" s="9" t="s">
        <v>106</v>
      </c>
      <c r="I2185" s="9">
        <v>4</v>
      </c>
      <c r="J2185" s="9" t="s">
        <v>122</v>
      </c>
      <c r="K2185" s="9" t="s">
        <v>4734</v>
      </c>
      <c r="L2185" t="str">
        <f>IF(OR(J2185="Cattle",J2185="Zebu Cattle"),IF(COUNTIF(lists!$M$2:$M$258, K2185) &gt; 0,"bos.indicus",IF(COUNTIF(lists!$L$2:$L$258, K2185) &gt; 0,"cross.bred","pure.bred.exotic")),"NA")</f>
        <v>bos.indicus</v>
      </c>
      <c r="O2185" s="9" t="s">
        <v>4193</v>
      </c>
      <c r="P2185" s="9" t="s">
        <v>4743</v>
      </c>
      <c r="Q2185" s="9" t="s">
        <v>3810</v>
      </c>
      <c r="R2185" s="9" t="s">
        <v>3830</v>
      </c>
      <c r="S2185" s="9" t="s">
        <v>106</v>
      </c>
      <c r="T2185" s="9" t="s">
        <v>106</v>
      </c>
      <c r="U2185" s="9">
        <v>76.959999999999994</v>
      </c>
      <c r="V2185" s="9">
        <v>963.3</v>
      </c>
      <c r="W2185" s="9">
        <v>19.600000000000001</v>
      </c>
      <c r="X2185" s="9">
        <v>620.6</v>
      </c>
      <c r="Y2185" s="9" t="s">
        <v>106</v>
      </c>
      <c r="Z2185" s="9" t="s">
        <v>106</v>
      </c>
      <c r="AA2185" s="9">
        <v>52.6</v>
      </c>
      <c r="AB2185" s="9" t="s">
        <v>106</v>
      </c>
      <c r="AC2185" s="9" t="s">
        <v>5100</v>
      </c>
      <c r="AD2185" s="9" t="s">
        <v>5100</v>
      </c>
    </row>
    <row r="2186" spans="1:30">
      <c r="A2186" s="9" t="s">
        <v>4659</v>
      </c>
      <c r="B2186" t="s">
        <v>4724</v>
      </c>
      <c r="C2186" s="9" t="s">
        <v>105</v>
      </c>
      <c r="D2186" s="9">
        <v>5.6</v>
      </c>
      <c r="E2186" s="9" t="s">
        <v>106</v>
      </c>
      <c r="F2186" s="9">
        <v>305</v>
      </c>
      <c r="G2186" s="9">
        <v>-1.4999999999999999E-2</v>
      </c>
      <c r="H2186" s="9" t="s">
        <v>106</v>
      </c>
      <c r="I2186" s="9">
        <v>4</v>
      </c>
      <c r="J2186" s="9" t="s">
        <v>122</v>
      </c>
      <c r="K2186" s="9" t="s">
        <v>4734</v>
      </c>
      <c r="L2186" t="str">
        <f>IF(OR(J2186="Cattle",J2186="Zebu Cattle"),IF(COUNTIF(lists!$M$2:$M$258, K2186) &gt; 0,"bos.indicus",IF(COUNTIF(lists!$L$2:$L$258, K2186) &gt; 0,"cross.bred","pure.bred.exotic")),"NA")</f>
        <v>bos.indicus</v>
      </c>
      <c r="O2186" s="9" t="s">
        <v>4193</v>
      </c>
      <c r="P2186" s="9" t="s">
        <v>4743</v>
      </c>
      <c r="Q2186" s="9" t="s">
        <v>3810</v>
      </c>
      <c r="R2186" s="9" t="s">
        <v>3830</v>
      </c>
      <c r="S2186" s="9" t="s">
        <v>106</v>
      </c>
      <c r="T2186" s="9">
        <v>170</v>
      </c>
      <c r="U2186" s="9">
        <v>22</v>
      </c>
      <c r="V2186" s="9">
        <v>964</v>
      </c>
      <c r="W2186" s="9">
        <v>10</v>
      </c>
      <c r="X2186" s="9">
        <v>702</v>
      </c>
      <c r="Y2186" s="9" t="s">
        <v>106</v>
      </c>
      <c r="Z2186" s="9" t="s">
        <v>106</v>
      </c>
      <c r="AA2186" s="9">
        <v>42.7</v>
      </c>
      <c r="AB2186" s="9" t="s">
        <v>106</v>
      </c>
      <c r="AC2186" s="9" t="s">
        <v>5100</v>
      </c>
      <c r="AD2186" s="9" t="s">
        <v>5100</v>
      </c>
    </row>
    <row r="2187" spans="1:30">
      <c r="A2187" s="9" t="s">
        <v>4659</v>
      </c>
      <c r="B2187" t="s">
        <v>4725</v>
      </c>
      <c r="C2187" s="9" t="s">
        <v>105</v>
      </c>
      <c r="D2187" s="9">
        <v>8.1</v>
      </c>
      <c r="E2187" s="9" t="s">
        <v>106</v>
      </c>
      <c r="F2187" s="9">
        <v>295</v>
      </c>
      <c r="G2187" s="9">
        <v>1.7000000000000001E-2</v>
      </c>
      <c r="H2187" s="9" t="s">
        <v>106</v>
      </c>
      <c r="I2187" s="9">
        <v>4</v>
      </c>
      <c r="J2187" s="9" t="s">
        <v>122</v>
      </c>
      <c r="K2187" s="9" t="s">
        <v>4734</v>
      </c>
      <c r="L2187" t="str">
        <f>IF(OR(J2187="Cattle",J2187="Zebu Cattle"),IF(COUNTIF(lists!$M$2:$M$258, K2187) &gt; 0,"bos.indicus",IF(COUNTIF(lists!$L$2:$L$258, K2187) &gt; 0,"cross.bred","pure.bred.exotic")),"NA")</f>
        <v>bos.indicus</v>
      </c>
      <c r="O2187" s="9" t="s">
        <v>4193</v>
      </c>
      <c r="P2187" s="9" t="s">
        <v>4743</v>
      </c>
      <c r="Q2187" s="9" t="s">
        <v>3810</v>
      </c>
      <c r="R2187" s="9" t="s">
        <v>3830</v>
      </c>
      <c r="S2187" s="9" t="s">
        <v>106</v>
      </c>
      <c r="T2187" s="9" t="s">
        <v>106</v>
      </c>
      <c r="U2187" s="9">
        <v>74.7</v>
      </c>
      <c r="V2187" s="9">
        <v>963.3</v>
      </c>
      <c r="W2187" s="9">
        <v>19.2</v>
      </c>
      <c r="X2187" s="9">
        <v>624</v>
      </c>
      <c r="Y2187" s="9" t="s">
        <v>106</v>
      </c>
      <c r="Z2187" s="9" t="s">
        <v>106</v>
      </c>
      <c r="AA2187" s="9">
        <v>51.6</v>
      </c>
      <c r="AB2187" s="9" t="s">
        <v>106</v>
      </c>
      <c r="AC2187" s="9" t="s">
        <v>5100</v>
      </c>
      <c r="AD2187" s="9" t="s">
        <v>5100</v>
      </c>
    </row>
    <row r="2188" spans="1:30">
      <c r="A2188" s="9" t="s">
        <v>4659</v>
      </c>
      <c r="B2188" t="s">
        <v>4726</v>
      </c>
      <c r="C2188" s="9" t="s">
        <v>105</v>
      </c>
      <c r="D2188" s="9">
        <v>5.6</v>
      </c>
      <c r="E2188" s="9" t="s">
        <v>106</v>
      </c>
      <c r="F2188" s="9">
        <v>302</v>
      </c>
      <c r="G2188" s="9">
        <v>-1.7999999999999999E-2</v>
      </c>
      <c r="H2188" s="9" t="s">
        <v>106</v>
      </c>
      <c r="I2188" s="9">
        <v>4</v>
      </c>
      <c r="J2188" s="9" t="s">
        <v>122</v>
      </c>
      <c r="K2188" s="9" t="s">
        <v>4734</v>
      </c>
      <c r="L2188" t="str">
        <f>IF(OR(J2188="Cattle",J2188="Zebu Cattle"),IF(COUNTIF(lists!$M$2:$M$258, K2188) &gt; 0,"bos.indicus",IF(COUNTIF(lists!$L$2:$L$258, K2188) &gt; 0,"cross.bred","pure.bred.exotic")),"NA")</f>
        <v>bos.indicus</v>
      </c>
      <c r="O2188" s="9" t="s">
        <v>4193</v>
      </c>
      <c r="P2188" s="9" t="s">
        <v>4743</v>
      </c>
      <c r="Q2188" s="9" t="s">
        <v>3810</v>
      </c>
      <c r="R2188" s="9" t="s">
        <v>3830</v>
      </c>
      <c r="S2188" s="9" t="s">
        <v>106</v>
      </c>
      <c r="T2188" s="9">
        <v>170</v>
      </c>
      <c r="U2188" s="9">
        <v>22</v>
      </c>
      <c r="V2188" s="9">
        <v>964</v>
      </c>
      <c r="W2188" s="9">
        <v>10</v>
      </c>
      <c r="X2188" s="9">
        <v>702</v>
      </c>
      <c r="Y2188" s="9" t="s">
        <v>106</v>
      </c>
      <c r="Z2188" s="9" t="s">
        <v>106</v>
      </c>
      <c r="AA2188" s="9">
        <v>42.3</v>
      </c>
      <c r="AB2188" s="9" t="s">
        <v>106</v>
      </c>
      <c r="AC2188" s="9" t="s">
        <v>5100</v>
      </c>
      <c r="AD2188" s="9" t="s">
        <v>5100</v>
      </c>
    </row>
    <row r="2189" spans="1:30">
      <c r="A2189" s="9" t="s">
        <v>4806</v>
      </c>
      <c r="B2189" s="9" t="s">
        <v>4826</v>
      </c>
      <c r="C2189" s="9" t="s">
        <v>105</v>
      </c>
      <c r="D2189" s="9">
        <v>10.199999999999999</v>
      </c>
      <c r="E2189" s="9" t="s">
        <v>106</v>
      </c>
      <c r="F2189" s="68">
        <v>312</v>
      </c>
      <c r="G2189" s="9" t="s">
        <v>106</v>
      </c>
      <c r="H2189" s="9">
        <v>7.9</v>
      </c>
      <c r="I2189" s="9">
        <v>8</v>
      </c>
      <c r="J2189" s="9" t="s">
        <v>122</v>
      </c>
      <c r="K2189" s="9" t="s">
        <v>4800</v>
      </c>
      <c r="L2189" t="str">
        <f>IF(OR(J2189="Cattle",J2189="Zebu Cattle"),IF(COUNTIF(lists!$M$2:$M$258, K2189) &gt; 0,"bos.indicus",IF(COUNTIF(lists!$L$2:$L$258, K2189) &gt; 0,"cross.bred","pure.bred.exotic")),"NA")</f>
        <v>pure.bred.exotic</v>
      </c>
      <c r="O2189" s="9" t="s">
        <v>4194</v>
      </c>
      <c r="P2189" s="9" t="s">
        <v>4045</v>
      </c>
      <c r="Q2189" s="9" t="s">
        <v>3809</v>
      </c>
      <c r="R2189" s="9" t="s">
        <v>3830</v>
      </c>
      <c r="S2189" s="9">
        <v>300.60000000000002</v>
      </c>
      <c r="T2189" s="9">
        <v>64.7</v>
      </c>
      <c r="U2189" s="9">
        <v>108.07</v>
      </c>
      <c r="V2189" s="9">
        <v>555.79999999999995</v>
      </c>
      <c r="W2189" s="9" t="s">
        <v>106</v>
      </c>
      <c r="X2189" s="9">
        <v>568.5</v>
      </c>
      <c r="Y2189" s="9" t="s">
        <v>106</v>
      </c>
      <c r="Z2189" s="9" t="s">
        <v>106</v>
      </c>
      <c r="AA2189" s="9">
        <v>60.46</v>
      </c>
      <c r="AB2189" s="9">
        <v>64.010000000000005</v>
      </c>
      <c r="AC2189" s="9" t="s">
        <v>5100</v>
      </c>
      <c r="AD2189" s="9" t="s">
        <v>5100</v>
      </c>
    </row>
    <row r="2190" spans="1:30">
      <c r="A2190" s="9" t="s">
        <v>4806</v>
      </c>
      <c r="B2190" s="9" t="s">
        <v>4827</v>
      </c>
      <c r="C2190" s="9" t="s">
        <v>105</v>
      </c>
      <c r="D2190" s="9">
        <v>11.26</v>
      </c>
      <c r="E2190" s="9" t="s">
        <v>106</v>
      </c>
      <c r="F2190" s="68">
        <v>312</v>
      </c>
      <c r="G2190" s="9" t="s">
        <v>106</v>
      </c>
      <c r="H2190" s="9">
        <v>8.09</v>
      </c>
      <c r="I2190" s="9">
        <v>8</v>
      </c>
      <c r="J2190" s="9" t="s">
        <v>122</v>
      </c>
      <c r="K2190" s="9" t="s">
        <v>4800</v>
      </c>
      <c r="L2190" t="str">
        <f>IF(OR(J2190="Cattle",J2190="Zebu Cattle"),IF(COUNTIF(lists!$M$2:$M$258, K2190) &gt; 0,"bos.indicus",IF(COUNTIF(lists!$L$2:$L$258, K2190) &gt; 0,"cross.bred","pure.bred.exotic")),"NA")</f>
        <v>pure.bred.exotic</v>
      </c>
      <c r="O2190" s="9" t="s">
        <v>4194</v>
      </c>
      <c r="P2190" s="9" t="s">
        <v>4045</v>
      </c>
      <c r="Q2190" s="9" t="s">
        <v>3809</v>
      </c>
      <c r="R2190" s="9" t="s">
        <v>3830</v>
      </c>
      <c r="S2190" s="9">
        <v>294.39999999999998</v>
      </c>
      <c r="T2190" s="9">
        <v>79.400000000000006</v>
      </c>
      <c r="U2190" s="9">
        <v>103</v>
      </c>
      <c r="V2190" s="9">
        <v>542</v>
      </c>
      <c r="W2190" s="9" t="s">
        <v>106</v>
      </c>
      <c r="X2190" s="9">
        <v>604.6</v>
      </c>
      <c r="Y2190" s="9" t="s">
        <v>106</v>
      </c>
      <c r="Z2190" s="9" t="s">
        <v>106</v>
      </c>
      <c r="AA2190" s="9">
        <v>65.849999999999994</v>
      </c>
      <c r="AB2190" s="9">
        <v>68.91</v>
      </c>
      <c r="AC2190" s="9" t="s">
        <v>5100</v>
      </c>
      <c r="AD2190" s="9" t="s">
        <v>5100</v>
      </c>
    </row>
    <row r="2191" spans="1:30">
      <c r="A2191" s="9" t="s">
        <v>4806</v>
      </c>
      <c r="B2191" s="9" t="s">
        <v>4828</v>
      </c>
      <c r="C2191" s="9" t="s">
        <v>105</v>
      </c>
      <c r="D2191" s="9">
        <v>12.07</v>
      </c>
      <c r="E2191" s="9" t="s">
        <v>106</v>
      </c>
      <c r="F2191" s="68">
        <v>312</v>
      </c>
      <c r="G2191" s="9" t="s">
        <v>106</v>
      </c>
      <c r="H2191" s="9">
        <v>9.2899999999999991</v>
      </c>
      <c r="I2191" s="9">
        <v>8</v>
      </c>
      <c r="J2191" s="9" t="s">
        <v>122</v>
      </c>
      <c r="K2191" s="9" t="s">
        <v>4800</v>
      </c>
      <c r="L2191" t="str">
        <f>IF(OR(J2191="Cattle",J2191="Zebu Cattle"),IF(COUNTIF(lists!$M$2:$M$258, K2191) &gt; 0,"bos.indicus",IF(COUNTIF(lists!$L$2:$L$258, K2191) &gt; 0,"cross.bred","pure.bred.exotic")),"NA")</f>
        <v>pure.bred.exotic</v>
      </c>
      <c r="O2191" s="9" t="s">
        <v>4194</v>
      </c>
      <c r="P2191" s="9" t="s">
        <v>4045</v>
      </c>
      <c r="Q2191" s="9" t="s">
        <v>3809</v>
      </c>
      <c r="R2191" s="9" t="s">
        <v>3830</v>
      </c>
      <c r="S2191" s="9">
        <v>289</v>
      </c>
      <c r="T2191" s="9">
        <v>73.400000000000006</v>
      </c>
      <c r="U2191" s="9">
        <v>116</v>
      </c>
      <c r="V2191" s="9">
        <v>586</v>
      </c>
      <c r="W2191" s="9" t="s">
        <v>106</v>
      </c>
      <c r="X2191" s="9">
        <v>577.6</v>
      </c>
      <c r="Y2191" s="9" t="s">
        <v>106</v>
      </c>
      <c r="Z2191" s="9" t="s">
        <v>106</v>
      </c>
      <c r="AA2191" s="9">
        <v>67.56</v>
      </c>
      <c r="AB2191" s="9">
        <v>70.59</v>
      </c>
      <c r="AC2191" s="9" t="s">
        <v>5100</v>
      </c>
      <c r="AD2191" s="9" t="s">
        <v>5100</v>
      </c>
    </row>
    <row r="2192" spans="1:30">
      <c r="A2192" s="9" t="s">
        <v>4806</v>
      </c>
      <c r="B2192" s="9" t="s">
        <v>4829</v>
      </c>
      <c r="C2192" s="9" t="s">
        <v>105</v>
      </c>
      <c r="D2192" s="9">
        <v>12.92</v>
      </c>
      <c r="E2192" s="9" t="s">
        <v>106</v>
      </c>
      <c r="F2192" s="68">
        <v>312</v>
      </c>
      <c r="G2192" s="9" t="s">
        <v>106</v>
      </c>
      <c r="H2192" s="9">
        <v>9.65</v>
      </c>
      <c r="I2192" s="9">
        <v>8</v>
      </c>
      <c r="J2192" s="9" t="s">
        <v>122</v>
      </c>
      <c r="K2192" s="9" t="s">
        <v>4800</v>
      </c>
      <c r="L2192" t="str">
        <f>IF(OR(J2192="Cattle",J2192="Zebu Cattle"),IF(COUNTIF(lists!$M$2:$M$258, K2192) &gt; 0,"bos.indicus",IF(COUNTIF(lists!$L$2:$L$258, K2192) &gt; 0,"cross.bred","pure.bred.exotic")),"NA")</f>
        <v>pure.bred.exotic</v>
      </c>
      <c r="O2192" s="9" t="s">
        <v>4194</v>
      </c>
      <c r="P2192" s="9" t="s">
        <v>4045</v>
      </c>
      <c r="Q2192" s="9" t="s">
        <v>3809</v>
      </c>
      <c r="R2192" s="9" t="s">
        <v>3830</v>
      </c>
      <c r="S2192" s="9">
        <v>266.5</v>
      </c>
      <c r="T2192" s="9">
        <v>70.8</v>
      </c>
      <c r="U2192" s="9">
        <v>129</v>
      </c>
      <c r="V2192" s="9">
        <v>639</v>
      </c>
      <c r="W2192" s="9" t="s">
        <v>106</v>
      </c>
      <c r="X2192" s="9">
        <v>553.9</v>
      </c>
      <c r="Y2192" s="9" t="s">
        <v>106</v>
      </c>
      <c r="Z2192" s="9" t="s">
        <v>106</v>
      </c>
      <c r="AA2192" s="9">
        <v>69.52</v>
      </c>
      <c r="AB2192" s="9">
        <v>72.37</v>
      </c>
      <c r="AC2192" s="9" t="s">
        <v>5100</v>
      </c>
      <c r="AD2192" s="9" t="s">
        <v>5100</v>
      </c>
    </row>
    <row r="2193" spans="1:30">
      <c r="A2193" s="9" t="s">
        <v>4807</v>
      </c>
      <c r="B2193" s="9" t="s">
        <v>4830</v>
      </c>
      <c r="C2193" s="9" t="s">
        <v>105</v>
      </c>
      <c r="D2193" s="9">
        <v>16.100000000000001</v>
      </c>
      <c r="E2193" s="9" t="s">
        <v>106</v>
      </c>
      <c r="F2193" s="68">
        <v>500</v>
      </c>
      <c r="G2193" s="9" t="s">
        <v>106</v>
      </c>
      <c r="H2193" s="9">
        <v>16</v>
      </c>
      <c r="I2193" s="9">
        <v>5</v>
      </c>
      <c r="J2193" s="9" t="s">
        <v>122</v>
      </c>
      <c r="K2193" s="9" t="s">
        <v>4796</v>
      </c>
      <c r="L2193" t="str">
        <f>IF(OR(J2193="Cattle",J2193="Zebu Cattle"),IF(COUNTIF(lists!$M$2:$M$258, K2193) &gt; 0,"bos.indicus",IF(COUNTIF(lists!$L$2:$L$258, K2193) &gt; 0,"cross.bred","pure.bred.exotic")),"NA")</f>
        <v>pure.bred.exotic</v>
      </c>
      <c r="O2193" s="9" t="s">
        <v>4194</v>
      </c>
      <c r="P2193" s="9" t="s">
        <v>4045</v>
      </c>
      <c r="Q2193" s="9" t="s">
        <v>3809</v>
      </c>
      <c r="R2193" s="9" t="s">
        <v>3830</v>
      </c>
      <c r="S2193" s="9">
        <v>182</v>
      </c>
      <c r="T2193" s="9">
        <v>107</v>
      </c>
      <c r="U2193" s="9">
        <v>150</v>
      </c>
      <c r="V2193" s="9">
        <v>908</v>
      </c>
      <c r="W2193" s="9">
        <v>26.9</v>
      </c>
      <c r="X2193" s="9">
        <v>349</v>
      </c>
      <c r="Y2193" s="9" t="s">
        <v>106</v>
      </c>
      <c r="Z2193" s="9">
        <v>41.9</v>
      </c>
      <c r="AA2193" s="9">
        <v>63.7</v>
      </c>
      <c r="AB2193" s="9">
        <v>66.400000000000006</v>
      </c>
      <c r="AC2193" s="9" t="s">
        <v>5100</v>
      </c>
      <c r="AD2193" s="9" t="s">
        <v>5100</v>
      </c>
    </row>
    <row r="2194" spans="1:30">
      <c r="A2194" s="9" t="s">
        <v>4807</v>
      </c>
      <c r="B2194" s="9" t="s">
        <v>4831</v>
      </c>
      <c r="C2194" s="9" t="s">
        <v>105</v>
      </c>
      <c r="D2194" s="9">
        <v>16.399999999999999</v>
      </c>
      <c r="E2194" s="9" t="s">
        <v>106</v>
      </c>
      <c r="F2194" s="68">
        <v>500</v>
      </c>
      <c r="G2194" s="9" t="s">
        <v>106</v>
      </c>
      <c r="H2194" s="9">
        <v>17.2</v>
      </c>
      <c r="I2194" s="9">
        <v>5</v>
      </c>
      <c r="J2194" s="9" t="s">
        <v>122</v>
      </c>
      <c r="K2194" s="9" t="s">
        <v>4796</v>
      </c>
      <c r="L2194" t="str">
        <f>IF(OR(J2194="Cattle",J2194="Zebu Cattle"),IF(COUNTIF(lists!$M$2:$M$258, K2194) &gt; 0,"bos.indicus",IF(COUNTIF(lists!$L$2:$L$258, K2194) &gt; 0,"cross.bred","pure.bred.exotic")),"NA")</f>
        <v>pure.bred.exotic</v>
      </c>
      <c r="O2194" s="9" t="s">
        <v>4194</v>
      </c>
      <c r="P2194" s="9" t="s">
        <v>4045</v>
      </c>
      <c r="Q2194" s="9" t="s">
        <v>3809</v>
      </c>
      <c r="R2194" s="9" t="s">
        <v>3830</v>
      </c>
      <c r="S2194" s="9">
        <v>182</v>
      </c>
      <c r="T2194" s="9">
        <v>107</v>
      </c>
      <c r="U2194" s="9">
        <v>150</v>
      </c>
      <c r="V2194" s="9">
        <v>908</v>
      </c>
      <c r="W2194" s="9">
        <v>26.9</v>
      </c>
      <c r="X2194" s="9">
        <v>349</v>
      </c>
      <c r="Y2194" s="9" t="s">
        <v>106</v>
      </c>
      <c r="Z2194" s="9">
        <v>41.9</v>
      </c>
      <c r="AA2194" s="9">
        <v>68.3</v>
      </c>
      <c r="AB2194" s="9">
        <v>70.8</v>
      </c>
      <c r="AC2194" s="9" t="s">
        <v>5100</v>
      </c>
      <c r="AD2194" s="9" t="s">
        <v>5100</v>
      </c>
    </row>
    <row r="2195" spans="1:30">
      <c r="A2195" s="9" t="s">
        <v>4807</v>
      </c>
      <c r="B2195" s="9" t="s">
        <v>327</v>
      </c>
      <c r="C2195" s="9" t="s">
        <v>105</v>
      </c>
      <c r="D2195" s="9">
        <v>16.600000000000001</v>
      </c>
      <c r="E2195" s="9" t="s">
        <v>106</v>
      </c>
      <c r="F2195" s="68">
        <v>500</v>
      </c>
      <c r="G2195" s="9" t="s">
        <v>106</v>
      </c>
      <c r="H2195" s="9">
        <v>17.399999999999999</v>
      </c>
      <c r="I2195" s="9">
        <v>5</v>
      </c>
      <c r="J2195" s="9" t="s">
        <v>122</v>
      </c>
      <c r="K2195" s="9" t="s">
        <v>4796</v>
      </c>
      <c r="L2195" t="str">
        <f>IF(OR(J2195="Cattle",J2195="Zebu Cattle"),IF(COUNTIF(lists!$M$2:$M$258, K2195) &gt; 0,"bos.indicus",IF(COUNTIF(lists!$L$2:$L$258, K2195) &gt; 0,"cross.bred","pure.bred.exotic")),"NA")</f>
        <v>pure.bred.exotic</v>
      </c>
      <c r="O2195" s="9" t="s">
        <v>4194</v>
      </c>
      <c r="P2195" s="9" t="s">
        <v>4045</v>
      </c>
      <c r="Q2195" s="9" t="s">
        <v>3809</v>
      </c>
      <c r="R2195" s="9" t="s">
        <v>3830</v>
      </c>
      <c r="S2195" s="9">
        <v>187</v>
      </c>
      <c r="T2195" s="9">
        <v>80.3</v>
      </c>
      <c r="U2195" s="9">
        <v>131</v>
      </c>
      <c r="V2195" s="9">
        <v>545</v>
      </c>
      <c r="W2195" s="9">
        <v>28.1</v>
      </c>
      <c r="X2195" s="9">
        <v>383</v>
      </c>
      <c r="Y2195" s="9" t="s">
        <v>106</v>
      </c>
      <c r="Z2195" s="9">
        <v>43.4</v>
      </c>
      <c r="AA2195" s="9">
        <v>63.3</v>
      </c>
      <c r="AB2195" s="9">
        <v>67</v>
      </c>
      <c r="AC2195" s="9" t="s">
        <v>5100</v>
      </c>
      <c r="AD2195" s="9" t="s">
        <v>5100</v>
      </c>
    </row>
    <row r="2196" spans="1:30">
      <c r="A2196" s="9" t="s">
        <v>4807</v>
      </c>
      <c r="B2196" s="9" t="s">
        <v>4832</v>
      </c>
      <c r="C2196" s="9" t="s">
        <v>105</v>
      </c>
      <c r="D2196" s="9">
        <v>16.8</v>
      </c>
      <c r="E2196" s="9" t="s">
        <v>106</v>
      </c>
      <c r="F2196" s="68">
        <v>500</v>
      </c>
      <c r="G2196" s="9" t="s">
        <v>106</v>
      </c>
      <c r="H2196" s="9">
        <v>18.8</v>
      </c>
      <c r="I2196" s="9">
        <v>5</v>
      </c>
      <c r="J2196" s="9" t="s">
        <v>122</v>
      </c>
      <c r="K2196" s="9" t="s">
        <v>4796</v>
      </c>
      <c r="L2196" t="str">
        <f>IF(OR(J2196="Cattle",J2196="Zebu Cattle"),IF(COUNTIF(lists!$M$2:$M$258, K2196) &gt; 0,"bos.indicus",IF(COUNTIF(lists!$L$2:$L$258, K2196) &gt; 0,"cross.bred","pure.bred.exotic")),"NA")</f>
        <v>pure.bred.exotic</v>
      </c>
      <c r="O2196" s="9" t="s">
        <v>4194</v>
      </c>
      <c r="P2196" s="9" t="s">
        <v>4045</v>
      </c>
      <c r="Q2196" s="9" t="s">
        <v>3809</v>
      </c>
      <c r="R2196" s="9" t="s">
        <v>3830</v>
      </c>
      <c r="S2196" s="9">
        <v>187</v>
      </c>
      <c r="T2196" s="9">
        <v>80.3</v>
      </c>
      <c r="U2196" s="9">
        <v>131</v>
      </c>
      <c r="V2196" s="9">
        <v>545</v>
      </c>
      <c r="W2196" s="9">
        <v>28.1</v>
      </c>
      <c r="X2196" s="9">
        <v>383</v>
      </c>
      <c r="Y2196" s="9" t="s">
        <v>106</v>
      </c>
      <c r="Z2196" s="9">
        <v>43.4</v>
      </c>
      <c r="AA2196" s="9">
        <v>66.8</v>
      </c>
      <c r="AB2196" s="9">
        <v>70.3</v>
      </c>
      <c r="AC2196" s="9" t="s">
        <v>5100</v>
      </c>
      <c r="AD2196" s="9" t="s">
        <v>5100</v>
      </c>
    </row>
    <row r="2197" spans="1:30">
      <c r="A2197" s="9" t="s">
        <v>4807</v>
      </c>
      <c r="B2197" s="9" t="s">
        <v>4833</v>
      </c>
      <c r="C2197" s="9" t="s">
        <v>105</v>
      </c>
      <c r="D2197" s="9">
        <v>15</v>
      </c>
      <c r="E2197" s="9" t="s">
        <v>106</v>
      </c>
      <c r="F2197" s="68">
        <v>500</v>
      </c>
      <c r="G2197" s="9" t="s">
        <v>106</v>
      </c>
      <c r="H2197" s="9">
        <v>13.6</v>
      </c>
      <c r="I2197" s="9">
        <v>5</v>
      </c>
      <c r="J2197" s="9" t="s">
        <v>122</v>
      </c>
      <c r="K2197" s="9" t="s">
        <v>4796</v>
      </c>
      <c r="L2197" t="str">
        <f>IF(OR(J2197="Cattle",J2197="Zebu Cattle"),IF(COUNTIF(lists!$M$2:$M$258, K2197) &gt; 0,"bos.indicus",IF(COUNTIF(lists!$L$2:$L$258, K2197) &gt; 0,"cross.bred","pure.bred.exotic")),"NA")</f>
        <v>pure.bred.exotic</v>
      </c>
      <c r="O2197" s="9" t="s">
        <v>4194</v>
      </c>
      <c r="P2197" s="9" t="s">
        <v>4045</v>
      </c>
      <c r="Q2197" s="9" t="s">
        <v>3809</v>
      </c>
      <c r="R2197" s="9" t="s">
        <v>3830</v>
      </c>
      <c r="S2197" s="9">
        <v>253</v>
      </c>
      <c r="T2197" s="9">
        <v>119</v>
      </c>
      <c r="U2197" s="9">
        <v>108</v>
      </c>
      <c r="V2197" s="9">
        <v>915</v>
      </c>
      <c r="W2197" s="9">
        <v>22.9</v>
      </c>
      <c r="X2197" s="9">
        <v>460</v>
      </c>
      <c r="Y2197" s="9" t="s">
        <v>106</v>
      </c>
      <c r="Z2197" s="9">
        <v>35</v>
      </c>
      <c r="AA2197" s="9">
        <v>60.6</v>
      </c>
      <c r="AB2197" s="9">
        <v>63.9</v>
      </c>
      <c r="AC2197" s="9" t="s">
        <v>5100</v>
      </c>
      <c r="AD2197" s="9" t="s">
        <v>5100</v>
      </c>
    </row>
    <row r="2198" spans="1:30">
      <c r="A2198" s="9" t="s">
        <v>4807</v>
      </c>
      <c r="B2198" s="9" t="s">
        <v>4834</v>
      </c>
      <c r="C2198" s="9" t="s">
        <v>105</v>
      </c>
      <c r="D2198" s="9">
        <v>15.3</v>
      </c>
      <c r="E2198" s="9" t="s">
        <v>106</v>
      </c>
      <c r="F2198" s="68">
        <v>500</v>
      </c>
      <c r="G2198" s="9" t="s">
        <v>106</v>
      </c>
      <c r="H2198" s="9">
        <v>14.9</v>
      </c>
      <c r="I2198" s="9">
        <v>5</v>
      </c>
      <c r="J2198" s="9" t="s">
        <v>122</v>
      </c>
      <c r="K2198" s="9" t="s">
        <v>4796</v>
      </c>
      <c r="L2198" t="str">
        <f>IF(OR(J2198="Cattle",J2198="Zebu Cattle"),IF(COUNTIF(lists!$M$2:$M$258, K2198) &gt; 0,"bos.indicus",IF(COUNTIF(lists!$L$2:$L$258, K2198) &gt; 0,"cross.bred","pure.bred.exotic")),"NA")</f>
        <v>pure.bred.exotic</v>
      </c>
      <c r="O2198" s="9" t="s">
        <v>4194</v>
      </c>
      <c r="P2198" s="9" t="s">
        <v>4045</v>
      </c>
      <c r="Q2198" s="9" t="s">
        <v>3809</v>
      </c>
      <c r="R2198" s="9" t="s">
        <v>3830</v>
      </c>
      <c r="S2198" s="9">
        <v>253</v>
      </c>
      <c r="T2198" s="9">
        <v>119</v>
      </c>
      <c r="U2198" s="9">
        <v>108</v>
      </c>
      <c r="V2198" s="9">
        <v>915</v>
      </c>
      <c r="W2198" s="9">
        <v>22.9</v>
      </c>
      <c r="X2198" s="9">
        <v>460</v>
      </c>
      <c r="Y2198" s="9" t="s">
        <v>106</v>
      </c>
      <c r="Z2198" s="9">
        <v>35</v>
      </c>
      <c r="AA2198" s="9">
        <v>64.599999999999994</v>
      </c>
      <c r="AB2198" s="9">
        <v>67.3</v>
      </c>
      <c r="AC2198" s="9" t="s">
        <v>5100</v>
      </c>
      <c r="AD2198" s="9" t="s">
        <v>5100</v>
      </c>
    </row>
    <row r="2199" spans="1:30">
      <c r="A2199" s="9" t="s">
        <v>4808</v>
      </c>
      <c r="B2199" s="9" t="s">
        <v>4835</v>
      </c>
      <c r="C2199" s="9" t="s">
        <v>105</v>
      </c>
      <c r="D2199" s="9">
        <v>7.59</v>
      </c>
      <c r="E2199" s="9" t="s">
        <v>106</v>
      </c>
      <c r="F2199" s="67">
        <v>270.55</v>
      </c>
      <c r="G2199" s="59">
        <v>0.68329999999999991</v>
      </c>
      <c r="H2199" s="9" t="s">
        <v>106</v>
      </c>
      <c r="I2199" s="9">
        <v>6</v>
      </c>
      <c r="J2199" s="9" t="s">
        <v>122</v>
      </c>
      <c r="K2199" s="9" t="s">
        <v>4896</v>
      </c>
      <c r="L2199" t="str">
        <f>IF(OR(J2199="Cattle",J2199="Zebu Cattle"),IF(COUNTIF(lists!$M$2:$M$258, K2199) &gt; 0,"bos.indicus",IF(COUNTIF(lists!$L$2:$L$258, K2199) &gt; 0,"cross.bred","pure.bred.exotic")),"NA")</f>
        <v>bos.indicus</v>
      </c>
      <c r="O2199" s="9" t="s">
        <v>4193</v>
      </c>
      <c r="P2199" s="9" t="s">
        <v>4162</v>
      </c>
      <c r="Q2199" s="9" t="s">
        <v>3800</v>
      </c>
      <c r="R2199" s="9" t="s">
        <v>3830</v>
      </c>
      <c r="S2199" s="9" t="s">
        <v>106</v>
      </c>
      <c r="T2199" s="9" t="s">
        <v>106</v>
      </c>
      <c r="U2199" s="9" t="s">
        <v>106</v>
      </c>
      <c r="V2199" s="9" t="s">
        <v>106</v>
      </c>
      <c r="W2199" s="9" t="s">
        <v>106</v>
      </c>
      <c r="X2199" s="9" t="s">
        <v>106</v>
      </c>
      <c r="Y2199" s="9" t="s">
        <v>106</v>
      </c>
      <c r="Z2199" s="9" t="s">
        <v>106</v>
      </c>
      <c r="AA2199" s="9" t="s">
        <v>106</v>
      </c>
      <c r="AB2199" s="9" t="s">
        <v>106</v>
      </c>
      <c r="AC2199" s="9" t="s">
        <v>5100</v>
      </c>
      <c r="AD2199" s="9" t="s">
        <v>5100</v>
      </c>
    </row>
    <row r="2200" spans="1:30">
      <c r="A2200" s="9" t="s">
        <v>4808</v>
      </c>
      <c r="B2200" s="9" t="s">
        <v>4836</v>
      </c>
      <c r="C2200" s="9" t="s">
        <v>105</v>
      </c>
      <c r="D2200" s="9">
        <v>7.74</v>
      </c>
      <c r="E2200" s="9" t="s">
        <v>106</v>
      </c>
      <c r="F2200" s="67">
        <v>271.48</v>
      </c>
      <c r="G2200" s="59">
        <v>0.69629999999999992</v>
      </c>
      <c r="H2200" s="9" t="s">
        <v>106</v>
      </c>
      <c r="I2200" s="9">
        <v>6</v>
      </c>
      <c r="J2200" s="9" t="s">
        <v>122</v>
      </c>
      <c r="K2200" s="9" t="s">
        <v>4896</v>
      </c>
      <c r="L2200" t="str">
        <f>IF(OR(J2200="Cattle",J2200="Zebu Cattle"),IF(COUNTIF(lists!$M$2:$M$258, K2200) &gt; 0,"bos.indicus",IF(COUNTIF(lists!$L$2:$L$258, K2200) &gt; 0,"cross.bred","pure.bred.exotic")),"NA")</f>
        <v>bos.indicus</v>
      </c>
      <c r="O2200" s="9" t="s">
        <v>4193</v>
      </c>
      <c r="P2200" s="9" t="s">
        <v>4162</v>
      </c>
      <c r="Q2200" s="9" t="s">
        <v>3800</v>
      </c>
      <c r="R2200" s="9" t="s">
        <v>3830</v>
      </c>
      <c r="S2200" s="9" t="s">
        <v>106</v>
      </c>
      <c r="T2200" s="9" t="s">
        <v>106</v>
      </c>
      <c r="U2200" s="9" t="s">
        <v>106</v>
      </c>
      <c r="V2200" s="9" t="s">
        <v>106</v>
      </c>
      <c r="W2200" s="9" t="s">
        <v>106</v>
      </c>
      <c r="X2200" s="9" t="s">
        <v>106</v>
      </c>
      <c r="Y2200" s="9" t="s">
        <v>106</v>
      </c>
      <c r="Z2200" s="9" t="s">
        <v>106</v>
      </c>
      <c r="AA2200" s="9" t="s">
        <v>106</v>
      </c>
      <c r="AB2200" s="9" t="s">
        <v>106</v>
      </c>
      <c r="AC2200" s="9" t="s">
        <v>5100</v>
      </c>
      <c r="AD2200" s="9" t="s">
        <v>5100</v>
      </c>
    </row>
    <row r="2201" spans="1:30">
      <c r="A2201" s="9" t="s">
        <v>4808</v>
      </c>
      <c r="B2201" s="9" t="s">
        <v>4837</v>
      </c>
      <c r="C2201" s="9" t="s">
        <v>105</v>
      </c>
      <c r="D2201" s="9">
        <v>8.5</v>
      </c>
      <c r="E2201" s="9" t="s">
        <v>106</v>
      </c>
      <c r="F2201" s="67">
        <v>282.55</v>
      </c>
      <c r="G2201" s="59">
        <v>0.9351799999999999</v>
      </c>
      <c r="H2201" s="9" t="s">
        <v>106</v>
      </c>
      <c r="I2201" s="9">
        <v>6</v>
      </c>
      <c r="J2201" s="9" t="s">
        <v>122</v>
      </c>
      <c r="K2201" s="9" t="s">
        <v>4896</v>
      </c>
      <c r="L2201" t="str">
        <f>IF(OR(J2201="Cattle",J2201="Zebu Cattle"),IF(COUNTIF(lists!$M$2:$M$258, K2201) &gt; 0,"bos.indicus",IF(COUNTIF(lists!$L$2:$L$258, K2201) &gt; 0,"cross.bred","pure.bred.exotic")),"NA")</f>
        <v>bos.indicus</v>
      </c>
      <c r="O2201" s="9" t="s">
        <v>4193</v>
      </c>
      <c r="P2201" s="9" t="s">
        <v>4162</v>
      </c>
      <c r="Q2201" s="9" t="s">
        <v>3800</v>
      </c>
      <c r="R2201" s="9" t="s">
        <v>3830</v>
      </c>
      <c r="S2201" s="9" t="s">
        <v>106</v>
      </c>
      <c r="T2201" s="9" t="s">
        <v>106</v>
      </c>
      <c r="U2201" s="9" t="s">
        <v>106</v>
      </c>
      <c r="V2201" s="9" t="s">
        <v>106</v>
      </c>
      <c r="W2201" s="9" t="s">
        <v>106</v>
      </c>
      <c r="X2201" s="9" t="s">
        <v>106</v>
      </c>
      <c r="Y2201" s="9" t="s">
        <v>106</v>
      </c>
      <c r="Z2201" s="9" t="s">
        <v>106</v>
      </c>
      <c r="AA2201" s="9" t="s">
        <v>106</v>
      </c>
      <c r="AB2201" s="9" t="s">
        <v>106</v>
      </c>
      <c r="AC2201" s="9" t="s">
        <v>5100</v>
      </c>
      <c r="AD2201" s="9" t="s">
        <v>5100</v>
      </c>
    </row>
    <row r="2202" spans="1:30">
      <c r="A2202" s="9" t="s">
        <v>4808</v>
      </c>
      <c r="B2202" s="9" t="s">
        <v>4838</v>
      </c>
      <c r="C2202" s="9" t="s">
        <v>105</v>
      </c>
      <c r="D2202" s="9">
        <v>8.52</v>
      </c>
      <c r="E2202" s="9" t="s">
        <v>106</v>
      </c>
      <c r="F2202" s="67">
        <v>274.3</v>
      </c>
      <c r="G2202" s="59">
        <v>0.76660000000000006</v>
      </c>
      <c r="H2202" s="9" t="s">
        <v>106</v>
      </c>
      <c r="I2202" s="9">
        <v>6</v>
      </c>
      <c r="J2202" s="9" t="s">
        <v>122</v>
      </c>
      <c r="K2202" s="9" t="s">
        <v>4896</v>
      </c>
      <c r="L2202" t="str">
        <f>IF(OR(J2202="Cattle",J2202="Zebu Cattle"),IF(COUNTIF(lists!$M$2:$M$258, K2202) &gt; 0,"bos.indicus",IF(COUNTIF(lists!$L$2:$L$258, K2202) &gt; 0,"cross.bred","pure.bred.exotic")),"NA")</f>
        <v>bos.indicus</v>
      </c>
      <c r="O2202" s="9" t="s">
        <v>4193</v>
      </c>
      <c r="P2202" s="9" t="s">
        <v>4162</v>
      </c>
      <c r="Q2202" s="9" t="s">
        <v>3800</v>
      </c>
      <c r="R2202" s="9" t="s">
        <v>3830</v>
      </c>
      <c r="S2202" s="9" t="s">
        <v>106</v>
      </c>
      <c r="T2202" s="9" t="s">
        <v>106</v>
      </c>
      <c r="U2202" s="9" t="s">
        <v>106</v>
      </c>
      <c r="V2202" s="9" t="s">
        <v>106</v>
      </c>
      <c r="W2202" s="9" t="s">
        <v>106</v>
      </c>
      <c r="X2202" s="9" t="s">
        <v>106</v>
      </c>
      <c r="Y2202" s="9" t="s">
        <v>106</v>
      </c>
      <c r="Z2202" s="9" t="s">
        <v>106</v>
      </c>
      <c r="AA2202" s="9" t="s">
        <v>106</v>
      </c>
      <c r="AB2202" s="9" t="s">
        <v>106</v>
      </c>
      <c r="AC2202" s="9" t="s">
        <v>5100</v>
      </c>
      <c r="AD2202" s="9" t="s">
        <v>5100</v>
      </c>
    </row>
    <row r="2203" spans="1:30">
      <c r="A2203" s="9" t="s">
        <v>4809</v>
      </c>
      <c r="B2203" s="9" t="s">
        <v>4839</v>
      </c>
      <c r="C2203" s="9" t="s">
        <v>105</v>
      </c>
      <c r="D2203" s="9">
        <v>9.09</v>
      </c>
      <c r="E2203" s="9" t="s">
        <v>106</v>
      </c>
      <c r="F2203" s="9">
        <v>316.74</v>
      </c>
      <c r="G2203" s="9">
        <v>0.13100000000000001</v>
      </c>
      <c r="H2203" s="9">
        <v>7.14</v>
      </c>
      <c r="I2203" s="9">
        <v>15</v>
      </c>
      <c r="J2203" s="9" t="s">
        <v>122</v>
      </c>
      <c r="K2203" s="9" t="s">
        <v>4918</v>
      </c>
      <c r="L2203" t="str">
        <f>IF(OR(J2203="Cattle",J2203="Zebu Cattle"),IF(COUNTIF(lists!$M$2:$M$258, K2203) &gt; 0,"bos.indicus",IF(COUNTIF(lists!$L$2:$L$258, K2203) &gt; 0,"cross.bred","pure.bred.exotic")),"NA")</f>
        <v>cross.bred</v>
      </c>
      <c r="O2203" s="9" t="s">
        <v>124</v>
      </c>
      <c r="P2203" s="9" t="s">
        <v>4045</v>
      </c>
      <c r="Q2203" s="9" t="s">
        <v>3809</v>
      </c>
      <c r="R2203" s="9" t="s">
        <v>3829</v>
      </c>
      <c r="S2203" s="9">
        <v>387.16</v>
      </c>
      <c r="T2203" s="9">
        <v>68.88</v>
      </c>
      <c r="U2203" s="9">
        <v>136.63</v>
      </c>
      <c r="V2203" s="9">
        <v>517.79999999999995</v>
      </c>
      <c r="W2203" s="9" t="s">
        <v>106</v>
      </c>
      <c r="X2203" s="9">
        <v>630.29999999999995</v>
      </c>
      <c r="Y2203" s="9" t="s">
        <v>106</v>
      </c>
      <c r="Z2203" s="9">
        <v>69.91</v>
      </c>
      <c r="AA2203" s="9" t="s">
        <v>106</v>
      </c>
      <c r="AB2203" s="9">
        <v>62.95</v>
      </c>
      <c r="AC2203" s="9" t="s">
        <v>5100</v>
      </c>
      <c r="AD2203" s="9" t="s">
        <v>5100</v>
      </c>
    </row>
    <row r="2204" spans="1:30">
      <c r="A2204" s="9" t="s">
        <v>4810</v>
      </c>
      <c r="B2204" s="9" t="s">
        <v>4922</v>
      </c>
      <c r="C2204" s="9" t="s">
        <v>105</v>
      </c>
      <c r="D2204" s="9">
        <v>16.100000000000001</v>
      </c>
      <c r="E2204" s="9" t="s">
        <v>106</v>
      </c>
      <c r="F2204" s="9">
        <v>500</v>
      </c>
      <c r="G2204" s="9" t="s">
        <v>106</v>
      </c>
      <c r="H2204" s="9">
        <v>12.8</v>
      </c>
      <c r="I2204" s="9">
        <v>10</v>
      </c>
      <c r="J2204" s="9" t="s">
        <v>122</v>
      </c>
      <c r="K2204" s="9" t="s">
        <v>4921</v>
      </c>
      <c r="L2204" t="str">
        <f>IF(OR(J2204="Cattle",J2204="Zebu Cattle"),IF(COUNTIF(lists!$M$2:$M$258, K2204) &gt; 0,"bos.indicus",IF(COUNTIF(lists!$L$2:$L$258, K2204) &gt; 0,"cross.bred","pure.bred.exotic")),"NA")</f>
        <v>pure.bred.exotic</v>
      </c>
      <c r="O2204" s="9" t="s">
        <v>4194</v>
      </c>
      <c r="P2204" s="9" t="s">
        <v>4045</v>
      </c>
      <c r="Q2204" s="9" t="s">
        <v>3809</v>
      </c>
      <c r="R2204" s="9" t="s">
        <v>3830</v>
      </c>
      <c r="S2204" s="9" t="s">
        <v>106</v>
      </c>
      <c r="T2204" s="9" t="s">
        <v>106</v>
      </c>
      <c r="U2204" s="9" t="s">
        <v>106</v>
      </c>
      <c r="V2204" s="9" t="s">
        <v>106</v>
      </c>
      <c r="W2204" s="9" t="s">
        <v>106</v>
      </c>
      <c r="X2204" s="9" t="s">
        <v>106</v>
      </c>
      <c r="Y2204" s="9" t="s">
        <v>106</v>
      </c>
      <c r="Z2204" s="9" t="s">
        <v>106</v>
      </c>
      <c r="AA2204" s="9">
        <v>66.3</v>
      </c>
      <c r="AB2204" s="9">
        <v>66.7</v>
      </c>
      <c r="AC2204" s="9" t="s">
        <v>5100</v>
      </c>
      <c r="AD2204" s="9" t="s">
        <v>5100</v>
      </c>
    </row>
    <row r="2205" spans="1:30">
      <c r="A2205" s="9" t="s">
        <v>4810</v>
      </c>
      <c r="B2205" s="9" t="s">
        <v>4923</v>
      </c>
      <c r="C2205" s="9" t="s">
        <v>105</v>
      </c>
      <c r="D2205" s="9">
        <v>18.2</v>
      </c>
      <c r="E2205" s="9" t="s">
        <v>106</v>
      </c>
      <c r="F2205" s="9">
        <v>500</v>
      </c>
      <c r="G2205" s="9" t="s">
        <v>106</v>
      </c>
      <c r="H2205" s="9">
        <v>15.7</v>
      </c>
      <c r="I2205" s="9">
        <v>10</v>
      </c>
      <c r="J2205" s="9" t="s">
        <v>122</v>
      </c>
      <c r="K2205" s="9" t="s">
        <v>4921</v>
      </c>
      <c r="L2205" t="str">
        <f>IF(OR(J2205="Cattle",J2205="Zebu Cattle"),IF(COUNTIF(lists!$M$2:$M$258, K2205) &gt; 0,"bos.indicus",IF(COUNTIF(lists!$L$2:$L$258, K2205) &gt; 0,"cross.bred","pure.bred.exotic")),"NA")</f>
        <v>pure.bred.exotic</v>
      </c>
      <c r="O2205" s="9" t="s">
        <v>4194</v>
      </c>
      <c r="P2205" s="9" t="s">
        <v>4045</v>
      </c>
      <c r="Q2205" s="9" t="s">
        <v>3809</v>
      </c>
      <c r="R2205" s="9" t="s">
        <v>3830</v>
      </c>
      <c r="S2205" s="9" t="s">
        <v>106</v>
      </c>
      <c r="T2205" s="9" t="s">
        <v>106</v>
      </c>
      <c r="U2205" s="9" t="s">
        <v>106</v>
      </c>
      <c r="V2205" s="9" t="s">
        <v>106</v>
      </c>
      <c r="W2205" s="9" t="s">
        <v>106</v>
      </c>
      <c r="X2205" s="9" t="s">
        <v>106</v>
      </c>
      <c r="Y2205" s="9" t="s">
        <v>106</v>
      </c>
      <c r="Z2205" s="9" t="s">
        <v>106</v>
      </c>
      <c r="AA2205" s="9">
        <v>74.3</v>
      </c>
      <c r="AB2205" s="9">
        <v>74.099999999999994</v>
      </c>
      <c r="AC2205" s="9" t="s">
        <v>5100</v>
      </c>
      <c r="AD2205" s="9" t="s">
        <v>5100</v>
      </c>
    </row>
    <row r="2206" spans="1:30">
      <c r="A2206" s="9" t="s">
        <v>4811</v>
      </c>
      <c r="B2206" s="9" t="s">
        <v>4840</v>
      </c>
      <c r="C2206" s="9" t="s">
        <v>105</v>
      </c>
      <c r="D2206" s="9">
        <v>14.3</v>
      </c>
      <c r="E2206" s="9" t="s">
        <v>106</v>
      </c>
      <c r="F2206" s="9">
        <v>419</v>
      </c>
      <c r="G2206" s="9" t="s">
        <v>106</v>
      </c>
      <c r="H2206" s="9">
        <v>8.31</v>
      </c>
      <c r="I2206" s="9">
        <v>4</v>
      </c>
      <c r="J2206" s="9" t="s">
        <v>122</v>
      </c>
      <c r="K2206" s="9" t="s">
        <v>4897</v>
      </c>
      <c r="L2206" t="str">
        <f>IF(OR(J2206="Cattle",J2206="Zebu Cattle"),IF(COUNTIF(lists!$M$2:$M$258, K2206) &gt; 0,"bos.indicus",IF(COUNTIF(lists!$L$2:$L$258, K2206) &gt; 0,"cross.bred","pure.bred.exotic")),"NA")</f>
        <v>cross.bred</v>
      </c>
      <c r="O2206" s="9" t="s">
        <v>124</v>
      </c>
      <c r="P2206" s="9" t="s">
        <v>4045</v>
      </c>
      <c r="Q2206" s="9" t="s">
        <v>3809</v>
      </c>
      <c r="R2206" s="9" t="s">
        <v>3830</v>
      </c>
      <c r="S2206" s="9" t="s">
        <v>106</v>
      </c>
      <c r="T2206" s="9" t="s">
        <v>106</v>
      </c>
      <c r="U2206" s="9" t="s">
        <v>106</v>
      </c>
      <c r="V2206" s="9" t="s">
        <v>106</v>
      </c>
      <c r="W2206" s="9" t="s">
        <v>106</v>
      </c>
      <c r="X2206" s="9" t="s">
        <v>106</v>
      </c>
      <c r="Y2206" s="9" t="s">
        <v>106</v>
      </c>
      <c r="Z2206" s="9" t="s">
        <v>106</v>
      </c>
      <c r="AA2206" s="9">
        <v>57.4</v>
      </c>
      <c r="AB2206" s="9">
        <v>62.1</v>
      </c>
      <c r="AC2206" s="9" t="s">
        <v>5100</v>
      </c>
      <c r="AD2206" s="9" t="s">
        <v>5100</v>
      </c>
    </row>
    <row r="2207" spans="1:30">
      <c r="A2207" s="9" t="s">
        <v>4811</v>
      </c>
      <c r="B2207" s="9" t="s">
        <v>4841</v>
      </c>
      <c r="C2207" s="9" t="s">
        <v>105</v>
      </c>
      <c r="D2207" s="9">
        <v>14.7</v>
      </c>
      <c r="E2207" s="9" t="s">
        <v>106</v>
      </c>
      <c r="F2207" s="9">
        <v>434</v>
      </c>
      <c r="G2207" s="9" t="s">
        <v>106</v>
      </c>
      <c r="H2207" s="9">
        <v>8.2200000000000006</v>
      </c>
      <c r="I2207" s="9">
        <v>4</v>
      </c>
      <c r="J2207" s="9" t="s">
        <v>122</v>
      </c>
      <c r="K2207" s="9" t="s">
        <v>4897</v>
      </c>
      <c r="L2207" t="str">
        <f>IF(OR(J2207="Cattle",J2207="Zebu Cattle"),IF(COUNTIF(lists!$M$2:$M$258, K2207) &gt; 0,"bos.indicus",IF(COUNTIF(lists!$L$2:$L$258, K2207) &gt; 0,"cross.bred","pure.bred.exotic")),"NA")</f>
        <v>cross.bred</v>
      </c>
      <c r="O2207" s="9" t="s">
        <v>124</v>
      </c>
      <c r="P2207" s="9" t="s">
        <v>4045</v>
      </c>
      <c r="Q2207" s="9" t="s">
        <v>3809</v>
      </c>
      <c r="R2207" s="9" t="s">
        <v>3830</v>
      </c>
      <c r="S2207" s="9" t="s">
        <v>106</v>
      </c>
      <c r="T2207" s="9" t="s">
        <v>106</v>
      </c>
      <c r="U2207" s="9" t="s">
        <v>106</v>
      </c>
      <c r="V2207" s="9" t="s">
        <v>106</v>
      </c>
      <c r="W2207" s="9" t="s">
        <v>106</v>
      </c>
      <c r="X2207" s="9" t="s">
        <v>106</v>
      </c>
      <c r="Y2207" s="9" t="s">
        <v>106</v>
      </c>
      <c r="Z2207" s="9" t="s">
        <v>106</v>
      </c>
      <c r="AA2207" s="9">
        <v>61.4</v>
      </c>
      <c r="AB2207" s="9">
        <v>65.959999999999994</v>
      </c>
      <c r="AC2207" s="9" t="s">
        <v>5100</v>
      </c>
      <c r="AD2207" s="9" t="s">
        <v>5100</v>
      </c>
    </row>
    <row r="2208" spans="1:30">
      <c r="A2208" s="9" t="s">
        <v>4811</v>
      </c>
      <c r="B2208" s="9" t="s">
        <v>4842</v>
      </c>
      <c r="C2208" s="9" t="s">
        <v>105</v>
      </c>
      <c r="D2208" s="9">
        <v>13.67</v>
      </c>
      <c r="E2208" s="9" t="s">
        <v>106</v>
      </c>
      <c r="F2208" s="9">
        <v>441</v>
      </c>
      <c r="G2208" s="9" t="s">
        <v>106</v>
      </c>
      <c r="H2208" s="9">
        <v>8.67</v>
      </c>
      <c r="I2208" s="9">
        <v>4</v>
      </c>
      <c r="J2208" s="9" t="s">
        <v>122</v>
      </c>
      <c r="K2208" s="9" t="s">
        <v>4897</v>
      </c>
      <c r="L2208" t="str">
        <f>IF(OR(J2208="Cattle",J2208="Zebu Cattle"),IF(COUNTIF(lists!$M$2:$M$258, K2208) &gt; 0,"bos.indicus",IF(COUNTIF(lists!$L$2:$L$258, K2208) &gt; 0,"cross.bred","pure.bred.exotic")),"NA")</f>
        <v>cross.bred</v>
      </c>
      <c r="O2208" s="9" t="s">
        <v>124</v>
      </c>
      <c r="P2208" s="9" t="s">
        <v>4045</v>
      </c>
      <c r="Q2208" s="9" t="s">
        <v>3809</v>
      </c>
      <c r="R2208" s="9" t="s">
        <v>3830</v>
      </c>
      <c r="S2208" s="9" t="s">
        <v>106</v>
      </c>
      <c r="T2208" s="9" t="s">
        <v>106</v>
      </c>
      <c r="U2208" s="9" t="s">
        <v>106</v>
      </c>
      <c r="V2208" s="9" t="s">
        <v>106</v>
      </c>
      <c r="W2208" s="9" t="s">
        <v>106</v>
      </c>
      <c r="X2208" s="9" t="s">
        <v>106</v>
      </c>
      <c r="Y2208" s="9" t="s">
        <v>106</v>
      </c>
      <c r="Z2208" s="9" t="s">
        <v>106</v>
      </c>
      <c r="AA2208" s="9">
        <v>63</v>
      </c>
      <c r="AB2208" s="9">
        <v>67.7</v>
      </c>
      <c r="AC2208" s="9" t="s">
        <v>5100</v>
      </c>
      <c r="AD2208" s="9" t="s">
        <v>5100</v>
      </c>
    </row>
    <row r="2209" spans="1:30">
      <c r="A2209" s="9" t="s">
        <v>4811</v>
      </c>
      <c r="B2209" s="9" t="s">
        <v>4843</v>
      </c>
      <c r="C2209" s="9" t="s">
        <v>105</v>
      </c>
      <c r="D2209" s="9">
        <v>14.41</v>
      </c>
      <c r="E2209" s="9" t="s">
        <v>106</v>
      </c>
      <c r="F2209" s="9">
        <v>459</v>
      </c>
      <c r="G2209" s="9" t="s">
        <v>106</v>
      </c>
      <c r="H2209" s="9">
        <v>9.6</v>
      </c>
      <c r="I2209" s="9">
        <v>4</v>
      </c>
      <c r="J2209" s="9" t="s">
        <v>122</v>
      </c>
      <c r="K2209" s="9" t="s">
        <v>4897</v>
      </c>
      <c r="L2209" t="str">
        <f>IF(OR(J2209="Cattle",J2209="Zebu Cattle"),IF(COUNTIF(lists!$M$2:$M$258, K2209) &gt; 0,"bos.indicus",IF(COUNTIF(lists!$L$2:$L$258, K2209) &gt; 0,"cross.bred","pure.bred.exotic")),"NA")</f>
        <v>cross.bred</v>
      </c>
      <c r="O2209" s="9" t="s">
        <v>124</v>
      </c>
      <c r="P2209" s="9" t="s">
        <v>4045</v>
      </c>
      <c r="Q2209" s="9" t="s">
        <v>3809</v>
      </c>
      <c r="R2209" s="9" t="s">
        <v>3830</v>
      </c>
      <c r="S2209" s="9" t="s">
        <v>106</v>
      </c>
      <c r="T2209" s="9" t="s">
        <v>106</v>
      </c>
      <c r="U2209" s="9" t="s">
        <v>106</v>
      </c>
      <c r="V2209" s="9" t="s">
        <v>106</v>
      </c>
      <c r="W2209" s="9" t="s">
        <v>106</v>
      </c>
      <c r="X2209" s="9" t="s">
        <v>106</v>
      </c>
      <c r="Y2209" s="9" t="s">
        <v>106</v>
      </c>
      <c r="Z2209" s="9" t="s">
        <v>106</v>
      </c>
      <c r="AA2209" s="9">
        <v>61.2</v>
      </c>
      <c r="AB2209" s="9">
        <v>65.7</v>
      </c>
      <c r="AC2209" s="9" t="s">
        <v>5100</v>
      </c>
      <c r="AD2209" s="9" t="s">
        <v>5100</v>
      </c>
    </row>
    <row r="2210" spans="1:30">
      <c r="A2210" s="9" t="s">
        <v>4812</v>
      </c>
      <c r="B2210" s="9" t="s">
        <v>4844</v>
      </c>
      <c r="C2210" s="9" t="s">
        <v>105</v>
      </c>
      <c r="D2210" s="9">
        <v>3.8</v>
      </c>
      <c r="E2210" s="9" t="s">
        <v>106</v>
      </c>
      <c r="F2210" s="9">
        <v>173</v>
      </c>
      <c r="G2210" s="9" t="s">
        <v>106</v>
      </c>
      <c r="H2210" s="9" t="s">
        <v>106</v>
      </c>
      <c r="I2210" s="9">
        <v>4</v>
      </c>
      <c r="J2210" s="9" t="s">
        <v>122</v>
      </c>
      <c r="K2210" s="9" t="s">
        <v>4927</v>
      </c>
      <c r="L2210" t="str">
        <f>IF(OR(J2210="Cattle",J2210="Zebu Cattle"),IF(COUNTIF(lists!$M$2:$M$258, K2210) &gt; 0,"bos.indicus",IF(COUNTIF(lists!$L$2:$L$258, K2210) &gt; 0,"cross.bred","pure.bred.exotic")),"NA")</f>
        <v>pure.bred.exotic</v>
      </c>
      <c r="O2210" s="9" t="s">
        <v>4194</v>
      </c>
      <c r="P2210" s="9" t="s">
        <v>4929</v>
      </c>
      <c r="Q2210" s="9" t="s">
        <v>3802</v>
      </c>
      <c r="R2210" s="9" t="s">
        <v>3829</v>
      </c>
      <c r="S2210" s="9">
        <v>405</v>
      </c>
      <c r="T2210" s="9">
        <v>194</v>
      </c>
      <c r="U2210" s="9">
        <v>74</v>
      </c>
      <c r="V2210" s="9" t="s">
        <v>106</v>
      </c>
      <c r="W2210" s="9" t="s">
        <v>106</v>
      </c>
      <c r="X2210" s="9">
        <v>644</v>
      </c>
      <c r="Y2210" s="9">
        <v>66.5</v>
      </c>
      <c r="Z2210" s="9" t="s">
        <v>106</v>
      </c>
      <c r="AA2210" s="9" t="s">
        <v>106</v>
      </c>
      <c r="AB2210" s="9">
        <v>61.7</v>
      </c>
      <c r="AC2210" s="9" t="s">
        <v>5100</v>
      </c>
      <c r="AD2210" s="9" t="s">
        <v>5100</v>
      </c>
    </row>
    <row r="2211" spans="1:30">
      <c r="A2211" s="9" t="s">
        <v>4812</v>
      </c>
      <c r="B2211" s="9" t="s">
        <v>4845</v>
      </c>
      <c r="C2211" s="9" t="s">
        <v>105</v>
      </c>
      <c r="D2211" s="9">
        <v>1.9</v>
      </c>
      <c r="E2211" s="9" t="s">
        <v>106</v>
      </c>
      <c r="F2211" s="9">
        <v>173</v>
      </c>
      <c r="G2211" s="9" t="s">
        <v>106</v>
      </c>
      <c r="H2211" s="9" t="s">
        <v>106</v>
      </c>
      <c r="I2211" s="9">
        <v>4</v>
      </c>
      <c r="J2211" s="9" t="s">
        <v>122</v>
      </c>
      <c r="K2211" s="9" t="s">
        <v>4927</v>
      </c>
      <c r="L2211" t="str">
        <f>IF(OR(J2211="Cattle",J2211="Zebu Cattle"),IF(COUNTIF(lists!$M$2:$M$258, K2211) &gt; 0,"bos.indicus",IF(COUNTIF(lists!$L$2:$L$258, K2211) &gt; 0,"cross.bred","pure.bred.exotic")),"NA")</f>
        <v>pure.bred.exotic</v>
      </c>
      <c r="O2211" s="9" t="s">
        <v>4194</v>
      </c>
      <c r="P2211" s="9" t="s">
        <v>4929</v>
      </c>
      <c r="Q2211" s="9" t="s">
        <v>3802</v>
      </c>
      <c r="R2211" s="9" t="s">
        <v>3829</v>
      </c>
      <c r="S2211" s="9">
        <v>405</v>
      </c>
      <c r="T2211" s="9">
        <v>194</v>
      </c>
      <c r="U2211" s="9">
        <v>74</v>
      </c>
      <c r="V2211" s="9" t="s">
        <v>106</v>
      </c>
      <c r="W2211" s="9" t="s">
        <v>106</v>
      </c>
      <c r="X2211" s="9">
        <v>644</v>
      </c>
      <c r="Y2211" s="9">
        <v>59.7</v>
      </c>
      <c r="Z2211" s="9" t="s">
        <v>106</v>
      </c>
      <c r="AA2211" s="9" t="s">
        <v>106</v>
      </c>
      <c r="AB2211" s="9">
        <v>53.3</v>
      </c>
      <c r="AC2211" s="9" t="s">
        <v>5100</v>
      </c>
      <c r="AD2211" s="9" t="s">
        <v>5100</v>
      </c>
    </row>
    <row r="2212" spans="1:30">
      <c r="A2212" s="9" t="s">
        <v>4812</v>
      </c>
      <c r="B2212" s="9" t="s">
        <v>4846</v>
      </c>
      <c r="C2212" s="9" t="s">
        <v>105</v>
      </c>
      <c r="D2212" s="9">
        <v>4</v>
      </c>
      <c r="E2212" s="9" t="s">
        <v>106</v>
      </c>
      <c r="F2212" s="9">
        <v>173</v>
      </c>
      <c r="G2212" s="9" t="s">
        <v>106</v>
      </c>
      <c r="H2212" s="9" t="s">
        <v>106</v>
      </c>
      <c r="I2212" s="9">
        <v>4</v>
      </c>
      <c r="J2212" s="9" t="s">
        <v>122</v>
      </c>
      <c r="K2212" s="9" t="s">
        <v>4927</v>
      </c>
      <c r="L2212" t="str">
        <f>IF(OR(J2212="Cattle",J2212="Zebu Cattle"),IF(COUNTIF(lists!$M$2:$M$258, K2212) &gt; 0,"bos.indicus",IF(COUNTIF(lists!$L$2:$L$258, K2212) &gt; 0,"cross.bred","pure.bred.exotic")),"NA")</f>
        <v>pure.bred.exotic</v>
      </c>
      <c r="O2212" s="9" t="s">
        <v>4194</v>
      </c>
      <c r="P2212" s="9" t="s">
        <v>4929</v>
      </c>
      <c r="Q2212" s="9" t="s">
        <v>3802</v>
      </c>
      <c r="R2212" s="9" t="s">
        <v>3829</v>
      </c>
      <c r="S2212" s="9">
        <v>392</v>
      </c>
      <c r="T2212" s="9">
        <v>191</v>
      </c>
      <c r="U2212" s="9">
        <v>93</v>
      </c>
      <c r="V2212" s="9" t="s">
        <v>106</v>
      </c>
      <c r="W2212" s="9" t="s">
        <v>106</v>
      </c>
      <c r="X2212" s="9">
        <v>625</v>
      </c>
      <c r="Y2212" s="9">
        <v>65.8</v>
      </c>
      <c r="Z2212" s="9" t="s">
        <v>106</v>
      </c>
      <c r="AA2212" s="9" t="s">
        <v>106</v>
      </c>
      <c r="AB2212" s="9">
        <v>62.7</v>
      </c>
      <c r="AC2212" s="9" t="s">
        <v>5100</v>
      </c>
      <c r="AD2212" s="9" t="s">
        <v>5100</v>
      </c>
    </row>
    <row r="2213" spans="1:30">
      <c r="A2213" s="9" t="s">
        <v>4812</v>
      </c>
      <c r="B2213" s="9" t="s">
        <v>4847</v>
      </c>
      <c r="C2213" s="9" t="s">
        <v>105</v>
      </c>
      <c r="D2213" s="9">
        <v>2.1</v>
      </c>
      <c r="E2213" s="9" t="s">
        <v>106</v>
      </c>
      <c r="F2213" s="9">
        <v>173</v>
      </c>
      <c r="G2213" s="9" t="s">
        <v>106</v>
      </c>
      <c r="H2213" s="9" t="s">
        <v>106</v>
      </c>
      <c r="I2213" s="9">
        <v>4</v>
      </c>
      <c r="J2213" s="9" t="s">
        <v>122</v>
      </c>
      <c r="K2213" s="9" t="s">
        <v>4927</v>
      </c>
      <c r="L2213" t="str">
        <f>IF(OR(J2213="Cattle",J2213="Zebu Cattle"),IF(COUNTIF(lists!$M$2:$M$258, K2213) &gt; 0,"bos.indicus",IF(COUNTIF(lists!$L$2:$L$258, K2213) &gt; 0,"cross.bred","pure.bred.exotic")),"NA")</f>
        <v>pure.bred.exotic</v>
      </c>
      <c r="O2213" s="9" t="s">
        <v>4194</v>
      </c>
      <c r="P2213" s="9" t="s">
        <v>4929</v>
      </c>
      <c r="Q2213" s="9" t="s">
        <v>3802</v>
      </c>
      <c r="R2213" s="9" t="s">
        <v>3829</v>
      </c>
      <c r="S2213" s="9">
        <v>380</v>
      </c>
      <c r="T2213" s="9">
        <v>189</v>
      </c>
      <c r="U2213" s="9">
        <v>109</v>
      </c>
      <c r="V2213" s="9" t="s">
        <v>106</v>
      </c>
      <c r="W2213" s="9" t="s">
        <v>106</v>
      </c>
      <c r="X2213" s="9">
        <v>605</v>
      </c>
      <c r="Y2213" s="9">
        <v>56.9</v>
      </c>
      <c r="Z2213" s="9" t="s">
        <v>106</v>
      </c>
      <c r="AA2213" s="9" t="s">
        <v>106</v>
      </c>
      <c r="AB2213" s="9">
        <v>53</v>
      </c>
      <c r="AC2213" s="9" t="s">
        <v>5100</v>
      </c>
      <c r="AD2213" s="9" t="s">
        <v>5100</v>
      </c>
    </row>
    <row r="2214" spans="1:30">
      <c r="A2214" s="9" t="s">
        <v>4812</v>
      </c>
      <c r="B2214" s="9" t="s">
        <v>4848</v>
      </c>
      <c r="C2214" s="9" t="s">
        <v>105</v>
      </c>
      <c r="D2214" s="9">
        <v>4.8</v>
      </c>
      <c r="E2214" s="9" t="s">
        <v>106</v>
      </c>
      <c r="F2214" s="9">
        <v>234</v>
      </c>
      <c r="G2214" s="9" t="s">
        <v>106</v>
      </c>
      <c r="H2214" s="9" t="s">
        <v>106</v>
      </c>
      <c r="I2214" s="9">
        <v>4</v>
      </c>
      <c r="J2214" s="9" t="s">
        <v>122</v>
      </c>
      <c r="K2214" s="9" t="s">
        <v>4928</v>
      </c>
      <c r="L2214" t="str">
        <f>IF(OR(J2214="Cattle",J2214="Zebu Cattle"),IF(COUNTIF(lists!$M$2:$M$258, K2214) &gt; 0,"bos.indicus",IF(COUNTIF(lists!$L$2:$L$258, K2214) &gt; 0,"cross.bred","pure.bred.exotic")),"NA")</f>
        <v>bos.indicus</v>
      </c>
      <c r="O2214" s="9" t="s">
        <v>4193</v>
      </c>
      <c r="P2214" s="9" t="s">
        <v>4929</v>
      </c>
      <c r="Q2214" s="9" t="s">
        <v>3802</v>
      </c>
      <c r="R2214" s="9" t="s">
        <v>3829</v>
      </c>
      <c r="S2214" s="9">
        <v>405</v>
      </c>
      <c r="T2214" s="9">
        <v>194</v>
      </c>
      <c r="U2214" s="9">
        <v>74</v>
      </c>
      <c r="V2214" s="9" t="s">
        <v>106</v>
      </c>
      <c r="W2214" s="9" t="s">
        <v>106</v>
      </c>
      <c r="X2214" s="9">
        <v>644</v>
      </c>
      <c r="Y2214" s="9">
        <v>64.599999999999994</v>
      </c>
      <c r="Z2214" s="9" t="s">
        <v>106</v>
      </c>
      <c r="AA2214" s="9" t="s">
        <v>106</v>
      </c>
      <c r="AB2214" s="9">
        <v>59.6</v>
      </c>
      <c r="AC2214" s="9" t="s">
        <v>5100</v>
      </c>
      <c r="AD2214" s="9" t="s">
        <v>5100</v>
      </c>
    </row>
    <row r="2215" spans="1:30">
      <c r="A2215" s="9" t="s">
        <v>4812</v>
      </c>
      <c r="B2215" s="9" t="s">
        <v>4849</v>
      </c>
      <c r="C2215" s="9" t="s">
        <v>105</v>
      </c>
      <c r="D2215" s="9">
        <v>2.4</v>
      </c>
      <c r="E2215" s="9" t="s">
        <v>106</v>
      </c>
      <c r="F2215" s="9">
        <v>234</v>
      </c>
      <c r="G2215" s="9" t="s">
        <v>106</v>
      </c>
      <c r="H2215" s="9" t="s">
        <v>106</v>
      </c>
      <c r="I2215" s="9">
        <v>4</v>
      </c>
      <c r="J2215" s="9" t="s">
        <v>122</v>
      </c>
      <c r="K2215" s="9" t="s">
        <v>4928</v>
      </c>
      <c r="L2215" t="str">
        <f>IF(OR(J2215="Cattle",J2215="Zebu Cattle"),IF(COUNTIF(lists!$M$2:$M$258, K2215) &gt; 0,"bos.indicus",IF(COUNTIF(lists!$L$2:$L$258, K2215) &gt; 0,"cross.bred","pure.bred.exotic")),"NA")</f>
        <v>bos.indicus</v>
      </c>
      <c r="O2215" s="9" t="s">
        <v>4193</v>
      </c>
      <c r="P2215" s="9" t="s">
        <v>4929</v>
      </c>
      <c r="Q2215" s="9" t="s">
        <v>3802</v>
      </c>
      <c r="R2215" s="9" t="s">
        <v>3829</v>
      </c>
      <c r="S2215" s="9">
        <v>405</v>
      </c>
      <c r="T2215" s="9">
        <v>194</v>
      </c>
      <c r="U2215" s="9">
        <v>74</v>
      </c>
      <c r="V2215" s="9" t="s">
        <v>106</v>
      </c>
      <c r="W2215" s="9" t="s">
        <v>106</v>
      </c>
      <c r="X2215" s="9">
        <v>644</v>
      </c>
      <c r="Y2215" s="9">
        <v>61.1</v>
      </c>
      <c r="Z2215" s="9" t="s">
        <v>106</v>
      </c>
      <c r="AA2215" s="9" t="s">
        <v>106</v>
      </c>
      <c r="AB2215" s="9">
        <v>55.7</v>
      </c>
      <c r="AC2215" s="9" t="s">
        <v>5100</v>
      </c>
      <c r="AD2215" s="9" t="s">
        <v>5100</v>
      </c>
    </row>
    <row r="2216" spans="1:30">
      <c r="A2216" s="9" t="s">
        <v>4812</v>
      </c>
      <c r="B2216" s="9" t="s">
        <v>4850</v>
      </c>
      <c r="C2216" s="9" t="s">
        <v>105</v>
      </c>
      <c r="D2216" s="9">
        <v>5.0999999999999996</v>
      </c>
      <c r="E2216" s="9" t="s">
        <v>106</v>
      </c>
      <c r="F2216" s="9">
        <v>234</v>
      </c>
      <c r="G2216" s="9" t="s">
        <v>106</v>
      </c>
      <c r="H2216" s="9" t="s">
        <v>106</v>
      </c>
      <c r="I2216" s="9">
        <v>4</v>
      </c>
      <c r="J2216" s="9" t="s">
        <v>122</v>
      </c>
      <c r="K2216" s="9" t="s">
        <v>4928</v>
      </c>
      <c r="L2216" t="str">
        <f>IF(OR(J2216="Cattle",J2216="Zebu Cattle"),IF(COUNTIF(lists!$M$2:$M$258, K2216) &gt; 0,"bos.indicus",IF(COUNTIF(lists!$L$2:$L$258, K2216) &gt; 0,"cross.bred","pure.bred.exotic")),"NA")</f>
        <v>bos.indicus</v>
      </c>
      <c r="O2216" s="9" t="s">
        <v>4193</v>
      </c>
      <c r="P2216" s="9" t="s">
        <v>4929</v>
      </c>
      <c r="Q2216" s="9" t="s">
        <v>3802</v>
      </c>
      <c r="R2216" s="9" t="s">
        <v>3829</v>
      </c>
      <c r="S2216" s="9">
        <v>392</v>
      </c>
      <c r="T2216" s="9">
        <v>191</v>
      </c>
      <c r="U2216" s="9">
        <v>93</v>
      </c>
      <c r="V2216" s="9" t="s">
        <v>106</v>
      </c>
      <c r="W2216" s="9" t="s">
        <v>106</v>
      </c>
      <c r="X2216" s="9">
        <v>625</v>
      </c>
      <c r="Y2216" s="9">
        <v>67.3</v>
      </c>
      <c r="Z2216" s="9" t="s">
        <v>106</v>
      </c>
      <c r="AA2216" s="9" t="s">
        <v>106</v>
      </c>
      <c r="AB2216" s="9">
        <v>62.1</v>
      </c>
      <c r="AC2216" s="9" t="s">
        <v>5100</v>
      </c>
      <c r="AD2216" s="9" t="s">
        <v>5100</v>
      </c>
    </row>
    <row r="2217" spans="1:30">
      <c r="A2217" s="9" t="s">
        <v>4812</v>
      </c>
      <c r="B2217" s="9" t="s">
        <v>4851</v>
      </c>
      <c r="C2217" s="9" t="s">
        <v>105</v>
      </c>
      <c r="D2217" s="9">
        <v>2.6</v>
      </c>
      <c r="E2217" s="9" t="s">
        <v>106</v>
      </c>
      <c r="F2217" s="9">
        <v>234</v>
      </c>
      <c r="G2217" s="9" t="s">
        <v>106</v>
      </c>
      <c r="H2217" s="9" t="s">
        <v>106</v>
      </c>
      <c r="I2217" s="9">
        <v>4</v>
      </c>
      <c r="J2217" s="9" t="s">
        <v>122</v>
      </c>
      <c r="K2217" s="9" t="s">
        <v>4928</v>
      </c>
      <c r="L2217" t="str">
        <f>IF(OR(J2217="Cattle",J2217="Zebu Cattle"),IF(COUNTIF(lists!$M$2:$M$258, K2217) &gt; 0,"bos.indicus",IF(COUNTIF(lists!$L$2:$L$258, K2217) &gt; 0,"cross.bred","pure.bred.exotic")),"NA")</f>
        <v>bos.indicus</v>
      </c>
      <c r="O2217" s="9" t="s">
        <v>4193</v>
      </c>
      <c r="P2217" s="9" t="s">
        <v>4929</v>
      </c>
      <c r="Q2217" s="9" t="s">
        <v>3802</v>
      </c>
      <c r="R2217" s="9" t="s">
        <v>3829</v>
      </c>
      <c r="S2217" s="9">
        <v>380</v>
      </c>
      <c r="T2217" s="9">
        <v>189</v>
      </c>
      <c r="U2217" s="9">
        <v>109</v>
      </c>
      <c r="V2217" s="9" t="s">
        <v>106</v>
      </c>
      <c r="W2217" s="9" t="s">
        <v>106</v>
      </c>
      <c r="X2217" s="9">
        <v>605</v>
      </c>
      <c r="Y2217" s="9">
        <v>56.3</v>
      </c>
      <c r="Z2217" s="9" t="s">
        <v>106</v>
      </c>
      <c r="AA2217" s="9" t="s">
        <v>106</v>
      </c>
      <c r="AB2217" s="9">
        <v>52.6</v>
      </c>
      <c r="AC2217" s="9" t="s">
        <v>5100</v>
      </c>
      <c r="AD2217" s="9" t="s">
        <v>5100</v>
      </c>
    </row>
    <row r="2218" spans="1:30">
      <c r="A2218" s="9" t="s">
        <v>4813</v>
      </c>
      <c r="B2218" s="9" t="s">
        <v>4852</v>
      </c>
      <c r="C2218" s="9" t="s">
        <v>105</v>
      </c>
      <c r="D2218" s="9">
        <v>3.91</v>
      </c>
      <c r="E2218" s="9" t="s">
        <v>106</v>
      </c>
      <c r="F2218" s="9">
        <v>208</v>
      </c>
      <c r="G2218" s="9" t="s">
        <v>106</v>
      </c>
      <c r="H2218" s="9" t="s">
        <v>106</v>
      </c>
      <c r="I2218" s="9">
        <v>4</v>
      </c>
      <c r="J2218" s="9" t="s">
        <v>122</v>
      </c>
      <c r="K2218" s="9" t="s">
        <v>4928</v>
      </c>
      <c r="L2218" t="str">
        <f>IF(OR(J2218="Cattle",J2218="Zebu Cattle"),IF(COUNTIF(lists!$M$2:$M$258, K2218) &gt; 0,"bos.indicus",IF(COUNTIF(lists!$L$2:$L$258, K2218) &gt; 0,"cross.bred","pure.bred.exotic")),"NA")</f>
        <v>bos.indicus</v>
      </c>
      <c r="O2218" s="9" t="s">
        <v>4193</v>
      </c>
      <c r="P2218" s="9" t="s">
        <v>4929</v>
      </c>
      <c r="Q2218" s="9" t="s">
        <v>3802</v>
      </c>
      <c r="R2218" s="9" t="s">
        <v>3829</v>
      </c>
      <c r="S2218" s="9">
        <v>428</v>
      </c>
      <c r="T2218" s="9">
        <v>136</v>
      </c>
      <c r="U2218" s="9">
        <v>124</v>
      </c>
      <c r="V2218" s="9" t="s">
        <v>106</v>
      </c>
      <c r="W2218" s="9" t="s">
        <v>106</v>
      </c>
      <c r="X2218" s="9">
        <v>712</v>
      </c>
      <c r="Y2218" s="9">
        <v>73.3</v>
      </c>
      <c r="Z2218" s="9" t="s">
        <v>106</v>
      </c>
      <c r="AA2218" s="9">
        <v>59.6</v>
      </c>
      <c r="AB2218" s="9">
        <v>64.5</v>
      </c>
      <c r="AC2218" s="9" t="s">
        <v>5100</v>
      </c>
      <c r="AD2218" s="9" t="s">
        <v>5100</v>
      </c>
    </row>
    <row r="2219" spans="1:30">
      <c r="A2219" s="9" t="s">
        <v>4813</v>
      </c>
      <c r="B2219" s="9" t="s">
        <v>4853</v>
      </c>
      <c r="C2219" s="9" t="s">
        <v>105</v>
      </c>
      <c r="D2219" s="9">
        <v>1.3</v>
      </c>
      <c r="E2219" s="9" t="s">
        <v>106</v>
      </c>
      <c r="F2219" s="9">
        <v>208</v>
      </c>
      <c r="G2219" s="9" t="s">
        <v>106</v>
      </c>
      <c r="H2219" s="9" t="s">
        <v>106</v>
      </c>
      <c r="I2219" s="9">
        <v>4</v>
      </c>
      <c r="J2219" s="9" t="s">
        <v>122</v>
      </c>
      <c r="K2219" s="9" t="s">
        <v>4928</v>
      </c>
      <c r="L2219" t="str">
        <f>IF(OR(J2219="Cattle",J2219="Zebu Cattle"),IF(COUNTIF(lists!$M$2:$M$258, K2219) &gt; 0,"bos.indicus",IF(COUNTIF(lists!$L$2:$L$258, K2219) &gt; 0,"cross.bred","pure.bred.exotic")),"NA")</f>
        <v>bos.indicus</v>
      </c>
      <c r="O2219" s="9" t="s">
        <v>4193</v>
      </c>
      <c r="P2219" s="9" t="s">
        <v>4929</v>
      </c>
      <c r="Q2219" s="9" t="s">
        <v>3802</v>
      </c>
      <c r="R2219" s="9" t="s">
        <v>3829</v>
      </c>
      <c r="S2219" s="9">
        <v>428</v>
      </c>
      <c r="T2219" s="9">
        <v>136</v>
      </c>
      <c r="U2219" s="9">
        <v>124</v>
      </c>
      <c r="V2219" s="9" t="s">
        <v>106</v>
      </c>
      <c r="W2219" s="9" t="s">
        <v>106</v>
      </c>
      <c r="X2219" s="9">
        <v>712</v>
      </c>
      <c r="Y2219" s="9">
        <v>64.599999999999994</v>
      </c>
      <c r="Z2219" s="9" t="s">
        <v>106</v>
      </c>
      <c r="AA2219" s="9">
        <v>48.7</v>
      </c>
      <c r="AB2219" s="9">
        <v>53.7</v>
      </c>
      <c r="AC2219" s="9" t="s">
        <v>5100</v>
      </c>
      <c r="AD2219" s="9" t="s">
        <v>5100</v>
      </c>
    </row>
    <row r="2220" spans="1:30">
      <c r="A2220" s="9" t="s">
        <v>4814</v>
      </c>
      <c r="B2220" s="9" t="s">
        <v>455</v>
      </c>
      <c r="C2220" s="9" t="s">
        <v>105</v>
      </c>
      <c r="D2220" s="9">
        <v>19</v>
      </c>
      <c r="E2220" s="9" t="s">
        <v>106</v>
      </c>
      <c r="F2220" s="9">
        <v>530</v>
      </c>
      <c r="G2220" s="9">
        <v>0.19</v>
      </c>
      <c r="H2220" s="9">
        <v>11.5</v>
      </c>
      <c r="I2220" s="9">
        <v>10</v>
      </c>
      <c r="J2220" s="9" t="s">
        <v>122</v>
      </c>
      <c r="K2220" s="9" t="s">
        <v>4796</v>
      </c>
      <c r="L2220" t="str">
        <f>IF(OR(J2220="Cattle",J2220="Zebu Cattle"),IF(COUNTIF(lists!$M$2:$M$258, K2220) &gt; 0,"bos.indicus",IF(COUNTIF(lists!$L$2:$L$258, K2220) &gt; 0,"cross.bred","pure.bred.exotic")),"NA")</f>
        <v>pure.bred.exotic</v>
      </c>
      <c r="O2220" s="9" t="s">
        <v>4194</v>
      </c>
      <c r="P2220" s="9" t="s">
        <v>4045</v>
      </c>
      <c r="Q2220" s="9" t="s">
        <v>3809</v>
      </c>
      <c r="R2220" s="9" t="s">
        <v>3830</v>
      </c>
      <c r="S2220" s="9">
        <v>284.60000000000002</v>
      </c>
      <c r="T2220" s="9">
        <v>57.6</v>
      </c>
      <c r="U2220" s="9">
        <v>121.8</v>
      </c>
      <c r="V2220" s="9">
        <v>369.2</v>
      </c>
      <c r="W2220" s="9">
        <v>18.2</v>
      </c>
      <c r="X2220" s="9">
        <v>446.8</v>
      </c>
      <c r="Y2220" s="9">
        <v>61.4</v>
      </c>
      <c r="Z2220" s="9">
        <v>76.599999999999994</v>
      </c>
      <c r="AA2220" s="9" t="s">
        <v>106</v>
      </c>
      <c r="AB2220" s="9">
        <v>65.599999999999994</v>
      </c>
      <c r="AC2220" s="9" t="s">
        <v>5100</v>
      </c>
      <c r="AD2220" s="9" t="s">
        <v>5100</v>
      </c>
    </row>
    <row r="2221" spans="1:30">
      <c r="A2221" s="9" t="s">
        <v>4814</v>
      </c>
      <c r="B2221" s="9" t="s">
        <v>4854</v>
      </c>
      <c r="C2221" s="9" t="s">
        <v>105</v>
      </c>
      <c r="D2221" s="9">
        <v>20.3</v>
      </c>
      <c r="E2221" s="9" t="s">
        <v>106</v>
      </c>
      <c r="F2221" s="9">
        <v>525</v>
      </c>
      <c r="G2221" s="9">
        <v>0.22</v>
      </c>
      <c r="H2221" s="9">
        <v>13.3</v>
      </c>
      <c r="I2221" s="9">
        <v>10</v>
      </c>
      <c r="J2221" s="9" t="s">
        <v>122</v>
      </c>
      <c r="K2221" s="9" t="s">
        <v>4796</v>
      </c>
      <c r="L2221" t="str">
        <f>IF(OR(J2221="Cattle",J2221="Zebu Cattle"),IF(COUNTIF(lists!$M$2:$M$258, K2221) &gt; 0,"bos.indicus",IF(COUNTIF(lists!$L$2:$L$258, K2221) &gt; 0,"cross.bred","pure.bred.exotic")),"NA")</f>
        <v>pure.bred.exotic</v>
      </c>
      <c r="O2221" s="9" t="s">
        <v>4194</v>
      </c>
      <c r="P2221" s="9" t="s">
        <v>4045</v>
      </c>
      <c r="Q2221" s="9" t="s">
        <v>3809</v>
      </c>
      <c r="R2221" s="9" t="s">
        <v>3830</v>
      </c>
      <c r="S2221" s="9">
        <v>284.60000000000002</v>
      </c>
      <c r="T2221" s="9">
        <v>57.6</v>
      </c>
      <c r="U2221" s="9">
        <v>121.8</v>
      </c>
      <c r="V2221" s="9">
        <v>369.2</v>
      </c>
      <c r="W2221" s="9">
        <v>18.2</v>
      </c>
      <c r="X2221" s="9">
        <v>446.8</v>
      </c>
      <c r="Y2221" s="9">
        <v>63</v>
      </c>
      <c r="Z2221" s="9">
        <v>76.599999999999994</v>
      </c>
      <c r="AA2221" s="9" t="s">
        <v>106</v>
      </c>
      <c r="AB2221" s="9">
        <v>68.400000000000006</v>
      </c>
      <c r="AC2221" s="9" t="s">
        <v>5100</v>
      </c>
      <c r="AD2221" s="9" t="s">
        <v>5100</v>
      </c>
    </row>
    <row r="2222" spans="1:30">
      <c r="A2222" s="9" t="s">
        <v>4814</v>
      </c>
      <c r="B2222" s="9" t="s">
        <v>4855</v>
      </c>
      <c r="C2222" s="9" t="s">
        <v>105</v>
      </c>
      <c r="D2222" s="9">
        <v>20.3</v>
      </c>
      <c r="E2222" s="9" t="s">
        <v>106</v>
      </c>
      <c r="F2222" s="9">
        <v>534</v>
      </c>
      <c r="G2222" s="9">
        <v>0.27</v>
      </c>
      <c r="H2222" s="9">
        <v>13.2</v>
      </c>
      <c r="I2222" s="9">
        <v>10</v>
      </c>
      <c r="J2222" s="9" t="s">
        <v>122</v>
      </c>
      <c r="K2222" s="9" t="s">
        <v>4796</v>
      </c>
      <c r="L2222" t="str">
        <f>IF(OR(J2222="Cattle",J2222="Zebu Cattle"),IF(COUNTIF(lists!$M$2:$M$258, K2222) &gt; 0,"bos.indicus",IF(COUNTIF(lists!$L$2:$L$258, K2222) &gt; 0,"cross.bred","pure.bred.exotic")),"NA")</f>
        <v>pure.bred.exotic</v>
      </c>
      <c r="O2222" s="9" t="s">
        <v>4194</v>
      </c>
      <c r="P2222" s="9" t="s">
        <v>4045</v>
      </c>
      <c r="Q2222" s="9" t="s">
        <v>3809</v>
      </c>
      <c r="R2222" s="9" t="s">
        <v>3830</v>
      </c>
      <c r="S2222" s="9">
        <v>284.60000000000002</v>
      </c>
      <c r="T2222" s="9">
        <v>57.6</v>
      </c>
      <c r="U2222" s="9">
        <v>121.8</v>
      </c>
      <c r="V2222" s="9">
        <v>369.2</v>
      </c>
      <c r="W2222" s="9">
        <v>18.2</v>
      </c>
      <c r="X2222" s="9">
        <v>446.8</v>
      </c>
      <c r="Y2222" s="9">
        <v>63.1</v>
      </c>
      <c r="Z2222" s="9">
        <v>76.599999999999994</v>
      </c>
      <c r="AA2222" s="9" t="s">
        <v>106</v>
      </c>
      <c r="AB2222" s="9">
        <v>68.7</v>
      </c>
      <c r="AC2222" s="9" t="s">
        <v>5100</v>
      </c>
      <c r="AD2222" s="9" t="s">
        <v>5100</v>
      </c>
    </row>
    <row r="2223" spans="1:30">
      <c r="A2223" s="9" t="s">
        <v>4815</v>
      </c>
      <c r="B2223" s="9" t="s">
        <v>4856</v>
      </c>
      <c r="C2223" s="9" t="s">
        <v>105</v>
      </c>
      <c r="D2223" s="9">
        <v>12.6</v>
      </c>
      <c r="E2223" s="9" t="s">
        <v>106</v>
      </c>
      <c r="F2223" s="68">
        <v>400</v>
      </c>
      <c r="G2223" s="9" t="s">
        <v>106</v>
      </c>
      <c r="H2223" s="9">
        <v>11.3</v>
      </c>
      <c r="I2223" s="9">
        <v>16</v>
      </c>
      <c r="J2223" s="9" t="s">
        <v>122</v>
      </c>
      <c r="K2223" s="9" t="s">
        <v>4897</v>
      </c>
      <c r="L2223" t="str">
        <f>IF(OR(J2223="Cattle",J2223="Zebu Cattle"),IF(COUNTIF(lists!$M$2:$M$258, K2223) &gt; 0,"bos.indicus",IF(COUNTIF(lists!$L$2:$L$258, K2223) &gt; 0,"cross.bred","pure.bred.exotic")),"NA")</f>
        <v>cross.bred</v>
      </c>
      <c r="O2223" s="9" t="s">
        <v>124</v>
      </c>
      <c r="P2223" s="9" t="s">
        <v>4045</v>
      </c>
      <c r="Q2223" s="9" t="s">
        <v>3809</v>
      </c>
      <c r="R2223" s="9" t="s">
        <v>3829</v>
      </c>
      <c r="S2223" s="9" t="s">
        <v>106</v>
      </c>
      <c r="T2223" s="9" t="s">
        <v>106</v>
      </c>
      <c r="U2223" s="9" t="s">
        <v>106</v>
      </c>
      <c r="V2223" s="9" t="s">
        <v>106</v>
      </c>
      <c r="W2223" s="9" t="s">
        <v>106</v>
      </c>
      <c r="X2223" s="9" t="s">
        <v>106</v>
      </c>
      <c r="Y2223" s="9" t="s">
        <v>106</v>
      </c>
      <c r="Z2223" s="9" t="s">
        <v>106</v>
      </c>
      <c r="AA2223" s="9" t="s">
        <v>106</v>
      </c>
      <c r="AB2223" s="9" t="s">
        <v>106</v>
      </c>
      <c r="AC2223" s="9" t="s">
        <v>5100</v>
      </c>
      <c r="AD2223" s="9" t="s">
        <v>5100</v>
      </c>
    </row>
    <row r="2224" spans="1:30">
      <c r="A2224" s="9" t="s">
        <v>4815</v>
      </c>
      <c r="B2224" s="9" t="s">
        <v>4857</v>
      </c>
      <c r="C2224" s="9" t="s">
        <v>105</v>
      </c>
      <c r="D2224" s="9">
        <v>12.2</v>
      </c>
      <c r="E2224" s="9" t="s">
        <v>106</v>
      </c>
      <c r="F2224" s="68">
        <v>400</v>
      </c>
      <c r="G2224" s="9" t="s">
        <v>106</v>
      </c>
      <c r="H2224" s="9">
        <v>10.5</v>
      </c>
      <c r="I2224" s="9">
        <v>16</v>
      </c>
      <c r="J2224" s="9" t="s">
        <v>122</v>
      </c>
      <c r="K2224" s="9" t="s">
        <v>4897</v>
      </c>
      <c r="L2224" t="str">
        <f>IF(OR(J2224="Cattle",J2224="Zebu Cattle"),IF(COUNTIF(lists!$M$2:$M$258, K2224) &gt; 0,"bos.indicus",IF(COUNTIF(lists!$L$2:$L$258, K2224) &gt; 0,"cross.bred","pure.bred.exotic")),"NA")</f>
        <v>cross.bred</v>
      </c>
      <c r="O2224" s="9" t="s">
        <v>124</v>
      </c>
      <c r="P2224" s="9" t="s">
        <v>4045</v>
      </c>
      <c r="Q2224" s="9" t="s">
        <v>3809</v>
      </c>
      <c r="R2224" s="9" t="s">
        <v>3829</v>
      </c>
      <c r="S2224" s="9" t="s">
        <v>106</v>
      </c>
      <c r="T2224" s="9" t="s">
        <v>106</v>
      </c>
      <c r="U2224" s="9" t="s">
        <v>106</v>
      </c>
      <c r="V2224" s="9" t="s">
        <v>106</v>
      </c>
      <c r="W2224" s="9" t="s">
        <v>106</v>
      </c>
      <c r="X2224" s="9" t="s">
        <v>106</v>
      </c>
      <c r="Y2224" s="9" t="s">
        <v>106</v>
      </c>
      <c r="Z2224" s="9" t="s">
        <v>106</v>
      </c>
      <c r="AA2224" s="9" t="s">
        <v>106</v>
      </c>
      <c r="AB2224" s="9" t="s">
        <v>106</v>
      </c>
      <c r="AC2224" s="9" t="s">
        <v>5100</v>
      </c>
      <c r="AD2224" s="9" t="s">
        <v>5100</v>
      </c>
    </row>
    <row r="2225" spans="1:30">
      <c r="A2225" s="9" t="s">
        <v>4816</v>
      </c>
      <c r="B2225" s="9" t="s">
        <v>4858</v>
      </c>
      <c r="C2225" s="9" t="s">
        <v>105</v>
      </c>
      <c r="D2225" s="9">
        <v>5.7</v>
      </c>
      <c r="E2225" s="9" t="s">
        <v>106</v>
      </c>
      <c r="F2225" s="68">
        <v>210</v>
      </c>
      <c r="G2225" s="9" t="s">
        <v>106</v>
      </c>
      <c r="H2225" s="9" t="s">
        <v>106</v>
      </c>
      <c r="I2225" s="9">
        <v>5</v>
      </c>
      <c r="J2225" s="9" t="s">
        <v>122</v>
      </c>
      <c r="K2225" s="9" t="s">
        <v>4897</v>
      </c>
      <c r="L2225" t="str">
        <f>IF(OR(J2225="Cattle",J2225="Zebu Cattle"),IF(COUNTIF(lists!$M$2:$M$258, K2225) &gt; 0,"bos.indicus",IF(COUNTIF(lists!$L$2:$L$258, K2225) &gt; 0,"cross.bred","pure.bred.exotic")),"NA")</f>
        <v>cross.bred</v>
      </c>
      <c r="O2225" s="9" t="s">
        <v>124</v>
      </c>
      <c r="P2225" s="9" t="s">
        <v>4903</v>
      </c>
      <c r="Q2225" s="9" t="s">
        <v>3812</v>
      </c>
      <c r="R2225" s="9" t="s">
        <v>3829</v>
      </c>
      <c r="S2225" s="9" t="s">
        <v>106</v>
      </c>
      <c r="T2225" s="9">
        <v>71.900000000000006</v>
      </c>
      <c r="U2225" s="9">
        <v>47</v>
      </c>
      <c r="V2225" s="9" t="s">
        <v>106</v>
      </c>
      <c r="W2225" s="9">
        <v>18</v>
      </c>
      <c r="X2225" s="9">
        <v>735</v>
      </c>
      <c r="Y2225" s="9">
        <v>47</v>
      </c>
      <c r="Z2225" s="9" t="s">
        <v>106</v>
      </c>
      <c r="AA2225" s="9">
        <v>45</v>
      </c>
      <c r="AB2225" s="9">
        <v>46</v>
      </c>
      <c r="AC2225" s="9" t="s">
        <v>5100</v>
      </c>
      <c r="AD2225" s="9" t="s">
        <v>5100</v>
      </c>
    </row>
    <row r="2226" spans="1:30">
      <c r="A2226" s="9" t="s">
        <v>4816</v>
      </c>
      <c r="B2226" s="9" t="s">
        <v>4859</v>
      </c>
      <c r="C2226" s="9" t="s">
        <v>105</v>
      </c>
      <c r="D2226" s="9">
        <v>6.5</v>
      </c>
      <c r="E2226" s="9" t="s">
        <v>106</v>
      </c>
      <c r="F2226" s="68">
        <v>210</v>
      </c>
      <c r="G2226" s="9" t="s">
        <v>106</v>
      </c>
      <c r="H2226" s="9" t="s">
        <v>106</v>
      </c>
      <c r="I2226" s="9">
        <v>5</v>
      </c>
      <c r="J2226" s="9" t="s">
        <v>122</v>
      </c>
      <c r="K2226" s="9" t="s">
        <v>4897</v>
      </c>
      <c r="L2226" t="str">
        <f>IF(OR(J2226="Cattle",J2226="Zebu Cattle"),IF(COUNTIF(lists!$M$2:$M$258, K2226) &gt; 0,"bos.indicus",IF(COUNTIF(lists!$L$2:$L$258, K2226) &gt; 0,"cross.bred","pure.bred.exotic")),"NA")</f>
        <v>cross.bred</v>
      </c>
      <c r="O2226" s="9" t="s">
        <v>124</v>
      </c>
      <c r="P2226" s="9" t="s">
        <v>4903</v>
      </c>
      <c r="Q2226" s="9" t="s">
        <v>3812</v>
      </c>
      <c r="R2226" s="9" t="s">
        <v>3829</v>
      </c>
      <c r="S2226" s="9" t="s">
        <v>106</v>
      </c>
      <c r="T2226" s="9">
        <v>76.900000000000006</v>
      </c>
      <c r="U2226" s="9">
        <v>61</v>
      </c>
      <c r="V2226" s="9" t="s">
        <v>106</v>
      </c>
      <c r="W2226" s="9">
        <v>17.7</v>
      </c>
      <c r="X2226" s="9">
        <v>723.7</v>
      </c>
      <c r="Y2226" s="9">
        <v>49</v>
      </c>
      <c r="Z2226" s="9" t="s">
        <v>106</v>
      </c>
      <c r="AA2226" s="9">
        <v>48</v>
      </c>
      <c r="AB2226" s="9">
        <v>49</v>
      </c>
      <c r="AC2226" s="9" t="s">
        <v>5100</v>
      </c>
      <c r="AD2226" s="9" t="s">
        <v>5100</v>
      </c>
    </row>
    <row r="2227" spans="1:30">
      <c r="A2227" s="9" t="s">
        <v>4816</v>
      </c>
      <c r="B2227" s="9" t="s">
        <v>4860</v>
      </c>
      <c r="C2227" s="9" t="s">
        <v>105</v>
      </c>
      <c r="D2227" s="9">
        <v>6.9</v>
      </c>
      <c r="E2227" s="9" t="s">
        <v>106</v>
      </c>
      <c r="F2227" s="68">
        <v>210</v>
      </c>
      <c r="G2227" s="9" t="s">
        <v>106</v>
      </c>
      <c r="H2227" s="9" t="s">
        <v>106</v>
      </c>
      <c r="I2227" s="9">
        <v>5</v>
      </c>
      <c r="J2227" s="9" t="s">
        <v>122</v>
      </c>
      <c r="K2227" s="9" t="s">
        <v>4897</v>
      </c>
      <c r="L2227" t="str">
        <f>IF(OR(J2227="Cattle",J2227="Zebu Cattle"),IF(COUNTIF(lists!$M$2:$M$258, K2227) &gt; 0,"bos.indicus",IF(COUNTIF(lists!$L$2:$L$258, K2227) &gt; 0,"cross.bred","pure.bred.exotic")),"NA")</f>
        <v>cross.bred</v>
      </c>
      <c r="O2227" s="9" t="s">
        <v>124</v>
      </c>
      <c r="P2227" s="9" t="s">
        <v>4903</v>
      </c>
      <c r="Q2227" s="9" t="s">
        <v>3812</v>
      </c>
      <c r="R2227" s="9" t="s">
        <v>3829</v>
      </c>
      <c r="S2227" s="9" t="s">
        <v>106</v>
      </c>
      <c r="T2227" s="9">
        <v>82.6</v>
      </c>
      <c r="U2227" s="9">
        <v>75</v>
      </c>
      <c r="V2227" s="9" t="s">
        <v>106</v>
      </c>
      <c r="W2227" s="9">
        <v>17.7</v>
      </c>
      <c r="X2227" s="9">
        <v>724.3</v>
      </c>
      <c r="Y2227" s="9">
        <v>50</v>
      </c>
      <c r="Z2227" s="9" t="s">
        <v>106</v>
      </c>
      <c r="AA2227" s="9">
        <v>50</v>
      </c>
      <c r="AB2227" s="9">
        <v>50</v>
      </c>
      <c r="AC2227" s="9" t="s">
        <v>5100</v>
      </c>
      <c r="AD2227" s="9" t="s">
        <v>5100</v>
      </c>
    </row>
    <row r="2228" spans="1:30">
      <c r="A2228" s="9" t="s">
        <v>4816</v>
      </c>
      <c r="B2228" s="9" t="s">
        <v>4861</v>
      </c>
      <c r="C2228" s="9" t="s">
        <v>105</v>
      </c>
      <c r="D2228" s="9">
        <v>7</v>
      </c>
      <c r="E2228" s="9" t="s">
        <v>106</v>
      </c>
      <c r="F2228" s="68">
        <v>210</v>
      </c>
      <c r="G2228" s="9" t="s">
        <v>106</v>
      </c>
      <c r="H2228" s="9" t="s">
        <v>106</v>
      </c>
      <c r="I2228" s="9">
        <v>5</v>
      </c>
      <c r="J2228" s="9" t="s">
        <v>122</v>
      </c>
      <c r="K2228" s="9" t="s">
        <v>4897</v>
      </c>
      <c r="L2228" t="str">
        <f>IF(OR(J2228="Cattle",J2228="Zebu Cattle"),IF(COUNTIF(lists!$M$2:$M$258, K2228) &gt; 0,"bos.indicus",IF(COUNTIF(lists!$L$2:$L$258, K2228) &gt; 0,"cross.bred","pure.bred.exotic")),"NA")</f>
        <v>cross.bred</v>
      </c>
      <c r="O2228" s="9" t="s">
        <v>124</v>
      </c>
      <c r="P2228" s="9" t="s">
        <v>4903</v>
      </c>
      <c r="Q2228" s="9" t="s">
        <v>3812</v>
      </c>
      <c r="R2228" s="9" t="s">
        <v>3829</v>
      </c>
      <c r="S2228" s="9" t="s">
        <v>106</v>
      </c>
      <c r="T2228" s="9">
        <v>70</v>
      </c>
      <c r="U2228" s="9">
        <v>59</v>
      </c>
      <c r="V2228" s="9" t="s">
        <v>106</v>
      </c>
      <c r="W2228" s="9">
        <v>22.4</v>
      </c>
      <c r="X2228" s="9">
        <v>708.2</v>
      </c>
      <c r="Y2228" s="9">
        <v>50</v>
      </c>
      <c r="Z2228" s="9" t="s">
        <v>106</v>
      </c>
      <c r="AA2228" s="9">
        <v>49</v>
      </c>
      <c r="AB2228" s="9">
        <v>50</v>
      </c>
      <c r="AC2228" s="9" t="s">
        <v>5100</v>
      </c>
      <c r="AD2228" s="9" t="s">
        <v>5100</v>
      </c>
    </row>
    <row r="2229" spans="1:30">
      <c r="A2229" s="9" t="s">
        <v>4816</v>
      </c>
      <c r="B2229" s="9" t="s">
        <v>4862</v>
      </c>
      <c r="C2229" s="9" t="s">
        <v>105</v>
      </c>
      <c r="D2229" s="9">
        <v>7.3</v>
      </c>
      <c r="E2229" s="9" t="s">
        <v>106</v>
      </c>
      <c r="F2229" s="68">
        <v>210</v>
      </c>
      <c r="G2229" s="9" t="s">
        <v>106</v>
      </c>
      <c r="H2229" s="9" t="s">
        <v>106</v>
      </c>
      <c r="I2229" s="9">
        <v>5</v>
      </c>
      <c r="J2229" s="9" t="s">
        <v>122</v>
      </c>
      <c r="K2229" s="9" t="s">
        <v>4897</v>
      </c>
      <c r="L2229" t="str">
        <f>IF(OR(J2229="Cattle",J2229="Zebu Cattle"),IF(COUNTIF(lists!$M$2:$M$258, K2229) &gt; 0,"bos.indicus",IF(COUNTIF(lists!$L$2:$L$258, K2229) &gt; 0,"cross.bred","pure.bred.exotic")),"NA")</f>
        <v>cross.bred</v>
      </c>
      <c r="O2229" s="9" t="s">
        <v>124</v>
      </c>
      <c r="P2229" s="9" t="s">
        <v>4903</v>
      </c>
      <c r="Q2229" s="9" t="s">
        <v>3812</v>
      </c>
      <c r="R2229" s="9" t="s">
        <v>3829</v>
      </c>
      <c r="S2229" s="9" t="s">
        <v>106</v>
      </c>
      <c r="T2229" s="9">
        <v>72.599999999999994</v>
      </c>
      <c r="U2229" s="9">
        <v>70</v>
      </c>
      <c r="V2229" s="9" t="s">
        <v>106</v>
      </c>
      <c r="W2229" s="9">
        <v>26.6</v>
      </c>
      <c r="X2229" s="9">
        <v>693.7</v>
      </c>
      <c r="Y2229" s="9">
        <v>50</v>
      </c>
      <c r="Z2229" s="9" t="s">
        <v>106</v>
      </c>
      <c r="AA2229" s="9">
        <v>50</v>
      </c>
      <c r="AB2229" s="9">
        <v>51</v>
      </c>
      <c r="AC2229" s="9" t="s">
        <v>5100</v>
      </c>
      <c r="AD2229" s="9" t="s">
        <v>5100</v>
      </c>
    </row>
    <row r="2230" spans="1:30">
      <c r="A2230" s="9" t="s">
        <v>4817</v>
      </c>
      <c r="B2230" s="9" t="s">
        <v>4863</v>
      </c>
      <c r="C2230" s="9" t="s">
        <v>105</v>
      </c>
      <c r="D2230" s="9">
        <v>5.35</v>
      </c>
      <c r="E2230" s="9" t="s">
        <v>106</v>
      </c>
      <c r="F2230" s="9">
        <v>196.7</v>
      </c>
      <c r="G2230" s="9">
        <v>-7.3999999999999996E-2</v>
      </c>
      <c r="H2230" s="9">
        <v>1.07</v>
      </c>
      <c r="I2230" s="9">
        <v>4</v>
      </c>
      <c r="J2230" s="9" t="s">
        <v>122</v>
      </c>
      <c r="K2230" s="9" t="s">
        <v>1166</v>
      </c>
      <c r="L2230" t="str">
        <f>IF(OR(J2230="Cattle",J2230="Zebu Cattle"),IF(COUNTIF(lists!$M$2:$M$258, K2230) &gt; 0,"bos.indicus",IF(COUNTIF(lists!$L$2:$L$258, K2230) &gt; 0,"cross.bred","pure.bred.exotic")),"NA")</f>
        <v>bos.indicus</v>
      </c>
      <c r="O2230" s="9" t="s">
        <v>4193</v>
      </c>
      <c r="P2230" s="9" t="s">
        <v>4045</v>
      </c>
      <c r="Q2230" s="9" t="s">
        <v>3809</v>
      </c>
      <c r="R2230" s="9" t="s">
        <v>3829</v>
      </c>
      <c r="S2230" s="9">
        <v>471</v>
      </c>
      <c r="T2230" s="9">
        <v>92</v>
      </c>
      <c r="U2230" s="9">
        <v>106</v>
      </c>
      <c r="V2230" s="9">
        <v>900</v>
      </c>
      <c r="W2230" s="9" t="s">
        <v>106</v>
      </c>
      <c r="X2230" s="9">
        <v>509</v>
      </c>
      <c r="Y2230" s="9" t="s">
        <v>106</v>
      </c>
      <c r="Z2230" s="9" t="s">
        <v>106</v>
      </c>
      <c r="AA2230" s="9" t="s">
        <v>106</v>
      </c>
      <c r="AB2230" s="9" t="s">
        <v>106</v>
      </c>
      <c r="AC2230" s="9" t="s">
        <v>5100</v>
      </c>
      <c r="AD2230" s="9" t="s">
        <v>5100</v>
      </c>
    </row>
    <row r="2231" spans="1:30">
      <c r="A2231" s="9" t="s">
        <v>4817</v>
      </c>
      <c r="B2231" s="9" t="s">
        <v>4864</v>
      </c>
      <c r="C2231" s="9" t="s">
        <v>105</v>
      </c>
      <c r="D2231" s="9">
        <v>9.17</v>
      </c>
      <c r="E2231" s="9" t="s">
        <v>106</v>
      </c>
      <c r="F2231" s="9">
        <v>344.7</v>
      </c>
      <c r="G2231" s="9">
        <v>-0.34499999999999997</v>
      </c>
      <c r="H2231" s="9">
        <v>4.0199999999999996</v>
      </c>
      <c r="I2231" s="9">
        <v>4</v>
      </c>
      <c r="J2231" s="9" t="s">
        <v>122</v>
      </c>
      <c r="K2231" s="9" t="s">
        <v>4933</v>
      </c>
      <c r="L2231" t="str">
        <f>IF(OR(J2231="Cattle",J2231="Zebu Cattle"),IF(COUNTIF(lists!$M$2:$M$258, K2231) &gt; 0,"bos.indicus",IF(COUNTIF(lists!$L$2:$L$258, K2231) &gt; 0,"cross.bred","pure.bred.exotic")),"NA")</f>
        <v>cross.bred</v>
      </c>
      <c r="O2231" s="9" t="s">
        <v>124</v>
      </c>
      <c r="P2231" s="9" t="s">
        <v>4045</v>
      </c>
      <c r="Q2231" s="9" t="s">
        <v>3809</v>
      </c>
      <c r="R2231" s="9" t="s">
        <v>3829</v>
      </c>
      <c r="S2231" s="9">
        <v>471</v>
      </c>
      <c r="T2231" s="9">
        <v>92</v>
      </c>
      <c r="U2231" s="9">
        <v>106</v>
      </c>
      <c r="V2231" s="9">
        <v>900</v>
      </c>
      <c r="W2231" s="9" t="s">
        <v>106</v>
      </c>
      <c r="X2231" s="9">
        <v>509</v>
      </c>
      <c r="Y2231" s="9" t="s">
        <v>106</v>
      </c>
      <c r="Z2231" s="9" t="s">
        <v>106</v>
      </c>
      <c r="AA2231" s="9" t="s">
        <v>106</v>
      </c>
      <c r="AB2231" s="9" t="s">
        <v>106</v>
      </c>
      <c r="AC2231" s="9" t="s">
        <v>5100</v>
      </c>
      <c r="AD2231" s="9" t="s">
        <v>5100</v>
      </c>
    </row>
    <row r="2232" spans="1:30">
      <c r="A2232" s="9" t="s">
        <v>4817</v>
      </c>
      <c r="B2232" s="9" t="s">
        <v>4865</v>
      </c>
      <c r="C2232" s="9" t="s">
        <v>105</v>
      </c>
      <c r="D2232" s="9">
        <v>7.8</v>
      </c>
      <c r="E2232" s="9" t="s">
        <v>106</v>
      </c>
      <c r="F2232" s="9">
        <v>275.60000000000002</v>
      </c>
      <c r="G2232" s="9">
        <v>-0.192</v>
      </c>
      <c r="H2232" s="9">
        <v>3.2</v>
      </c>
      <c r="I2232" s="9">
        <v>4</v>
      </c>
      <c r="J2232" s="9" t="s">
        <v>122</v>
      </c>
      <c r="K2232" s="9" t="s">
        <v>4933</v>
      </c>
      <c r="L2232" t="str">
        <f>IF(OR(J2232="Cattle",J2232="Zebu Cattle"),IF(COUNTIF(lists!$M$2:$M$258, K2232) &gt; 0,"bos.indicus",IF(COUNTIF(lists!$L$2:$L$258, K2232) &gt; 0,"cross.bred","pure.bred.exotic")),"NA")</f>
        <v>cross.bred</v>
      </c>
      <c r="O2232" s="9" t="s">
        <v>124</v>
      </c>
      <c r="P2232" s="9" t="s">
        <v>4045</v>
      </c>
      <c r="Q2232" s="9" t="s">
        <v>3809</v>
      </c>
      <c r="R2232" s="9" t="s">
        <v>3829</v>
      </c>
      <c r="S2232" s="9">
        <v>471</v>
      </c>
      <c r="T2232" s="9">
        <v>92</v>
      </c>
      <c r="U2232" s="9">
        <v>106</v>
      </c>
      <c r="V2232" s="9">
        <v>900</v>
      </c>
      <c r="W2232" s="9" t="s">
        <v>106</v>
      </c>
      <c r="X2232" s="9">
        <v>509</v>
      </c>
      <c r="Y2232" s="9" t="s">
        <v>106</v>
      </c>
      <c r="Z2232" s="9" t="s">
        <v>106</v>
      </c>
      <c r="AA2232" s="9" t="s">
        <v>106</v>
      </c>
      <c r="AB2232" s="9" t="s">
        <v>106</v>
      </c>
      <c r="AC2232" s="9" t="s">
        <v>5100</v>
      </c>
      <c r="AD2232" s="9" t="s">
        <v>5100</v>
      </c>
    </row>
    <row r="2233" spans="1:30">
      <c r="A2233" s="9" t="s">
        <v>4817</v>
      </c>
      <c r="B2233" s="9" t="s">
        <v>4866</v>
      </c>
      <c r="C2233" s="9" t="s">
        <v>105</v>
      </c>
      <c r="D2233" s="9">
        <v>6.5</v>
      </c>
      <c r="E2233" s="9" t="s">
        <v>106</v>
      </c>
      <c r="F2233" s="9">
        <v>215.2</v>
      </c>
      <c r="G2233" s="9">
        <v>-1.0999999999999999E-2</v>
      </c>
      <c r="H2233" s="9">
        <v>1.36</v>
      </c>
      <c r="I2233" s="9">
        <v>5</v>
      </c>
      <c r="J2233" s="9" t="s">
        <v>122</v>
      </c>
      <c r="K2233" s="9" t="s">
        <v>1166</v>
      </c>
      <c r="L2233" t="str">
        <f>IF(OR(J2233="Cattle",J2233="Zebu Cattle"),IF(COUNTIF(lists!$M$2:$M$258, K2233) &gt; 0,"bos.indicus",IF(COUNTIF(lists!$L$2:$L$258, K2233) &gt; 0,"cross.bred","pure.bred.exotic")),"NA")</f>
        <v>bos.indicus</v>
      </c>
      <c r="O2233" s="9" t="s">
        <v>4193</v>
      </c>
      <c r="P2233" s="9" t="s">
        <v>4045</v>
      </c>
      <c r="Q2233" s="9" t="s">
        <v>3809</v>
      </c>
      <c r="R2233" s="9" t="s">
        <v>3829</v>
      </c>
      <c r="S2233" s="9">
        <v>454.1</v>
      </c>
      <c r="T2233" s="9">
        <v>93.8</v>
      </c>
      <c r="U2233" s="9">
        <v>132.9</v>
      </c>
      <c r="V2233" s="9">
        <v>908.9</v>
      </c>
      <c r="W2233" s="9" t="s">
        <v>106</v>
      </c>
      <c r="X2233" s="9">
        <v>521.6</v>
      </c>
      <c r="Y2233" s="9" t="s">
        <v>106</v>
      </c>
      <c r="Z2233" s="9" t="s">
        <v>106</v>
      </c>
      <c r="AA2233" s="9" t="s">
        <v>106</v>
      </c>
      <c r="AB2233" s="9" t="s">
        <v>106</v>
      </c>
      <c r="AC2233" s="9" t="s">
        <v>5100</v>
      </c>
      <c r="AD2233" s="9" t="s">
        <v>5100</v>
      </c>
    </row>
    <row r="2234" spans="1:30">
      <c r="A2234" s="9" t="s">
        <v>4817</v>
      </c>
      <c r="B2234" s="9" t="s">
        <v>4867</v>
      </c>
      <c r="C2234" s="9" t="s">
        <v>105</v>
      </c>
      <c r="D2234" s="9">
        <v>10.4</v>
      </c>
      <c r="E2234" s="9" t="s">
        <v>106</v>
      </c>
      <c r="F2234" s="9">
        <v>318</v>
      </c>
      <c r="G2234" s="9">
        <v>-0.14000000000000001</v>
      </c>
      <c r="H2234" s="9">
        <v>4.87</v>
      </c>
      <c r="I2234" s="9">
        <v>5</v>
      </c>
      <c r="J2234" s="9" t="s">
        <v>122</v>
      </c>
      <c r="K2234" s="9" t="s">
        <v>4933</v>
      </c>
      <c r="L2234" t="str">
        <f>IF(OR(J2234="Cattle",J2234="Zebu Cattle"),IF(COUNTIF(lists!$M$2:$M$258, K2234) &gt; 0,"bos.indicus",IF(COUNTIF(lists!$L$2:$L$258, K2234) &gt; 0,"cross.bred","pure.bred.exotic")),"NA")</f>
        <v>cross.bred</v>
      </c>
      <c r="O2234" s="9" t="s">
        <v>124</v>
      </c>
      <c r="P2234" s="9" t="s">
        <v>4045</v>
      </c>
      <c r="Q2234" s="9" t="s">
        <v>3809</v>
      </c>
      <c r="R2234" s="9" t="s">
        <v>3829</v>
      </c>
      <c r="S2234" s="9">
        <v>459.3</v>
      </c>
      <c r="T2234" s="9">
        <v>93.2</v>
      </c>
      <c r="U2234" s="9">
        <v>124.8</v>
      </c>
      <c r="V2234" s="9">
        <v>906.2</v>
      </c>
      <c r="W2234" s="9" t="s">
        <v>106</v>
      </c>
      <c r="X2234" s="9">
        <v>517.79999999999995</v>
      </c>
      <c r="Y2234" s="9" t="s">
        <v>106</v>
      </c>
      <c r="Z2234" s="9" t="s">
        <v>106</v>
      </c>
      <c r="AA2234" s="9" t="s">
        <v>106</v>
      </c>
      <c r="AB2234" s="9" t="s">
        <v>106</v>
      </c>
      <c r="AC2234" s="9" t="s">
        <v>5100</v>
      </c>
      <c r="AD2234" s="9" t="s">
        <v>5100</v>
      </c>
    </row>
    <row r="2235" spans="1:30">
      <c r="A2235" s="9" t="s">
        <v>4817</v>
      </c>
      <c r="B2235" s="9" t="s">
        <v>4868</v>
      </c>
      <c r="C2235" s="9" t="s">
        <v>105</v>
      </c>
      <c r="D2235" s="9">
        <v>9.85</v>
      </c>
      <c r="E2235" s="9" t="s">
        <v>106</v>
      </c>
      <c r="F2235" s="9">
        <v>279</v>
      </c>
      <c r="G2235" s="9">
        <v>-8.7999999999999995E-2</v>
      </c>
      <c r="H2235" s="9">
        <v>4.1100000000000003</v>
      </c>
      <c r="I2235" s="9">
        <v>5</v>
      </c>
      <c r="J2235" s="9" t="s">
        <v>122</v>
      </c>
      <c r="K2235" s="9" t="s">
        <v>4933</v>
      </c>
      <c r="L2235" t="str">
        <f>IF(OR(J2235="Cattle",J2235="Zebu Cattle"),IF(COUNTIF(lists!$M$2:$M$258, K2235) &gt; 0,"bos.indicus",IF(COUNTIF(lists!$L$2:$L$258, K2235) &gt; 0,"cross.bred","pure.bred.exotic")),"NA")</f>
        <v>cross.bred</v>
      </c>
      <c r="O2235" s="9" t="s">
        <v>124</v>
      </c>
      <c r="P2235" s="9" t="s">
        <v>4045</v>
      </c>
      <c r="Q2235" s="9" t="s">
        <v>3809</v>
      </c>
      <c r="R2235" s="9" t="s">
        <v>3829</v>
      </c>
      <c r="S2235" s="9">
        <v>458.5</v>
      </c>
      <c r="T2235" s="9">
        <v>93.3</v>
      </c>
      <c r="U2235" s="9">
        <v>126</v>
      </c>
      <c r="V2235" s="9">
        <v>906.6</v>
      </c>
      <c r="W2235" s="9" t="s">
        <v>106</v>
      </c>
      <c r="X2235" s="9">
        <v>518.4</v>
      </c>
      <c r="Y2235" s="9" t="s">
        <v>106</v>
      </c>
      <c r="Z2235" s="9" t="s">
        <v>106</v>
      </c>
      <c r="AA2235" s="9" t="s">
        <v>106</v>
      </c>
      <c r="AB2235" s="9" t="s">
        <v>106</v>
      </c>
      <c r="AC2235" s="9" t="s">
        <v>5100</v>
      </c>
      <c r="AD2235" s="9" t="s">
        <v>5100</v>
      </c>
    </row>
    <row r="2236" spans="1:30">
      <c r="A2236" s="9" t="s">
        <v>4818</v>
      </c>
      <c r="B2236" s="9" t="s">
        <v>4869</v>
      </c>
      <c r="C2236" s="9" t="s">
        <v>105</v>
      </c>
      <c r="D2236" s="9">
        <v>4.875</v>
      </c>
      <c r="E2236" s="9" t="s">
        <v>106</v>
      </c>
      <c r="F2236" s="9">
        <v>173.5</v>
      </c>
      <c r="G2236" s="9">
        <v>0.375</v>
      </c>
      <c r="H2236" s="9" t="s">
        <v>106</v>
      </c>
      <c r="I2236" s="9">
        <v>6</v>
      </c>
      <c r="J2236" s="9" t="s">
        <v>122</v>
      </c>
      <c r="K2236" s="9" t="s">
        <v>1166</v>
      </c>
      <c r="L2236" t="str">
        <f>IF(OR(J2236="Cattle",J2236="Zebu Cattle"),IF(COUNTIF(lists!$M$2:$M$258, K2236) &gt; 0,"bos.indicus",IF(COUNTIF(lists!$L$2:$L$258, K2236) &gt; 0,"cross.bred","pure.bred.exotic")),"NA")</f>
        <v>bos.indicus</v>
      </c>
      <c r="O2236" s="9" t="s">
        <v>4193</v>
      </c>
      <c r="P2236" s="9" t="s">
        <v>4904</v>
      </c>
      <c r="Q2236" s="9" t="s">
        <v>3800</v>
      </c>
      <c r="R2236" s="9" t="s">
        <v>3829</v>
      </c>
      <c r="S2236" s="9">
        <v>348</v>
      </c>
      <c r="T2236" s="9">
        <v>92.8</v>
      </c>
      <c r="U2236" s="9">
        <v>107.6</v>
      </c>
      <c r="V2236" s="9" t="s">
        <v>106</v>
      </c>
      <c r="W2236" s="9" t="s">
        <v>106</v>
      </c>
      <c r="X2236" s="9">
        <v>607.79999999999995</v>
      </c>
      <c r="Y2236" s="9" t="s">
        <v>106</v>
      </c>
      <c r="Z2236" s="9" t="s">
        <v>106</v>
      </c>
      <c r="AA2236" s="9" t="s">
        <v>106</v>
      </c>
      <c r="AB2236" s="9" t="s">
        <v>106</v>
      </c>
      <c r="AC2236" s="9" t="s">
        <v>5100</v>
      </c>
      <c r="AD2236" s="9" t="s">
        <v>5100</v>
      </c>
    </row>
    <row r="2237" spans="1:30">
      <c r="A2237" s="9" t="s">
        <v>4818</v>
      </c>
      <c r="B2237" s="9" t="s">
        <v>4870</v>
      </c>
      <c r="C2237" s="9" t="s">
        <v>105</v>
      </c>
      <c r="D2237" s="9">
        <v>5.5439999999999996</v>
      </c>
      <c r="E2237" s="9" t="s">
        <v>106</v>
      </c>
      <c r="F2237" s="9">
        <v>328.5</v>
      </c>
      <c r="G2237" s="9">
        <v>0.79200000000000004</v>
      </c>
      <c r="H2237" s="9" t="s">
        <v>106</v>
      </c>
      <c r="I2237" s="9">
        <v>6</v>
      </c>
      <c r="J2237" s="9" t="s">
        <v>122</v>
      </c>
      <c r="K2237" s="9" t="s">
        <v>4933</v>
      </c>
      <c r="L2237" t="str">
        <f>IF(OR(J2237="Cattle",J2237="Zebu Cattle"),IF(COUNTIF(lists!$M$2:$M$258, K2237) &gt; 0,"bos.indicus",IF(COUNTIF(lists!$L$2:$L$258, K2237) &gt; 0,"cross.bred","pure.bred.exotic")),"NA")</f>
        <v>cross.bred</v>
      </c>
      <c r="O2237" s="9" t="s">
        <v>124</v>
      </c>
      <c r="P2237" s="9" t="s">
        <v>4904</v>
      </c>
      <c r="Q2237" s="9" t="s">
        <v>3800</v>
      </c>
      <c r="R2237" s="9" t="s">
        <v>3829</v>
      </c>
      <c r="S2237" s="9">
        <v>348</v>
      </c>
      <c r="T2237" s="9">
        <v>92.8</v>
      </c>
      <c r="U2237" s="9">
        <v>107.6</v>
      </c>
      <c r="V2237" s="9" t="s">
        <v>106</v>
      </c>
      <c r="W2237" s="9" t="s">
        <v>106</v>
      </c>
      <c r="X2237" s="9">
        <v>607.79999999999995</v>
      </c>
      <c r="Y2237" s="9" t="s">
        <v>106</v>
      </c>
      <c r="Z2237" s="9" t="s">
        <v>106</v>
      </c>
      <c r="AA2237" s="9" t="s">
        <v>106</v>
      </c>
      <c r="AB2237" s="9" t="s">
        <v>106</v>
      </c>
      <c r="AC2237" s="9" t="s">
        <v>5100</v>
      </c>
      <c r="AD2237" s="9" t="s">
        <v>5100</v>
      </c>
    </row>
    <row r="2238" spans="1:30">
      <c r="A2238" s="9" t="s">
        <v>4818</v>
      </c>
      <c r="B2238" s="9" t="s">
        <v>4871</v>
      </c>
      <c r="C2238" s="9" t="s">
        <v>105</v>
      </c>
      <c r="D2238" s="9">
        <v>5.4960000000000004</v>
      </c>
      <c r="E2238" s="9" t="s">
        <v>106</v>
      </c>
      <c r="F2238" s="9">
        <v>225.5</v>
      </c>
      <c r="G2238" s="9">
        <v>0.45800000000000002</v>
      </c>
      <c r="H2238" s="9" t="s">
        <v>106</v>
      </c>
      <c r="I2238" s="9">
        <v>6</v>
      </c>
      <c r="J2238" s="9" t="s">
        <v>122</v>
      </c>
      <c r="K2238" s="9" t="s">
        <v>1166</v>
      </c>
      <c r="L2238" t="str">
        <f>IF(OR(J2238="Cattle",J2238="Zebu Cattle"),IF(COUNTIF(lists!$M$2:$M$258, K2238) &gt; 0,"bos.indicus",IF(COUNTIF(lists!$L$2:$L$258, K2238) &gt; 0,"cross.bred","pure.bred.exotic")),"NA")</f>
        <v>bos.indicus</v>
      </c>
      <c r="O2238" s="9" t="s">
        <v>4193</v>
      </c>
      <c r="P2238" s="9" t="s">
        <v>4904</v>
      </c>
      <c r="Q2238" s="9" t="s">
        <v>3800</v>
      </c>
      <c r="R2238" s="9" t="s">
        <v>3829</v>
      </c>
      <c r="S2238" s="9">
        <v>359.2</v>
      </c>
      <c r="T2238" s="9">
        <v>120.8</v>
      </c>
      <c r="U2238" s="9">
        <v>175.6</v>
      </c>
      <c r="V2238" s="9" t="s">
        <v>106</v>
      </c>
      <c r="W2238" s="9" t="s">
        <v>106</v>
      </c>
      <c r="X2238" s="9">
        <v>438.2</v>
      </c>
      <c r="Y2238" s="9" t="s">
        <v>106</v>
      </c>
      <c r="Z2238" s="9" t="s">
        <v>106</v>
      </c>
      <c r="AA2238" s="9" t="s">
        <v>106</v>
      </c>
      <c r="AB2238" s="9" t="s">
        <v>106</v>
      </c>
      <c r="AC2238" s="9" t="s">
        <v>5100</v>
      </c>
      <c r="AD2238" s="9" t="s">
        <v>5100</v>
      </c>
    </row>
    <row r="2239" spans="1:30">
      <c r="A2239" s="9" t="s">
        <v>4818</v>
      </c>
      <c r="B2239" s="9" t="s">
        <v>4872</v>
      </c>
      <c r="C2239" s="9" t="s">
        <v>105</v>
      </c>
      <c r="D2239" s="9">
        <v>9.375</v>
      </c>
      <c r="E2239" s="9" t="s">
        <v>106</v>
      </c>
      <c r="F2239" s="9">
        <v>385.5</v>
      </c>
      <c r="G2239" s="9">
        <v>0.625</v>
      </c>
      <c r="H2239" s="9" t="s">
        <v>106</v>
      </c>
      <c r="I2239" s="9">
        <v>6</v>
      </c>
      <c r="J2239" s="9" t="s">
        <v>122</v>
      </c>
      <c r="K2239" s="9" t="s">
        <v>4933</v>
      </c>
      <c r="L2239" t="str">
        <f>IF(OR(J2239="Cattle",J2239="Zebu Cattle"),IF(COUNTIF(lists!$M$2:$M$258, K2239) &gt; 0,"bos.indicus",IF(COUNTIF(lists!$L$2:$L$258, K2239) &gt; 0,"cross.bred","pure.bred.exotic")),"NA")</f>
        <v>cross.bred</v>
      </c>
      <c r="O2239" s="9" t="s">
        <v>124</v>
      </c>
      <c r="P2239" s="9" t="s">
        <v>4904</v>
      </c>
      <c r="Q2239" s="9" t="s">
        <v>3800</v>
      </c>
      <c r="R2239" s="9" t="s">
        <v>3829</v>
      </c>
      <c r="S2239" s="9">
        <v>359.2</v>
      </c>
      <c r="T2239" s="9">
        <v>120.8</v>
      </c>
      <c r="U2239" s="9">
        <v>175.6</v>
      </c>
      <c r="V2239" s="9" t="s">
        <v>106</v>
      </c>
      <c r="W2239" s="9" t="s">
        <v>106</v>
      </c>
      <c r="X2239" s="9">
        <v>438.2</v>
      </c>
      <c r="Y2239" s="9" t="s">
        <v>106</v>
      </c>
      <c r="Z2239" s="9" t="s">
        <v>106</v>
      </c>
      <c r="AA2239" s="9" t="s">
        <v>106</v>
      </c>
      <c r="AB2239" s="9" t="s">
        <v>106</v>
      </c>
      <c r="AC2239" s="9" t="s">
        <v>5100</v>
      </c>
      <c r="AD2239" s="9" t="s">
        <v>5100</v>
      </c>
    </row>
    <row r="2240" spans="1:30">
      <c r="A2240" s="9" t="s">
        <v>4818</v>
      </c>
      <c r="B2240" s="9" t="s">
        <v>4873</v>
      </c>
      <c r="C2240" s="9" t="s">
        <v>105</v>
      </c>
      <c r="D2240" s="9">
        <v>6.25</v>
      </c>
      <c r="E2240" s="9" t="s">
        <v>106</v>
      </c>
      <c r="F2240" s="9">
        <v>266.5</v>
      </c>
      <c r="G2240" s="9">
        <v>0.625</v>
      </c>
      <c r="H2240" s="9" t="s">
        <v>106</v>
      </c>
      <c r="I2240" s="9">
        <v>6</v>
      </c>
      <c r="J2240" s="9" t="s">
        <v>122</v>
      </c>
      <c r="K2240" s="9" t="s">
        <v>1166</v>
      </c>
      <c r="L2240" t="str">
        <f>IF(OR(J2240="Cattle",J2240="Zebu Cattle"),IF(COUNTIF(lists!$M$2:$M$258, K2240) &gt; 0,"bos.indicus",IF(COUNTIF(lists!$L$2:$L$258, K2240) &gt; 0,"cross.bred","pure.bred.exotic")),"NA")</f>
        <v>bos.indicus</v>
      </c>
      <c r="O2240" s="9" t="s">
        <v>4193</v>
      </c>
      <c r="P2240" s="9" t="s">
        <v>4904</v>
      </c>
      <c r="Q2240" s="9" t="s">
        <v>3800</v>
      </c>
      <c r="R2240" s="9" t="s">
        <v>3829</v>
      </c>
      <c r="S2240" s="9">
        <v>322.60000000000002</v>
      </c>
      <c r="T2240" s="9">
        <v>110.2</v>
      </c>
      <c r="U2240" s="9">
        <v>162.6</v>
      </c>
      <c r="V2240" s="9" t="s">
        <v>106</v>
      </c>
      <c r="W2240" s="9" t="s">
        <v>106</v>
      </c>
      <c r="X2240" s="9">
        <v>393.4</v>
      </c>
      <c r="Y2240" s="9" t="s">
        <v>106</v>
      </c>
      <c r="Z2240" s="9" t="s">
        <v>106</v>
      </c>
      <c r="AA2240" s="9" t="s">
        <v>106</v>
      </c>
      <c r="AB2240" s="9" t="s">
        <v>106</v>
      </c>
      <c r="AC2240" s="9" t="s">
        <v>5100</v>
      </c>
      <c r="AD2240" s="9" t="s">
        <v>5100</v>
      </c>
    </row>
    <row r="2241" spans="1:30">
      <c r="A2241" s="9" t="s">
        <v>4818</v>
      </c>
      <c r="B2241" s="9" t="s">
        <v>4874</v>
      </c>
      <c r="C2241" s="9" t="s">
        <v>105</v>
      </c>
      <c r="D2241" s="9">
        <v>10.5</v>
      </c>
      <c r="E2241" s="9" t="s">
        <v>106</v>
      </c>
      <c r="F2241" s="9">
        <v>437</v>
      </c>
      <c r="G2241" s="9">
        <v>0.75</v>
      </c>
      <c r="H2241" s="9" t="s">
        <v>106</v>
      </c>
      <c r="I2241" s="9">
        <v>6</v>
      </c>
      <c r="J2241" s="9" t="s">
        <v>122</v>
      </c>
      <c r="K2241" s="9" t="s">
        <v>4934</v>
      </c>
      <c r="L2241" t="str">
        <f>IF(OR(J2241="Cattle",J2241="Zebu Cattle"),IF(COUNTIF(lists!$M$2:$M$258, K2241) &gt; 0,"bos.indicus",IF(COUNTIF(lists!$L$2:$L$258, K2241) &gt; 0,"cross.bred","pure.bred.exotic")),"NA")</f>
        <v>cross.bred</v>
      </c>
      <c r="O2241" s="9" t="s">
        <v>124</v>
      </c>
      <c r="P2241" s="9" t="s">
        <v>4904</v>
      </c>
      <c r="Q2241" s="9" t="s">
        <v>3800</v>
      </c>
      <c r="R2241" s="9" t="s">
        <v>3829</v>
      </c>
      <c r="S2241" s="9">
        <v>322.60000000000002</v>
      </c>
      <c r="T2241" s="9">
        <v>110.2</v>
      </c>
      <c r="U2241" s="9">
        <v>162.6</v>
      </c>
      <c r="V2241" s="9" t="s">
        <v>106</v>
      </c>
      <c r="W2241" s="9" t="s">
        <v>106</v>
      </c>
      <c r="X2241" s="9">
        <v>393.4</v>
      </c>
      <c r="Y2241" s="9" t="s">
        <v>106</v>
      </c>
      <c r="Z2241" s="9" t="s">
        <v>106</v>
      </c>
      <c r="AA2241" s="9" t="s">
        <v>106</v>
      </c>
      <c r="AB2241" s="9" t="s">
        <v>106</v>
      </c>
      <c r="AC2241" s="9" t="s">
        <v>5100</v>
      </c>
      <c r="AD2241" s="9" t="s">
        <v>5100</v>
      </c>
    </row>
    <row r="2242" spans="1:30">
      <c r="A2242" s="9" t="s">
        <v>4819</v>
      </c>
      <c r="B2242" s="9" t="s">
        <v>4935</v>
      </c>
      <c r="C2242" s="9" t="s">
        <v>105</v>
      </c>
      <c r="D2242" s="9">
        <v>9.1999999999999993</v>
      </c>
      <c r="E2242" s="9" t="s">
        <v>106</v>
      </c>
      <c r="F2242" s="9">
        <v>300</v>
      </c>
      <c r="G2242" s="9">
        <v>0.106</v>
      </c>
      <c r="H2242" s="9">
        <v>3.8</v>
      </c>
      <c r="J2242" s="9" t="s">
        <v>122</v>
      </c>
      <c r="K2242" s="9" t="s">
        <v>4943</v>
      </c>
      <c r="L2242" t="str">
        <f>IF(OR(J2242="Cattle",J2242="Zebu Cattle"),IF(COUNTIF(lists!$M$2:$M$258, K2242) &gt; 0,"bos.indicus",IF(COUNTIF(lists!$L$2:$L$258, K2242) &gt; 0,"cross.bred","pure.bred.exotic")),"NA")</f>
        <v>cross.bred</v>
      </c>
      <c r="O2242" s="9" t="s">
        <v>124</v>
      </c>
      <c r="P2242" s="9" t="s">
        <v>4045</v>
      </c>
      <c r="Q2242" s="9" t="s">
        <v>3809</v>
      </c>
      <c r="R2242" s="9" t="s">
        <v>3829</v>
      </c>
      <c r="S2242" s="9" t="s">
        <v>106</v>
      </c>
      <c r="T2242" s="9" t="s">
        <v>106</v>
      </c>
      <c r="U2242" s="9">
        <v>80</v>
      </c>
      <c r="V2242" s="9">
        <v>180</v>
      </c>
      <c r="W2242" s="9" t="s">
        <v>106</v>
      </c>
      <c r="X2242" s="9" t="s">
        <v>106</v>
      </c>
      <c r="Y2242" s="9" t="s">
        <v>106</v>
      </c>
      <c r="Z2242" s="9" t="s">
        <v>106</v>
      </c>
      <c r="AA2242" s="9" t="s">
        <v>106</v>
      </c>
      <c r="AB2242" s="9" t="s">
        <v>106</v>
      </c>
      <c r="AC2242" s="9" t="s">
        <v>5100</v>
      </c>
      <c r="AD2242" s="9" t="s">
        <v>5100</v>
      </c>
    </row>
    <row r="2243" spans="1:30">
      <c r="A2243" s="9" t="s">
        <v>4819</v>
      </c>
      <c r="B2243" s="9" t="s">
        <v>4936</v>
      </c>
      <c r="D2243" s="9">
        <v>10.5</v>
      </c>
      <c r="E2243" s="9" t="s">
        <v>106</v>
      </c>
      <c r="F2243" s="9">
        <v>330</v>
      </c>
      <c r="G2243" s="9">
        <v>0.309</v>
      </c>
      <c r="H2243" s="9">
        <v>5.4</v>
      </c>
      <c r="J2243" s="9" t="s">
        <v>122</v>
      </c>
      <c r="K2243" s="9" t="s">
        <v>4943</v>
      </c>
      <c r="L2243" t="str">
        <f>IF(OR(J2243="Cattle",J2243="Zebu Cattle"),IF(COUNTIF(lists!$M$2:$M$258, K2243) &gt; 0,"bos.indicus",IF(COUNTIF(lists!$L$2:$L$258, K2243) &gt; 0,"cross.bred","pure.bred.exotic")),"NA")</f>
        <v>cross.bred</v>
      </c>
      <c r="O2243" s="9" t="s">
        <v>124</v>
      </c>
      <c r="P2243" s="9" t="s">
        <v>4045</v>
      </c>
      <c r="Q2243" s="9" t="s">
        <v>3809</v>
      </c>
      <c r="R2243" s="9" t="s">
        <v>3829</v>
      </c>
      <c r="S2243" s="9" t="s">
        <v>106</v>
      </c>
      <c r="T2243" s="9" t="s">
        <v>106</v>
      </c>
      <c r="U2243" s="9">
        <v>97</v>
      </c>
      <c r="V2243" s="9">
        <v>215</v>
      </c>
      <c r="W2243" s="9" t="s">
        <v>106</v>
      </c>
      <c r="X2243" s="9" t="s">
        <v>106</v>
      </c>
      <c r="Y2243" s="9" t="s">
        <v>106</v>
      </c>
      <c r="Z2243" s="9" t="s">
        <v>106</v>
      </c>
      <c r="AA2243" s="9" t="s">
        <v>106</v>
      </c>
      <c r="AB2243" s="9" t="s">
        <v>106</v>
      </c>
      <c r="AC2243" s="9" t="s">
        <v>5100</v>
      </c>
      <c r="AD2243" s="9" t="s">
        <v>5100</v>
      </c>
    </row>
    <row r="2244" spans="1:30">
      <c r="A2244" s="9" t="s">
        <v>4819</v>
      </c>
      <c r="B2244" s="9" t="s">
        <v>4937</v>
      </c>
      <c r="C2244" s="9" t="s">
        <v>105</v>
      </c>
      <c r="D2244" s="9">
        <v>9.1999999999999993</v>
      </c>
      <c r="E2244" s="9" t="s">
        <v>106</v>
      </c>
      <c r="F2244" s="9">
        <v>292</v>
      </c>
      <c r="G2244" s="9">
        <v>-2.5999999999999999E-2</v>
      </c>
      <c r="H2244" s="9">
        <v>4.0999999999999996</v>
      </c>
      <c r="J2244" s="9" t="s">
        <v>122</v>
      </c>
      <c r="K2244" s="9" t="s">
        <v>4943</v>
      </c>
      <c r="L2244" t="str">
        <f>IF(OR(J2244="Cattle",J2244="Zebu Cattle"),IF(COUNTIF(lists!$M$2:$M$258, K2244) &gt; 0,"bos.indicus",IF(COUNTIF(lists!$L$2:$L$258, K2244) &gt; 0,"cross.bred","pure.bred.exotic")),"NA")</f>
        <v>cross.bred</v>
      </c>
      <c r="O2244" s="9" t="s">
        <v>124</v>
      </c>
      <c r="P2244" s="9" t="s">
        <v>4045</v>
      </c>
      <c r="Q2244" s="9" t="s">
        <v>3809</v>
      </c>
      <c r="R2244" s="9" t="s">
        <v>3829</v>
      </c>
      <c r="S2244" s="9" t="s">
        <v>106</v>
      </c>
      <c r="T2244" s="9" t="s">
        <v>106</v>
      </c>
      <c r="U2244" s="9">
        <v>69</v>
      </c>
      <c r="V2244" s="9">
        <v>188</v>
      </c>
      <c r="W2244" s="9" t="s">
        <v>106</v>
      </c>
      <c r="X2244" s="9" t="s">
        <v>106</v>
      </c>
      <c r="Y2244" s="9" t="s">
        <v>106</v>
      </c>
      <c r="Z2244" s="9" t="s">
        <v>106</v>
      </c>
      <c r="AA2244" s="9" t="s">
        <v>106</v>
      </c>
      <c r="AB2244" s="9" t="s">
        <v>106</v>
      </c>
      <c r="AC2244" s="9" t="s">
        <v>5100</v>
      </c>
      <c r="AD2244" s="9" t="s">
        <v>5100</v>
      </c>
    </row>
    <row r="2245" spans="1:30">
      <c r="A2245" s="9" t="s">
        <v>4819</v>
      </c>
      <c r="B2245" s="9" t="s">
        <v>4938</v>
      </c>
      <c r="C2245" s="9" t="s">
        <v>105</v>
      </c>
      <c r="D2245" s="9">
        <v>10.5</v>
      </c>
      <c r="E2245" s="9" t="s">
        <v>106</v>
      </c>
      <c r="F2245" s="9">
        <v>328</v>
      </c>
      <c r="G2245" s="9">
        <v>0.27200000000000002</v>
      </c>
      <c r="H2245" s="9">
        <v>4.9000000000000004</v>
      </c>
      <c r="J2245" s="9" t="s">
        <v>122</v>
      </c>
      <c r="K2245" s="9" t="s">
        <v>4943</v>
      </c>
      <c r="L2245" t="str">
        <f>IF(OR(J2245="Cattle",J2245="Zebu Cattle"),IF(COUNTIF(lists!$M$2:$M$258, K2245) &gt; 0,"bos.indicus",IF(COUNTIF(lists!$L$2:$L$258, K2245) &gt; 0,"cross.bred","pure.bred.exotic")),"NA")</f>
        <v>cross.bred</v>
      </c>
      <c r="O2245" s="9" t="s">
        <v>124</v>
      </c>
      <c r="P2245" s="9" t="s">
        <v>4045</v>
      </c>
      <c r="Q2245" s="9" t="s">
        <v>3809</v>
      </c>
      <c r="R2245" s="9" t="s">
        <v>3829</v>
      </c>
      <c r="S2245" s="9" t="s">
        <v>106</v>
      </c>
      <c r="T2245" s="9" t="s">
        <v>106</v>
      </c>
      <c r="U2245" s="9">
        <v>85</v>
      </c>
      <c r="V2245" s="9">
        <v>216</v>
      </c>
      <c r="W2245" s="9" t="s">
        <v>106</v>
      </c>
      <c r="X2245" s="9" t="s">
        <v>106</v>
      </c>
      <c r="Y2245" s="9" t="s">
        <v>106</v>
      </c>
      <c r="Z2245" s="9" t="s">
        <v>106</v>
      </c>
      <c r="AA2245" s="9" t="s">
        <v>106</v>
      </c>
      <c r="AB2245" s="9" t="s">
        <v>106</v>
      </c>
      <c r="AC2245" s="9" t="s">
        <v>5100</v>
      </c>
      <c r="AD2245" s="9" t="s">
        <v>5100</v>
      </c>
    </row>
    <row r="2246" spans="1:30">
      <c r="A2246" s="9" t="s">
        <v>4819</v>
      </c>
      <c r="B2246" s="9" t="s">
        <v>4939</v>
      </c>
      <c r="C2246" s="9" t="s">
        <v>105</v>
      </c>
      <c r="D2246" s="9">
        <v>8.6999999999999993</v>
      </c>
      <c r="E2246" s="9" t="s">
        <v>106</v>
      </c>
      <c r="F2246" s="9">
        <v>291</v>
      </c>
      <c r="G2246" s="9">
        <v>1.0999999999999999E-2</v>
      </c>
      <c r="H2246" s="9">
        <v>2.4</v>
      </c>
      <c r="J2246" s="9" t="s">
        <v>122</v>
      </c>
      <c r="K2246" s="9" t="s">
        <v>4943</v>
      </c>
      <c r="L2246" t="str">
        <f>IF(OR(J2246="Cattle",J2246="Zebu Cattle"),IF(COUNTIF(lists!$M$2:$M$258, K2246) &gt; 0,"bos.indicus",IF(COUNTIF(lists!$L$2:$L$258, K2246) &gt; 0,"cross.bred","pure.bred.exotic")),"NA")</f>
        <v>cross.bred</v>
      </c>
      <c r="O2246" s="9" t="s">
        <v>124</v>
      </c>
      <c r="P2246" s="9" t="s">
        <v>4045</v>
      </c>
      <c r="Q2246" s="9" t="s">
        <v>3809</v>
      </c>
      <c r="R2246" s="9" t="s">
        <v>3829</v>
      </c>
      <c r="S2246" s="9" t="s">
        <v>106</v>
      </c>
      <c r="T2246" s="9" t="s">
        <v>106</v>
      </c>
      <c r="U2246" s="9">
        <v>63</v>
      </c>
      <c r="V2246" s="9">
        <v>193</v>
      </c>
      <c r="W2246" s="9" t="s">
        <v>106</v>
      </c>
      <c r="X2246" s="9" t="s">
        <v>106</v>
      </c>
      <c r="Y2246" s="9" t="s">
        <v>106</v>
      </c>
      <c r="Z2246" s="9" t="s">
        <v>106</v>
      </c>
      <c r="AA2246" s="9" t="s">
        <v>106</v>
      </c>
      <c r="AB2246" s="9" t="s">
        <v>106</v>
      </c>
      <c r="AC2246" s="9" t="s">
        <v>5100</v>
      </c>
      <c r="AD2246" s="9" t="s">
        <v>5100</v>
      </c>
    </row>
    <row r="2247" spans="1:30">
      <c r="A2247" s="9" t="s">
        <v>4819</v>
      </c>
      <c r="B2247" s="9" t="s">
        <v>4940</v>
      </c>
      <c r="D2247" s="9">
        <v>9.6999999999999993</v>
      </c>
      <c r="E2247" s="9" t="s">
        <v>106</v>
      </c>
      <c r="F2247" s="9">
        <v>311</v>
      </c>
      <c r="G2247" s="9">
        <v>0.16800000000000001</v>
      </c>
      <c r="H2247" s="9">
        <v>4</v>
      </c>
      <c r="J2247" s="9" t="s">
        <v>122</v>
      </c>
      <c r="K2247" s="9" t="s">
        <v>4943</v>
      </c>
      <c r="L2247" t="str">
        <f>IF(OR(J2247="Cattle",J2247="Zebu Cattle"),IF(COUNTIF(lists!$M$2:$M$258, K2247) &gt; 0,"bos.indicus",IF(COUNTIF(lists!$L$2:$L$258, K2247) &gt; 0,"cross.bred","pure.bred.exotic")),"NA")</f>
        <v>cross.bred</v>
      </c>
      <c r="O2247" s="9" t="s">
        <v>124</v>
      </c>
      <c r="P2247" s="9" t="s">
        <v>4045</v>
      </c>
      <c r="Q2247" s="9" t="s">
        <v>3809</v>
      </c>
      <c r="R2247" s="9" t="s">
        <v>3829</v>
      </c>
      <c r="S2247" s="9" t="s">
        <v>106</v>
      </c>
      <c r="T2247" s="9" t="s">
        <v>106</v>
      </c>
      <c r="U2247" s="9">
        <v>64</v>
      </c>
      <c r="V2247" s="9">
        <v>278</v>
      </c>
      <c r="W2247" s="9" t="s">
        <v>106</v>
      </c>
      <c r="X2247" s="9" t="s">
        <v>106</v>
      </c>
      <c r="Y2247" s="9" t="s">
        <v>106</v>
      </c>
      <c r="Z2247" s="9" t="s">
        <v>106</v>
      </c>
      <c r="AA2247" s="9" t="s">
        <v>106</v>
      </c>
      <c r="AB2247" s="9" t="s">
        <v>106</v>
      </c>
      <c r="AC2247" s="9" t="s">
        <v>5100</v>
      </c>
      <c r="AD2247" s="9" t="s">
        <v>5100</v>
      </c>
    </row>
    <row r="2248" spans="1:30">
      <c r="A2248" s="9" t="s">
        <v>4819</v>
      </c>
      <c r="B2248" s="9" t="s">
        <v>4941</v>
      </c>
      <c r="D2248" s="9">
        <v>6.7</v>
      </c>
      <c r="E2248" s="9" t="s">
        <v>106</v>
      </c>
      <c r="F2248" s="9">
        <v>294</v>
      </c>
      <c r="G2248" s="9">
        <v>-3.7999999999999999E-2</v>
      </c>
      <c r="H2248" s="9">
        <v>2.5</v>
      </c>
      <c r="J2248" s="9" t="s">
        <v>122</v>
      </c>
      <c r="K2248" s="9" t="s">
        <v>4943</v>
      </c>
      <c r="L2248" t="str">
        <f>IF(OR(J2248="Cattle",J2248="Zebu Cattle"),IF(COUNTIF(lists!$M$2:$M$258, K2248) &gt; 0,"bos.indicus",IF(COUNTIF(lists!$L$2:$L$258, K2248) &gt; 0,"cross.bred","pure.bred.exotic")),"NA")</f>
        <v>cross.bred</v>
      </c>
      <c r="O2248" s="9" t="s">
        <v>124</v>
      </c>
      <c r="P2248" s="9" t="s">
        <v>4045</v>
      </c>
      <c r="Q2248" s="9" t="s">
        <v>3809</v>
      </c>
      <c r="R2248" s="9" t="s">
        <v>3828</v>
      </c>
      <c r="S2248" s="9" t="s">
        <v>106</v>
      </c>
      <c r="T2248" s="9" t="s">
        <v>106</v>
      </c>
      <c r="U2248" s="9">
        <v>50</v>
      </c>
      <c r="V2248" s="9">
        <v>220</v>
      </c>
      <c r="W2248" s="9" t="s">
        <v>106</v>
      </c>
      <c r="X2248" s="9" t="s">
        <v>106</v>
      </c>
      <c r="Y2248" s="9" t="s">
        <v>106</v>
      </c>
      <c r="Z2248" s="9" t="s">
        <v>106</v>
      </c>
      <c r="AA2248" s="9" t="s">
        <v>106</v>
      </c>
      <c r="AB2248" s="9" t="s">
        <v>106</v>
      </c>
      <c r="AC2248" s="9" t="s">
        <v>5100</v>
      </c>
      <c r="AD2248" s="9" t="s">
        <v>5100</v>
      </c>
    </row>
    <row r="2249" spans="1:30">
      <c r="A2249" s="9" t="s">
        <v>4819</v>
      </c>
      <c r="B2249" s="9" t="s">
        <v>4942</v>
      </c>
      <c r="D2249" s="9">
        <v>7.5</v>
      </c>
      <c r="E2249" s="9" t="s">
        <v>106</v>
      </c>
      <c r="F2249" s="9">
        <v>299</v>
      </c>
      <c r="G2249" s="9">
        <v>6.8000000000000005E-2</v>
      </c>
      <c r="H2249" s="9">
        <v>3.5</v>
      </c>
      <c r="J2249" s="9" t="s">
        <v>122</v>
      </c>
      <c r="K2249" s="9" t="s">
        <v>4943</v>
      </c>
      <c r="L2249" t="str">
        <f>IF(OR(J2249="Cattle",J2249="Zebu Cattle"),IF(COUNTIF(lists!$M$2:$M$258, K2249) &gt; 0,"bos.indicus",IF(COUNTIF(lists!$L$2:$L$258, K2249) &gt; 0,"cross.bred","pure.bred.exotic")),"NA")</f>
        <v>cross.bred</v>
      </c>
      <c r="O2249" s="9" t="s">
        <v>124</v>
      </c>
      <c r="P2249" s="9" t="s">
        <v>4045</v>
      </c>
      <c r="Q2249" s="9" t="s">
        <v>3809</v>
      </c>
      <c r="R2249" s="9" t="s">
        <v>3828</v>
      </c>
      <c r="S2249" s="9" t="s">
        <v>106</v>
      </c>
      <c r="T2249" s="9" t="s">
        <v>106</v>
      </c>
      <c r="U2249" s="9">
        <v>58</v>
      </c>
      <c r="V2249" s="9">
        <v>252</v>
      </c>
      <c r="W2249" s="9" t="s">
        <v>106</v>
      </c>
      <c r="X2249" s="9" t="s">
        <v>106</v>
      </c>
      <c r="Y2249" s="9" t="s">
        <v>106</v>
      </c>
      <c r="Z2249" s="9" t="s">
        <v>106</v>
      </c>
      <c r="AA2249" s="9" t="s">
        <v>106</v>
      </c>
      <c r="AB2249" s="9" t="s">
        <v>106</v>
      </c>
      <c r="AC2249" s="9" t="s">
        <v>5100</v>
      </c>
      <c r="AD2249" s="9" t="s">
        <v>5100</v>
      </c>
    </row>
    <row r="2250" spans="1:30">
      <c r="A2250" s="9" t="s">
        <v>4820</v>
      </c>
      <c r="B2250" s="9" t="s">
        <v>669</v>
      </c>
      <c r="C2250" s="9" t="s">
        <v>105</v>
      </c>
      <c r="D2250" s="9">
        <v>11.87</v>
      </c>
      <c r="E2250" s="9" t="s">
        <v>106</v>
      </c>
      <c r="F2250" s="68">
        <v>347</v>
      </c>
      <c r="G2250" s="9" t="s">
        <v>106</v>
      </c>
      <c r="H2250" s="9">
        <v>7.8</v>
      </c>
      <c r="I2250" s="9">
        <v>4</v>
      </c>
      <c r="J2250" s="9" t="s">
        <v>122</v>
      </c>
      <c r="K2250" s="9" t="s">
        <v>4898</v>
      </c>
      <c r="L2250" t="str">
        <f>IF(OR(J2250="Cattle",J2250="Zebu Cattle"),IF(COUNTIF(lists!$M$2:$M$258, K2250) &gt; 0,"bos.indicus",IF(COUNTIF(lists!$L$2:$L$258, K2250) &gt; 0,"cross.bred","pure.bred.exotic")),"NA")</f>
        <v>cross.bred</v>
      </c>
      <c r="O2250" s="9" t="s">
        <v>124</v>
      </c>
      <c r="P2250" s="9" t="s">
        <v>4905</v>
      </c>
      <c r="Q2250" s="9" t="s">
        <v>3809</v>
      </c>
      <c r="R2250" s="9" t="s">
        <v>3830</v>
      </c>
      <c r="S2250" s="9">
        <v>334.2</v>
      </c>
      <c r="T2250" s="9">
        <v>65.2</v>
      </c>
      <c r="U2250" s="9">
        <v>120.9</v>
      </c>
      <c r="V2250" s="9">
        <v>351.2</v>
      </c>
      <c r="W2250" s="9" t="s">
        <v>106</v>
      </c>
      <c r="X2250" s="9">
        <v>655.6</v>
      </c>
      <c r="Y2250" s="9" t="s">
        <v>106</v>
      </c>
      <c r="Z2250" s="9" t="s">
        <v>106</v>
      </c>
      <c r="AA2250" s="9" t="s">
        <v>106</v>
      </c>
      <c r="AB2250" s="9" t="s">
        <v>106</v>
      </c>
      <c r="AC2250" s="9" t="s">
        <v>5100</v>
      </c>
      <c r="AD2250" s="9" t="s">
        <v>5100</v>
      </c>
    </row>
    <row r="2251" spans="1:30">
      <c r="A2251" s="9" t="s">
        <v>4820</v>
      </c>
      <c r="B2251" s="9" t="s">
        <v>1921</v>
      </c>
      <c r="C2251" s="9" t="s">
        <v>105</v>
      </c>
      <c r="D2251" s="9">
        <v>11.98</v>
      </c>
      <c r="E2251" s="9" t="s">
        <v>106</v>
      </c>
      <c r="F2251" s="68">
        <v>347</v>
      </c>
      <c r="G2251" s="9" t="s">
        <v>106</v>
      </c>
      <c r="H2251" s="9">
        <v>9.1999999999999993</v>
      </c>
      <c r="I2251" s="9">
        <v>4</v>
      </c>
      <c r="J2251" s="9" t="s">
        <v>122</v>
      </c>
      <c r="K2251" s="9" t="s">
        <v>4898</v>
      </c>
      <c r="L2251" t="str">
        <f>IF(OR(J2251="Cattle",J2251="Zebu Cattle"),IF(COUNTIF(lists!$M$2:$M$258, K2251) &gt; 0,"bos.indicus",IF(COUNTIF(lists!$L$2:$L$258, K2251) &gt; 0,"cross.bred","pure.bred.exotic")),"NA")</f>
        <v>cross.bred</v>
      </c>
      <c r="O2251" s="9" t="s">
        <v>124</v>
      </c>
      <c r="P2251" s="9" t="s">
        <v>4905</v>
      </c>
      <c r="Q2251" s="9" t="s">
        <v>3809</v>
      </c>
      <c r="R2251" s="9" t="s">
        <v>3830</v>
      </c>
      <c r="S2251" s="9">
        <v>355.1</v>
      </c>
      <c r="T2251" s="9">
        <v>72.400000000000006</v>
      </c>
      <c r="U2251" s="9">
        <v>119.8</v>
      </c>
      <c r="V2251" s="9">
        <v>347.5</v>
      </c>
      <c r="W2251" s="9" t="s">
        <v>106</v>
      </c>
      <c r="X2251" s="9">
        <v>666.1</v>
      </c>
      <c r="Y2251" s="9" t="s">
        <v>106</v>
      </c>
      <c r="Z2251" s="9" t="s">
        <v>106</v>
      </c>
      <c r="AA2251" s="9" t="s">
        <v>106</v>
      </c>
      <c r="AB2251" s="9" t="s">
        <v>106</v>
      </c>
      <c r="AC2251" s="9" t="s">
        <v>5100</v>
      </c>
      <c r="AD2251" s="9" t="s">
        <v>5100</v>
      </c>
    </row>
    <row r="2252" spans="1:30">
      <c r="A2252" s="9" t="s">
        <v>4820</v>
      </c>
      <c r="B2252" s="9" t="s">
        <v>672</v>
      </c>
      <c r="C2252" s="9" t="s">
        <v>105</v>
      </c>
      <c r="D2252" s="9">
        <v>12.12</v>
      </c>
      <c r="E2252" s="9" t="s">
        <v>106</v>
      </c>
      <c r="F2252" s="68">
        <v>347</v>
      </c>
      <c r="G2252" s="9" t="s">
        <v>106</v>
      </c>
      <c r="H2252" s="9">
        <v>8.6999999999999993</v>
      </c>
      <c r="I2252" s="9">
        <v>4</v>
      </c>
      <c r="J2252" s="9" t="s">
        <v>122</v>
      </c>
      <c r="K2252" s="9" t="s">
        <v>4898</v>
      </c>
      <c r="L2252" t="str">
        <f>IF(OR(J2252="Cattle",J2252="Zebu Cattle"),IF(COUNTIF(lists!$M$2:$M$258, K2252) &gt; 0,"bos.indicus",IF(COUNTIF(lists!$L$2:$L$258, K2252) &gt; 0,"cross.bred","pure.bred.exotic")),"NA")</f>
        <v>cross.bred</v>
      </c>
      <c r="O2252" s="9" t="s">
        <v>124</v>
      </c>
      <c r="P2252" s="9" t="s">
        <v>4905</v>
      </c>
      <c r="Q2252" s="9" t="s">
        <v>3809</v>
      </c>
      <c r="R2252" s="9" t="s">
        <v>3830</v>
      </c>
      <c r="S2252" s="9">
        <v>347.6</v>
      </c>
      <c r="T2252" s="9">
        <v>77.599999999999994</v>
      </c>
      <c r="U2252" s="9">
        <v>120.6</v>
      </c>
      <c r="V2252" s="9">
        <v>345.2</v>
      </c>
      <c r="W2252" s="9" t="s">
        <v>106</v>
      </c>
      <c r="X2252" s="9">
        <v>643.20000000000005</v>
      </c>
      <c r="Y2252" s="9" t="s">
        <v>106</v>
      </c>
      <c r="Z2252" s="9" t="s">
        <v>106</v>
      </c>
      <c r="AA2252" s="9" t="s">
        <v>106</v>
      </c>
      <c r="AB2252" s="9" t="s">
        <v>106</v>
      </c>
      <c r="AC2252" s="9" t="s">
        <v>5100</v>
      </c>
      <c r="AD2252" s="9" t="s">
        <v>5100</v>
      </c>
    </row>
    <row r="2253" spans="1:30">
      <c r="A2253" s="9" t="s">
        <v>4820</v>
      </c>
      <c r="B2253" s="9" t="s">
        <v>925</v>
      </c>
      <c r="C2253" s="9" t="s">
        <v>105</v>
      </c>
      <c r="D2253" s="9">
        <v>12.02</v>
      </c>
      <c r="E2253" s="9" t="s">
        <v>106</v>
      </c>
      <c r="F2253" s="68">
        <v>347</v>
      </c>
      <c r="G2253" s="9" t="s">
        <v>106</v>
      </c>
      <c r="H2253" s="9">
        <v>8.6</v>
      </c>
      <c r="I2253" s="9">
        <v>4</v>
      </c>
      <c r="J2253" s="9" t="s">
        <v>122</v>
      </c>
      <c r="K2253" s="9" t="s">
        <v>4898</v>
      </c>
      <c r="L2253" t="str">
        <f>IF(OR(J2253="Cattle",J2253="Zebu Cattle"),IF(COUNTIF(lists!$M$2:$M$258, K2253) &gt; 0,"bos.indicus",IF(COUNTIF(lists!$L$2:$L$258, K2253) &gt; 0,"cross.bred","pure.bred.exotic")),"NA")</f>
        <v>cross.bred</v>
      </c>
      <c r="O2253" s="9" t="s">
        <v>124</v>
      </c>
      <c r="P2253" s="9" t="s">
        <v>4905</v>
      </c>
      <c r="Q2253" s="9" t="s">
        <v>3809</v>
      </c>
      <c r="R2253" s="9" t="s">
        <v>3829</v>
      </c>
      <c r="S2253" s="9">
        <v>350.8</v>
      </c>
      <c r="T2253" s="9">
        <v>82.9</v>
      </c>
      <c r="U2253" s="9">
        <v>121.2</v>
      </c>
      <c r="V2253" s="9">
        <v>344.9</v>
      </c>
      <c r="W2253" s="9" t="s">
        <v>106</v>
      </c>
      <c r="X2253" s="9">
        <v>640.4</v>
      </c>
      <c r="Y2253" s="9" t="s">
        <v>106</v>
      </c>
      <c r="Z2253" s="9" t="s">
        <v>106</v>
      </c>
      <c r="AA2253" s="9" t="s">
        <v>106</v>
      </c>
      <c r="AB2253" s="9" t="s">
        <v>106</v>
      </c>
      <c r="AC2253" s="9" t="s">
        <v>5100</v>
      </c>
      <c r="AD2253" s="9" t="s">
        <v>5100</v>
      </c>
    </row>
    <row r="2254" spans="1:30">
      <c r="A2254" s="9" t="s">
        <v>4821</v>
      </c>
      <c r="B2254" s="9" t="s">
        <v>4875</v>
      </c>
      <c r="C2254" s="9" t="s">
        <v>105</v>
      </c>
      <c r="D2254" s="9">
        <v>5.48</v>
      </c>
      <c r="E2254" s="9" t="s">
        <v>106</v>
      </c>
      <c r="F2254" s="9">
        <v>245.5</v>
      </c>
      <c r="G2254" s="9">
        <v>0.82</v>
      </c>
      <c r="H2254" s="9" t="s">
        <v>106</v>
      </c>
      <c r="I2254" s="9">
        <v>11</v>
      </c>
      <c r="J2254" s="9" t="s">
        <v>122</v>
      </c>
      <c r="K2254" s="9" t="s">
        <v>4899</v>
      </c>
      <c r="L2254" t="str">
        <f>IF(OR(J2254="Cattle",J2254="Zebu Cattle"),IF(COUNTIF(lists!$M$2:$M$258, K2254) &gt; 0,"bos.indicus",IF(COUNTIF(lists!$L$2:$L$258, K2254) &gt; 0,"cross.bred","pure.bred.exotic")),"NA")</f>
        <v>bos.indicus</v>
      </c>
      <c r="O2254" s="9" t="s">
        <v>4193</v>
      </c>
      <c r="P2254" s="9" t="s">
        <v>4906</v>
      </c>
      <c r="Q2254" s="9" t="s">
        <v>3804</v>
      </c>
      <c r="R2254" s="9" t="s">
        <v>3829</v>
      </c>
      <c r="S2254" s="9" t="s">
        <v>106</v>
      </c>
      <c r="T2254" s="9" t="s">
        <v>106</v>
      </c>
      <c r="U2254" s="9" t="s">
        <v>106</v>
      </c>
      <c r="V2254" s="9" t="s">
        <v>106</v>
      </c>
      <c r="W2254" s="9" t="s">
        <v>106</v>
      </c>
      <c r="X2254" s="9" t="s">
        <v>106</v>
      </c>
      <c r="Y2254" s="9" t="s">
        <v>106</v>
      </c>
      <c r="Z2254" s="9" t="s">
        <v>106</v>
      </c>
      <c r="AA2254" s="9" t="s">
        <v>106</v>
      </c>
      <c r="AB2254" s="9" t="s">
        <v>106</v>
      </c>
      <c r="AC2254" s="9" t="s">
        <v>5100</v>
      </c>
      <c r="AD2254" s="9" t="s">
        <v>5100</v>
      </c>
    </row>
    <row r="2255" spans="1:30">
      <c r="A2255" s="9" t="s">
        <v>4821</v>
      </c>
      <c r="B2255" s="9" t="s">
        <v>4876</v>
      </c>
      <c r="C2255" s="9" t="s">
        <v>105</v>
      </c>
      <c r="D2255" s="9">
        <v>4.74</v>
      </c>
      <c r="E2255" s="9" t="s">
        <v>106</v>
      </c>
      <c r="F2255" s="9">
        <v>241.5</v>
      </c>
      <c r="G2255" s="9">
        <v>0.63</v>
      </c>
      <c r="H2255" s="9" t="s">
        <v>106</v>
      </c>
      <c r="I2255" s="9">
        <v>11</v>
      </c>
      <c r="J2255" s="9" t="s">
        <v>122</v>
      </c>
      <c r="K2255" s="9" t="s">
        <v>4899</v>
      </c>
      <c r="L2255" t="str">
        <f>IF(OR(J2255="Cattle",J2255="Zebu Cattle"),IF(COUNTIF(lists!$M$2:$M$258, K2255) &gt; 0,"bos.indicus",IF(COUNTIF(lists!$L$2:$L$258, K2255) &gt; 0,"cross.bred","pure.bred.exotic")),"NA")</f>
        <v>bos.indicus</v>
      </c>
      <c r="O2255" s="9" t="s">
        <v>4193</v>
      </c>
      <c r="P2255" s="9" t="s">
        <v>4906</v>
      </c>
      <c r="Q2255" s="9" t="s">
        <v>3804</v>
      </c>
      <c r="R2255" s="9" t="s">
        <v>3829</v>
      </c>
      <c r="S2255" s="9" t="s">
        <v>106</v>
      </c>
      <c r="T2255" s="9" t="s">
        <v>106</v>
      </c>
      <c r="U2255" s="9" t="s">
        <v>106</v>
      </c>
      <c r="V2255" s="9" t="s">
        <v>106</v>
      </c>
      <c r="W2255" s="9" t="s">
        <v>106</v>
      </c>
      <c r="X2255" s="9" t="s">
        <v>106</v>
      </c>
      <c r="Y2255" s="9" t="s">
        <v>106</v>
      </c>
      <c r="Z2255" s="9" t="s">
        <v>106</v>
      </c>
      <c r="AA2255" s="9" t="s">
        <v>106</v>
      </c>
      <c r="AB2255" s="9" t="s">
        <v>106</v>
      </c>
      <c r="AC2255" s="9" t="s">
        <v>5100</v>
      </c>
      <c r="AD2255" s="9" t="s">
        <v>5100</v>
      </c>
    </row>
    <row r="2256" spans="1:30">
      <c r="A2256" s="9" t="s">
        <v>4821</v>
      </c>
      <c r="B2256" s="9" t="s">
        <v>4877</v>
      </c>
      <c r="C2256" s="9" t="s">
        <v>105</v>
      </c>
      <c r="D2256" s="9">
        <v>4.88</v>
      </c>
      <c r="E2256" s="9" t="s">
        <v>106</v>
      </c>
      <c r="F2256" s="9">
        <v>243.5</v>
      </c>
      <c r="G2256" s="9">
        <v>0.69</v>
      </c>
      <c r="H2256" s="9" t="s">
        <v>106</v>
      </c>
      <c r="I2256" s="9">
        <v>11</v>
      </c>
      <c r="J2256" s="9" t="s">
        <v>122</v>
      </c>
      <c r="K2256" s="9" t="s">
        <v>4899</v>
      </c>
      <c r="L2256" t="str">
        <f>IF(OR(J2256="Cattle",J2256="Zebu Cattle"),IF(COUNTIF(lists!$M$2:$M$258, K2256) &gt; 0,"bos.indicus",IF(COUNTIF(lists!$L$2:$L$258, K2256) &gt; 0,"cross.bred","pure.bred.exotic")),"NA")</f>
        <v>bos.indicus</v>
      </c>
      <c r="O2256" s="9" t="s">
        <v>4193</v>
      </c>
      <c r="P2256" s="9" t="s">
        <v>4906</v>
      </c>
      <c r="Q2256" s="9" t="s">
        <v>3804</v>
      </c>
      <c r="R2256" s="9" t="s">
        <v>3829</v>
      </c>
      <c r="S2256" s="9" t="s">
        <v>106</v>
      </c>
      <c r="T2256" s="9" t="s">
        <v>106</v>
      </c>
      <c r="U2256" s="9" t="s">
        <v>106</v>
      </c>
      <c r="V2256" s="9" t="s">
        <v>106</v>
      </c>
      <c r="W2256" s="9" t="s">
        <v>106</v>
      </c>
      <c r="X2256" s="9" t="s">
        <v>106</v>
      </c>
      <c r="Y2256" s="9" t="s">
        <v>106</v>
      </c>
      <c r="Z2256" s="9" t="s">
        <v>106</v>
      </c>
      <c r="AA2256" s="9" t="s">
        <v>106</v>
      </c>
      <c r="AB2256" s="9" t="s">
        <v>106</v>
      </c>
      <c r="AC2256" s="9" t="s">
        <v>5100</v>
      </c>
      <c r="AD2256" s="9" t="s">
        <v>5100</v>
      </c>
    </row>
    <row r="2257" spans="1:30">
      <c r="A2257" s="9" t="s">
        <v>4821</v>
      </c>
      <c r="B2257" s="9" t="s">
        <v>4878</v>
      </c>
      <c r="C2257" s="9" t="s">
        <v>105</v>
      </c>
      <c r="D2257" s="9">
        <v>4.95</v>
      </c>
      <c r="E2257" s="9" t="s">
        <v>106</v>
      </c>
      <c r="F2257" s="9">
        <v>240.5</v>
      </c>
      <c r="G2257" s="9">
        <v>0.7</v>
      </c>
      <c r="H2257" s="9" t="s">
        <v>106</v>
      </c>
      <c r="I2257" s="9">
        <v>11</v>
      </c>
      <c r="J2257" s="9" t="s">
        <v>122</v>
      </c>
      <c r="K2257" s="9" t="s">
        <v>4899</v>
      </c>
      <c r="L2257" t="str">
        <f>IF(OR(J2257="Cattle",J2257="Zebu Cattle"),IF(COUNTIF(lists!$M$2:$M$258, K2257) &gt; 0,"bos.indicus",IF(COUNTIF(lists!$L$2:$L$258, K2257) &gt; 0,"cross.bred","pure.bred.exotic")),"NA")</f>
        <v>bos.indicus</v>
      </c>
      <c r="O2257" s="9" t="s">
        <v>4193</v>
      </c>
      <c r="P2257" s="9" t="s">
        <v>4906</v>
      </c>
      <c r="Q2257" s="9" t="s">
        <v>3804</v>
      </c>
      <c r="R2257" s="9" t="s">
        <v>3829</v>
      </c>
      <c r="S2257" s="9" t="s">
        <v>106</v>
      </c>
      <c r="T2257" s="9" t="s">
        <v>106</v>
      </c>
      <c r="U2257" s="9" t="s">
        <v>106</v>
      </c>
      <c r="V2257" s="9" t="s">
        <v>106</v>
      </c>
      <c r="W2257" s="9" t="s">
        <v>106</v>
      </c>
      <c r="X2257" s="9" t="s">
        <v>106</v>
      </c>
      <c r="Y2257" s="9" t="s">
        <v>106</v>
      </c>
      <c r="Z2257" s="9" t="s">
        <v>106</v>
      </c>
      <c r="AA2257" s="9" t="s">
        <v>106</v>
      </c>
      <c r="AB2257" s="9" t="s">
        <v>106</v>
      </c>
      <c r="AC2257" s="9" t="s">
        <v>5100</v>
      </c>
      <c r="AD2257" s="9" t="s">
        <v>5100</v>
      </c>
    </row>
    <row r="2258" spans="1:30">
      <c r="A2258" s="9" t="s">
        <v>4821</v>
      </c>
      <c r="B2258" s="9" t="s">
        <v>4879</v>
      </c>
      <c r="C2258" s="9" t="s">
        <v>105</v>
      </c>
      <c r="D2258" s="9">
        <v>4.8899999999999997</v>
      </c>
      <c r="E2258" s="9" t="s">
        <v>106</v>
      </c>
      <c r="F2258" s="9">
        <v>236</v>
      </c>
      <c r="G2258" s="9">
        <v>0.55000000000000004</v>
      </c>
      <c r="H2258" s="9" t="s">
        <v>106</v>
      </c>
      <c r="I2258" s="9">
        <v>11</v>
      </c>
      <c r="J2258" s="9" t="s">
        <v>122</v>
      </c>
      <c r="K2258" s="9" t="s">
        <v>4899</v>
      </c>
      <c r="L2258" t="str">
        <f>IF(OR(J2258="Cattle",J2258="Zebu Cattle"),IF(COUNTIF(lists!$M$2:$M$258, K2258) &gt; 0,"bos.indicus",IF(COUNTIF(lists!$L$2:$L$258, K2258) &gt; 0,"cross.bred","pure.bred.exotic")),"NA")</f>
        <v>bos.indicus</v>
      </c>
      <c r="O2258" s="9" t="s">
        <v>4193</v>
      </c>
      <c r="P2258" s="9" t="s">
        <v>4906</v>
      </c>
      <c r="Q2258" s="9" t="s">
        <v>3804</v>
      </c>
      <c r="R2258" s="9" t="s">
        <v>3829</v>
      </c>
      <c r="S2258" s="9" t="s">
        <v>106</v>
      </c>
      <c r="T2258" s="9" t="s">
        <v>106</v>
      </c>
      <c r="U2258" s="9" t="s">
        <v>106</v>
      </c>
      <c r="V2258" s="9" t="s">
        <v>106</v>
      </c>
      <c r="W2258" s="9" t="s">
        <v>106</v>
      </c>
      <c r="X2258" s="9" t="s">
        <v>106</v>
      </c>
      <c r="Y2258" s="9" t="s">
        <v>106</v>
      </c>
      <c r="Z2258" s="9" t="s">
        <v>106</v>
      </c>
      <c r="AA2258" s="9" t="s">
        <v>106</v>
      </c>
      <c r="AB2258" s="9" t="s">
        <v>106</v>
      </c>
      <c r="AC2258" s="9" t="s">
        <v>5100</v>
      </c>
      <c r="AD2258" s="9" t="s">
        <v>5100</v>
      </c>
    </row>
    <row r="2259" spans="1:30">
      <c r="A2259" s="9" t="s">
        <v>4822</v>
      </c>
      <c r="B2259" s="9" t="s">
        <v>4880</v>
      </c>
      <c r="C2259" s="9" t="s">
        <v>105</v>
      </c>
      <c r="D2259" s="9">
        <v>1.05</v>
      </c>
      <c r="E2259" s="9" t="s">
        <v>106</v>
      </c>
      <c r="F2259" s="9">
        <v>53.2</v>
      </c>
      <c r="G2259" s="9">
        <v>0.27200000000000002</v>
      </c>
      <c r="H2259" s="9" t="s">
        <v>106</v>
      </c>
      <c r="I2259" s="9">
        <v>5</v>
      </c>
      <c r="J2259" s="9" t="s">
        <v>122</v>
      </c>
      <c r="K2259" s="9" t="s">
        <v>4796</v>
      </c>
      <c r="L2259" t="str">
        <f>IF(OR(J2259="Cattle",J2259="Zebu Cattle"),IF(COUNTIF(lists!$M$2:$M$258, K2259) &gt; 0,"bos.indicus",IF(COUNTIF(lists!$L$2:$L$258, K2259) &gt; 0,"cross.bred","pure.bred.exotic")),"NA")</f>
        <v>pure.bred.exotic</v>
      </c>
      <c r="O2259" s="9" t="s">
        <v>4194</v>
      </c>
      <c r="P2259" s="9" t="s">
        <v>4907</v>
      </c>
      <c r="Q2259" s="9" t="s">
        <v>3804</v>
      </c>
      <c r="R2259" s="9" t="s">
        <v>3830</v>
      </c>
      <c r="S2259" s="9">
        <v>120</v>
      </c>
      <c r="T2259" s="9" t="s">
        <v>106</v>
      </c>
      <c r="U2259" s="9">
        <v>128</v>
      </c>
      <c r="V2259" s="9">
        <v>910</v>
      </c>
      <c r="W2259" s="9">
        <v>54.2</v>
      </c>
      <c r="X2259" s="9">
        <v>389</v>
      </c>
      <c r="Y2259" s="9" t="s">
        <v>106</v>
      </c>
      <c r="Z2259" s="9" t="s">
        <v>106</v>
      </c>
      <c r="AA2259" s="9" t="s">
        <v>106</v>
      </c>
      <c r="AB2259" s="9" t="s">
        <v>106</v>
      </c>
      <c r="AC2259" s="9" t="s">
        <v>5100</v>
      </c>
      <c r="AD2259" s="9" t="s">
        <v>5100</v>
      </c>
    </row>
    <row r="2260" spans="1:30">
      <c r="A2260" s="9" t="s">
        <v>4822</v>
      </c>
      <c r="B2260" s="9" t="s">
        <v>4881</v>
      </c>
      <c r="C2260" s="9" t="s">
        <v>105</v>
      </c>
      <c r="D2260" s="9">
        <v>1.07</v>
      </c>
      <c r="E2260" s="9" t="s">
        <v>106</v>
      </c>
      <c r="F2260" s="9">
        <v>52.15</v>
      </c>
      <c r="G2260" s="9">
        <v>0.29299999999999998</v>
      </c>
      <c r="H2260" s="9" t="s">
        <v>106</v>
      </c>
      <c r="I2260" s="9">
        <v>5</v>
      </c>
      <c r="J2260" s="9" t="s">
        <v>122</v>
      </c>
      <c r="K2260" s="9" t="s">
        <v>4796</v>
      </c>
      <c r="L2260" t="str">
        <f>IF(OR(J2260="Cattle",J2260="Zebu Cattle"),IF(COUNTIF(lists!$M$2:$M$258, K2260) &gt; 0,"bos.indicus",IF(COUNTIF(lists!$L$2:$L$258, K2260) &gt; 0,"cross.bred","pure.bred.exotic")),"NA")</f>
        <v>pure.bred.exotic</v>
      </c>
      <c r="O2260" s="9" t="s">
        <v>4194</v>
      </c>
      <c r="P2260" s="9" t="s">
        <v>4907</v>
      </c>
      <c r="Q2260" s="9" t="s">
        <v>3804</v>
      </c>
      <c r="R2260" s="9" t="s">
        <v>3830</v>
      </c>
      <c r="S2260" s="9">
        <v>140</v>
      </c>
      <c r="T2260" s="9" t="s">
        <v>106</v>
      </c>
      <c r="U2260" s="9">
        <v>128</v>
      </c>
      <c r="V2260" s="9">
        <v>920</v>
      </c>
      <c r="W2260" s="9">
        <v>52.9</v>
      </c>
      <c r="X2260" s="9">
        <v>400</v>
      </c>
      <c r="Y2260" s="9" t="s">
        <v>106</v>
      </c>
      <c r="Z2260" s="9" t="s">
        <v>106</v>
      </c>
      <c r="AA2260" s="9" t="s">
        <v>106</v>
      </c>
      <c r="AB2260" s="9" t="s">
        <v>106</v>
      </c>
      <c r="AC2260" s="9" t="s">
        <v>5100</v>
      </c>
      <c r="AD2260" s="9" t="s">
        <v>5100</v>
      </c>
    </row>
    <row r="2261" spans="1:30">
      <c r="A2261" s="9" t="s">
        <v>4822</v>
      </c>
      <c r="B2261" s="9" t="s">
        <v>4882</v>
      </c>
      <c r="C2261" s="9" t="s">
        <v>105</v>
      </c>
      <c r="D2261" s="9">
        <v>1.07</v>
      </c>
      <c r="E2261" s="9" t="s">
        <v>106</v>
      </c>
      <c r="F2261" s="9">
        <v>50.1</v>
      </c>
      <c r="G2261" s="9">
        <v>0.30399999999999999</v>
      </c>
      <c r="H2261" s="9" t="s">
        <v>106</v>
      </c>
      <c r="I2261" s="9">
        <v>5</v>
      </c>
      <c r="J2261" s="9" t="s">
        <v>122</v>
      </c>
      <c r="K2261" s="9" t="s">
        <v>4796</v>
      </c>
      <c r="L2261" t="str">
        <f>IF(OR(J2261="Cattle",J2261="Zebu Cattle"),IF(COUNTIF(lists!$M$2:$M$258, K2261) &gt; 0,"bos.indicus",IF(COUNTIF(lists!$L$2:$L$258, K2261) &gt; 0,"cross.bred","pure.bred.exotic")),"NA")</f>
        <v>pure.bred.exotic</v>
      </c>
      <c r="O2261" s="9" t="s">
        <v>4194</v>
      </c>
      <c r="P2261" s="9" t="s">
        <v>4907</v>
      </c>
      <c r="Q2261" s="9" t="s">
        <v>3804</v>
      </c>
      <c r="R2261" s="9" t="s">
        <v>3830</v>
      </c>
      <c r="S2261" s="9">
        <v>230</v>
      </c>
      <c r="T2261" s="9" t="s">
        <v>106</v>
      </c>
      <c r="U2261" s="9">
        <v>137</v>
      </c>
      <c r="V2261" s="9">
        <v>912</v>
      </c>
      <c r="W2261" s="9">
        <v>34.5</v>
      </c>
      <c r="X2261" s="9">
        <v>402</v>
      </c>
      <c r="Y2261" s="9" t="s">
        <v>106</v>
      </c>
      <c r="Z2261" s="9" t="s">
        <v>106</v>
      </c>
      <c r="AA2261" s="9" t="s">
        <v>106</v>
      </c>
      <c r="AB2261" s="9" t="s">
        <v>106</v>
      </c>
      <c r="AC2261" s="9" t="s">
        <v>5100</v>
      </c>
      <c r="AD2261" s="9" t="s">
        <v>5100</v>
      </c>
    </row>
    <row r="2262" spans="1:30">
      <c r="A2262" s="9" t="s">
        <v>4822</v>
      </c>
      <c r="B2262" s="9" t="s">
        <v>4883</v>
      </c>
      <c r="C2262" s="9" t="s">
        <v>105</v>
      </c>
      <c r="D2262" s="9">
        <v>1.1499999999999999</v>
      </c>
      <c r="E2262" s="9" t="s">
        <v>106</v>
      </c>
      <c r="F2262" s="9">
        <v>51.7</v>
      </c>
      <c r="G2262" s="9">
        <v>0.32600000000000001</v>
      </c>
      <c r="H2262" s="9" t="s">
        <v>106</v>
      </c>
      <c r="I2262" s="9">
        <v>5</v>
      </c>
      <c r="J2262" s="9" t="s">
        <v>122</v>
      </c>
      <c r="K2262" s="9" t="s">
        <v>4796</v>
      </c>
      <c r="L2262" t="str">
        <f>IF(OR(J2262="Cattle",J2262="Zebu Cattle"),IF(COUNTIF(lists!$M$2:$M$258, K2262) &gt; 0,"bos.indicus",IF(COUNTIF(lists!$L$2:$L$258, K2262) &gt; 0,"cross.bred","pure.bred.exotic")),"NA")</f>
        <v>pure.bred.exotic</v>
      </c>
      <c r="O2262" s="9" t="s">
        <v>4194</v>
      </c>
      <c r="P2262" s="9" t="s">
        <v>4907</v>
      </c>
      <c r="Q2262" s="9" t="s">
        <v>3804</v>
      </c>
      <c r="R2262" s="9" t="s">
        <v>3830</v>
      </c>
      <c r="S2262" s="9">
        <v>200</v>
      </c>
      <c r="T2262" s="9" t="s">
        <v>106</v>
      </c>
      <c r="U2262" s="9">
        <v>138</v>
      </c>
      <c r="V2262" s="9">
        <v>902</v>
      </c>
      <c r="W2262" s="9">
        <v>38.799999999999997</v>
      </c>
      <c r="X2262" s="9">
        <v>407</v>
      </c>
      <c r="Y2262" s="9" t="s">
        <v>106</v>
      </c>
      <c r="Z2262" s="9" t="s">
        <v>106</v>
      </c>
      <c r="AA2262" s="9" t="s">
        <v>106</v>
      </c>
      <c r="AB2262" s="9" t="s">
        <v>106</v>
      </c>
      <c r="AC2262" s="9" t="s">
        <v>5100</v>
      </c>
      <c r="AD2262" s="9" t="s">
        <v>5100</v>
      </c>
    </row>
    <row r="2263" spans="1:30">
      <c r="A2263" s="9" t="s">
        <v>4823</v>
      </c>
      <c r="B2263" s="9" t="s">
        <v>4884</v>
      </c>
      <c r="C2263" s="9" t="s">
        <v>105</v>
      </c>
      <c r="D2263" s="9">
        <v>12.4</v>
      </c>
      <c r="E2263" s="9" t="s">
        <v>106</v>
      </c>
      <c r="F2263" s="68">
        <v>500</v>
      </c>
      <c r="G2263" s="9" t="s">
        <v>106</v>
      </c>
      <c r="H2263" s="9">
        <v>13.98</v>
      </c>
      <c r="I2263" s="9">
        <v>5</v>
      </c>
      <c r="J2263" s="9" t="s">
        <v>122</v>
      </c>
      <c r="K2263" s="9" t="s">
        <v>4900</v>
      </c>
      <c r="L2263" t="str">
        <f>IF(OR(J2263="Cattle",J2263="Zebu Cattle"),IF(COUNTIF(lists!$M$2:$M$258, K2263) &gt; 0,"bos.indicus",IF(COUNTIF(lists!$L$2:$L$258, K2263) &gt; 0,"cross.bred","pure.bred.exotic")),"NA")</f>
        <v>pure.bred.exotic</v>
      </c>
      <c r="O2263" s="9" t="s">
        <v>4194</v>
      </c>
      <c r="P2263" s="9" t="s">
        <v>4045</v>
      </c>
      <c r="Q2263" s="9" t="s">
        <v>3809</v>
      </c>
      <c r="R2263" s="9" t="s">
        <v>3830</v>
      </c>
      <c r="S2263" s="9">
        <v>304.58999999999997</v>
      </c>
      <c r="T2263" s="9">
        <v>66.27</v>
      </c>
      <c r="U2263" s="9">
        <v>110.6</v>
      </c>
      <c r="V2263" s="9">
        <v>715.51</v>
      </c>
      <c r="W2263" s="9">
        <v>25.89</v>
      </c>
      <c r="X2263" s="9">
        <v>488.55</v>
      </c>
      <c r="Y2263" s="9">
        <v>63.22</v>
      </c>
      <c r="Z2263" s="9">
        <v>61.23</v>
      </c>
      <c r="AA2263" s="9">
        <v>66.489999999999995</v>
      </c>
      <c r="AB2263" s="9" t="s">
        <v>106</v>
      </c>
      <c r="AC2263" s="9" t="s">
        <v>5100</v>
      </c>
      <c r="AD2263" s="9" t="s">
        <v>5100</v>
      </c>
    </row>
    <row r="2264" spans="1:30">
      <c r="A2264" s="9" t="s">
        <v>4823</v>
      </c>
      <c r="B2264" s="9" t="s">
        <v>4885</v>
      </c>
      <c r="C2264" s="9" t="s">
        <v>105</v>
      </c>
      <c r="D2264" s="9">
        <v>12.1</v>
      </c>
      <c r="E2264" s="9" t="s">
        <v>106</v>
      </c>
      <c r="F2264" s="68">
        <v>500</v>
      </c>
      <c r="G2264" s="9" t="s">
        <v>106</v>
      </c>
      <c r="H2264" s="9">
        <v>12.67</v>
      </c>
      <c r="I2264" s="9">
        <v>5</v>
      </c>
      <c r="J2264" s="9" t="s">
        <v>122</v>
      </c>
      <c r="K2264" s="9" t="s">
        <v>4900</v>
      </c>
      <c r="L2264" t="str">
        <f>IF(OR(J2264="Cattle",J2264="Zebu Cattle"),IF(COUNTIF(lists!$M$2:$M$258, K2264) &gt; 0,"bos.indicus",IF(COUNTIF(lists!$L$2:$L$258, K2264) &gt; 0,"cross.bred","pure.bred.exotic")),"NA")</f>
        <v>pure.bred.exotic</v>
      </c>
      <c r="O2264" s="9" t="s">
        <v>4194</v>
      </c>
      <c r="P2264" s="9" t="s">
        <v>4045</v>
      </c>
      <c r="Q2264" s="9" t="s">
        <v>3809</v>
      </c>
      <c r="R2264" s="9" t="s">
        <v>3830</v>
      </c>
      <c r="S2264" s="9">
        <v>283.56</v>
      </c>
      <c r="T2264" s="9">
        <v>84.12</v>
      </c>
      <c r="U2264" s="9">
        <v>105.17</v>
      </c>
      <c r="V2264" s="9">
        <v>711.1</v>
      </c>
      <c r="W2264" s="9">
        <v>21.15</v>
      </c>
      <c r="X2264" s="9">
        <v>436.53</v>
      </c>
      <c r="Y2264" s="9">
        <v>58.37</v>
      </c>
      <c r="Z2264" s="9">
        <v>61.02</v>
      </c>
      <c r="AA2264" s="9">
        <v>61.74</v>
      </c>
      <c r="AB2264" s="9" t="s">
        <v>106</v>
      </c>
      <c r="AC2264" s="9" t="s">
        <v>5100</v>
      </c>
      <c r="AD2264" s="9" t="s">
        <v>5100</v>
      </c>
    </row>
    <row r="2265" spans="1:30">
      <c r="A2265" s="9" t="s">
        <v>4823</v>
      </c>
      <c r="B2265" s="9" t="s">
        <v>4886</v>
      </c>
      <c r="C2265" s="9" t="s">
        <v>105</v>
      </c>
      <c r="D2265" s="9">
        <v>12.6</v>
      </c>
      <c r="E2265" s="9" t="s">
        <v>106</v>
      </c>
      <c r="F2265" s="68">
        <v>500</v>
      </c>
      <c r="G2265" s="9" t="s">
        <v>106</v>
      </c>
      <c r="H2265" s="9">
        <v>14.31</v>
      </c>
      <c r="I2265" s="9">
        <v>5</v>
      </c>
      <c r="J2265" s="9" t="s">
        <v>122</v>
      </c>
      <c r="K2265" s="9" t="s">
        <v>4900</v>
      </c>
      <c r="L2265" t="str">
        <f>IF(OR(J2265="Cattle",J2265="Zebu Cattle"),IF(COUNTIF(lists!$M$2:$M$258, K2265) &gt; 0,"bos.indicus",IF(COUNTIF(lists!$L$2:$L$258, K2265) &gt; 0,"cross.bred","pure.bred.exotic")),"NA")</f>
        <v>pure.bred.exotic</v>
      </c>
      <c r="O2265" s="9" t="s">
        <v>4194</v>
      </c>
      <c r="P2265" s="9" t="s">
        <v>4045</v>
      </c>
      <c r="Q2265" s="9" t="s">
        <v>3809</v>
      </c>
      <c r="R2265" s="9" t="s">
        <v>3830</v>
      </c>
      <c r="S2265" s="9">
        <v>276</v>
      </c>
      <c r="T2265" s="9">
        <v>83.94</v>
      </c>
      <c r="U2265" s="9">
        <v>104.96</v>
      </c>
      <c r="V2265" s="9">
        <v>709.96</v>
      </c>
      <c r="W2265" s="9">
        <v>21.33</v>
      </c>
      <c r="X2265" s="9">
        <v>428.4</v>
      </c>
      <c r="Y2265" s="9">
        <v>61.52</v>
      </c>
      <c r="Z2265" s="9">
        <v>60.66</v>
      </c>
      <c r="AA2265" s="9">
        <v>64.88</v>
      </c>
      <c r="AB2265" s="9" t="s">
        <v>106</v>
      </c>
      <c r="AC2265" s="9" t="s">
        <v>5100</v>
      </c>
      <c r="AD2265" s="9" t="s">
        <v>5100</v>
      </c>
    </row>
    <row r="2266" spans="1:30">
      <c r="A2266" s="9" t="s">
        <v>4824</v>
      </c>
      <c r="B2266" s="9" t="s">
        <v>4887</v>
      </c>
      <c r="C2266" s="9" t="s">
        <v>105</v>
      </c>
      <c r="D2266" s="9">
        <v>14.1</v>
      </c>
      <c r="E2266" s="9" t="s">
        <v>106</v>
      </c>
      <c r="F2266" s="68">
        <v>524</v>
      </c>
      <c r="G2266" s="9" t="s">
        <v>106</v>
      </c>
      <c r="H2266" s="9">
        <v>15.19</v>
      </c>
      <c r="I2266" s="9">
        <v>8</v>
      </c>
      <c r="J2266" s="9" t="s">
        <v>122</v>
      </c>
      <c r="K2266" s="9" t="s">
        <v>4901</v>
      </c>
      <c r="L2266" t="str">
        <f>IF(OR(J2266="Cattle",J2266="Zebu Cattle"),IF(COUNTIF(lists!$M$2:$M$258, K2266) &gt; 0,"bos.indicus",IF(COUNTIF(lists!$L$2:$L$258, K2266) &gt; 0,"cross.bred","pure.bred.exotic")),"NA")</f>
        <v>pure.bred.exotic</v>
      </c>
      <c r="O2266" s="9" t="s">
        <v>4194</v>
      </c>
      <c r="P2266" s="9" t="s">
        <v>4045</v>
      </c>
      <c r="Q2266" s="9" t="s">
        <v>3809</v>
      </c>
      <c r="R2266" s="9" t="s">
        <v>3830</v>
      </c>
      <c r="S2266" s="9" t="s">
        <v>106</v>
      </c>
      <c r="T2266" s="9" t="s">
        <v>106</v>
      </c>
      <c r="U2266" s="9" t="s">
        <v>106</v>
      </c>
      <c r="V2266" s="9" t="s">
        <v>106</v>
      </c>
      <c r="W2266" s="9" t="s">
        <v>106</v>
      </c>
      <c r="X2266" s="9" t="s">
        <v>106</v>
      </c>
      <c r="Y2266" s="9" t="s">
        <v>106</v>
      </c>
      <c r="Z2266" s="9" t="s">
        <v>106</v>
      </c>
      <c r="AA2266" s="9" t="s">
        <v>106</v>
      </c>
      <c r="AB2266" s="9" t="s">
        <v>106</v>
      </c>
      <c r="AC2266" s="9" t="s">
        <v>5100</v>
      </c>
      <c r="AD2266" s="9" t="s">
        <v>5100</v>
      </c>
    </row>
    <row r="2267" spans="1:30">
      <c r="A2267" s="9" t="s">
        <v>4824</v>
      </c>
      <c r="B2267" s="9" t="s">
        <v>4888</v>
      </c>
      <c r="C2267" s="9" t="s">
        <v>105</v>
      </c>
      <c r="D2267" s="9">
        <v>14.65</v>
      </c>
      <c r="E2267" s="9" t="s">
        <v>106</v>
      </c>
      <c r="F2267" s="68">
        <v>524</v>
      </c>
      <c r="G2267" s="9" t="s">
        <v>106</v>
      </c>
      <c r="H2267" s="9">
        <v>16.32</v>
      </c>
      <c r="I2267" s="9">
        <v>8</v>
      </c>
      <c r="J2267" s="9" t="s">
        <v>122</v>
      </c>
      <c r="K2267" s="9" t="s">
        <v>4901</v>
      </c>
      <c r="L2267" t="str">
        <f>IF(OR(J2267="Cattle",J2267="Zebu Cattle"),IF(COUNTIF(lists!$M$2:$M$258, K2267) &gt; 0,"bos.indicus",IF(COUNTIF(lists!$L$2:$L$258, K2267) &gt; 0,"cross.bred","pure.bred.exotic")),"NA")</f>
        <v>pure.bred.exotic</v>
      </c>
      <c r="O2267" s="9" t="s">
        <v>4194</v>
      </c>
      <c r="P2267" s="9" t="s">
        <v>4045</v>
      </c>
      <c r="Q2267" s="9" t="s">
        <v>3809</v>
      </c>
      <c r="R2267" s="9" t="s">
        <v>3830</v>
      </c>
      <c r="S2267" s="9" t="s">
        <v>106</v>
      </c>
      <c r="T2267" s="9" t="s">
        <v>106</v>
      </c>
      <c r="U2267" s="9" t="s">
        <v>106</v>
      </c>
      <c r="V2267" s="9" t="s">
        <v>106</v>
      </c>
      <c r="W2267" s="9" t="s">
        <v>106</v>
      </c>
      <c r="X2267" s="9" t="s">
        <v>106</v>
      </c>
      <c r="Y2267" s="9" t="s">
        <v>106</v>
      </c>
      <c r="Z2267" s="9" t="s">
        <v>106</v>
      </c>
      <c r="AA2267" s="9" t="s">
        <v>106</v>
      </c>
      <c r="AB2267" s="9" t="s">
        <v>106</v>
      </c>
      <c r="AC2267" s="9" t="s">
        <v>5100</v>
      </c>
      <c r="AD2267" s="9" t="s">
        <v>5100</v>
      </c>
    </row>
    <row r="2268" spans="1:30">
      <c r="A2268" s="9" t="s">
        <v>4824</v>
      </c>
      <c r="B2268" s="9" t="s">
        <v>4889</v>
      </c>
      <c r="C2268" s="9" t="s">
        <v>105</v>
      </c>
      <c r="D2268" s="9">
        <v>15.3</v>
      </c>
      <c r="E2268" s="9" t="s">
        <v>106</v>
      </c>
      <c r="F2268" s="68">
        <v>524</v>
      </c>
      <c r="G2268" s="9" t="s">
        <v>106</v>
      </c>
      <c r="H2268" s="9">
        <v>17.66</v>
      </c>
      <c r="I2268" s="9">
        <v>8</v>
      </c>
      <c r="J2268" s="9" t="s">
        <v>122</v>
      </c>
      <c r="K2268" s="9" t="s">
        <v>4901</v>
      </c>
      <c r="L2268" t="str">
        <f>IF(OR(J2268="Cattle",J2268="Zebu Cattle"),IF(COUNTIF(lists!$M$2:$M$258, K2268) &gt; 0,"bos.indicus",IF(COUNTIF(lists!$L$2:$L$258, K2268) &gt; 0,"cross.bred","pure.bred.exotic")),"NA")</f>
        <v>pure.bred.exotic</v>
      </c>
      <c r="O2268" s="9" t="s">
        <v>4194</v>
      </c>
      <c r="P2268" s="9" t="s">
        <v>4045</v>
      </c>
      <c r="Q2268" s="9" t="s">
        <v>3809</v>
      </c>
      <c r="R2268" s="9" t="s">
        <v>3830</v>
      </c>
      <c r="S2268" s="9" t="s">
        <v>106</v>
      </c>
      <c r="T2268" s="9" t="s">
        <v>106</v>
      </c>
      <c r="U2268" s="9" t="s">
        <v>106</v>
      </c>
      <c r="V2268" s="9" t="s">
        <v>106</v>
      </c>
      <c r="W2268" s="9" t="s">
        <v>106</v>
      </c>
      <c r="X2268" s="9" t="s">
        <v>106</v>
      </c>
      <c r="Y2268" s="9" t="s">
        <v>106</v>
      </c>
      <c r="Z2268" s="9" t="s">
        <v>106</v>
      </c>
      <c r="AA2268" s="9" t="s">
        <v>106</v>
      </c>
      <c r="AB2268" s="9" t="s">
        <v>106</v>
      </c>
      <c r="AC2268" s="9" t="s">
        <v>5100</v>
      </c>
      <c r="AD2268" s="9" t="s">
        <v>5100</v>
      </c>
    </row>
    <row r="2269" spans="1:30">
      <c r="A2269" s="9" t="s">
        <v>4824</v>
      </c>
      <c r="B2269" s="9" t="s">
        <v>4890</v>
      </c>
      <c r="C2269" s="9" t="s">
        <v>105</v>
      </c>
      <c r="D2269" s="9">
        <v>15.68</v>
      </c>
      <c r="E2269" s="9" t="s">
        <v>106</v>
      </c>
      <c r="F2269" s="68">
        <v>524</v>
      </c>
      <c r="G2269" s="9" t="s">
        <v>106</v>
      </c>
      <c r="H2269" s="9">
        <v>17.95</v>
      </c>
      <c r="I2269" s="9">
        <v>8</v>
      </c>
      <c r="J2269" s="9" t="s">
        <v>122</v>
      </c>
      <c r="K2269" s="9" t="s">
        <v>4901</v>
      </c>
      <c r="L2269" t="str">
        <f>IF(OR(J2269="Cattle",J2269="Zebu Cattle"),IF(COUNTIF(lists!$M$2:$M$258, K2269) &gt; 0,"bos.indicus",IF(COUNTIF(lists!$L$2:$L$258, K2269) &gt; 0,"cross.bred","pure.bred.exotic")),"NA")</f>
        <v>pure.bred.exotic</v>
      </c>
      <c r="O2269" s="9" t="s">
        <v>4194</v>
      </c>
      <c r="P2269" s="9" t="s">
        <v>4045</v>
      </c>
      <c r="Q2269" s="9" t="s">
        <v>3809</v>
      </c>
      <c r="R2269" s="9" t="s">
        <v>3830</v>
      </c>
      <c r="S2269" s="9" t="s">
        <v>106</v>
      </c>
      <c r="T2269" s="9" t="s">
        <v>106</v>
      </c>
      <c r="U2269" s="9" t="s">
        <v>106</v>
      </c>
      <c r="V2269" s="9" t="s">
        <v>106</v>
      </c>
      <c r="W2269" s="9" t="s">
        <v>106</v>
      </c>
      <c r="X2269" s="9" t="s">
        <v>106</v>
      </c>
      <c r="Y2269" s="9" t="s">
        <v>106</v>
      </c>
      <c r="Z2269" s="9" t="s">
        <v>106</v>
      </c>
      <c r="AA2269" s="9" t="s">
        <v>106</v>
      </c>
      <c r="AB2269" s="9" t="s">
        <v>106</v>
      </c>
      <c r="AC2269" s="9" t="s">
        <v>5100</v>
      </c>
      <c r="AD2269" s="9" t="s">
        <v>5100</v>
      </c>
    </row>
    <row r="2270" spans="1:30">
      <c r="A2270" s="9" t="s">
        <v>4825</v>
      </c>
      <c r="B2270" s="9" t="s">
        <v>4891</v>
      </c>
      <c r="C2270" s="9" t="s">
        <v>105</v>
      </c>
      <c r="D2270" s="9">
        <v>8.8000000000000007</v>
      </c>
      <c r="E2270" s="9" t="s">
        <v>106</v>
      </c>
      <c r="F2270" s="9">
        <v>388.35</v>
      </c>
      <c r="G2270" s="9">
        <v>-0.30199999999999999</v>
      </c>
      <c r="H2270" s="9">
        <v>4.32</v>
      </c>
      <c r="I2270" s="9">
        <v>6</v>
      </c>
      <c r="J2270" s="9" t="s">
        <v>122</v>
      </c>
      <c r="K2270" s="9" t="s">
        <v>4902</v>
      </c>
      <c r="L2270" t="str">
        <f>IF(OR(J2270="Cattle",J2270="Zebu Cattle"),IF(COUNTIF(lists!$M$2:$M$258, K2270) &gt; 0,"bos.indicus",IF(COUNTIF(lists!$L$2:$L$258, K2270) &gt; 0,"cross.bred","pure.bred.exotic")),"NA")</f>
        <v>cross.bred</v>
      </c>
      <c r="O2270" s="9" t="s">
        <v>124</v>
      </c>
      <c r="P2270" s="9" t="s">
        <v>4045</v>
      </c>
      <c r="Q2270" s="9" t="s">
        <v>3809</v>
      </c>
      <c r="R2270" s="9" t="s">
        <v>3830</v>
      </c>
      <c r="S2270" s="9" t="s">
        <v>106</v>
      </c>
      <c r="T2270" s="9">
        <v>82</v>
      </c>
      <c r="U2270" s="9">
        <v>49.375</v>
      </c>
      <c r="V2270" s="9">
        <v>920</v>
      </c>
      <c r="W2270" s="9" t="s">
        <v>106</v>
      </c>
      <c r="X2270" s="9">
        <v>703</v>
      </c>
      <c r="Y2270" s="9" t="s">
        <v>106</v>
      </c>
      <c r="Z2270" s="9" t="s">
        <v>106</v>
      </c>
      <c r="AA2270" s="9" t="s">
        <v>106</v>
      </c>
      <c r="AB2270" s="9" t="s">
        <v>106</v>
      </c>
      <c r="AC2270" s="9" t="s">
        <v>5100</v>
      </c>
      <c r="AD2270" s="9" t="s">
        <v>5100</v>
      </c>
    </row>
    <row r="2271" spans="1:30">
      <c r="A2271" s="9" t="s">
        <v>4825</v>
      </c>
      <c r="B2271" s="9" t="s">
        <v>4892</v>
      </c>
      <c r="C2271" s="9" t="s">
        <v>105</v>
      </c>
      <c r="D2271" s="9">
        <v>10.9</v>
      </c>
      <c r="E2271" s="9" t="s">
        <v>106</v>
      </c>
      <c r="F2271" s="9">
        <v>396</v>
      </c>
      <c r="G2271" s="9">
        <v>-0.12</v>
      </c>
      <c r="H2271" s="9">
        <v>6.74</v>
      </c>
      <c r="I2271" s="9">
        <v>6</v>
      </c>
      <c r="J2271" s="9" t="s">
        <v>122</v>
      </c>
      <c r="K2271" s="9" t="s">
        <v>4902</v>
      </c>
      <c r="L2271" t="str">
        <f>IF(OR(J2271="Cattle",J2271="Zebu Cattle"),IF(COUNTIF(lists!$M$2:$M$258, K2271) &gt; 0,"bos.indicus",IF(COUNTIF(lists!$L$2:$L$258, K2271) &gt; 0,"cross.bred","pure.bred.exotic")),"NA")</f>
        <v>cross.bred</v>
      </c>
      <c r="O2271" s="9" t="s">
        <v>124</v>
      </c>
      <c r="P2271" s="9" t="s">
        <v>4045</v>
      </c>
      <c r="Q2271" s="9" t="s">
        <v>3809</v>
      </c>
      <c r="R2271" s="9" t="s">
        <v>3830</v>
      </c>
      <c r="S2271" s="9" t="s">
        <v>106</v>
      </c>
      <c r="T2271" s="9">
        <v>92.9</v>
      </c>
      <c r="U2271" s="9">
        <v>104.4</v>
      </c>
      <c r="V2271" s="9">
        <v>920.5</v>
      </c>
      <c r="W2271" s="9" t="s">
        <v>106</v>
      </c>
      <c r="X2271" s="9">
        <v>610.29999999999995</v>
      </c>
      <c r="Y2271" s="9" t="s">
        <v>106</v>
      </c>
      <c r="Z2271" s="9" t="s">
        <v>106</v>
      </c>
      <c r="AA2271" s="9" t="s">
        <v>106</v>
      </c>
      <c r="AB2271" s="9" t="s">
        <v>106</v>
      </c>
      <c r="AC2271" s="9" t="s">
        <v>5100</v>
      </c>
      <c r="AD2271" s="9" t="s">
        <v>5100</v>
      </c>
    </row>
    <row r="2272" spans="1:30">
      <c r="A2272" s="9" t="s">
        <v>4825</v>
      </c>
      <c r="B2272" s="9" t="s">
        <v>4893</v>
      </c>
      <c r="C2272" s="9" t="s">
        <v>105</v>
      </c>
      <c r="D2272" s="9">
        <v>12.4</v>
      </c>
      <c r="E2272" s="9" t="s">
        <v>106</v>
      </c>
      <c r="F2272" s="9">
        <v>395.7</v>
      </c>
      <c r="G2272" s="9">
        <v>-0.127</v>
      </c>
      <c r="H2272" s="9">
        <v>7.05</v>
      </c>
      <c r="I2272" s="9">
        <v>6</v>
      </c>
      <c r="J2272" s="9" t="s">
        <v>122</v>
      </c>
      <c r="K2272" s="9" t="s">
        <v>4902</v>
      </c>
      <c r="L2272" t="str">
        <f>IF(OR(J2272="Cattle",J2272="Zebu Cattle"),IF(COUNTIF(lists!$M$2:$M$258, K2272) &gt; 0,"bos.indicus",IF(COUNTIF(lists!$L$2:$L$258, K2272) &gt; 0,"cross.bred","pure.bred.exotic")),"NA")</f>
        <v>cross.bred</v>
      </c>
      <c r="O2272" s="9" t="s">
        <v>124</v>
      </c>
      <c r="P2272" s="9" t="s">
        <v>4045</v>
      </c>
      <c r="Q2272" s="9" t="s">
        <v>3809</v>
      </c>
      <c r="R2272" s="9" t="s">
        <v>3830</v>
      </c>
      <c r="S2272" s="9" t="s">
        <v>106</v>
      </c>
      <c r="T2272" s="9">
        <v>90.2</v>
      </c>
      <c r="U2272" s="9">
        <v>109.3</v>
      </c>
      <c r="V2272" s="9">
        <v>916.5</v>
      </c>
      <c r="W2272" s="9" t="s">
        <v>106</v>
      </c>
      <c r="X2272" s="9">
        <v>577.70000000000005</v>
      </c>
      <c r="Y2272" s="9" t="s">
        <v>106</v>
      </c>
      <c r="Z2272" s="9" t="s">
        <v>106</v>
      </c>
      <c r="AA2272" s="9" t="s">
        <v>106</v>
      </c>
      <c r="AB2272" s="9" t="s">
        <v>106</v>
      </c>
      <c r="AC2272" s="9" t="s">
        <v>5100</v>
      </c>
      <c r="AD2272" s="9" t="s">
        <v>5100</v>
      </c>
    </row>
    <row r="2273" spans="1:30">
      <c r="A2273" s="9" t="s">
        <v>4825</v>
      </c>
      <c r="B2273" s="9" t="s">
        <v>4894</v>
      </c>
      <c r="C2273" s="9" t="s">
        <v>105</v>
      </c>
      <c r="D2273" s="9">
        <v>11.5</v>
      </c>
      <c r="E2273" s="9" t="s">
        <v>106</v>
      </c>
      <c r="F2273" s="9" t="s">
        <v>106</v>
      </c>
      <c r="G2273" s="9">
        <v>6.7000000000000004E-2</v>
      </c>
      <c r="H2273" s="9">
        <v>3.99</v>
      </c>
      <c r="I2273" s="9">
        <v>6</v>
      </c>
      <c r="J2273" s="9" t="s">
        <v>122</v>
      </c>
      <c r="K2273" s="9" t="s">
        <v>4902</v>
      </c>
      <c r="L2273" t="str">
        <f>IF(OR(J2273="Cattle",J2273="Zebu Cattle"),IF(COUNTIF(lists!$M$2:$M$258, K2273) &gt; 0,"bos.indicus",IF(COUNTIF(lists!$L$2:$L$258, K2273) &gt; 0,"cross.bred","pure.bred.exotic")),"NA")</f>
        <v>cross.bred</v>
      </c>
      <c r="O2273" s="9" t="s">
        <v>124</v>
      </c>
      <c r="P2273" s="9" t="s">
        <v>4045</v>
      </c>
      <c r="Q2273" s="9" t="s">
        <v>3809</v>
      </c>
      <c r="R2273" s="9" t="s">
        <v>3830</v>
      </c>
      <c r="S2273" s="9" t="s">
        <v>106</v>
      </c>
      <c r="T2273" s="9">
        <v>94.3</v>
      </c>
      <c r="U2273" s="9">
        <v>111.4</v>
      </c>
      <c r="V2273" s="9">
        <v>920.6</v>
      </c>
      <c r="W2273" s="9" t="s">
        <v>106</v>
      </c>
      <c r="X2273" s="9">
        <v>598.5</v>
      </c>
      <c r="Y2273" s="9" t="s">
        <v>106</v>
      </c>
      <c r="Z2273" s="9" t="s">
        <v>106</v>
      </c>
      <c r="AA2273" s="9" t="s">
        <v>106</v>
      </c>
      <c r="AB2273" s="9" t="s">
        <v>106</v>
      </c>
      <c r="AC2273" s="9" t="s">
        <v>5100</v>
      </c>
      <c r="AD2273" s="9" t="s">
        <v>5100</v>
      </c>
    </row>
    <row r="2274" spans="1:30">
      <c r="A2274" s="9" t="s">
        <v>4825</v>
      </c>
      <c r="B2274" s="9" t="s">
        <v>4895</v>
      </c>
      <c r="C2274" s="9" t="s">
        <v>105</v>
      </c>
      <c r="D2274" s="9">
        <v>12.9</v>
      </c>
      <c r="E2274" s="9" t="s">
        <v>106</v>
      </c>
      <c r="F2274" s="9" t="s">
        <v>106</v>
      </c>
      <c r="G2274" s="9">
        <v>0.19700000000000001</v>
      </c>
      <c r="H2274" s="9">
        <v>4.17</v>
      </c>
      <c r="I2274" s="9">
        <v>6</v>
      </c>
      <c r="J2274" s="9" t="s">
        <v>122</v>
      </c>
      <c r="K2274" s="9" t="s">
        <v>4902</v>
      </c>
      <c r="L2274" t="str">
        <f>IF(OR(J2274="Cattle",J2274="Zebu Cattle"),IF(COUNTIF(lists!$M$2:$M$258, K2274) &gt; 0,"bos.indicus",IF(COUNTIF(lists!$L$2:$L$258, K2274) &gt; 0,"cross.bred","pure.bred.exotic")),"NA")</f>
        <v>cross.bred</v>
      </c>
      <c r="O2274" s="9" t="s">
        <v>124</v>
      </c>
      <c r="P2274" s="9" t="s">
        <v>4045</v>
      </c>
      <c r="Q2274" s="9" t="s">
        <v>3809</v>
      </c>
      <c r="R2274" s="9" t="s">
        <v>3830</v>
      </c>
      <c r="S2274" s="9" t="s">
        <v>106</v>
      </c>
      <c r="T2274" s="9">
        <v>90.2</v>
      </c>
      <c r="U2274" s="9">
        <v>109.5</v>
      </c>
      <c r="V2274" s="9">
        <v>916.4</v>
      </c>
      <c r="W2274" s="9" t="s">
        <v>106</v>
      </c>
      <c r="X2274" s="9">
        <v>577</v>
      </c>
      <c r="Y2274" s="9" t="s">
        <v>106</v>
      </c>
      <c r="Z2274" s="9" t="s">
        <v>106</v>
      </c>
      <c r="AA2274" s="9" t="s">
        <v>106</v>
      </c>
      <c r="AB2274" s="9" t="s">
        <v>106</v>
      </c>
      <c r="AC2274" s="9" t="s">
        <v>5100</v>
      </c>
      <c r="AD2274" s="9" t="s">
        <v>5100</v>
      </c>
    </row>
    <row r="2275" spans="1:30">
      <c r="A2275" s="78" t="s">
        <v>4986</v>
      </c>
      <c r="B2275" s="78" t="s">
        <v>4967</v>
      </c>
      <c r="C2275" s="78" t="s">
        <v>105</v>
      </c>
      <c r="D2275" s="78">
        <v>8.94</v>
      </c>
      <c r="E2275" s="78" t="s">
        <v>106</v>
      </c>
      <c r="F2275" s="78">
        <v>245.5</v>
      </c>
      <c r="G2275" s="78">
        <v>1.2629999999999999</v>
      </c>
      <c r="H2275" s="9" t="s">
        <v>106</v>
      </c>
      <c r="I2275" s="9">
        <v>9</v>
      </c>
      <c r="J2275" s="9" t="s">
        <v>122</v>
      </c>
      <c r="K2275" s="9" t="s">
        <v>1196</v>
      </c>
      <c r="L2275" t="str">
        <f>IF(OR(J2275="Cattle",J2275="Zebu Cattle"),IF(COUNTIF(lists!$M$2:$M$258, K2275) &gt; 0,"bos.indicus",IF(COUNTIF(lists!$L$2:$L$258, K2275) &gt; 0,"cross.bred","pure.bred.exotic")),"NA")</f>
        <v>bos.indicus</v>
      </c>
      <c r="O2275" s="9" t="s">
        <v>4193</v>
      </c>
      <c r="P2275" s="9" t="s">
        <v>4993</v>
      </c>
      <c r="Q2275" s="9" t="s">
        <v>3804</v>
      </c>
      <c r="S2275" s="9">
        <v>210.4</v>
      </c>
      <c r="T2275" s="9">
        <v>74.3</v>
      </c>
      <c r="U2275" s="9">
        <v>157</v>
      </c>
      <c r="V2275" s="9">
        <v>811.3</v>
      </c>
      <c r="W2275" s="9">
        <v>10</v>
      </c>
      <c r="X2275" s="9">
        <v>350</v>
      </c>
      <c r="Y2275" s="9" t="s">
        <v>106</v>
      </c>
      <c r="Z2275" s="9" t="s">
        <v>106</v>
      </c>
      <c r="AA2275" s="9" t="s">
        <v>106</v>
      </c>
      <c r="AB2275" s="9" t="s">
        <v>106</v>
      </c>
      <c r="AC2275" s="9" t="s">
        <v>5100</v>
      </c>
      <c r="AD2275" s="9" t="s">
        <v>5100</v>
      </c>
    </row>
    <row r="2276" spans="1:30">
      <c r="A2276" s="78" t="s">
        <v>4986</v>
      </c>
      <c r="B2276" s="78" t="s">
        <v>4968</v>
      </c>
      <c r="C2276" s="78" t="s">
        <v>105</v>
      </c>
      <c r="D2276" s="78">
        <v>5.9</v>
      </c>
      <c r="E2276" s="78" t="s">
        <v>106</v>
      </c>
      <c r="F2276" s="78">
        <v>244</v>
      </c>
      <c r="G2276" s="78">
        <v>1.2330000000000001</v>
      </c>
      <c r="H2276" s="9" t="s">
        <v>106</v>
      </c>
      <c r="I2276" s="9">
        <v>9</v>
      </c>
      <c r="J2276" s="9" t="s">
        <v>122</v>
      </c>
      <c r="K2276" s="9" t="s">
        <v>1196</v>
      </c>
      <c r="L2276" t="str">
        <f>IF(OR(J2276="Cattle",J2276="Zebu Cattle"),IF(COUNTIF(lists!$M$2:$M$258, K2276) &gt; 0,"bos.indicus",IF(COUNTIF(lists!$L$2:$L$258, K2276) &gt; 0,"cross.bred","pure.bred.exotic")),"NA")</f>
        <v>bos.indicus</v>
      </c>
      <c r="O2276" s="9" t="s">
        <v>4193</v>
      </c>
      <c r="P2276" s="9" t="s">
        <v>4993</v>
      </c>
      <c r="Q2276" s="9" t="s">
        <v>3804</v>
      </c>
      <c r="S2276" s="9">
        <v>220.6</v>
      </c>
      <c r="T2276" s="9">
        <v>83.7</v>
      </c>
      <c r="U2276" s="9">
        <v>164.3</v>
      </c>
      <c r="V2276" s="9">
        <v>926.1</v>
      </c>
      <c r="W2276" s="9">
        <v>15.4</v>
      </c>
      <c r="X2276" s="9">
        <v>365</v>
      </c>
      <c r="Y2276" s="9" t="s">
        <v>106</v>
      </c>
      <c r="Z2276" s="9" t="s">
        <v>106</v>
      </c>
      <c r="AA2276" s="9" t="s">
        <v>106</v>
      </c>
      <c r="AB2276" s="9" t="s">
        <v>106</v>
      </c>
      <c r="AC2276" s="9" t="s">
        <v>5100</v>
      </c>
      <c r="AD2276" s="9" t="s">
        <v>5100</v>
      </c>
    </row>
    <row r="2277" spans="1:30">
      <c r="A2277" s="9" t="s">
        <v>4987</v>
      </c>
      <c r="B2277" s="9" t="s">
        <v>5014</v>
      </c>
      <c r="C2277" s="9" t="s">
        <v>105</v>
      </c>
      <c r="D2277" s="75">
        <v>4.38</v>
      </c>
      <c r="E2277" s="9">
        <v>0.13</v>
      </c>
      <c r="F2277" s="75">
        <v>155.35</v>
      </c>
      <c r="G2277" s="9">
        <v>0.83</v>
      </c>
      <c r="H2277" s="9" t="s">
        <v>106</v>
      </c>
      <c r="I2277" s="9">
        <v>2</v>
      </c>
      <c r="J2277" s="9" t="s">
        <v>122</v>
      </c>
      <c r="K2277" s="9" t="s">
        <v>237</v>
      </c>
      <c r="L2277" t="str">
        <f>IF(OR(J2277="Cattle",J2277="Zebu Cattle"),IF(COUNTIF(lists!$M$2:$M$258, K2277) &gt; 0,"bos.indicus",IF(COUNTIF(lists!$L$2:$L$258, K2277) &gt; 0,"cross.bred","pure.bred.exotic")),"NA")</f>
        <v>bos.indicus</v>
      </c>
      <c r="O2277" s="9" t="s">
        <v>4193</v>
      </c>
      <c r="P2277" s="9" t="s">
        <v>4994</v>
      </c>
      <c r="Q2277" s="9" t="s">
        <v>3804</v>
      </c>
      <c r="S2277" s="9" t="s">
        <v>106</v>
      </c>
      <c r="T2277" s="9">
        <v>117.68</v>
      </c>
      <c r="U2277" s="9">
        <v>105.21</v>
      </c>
      <c r="V2277" s="9">
        <v>251.73</v>
      </c>
      <c r="W2277" s="9">
        <v>32.44</v>
      </c>
      <c r="X2277" s="9" t="s">
        <v>106</v>
      </c>
      <c r="Y2277" s="9" t="s">
        <v>106</v>
      </c>
      <c r="Z2277" s="9" t="s">
        <v>106</v>
      </c>
      <c r="AA2277" s="9" t="s">
        <v>106</v>
      </c>
      <c r="AB2277" s="9" t="s">
        <v>106</v>
      </c>
      <c r="AC2277" s="9" t="s">
        <v>5100</v>
      </c>
      <c r="AD2277" s="9" t="s">
        <v>5100</v>
      </c>
    </row>
    <row r="2278" spans="1:30">
      <c r="A2278" s="9" t="s">
        <v>4987</v>
      </c>
      <c r="B2278" s="9" t="s">
        <v>5015</v>
      </c>
      <c r="C2278" s="9" t="s">
        <v>105</v>
      </c>
      <c r="D2278" s="75">
        <v>4.53</v>
      </c>
      <c r="E2278" s="9">
        <v>0.56999999999999995</v>
      </c>
      <c r="F2278" s="75">
        <v>162.19999999999999</v>
      </c>
      <c r="G2278" s="9">
        <v>0.96</v>
      </c>
      <c r="H2278" s="9" t="s">
        <v>106</v>
      </c>
      <c r="I2278" s="9">
        <v>2</v>
      </c>
      <c r="J2278" s="9" t="s">
        <v>122</v>
      </c>
      <c r="K2278" s="9" t="s">
        <v>237</v>
      </c>
      <c r="L2278" t="str">
        <f>IF(OR(J2278="Cattle",J2278="Zebu Cattle"),IF(COUNTIF(lists!$M$2:$M$258, K2278) &gt; 0,"bos.indicus",IF(COUNTIF(lists!$L$2:$L$258, K2278) &gt; 0,"cross.bred","pure.bred.exotic")),"NA")</f>
        <v>bos.indicus</v>
      </c>
      <c r="O2278" s="9" t="s">
        <v>4193</v>
      </c>
      <c r="P2278" s="9" t="s">
        <v>4994</v>
      </c>
      <c r="Q2278" s="9" t="s">
        <v>3804</v>
      </c>
      <c r="S2278" s="9" t="s">
        <v>106</v>
      </c>
      <c r="T2278" s="9">
        <v>117.52</v>
      </c>
      <c r="U2278" s="9">
        <v>106.61</v>
      </c>
      <c r="V2278" s="9">
        <v>256.19</v>
      </c>
      <c r="W2278" s="9">
        <v>32.96</v>
      </c>
      <c r="X2278" s="9" t="s">
        <v>106</v>
      </c>
      <c r="Y2278" s="9" t="s">
        <v>106</v>
      </c>
      <c r="Z2278" s="9" t="s">
        <v>106</v>
      </c>
      <c r="AA2278" s="9" t="s">
        <v>106</v>
      </c>
      <c r="AB2278" s="9" t="s">
        <v>106</v>
      </c>
      <c r="AC2278" s="9" t="s">
        <v>5100</v>
      </c>
      <c r="AD2278" s="9" t="s">
        <v>5100</v>
      </c>
    </row>
    <row r="2279" spans="1:30">
      <c r="A2279" s="9" t="s">
        <v>4987</v>
      </c>
      <c r="B2279" s="9" t="s">
        <v>5016</v>
      </c>
      <c r="C2279" s="9" t="s">
        <v>105</v>
      </c>
      <c r="D2279" s="75">
        <v>5.63</v>
      </c>
      <c r="E2279" s="9">
        <v>0.27</v>
      </c>
      <c r="F2279" s="75">
        <v>168.1</v>
      </c>
      <c r="G2279" s="9">
        <v>1.08</v>
      </c>
      <c r="H2279" s="9" t="s">
        <v>106</v>
      </c>
      <c r="I2279" s="9">
        <v>2</v>
      </c>
      <c r="J2279" s="9" t="s">
        <v>122</v>
      </c>
      <c r="K2279" s="9" t="s">
        <v>237</v>
      </c>
      <c r="L2279" t="str">
        <f>IF(OR(J2279="Cattle",J2279="Zebu Cattle"),IF(COUNTIF(lists!$M$2:$M$258, K2279) &gt; 0,"bos.indicus",IF(COUNTIF(lists!$L$2:$L$258, K2279) &gt; 0,"cross.bred","pure.bred.exotic")),"NA")</f>
        <v>bos.indicus</v>
      </c>
      <c r="O2279" s="9" t="s">
        <v>4193</v>
      </c>
      <c r="P2279" s="9" t="s">
        <v>4994</v>
      </c>
      <c r="Q2279" s="9" t="s">
        <v>3804</v>
      </c>
      <c r="S2279" s="9" t="s">
        <v>106</v>
      </c>
      <c r="T2279" s="9">
        <v>116.36</v>
      </c>
      <c r="U2279" s="9">
        <v>116.66</v>
      </c>
      <c r="V2279" s="9">
        <v>294.94</v>
      </c>
      <c r="W2279" s="9">
        <v>36.659999999999997</v>
      </c>
      <c r="X2279" s="9" t="s">
        <v>106</v>
      </c>
      <c r="Y2279" s="9" t="s">
        <v>106</v>
      </c>
      <c r="Z2279" s="9" t="s">
        <v>106</v>
      </c>
      <c r="AA2279" s="9" t="s">
        <v>106</v>
      </c>
      <c r="AB2279" s="9" t="s">
        <v>106</v>
      </c>
      <c r="AC2279" s="9" t="s">
        <v>5100</v>
      </c>
      <c r="AD2279" s="9" t="s">
        <v>5100</v>
      </c>
    </row>
    <row r="2280" spans="1:30">
      <c r="A2280" s="9" t="s">
        <v>4988</v>
      </c>
      <c r="B2280" s="9" t="s">
        <v>4969</v>
      </c>
      <c r="C2280" s="9" t="s">
        <v>105</v>
      </c>
      <c r="D2280" s="9">
        <v>8.23</v>
      </c>
      <c r="E2280" s="9" t="s">
        <v>106</v>
      </c>
      <c r="F2280" s="9">
        <v>460.5</v>
      </c>
      <c r="G2280" s="9">
        <v>1.68</v>
      </c>
      <c r="H2280" s="9" t="s">
        <v>106</v>
      </c>
      <c r="I2280" s="9">
        <v>20</v>
      </c>
      <c r="J2280" s="9" t="s">
        <v>122</v>
      </c>
      <c r="K2280" s="9" t="s">
        <v>4992</v>
      </c>
      <c r="L2280" t="str">
        <f>IF(OR(J2280="Cattle",J2280="Zebu Cattle"),IF(COUNTIF(lists!$M$2:$M$258, K2280) &gt; 0,"bos.indicus",IF(COUNTIF(lists!$L$2:$L$258, K2280) &gt; 0,"cross.bred","pure.bred.exotic")),"NA")</f>
        <v>cross.bred</v>
      </c>
      <c r="O2280" s="9" t="s">
        <v>124</v>
      </c>
      <c r="P2280" s="9" t="s">
        <v>4995</v>
      </c>
      <c r="Q2280" s="9" t="s">
        <v>3813</v>
      </c>
      <c r="S2280" s="9" t="s">
        <v>106</v>
      </c>
      <c r="T2280" s="9" t="s">
        <v>106</v>
      </c>
      <c r="U2280" s="9" t="s">
        <v>106</v>
      </c>
      <c r="V2280" s="9" t="s">
        <v>106</v>
      </c>
      <c r="W2280" s="9" t="s">
        <v>106</v>
      </c>
      <c r="X2280" s="9" t="s">
        <v>106</v>
      </c>
      <c r="Y2280" s="9" t="s">
        <v>106</v>
      </c>
      <c r="Z2280" s="9" t="s">
        <v>106</v>
      </c>
      <c r="AA2280" s="9" t="s">
        <v>106</v>
      </c>
      <c r="AB2280" s="9" t="s">
        <v>106</v>
      </c>
      <c r="AC2280" s="9" t="s">
        <v>5100</v>
      </c>
      <c r="AD2280" s="9" t="s">
        <v>5100</v>
      </c>
    </row>
    <row r="2281" spans="1:30">
      <c r="A2281" s="9" t="s">
        <v>4988</v>
      </c>
      <c r="B2281" s="9" t="s">
        <v>4970</v>
      </c>
      <c r="C2281" s="9" t="s">
        <v>105</v>
      </c>
      <c r="D2281" s="9">
        <v>8.74</v>
      </c>
      <c r="E2281" s="9" t="s">
        <v>106</v>
      </c>
      <c r="F2281" s="9">
        <v>469.5</v>
      </c>
      <c r="G2281" s="9">
        <v>1.96</v>
      </c>
      <c r="H2281" s="9" t="s">
        <v>106</v>
      </c>
      <c r="I2281" s="9">
        <v>20</v>
      </c>
      <c r="J2281" s="9" t="s">
        <v>122</v>
      </c>
      <c r="K2281" s="9" t="s">
        <v>4992</v>
      </c>
      <c r="L2281" t="str">
        <f>IF(OR(J2281="Cattle",J2281="Zebu Cattle"),IF(COUNTIF(lists!$M$2:$M$258, K2281) &gt; 0,"bos.indicus",IF(COUNTIF(lists!$L$2:$L$258, K2281) &gt; 0,"cross.bred","pure.bred.exotic")),"NA")</f>
        <v>cross.bred</v>
      </c>
      <c r="O2281" s="9" t="s">
        <v>124</v>
      </c>
      <c r="P2281" s="9" t="s">
        <v>4995</v>
      </c>
      <c r="Q2281" s="9" t="s">
        <v>3813</v>
      </c>
      <c r="S2281" s="9" t="s">
        <v>106</v>
      </c>
      <c r="T2281" s="9" t="s">
        <v>106</v>
      </c>
      <c r="U2281" s="9" t="s">
        <v>106</v>
      </c>
      <c r="V2281" s="9" t="s">
        <v>106</v>
      </c>
      <c r="W2281" s="9" t="s">
        <v>106</v>
      </c>
      <c r="X2281" s="9" t="s">
        <v>106</v>
      </c>
      <c r="Y2281" s="9" t="s">
        <v>106</v>
      </c>
      <c r="Z2281" s="9" t="s">
        <v>106</v>
      </c>
      <c r="AA2281" s="9" t="s">
        <v>106</v>
      </c>
      <c r="AB2281" s="9" t="s">
        <v>106</v>
      </c>
      <c r="AC2281" s="9" t="s">
        <v>5100</v>
      </c>
      <c r="AD2281" s="9" t="s">
        <v>5100</v>
      </c>
    </row>
    <row r="2282" spans="1:30">
      <c r="A2282" s="9" t="s">
        <v>4988</v>
      </c>
      <c r="B2282" s="9" t="s">
        <v>4971</v>
      </c>
      <c r="C2282" s="9" t="s">
        <v>105</v>
      </c>
      <c r="D2282" s="9">
        <v>8.4</v>
      </c>
      <c r="E2282" s="9" t="s">
        <v>106</v>
      </c>
      <c r="F2282" s="9">
        <v>464.5</v>
      </c>
      <c r="G2282" s="9">
        <v>1.8</v>
      </c>
      <c r="H2282" s="9" t="s">
        <v>106</v>
      </c>
      <c r="I2282" s="9">
        <v>20</v>
      </c>
      <c r="J2282" s="9" t="s">
        <v>122</v>
      </c>
      <c r="K2282" s="9" t="s">
        <v>4992</v>
      </c>
      <c r="L2282" t="str">
        <f>IF(OR(J2282="Cattle",J2282="Zebu Cattle"),IF(COUNTIF(lists!$M$2:$M$258, K2282) &gt; 0,"bos.indicus",IF(COUNTIF(lists!$L$2:$L$258, K2282) &gt; 0,"cross.bred","pure.bred.exotic")),"NA")</f>
        <v>cross.bred</v>
      </c>
      <c r="O2282" s="9" t="s">
        <v>124</v>
      </c>
      <c r="P2282" s="9" t="s">
        <v>4995</v>
      </c>
      <c r="Q2282" s="9" t="s">
        <v>3813</v>
      </c>
      <c r="S2282" s="9" t="s">
        <v>106</v>
      </c>
      <c r="T2282" s="9" t="s">
        <v>106</v>
      </c>
      <c r="U2282" s="9" t="s">
        <v>106</v>
      </c>
      <c r="V2282" s="9" t="s">
        <v>106</v>
      </c>
      <c r="W2282" s="9" t="s">
        <v>106</v>
      </c>
      <c r="X2282" s="9" t="s">
        <v>106</v>
      </c>
      <c r="Y2282" s="9" t="s">
        <v>106</v>
      </c>
      <c r="Z2282" s="9" t="s">
        <v>106</v>
      </c>
      <c r="AA2282" s="9" t="s">
        <v>106</v>
      </c>
      <c r="AB2282" s="9" t="s">
        <v>106</v>
      </c>
      <c r="AC2282" s="9" t="s">
        <v>5100</v>
      </c>
      <c r="AD2282" s="9" t="s">
        <v>5100</v>
      </c>
    </row>
    <row r="2283" spans="1:30">
      <c r="A2283" s="9" t="s">
        <v>4988</v>
      </c>
      <c r="B2283" s="9" t="s">
        <v>4972</v>
      </c>
      <c r="C2283" s="9" t="s">
        <v>105</v>
      </c>
      <c r="D2283" s="9">
        <v>8.41</v>
      </c>
      <c r="E2283" s="9" t="s">
        <v>106</v>
      </c>
      <c r="F2283" s="9">
        <v>464.5</v>
      </c>
      <c r="G2283" s="9">
        <v>1.8</v>
      </c>
      <c r="H2283" s="9" t="s">
        <v>106</v>
      </c>
      <c r="I2283" s="9">
        <v>20</v>
      </c>
      <c r="J2283" s="9" t="s">
        <v>122</v>
      </c>
      <c r="K2283" s="9" t="s">
        <v>4992</v>
      </c>
      <c r="L2283" t="str">
        <f>IF(OR(J2283="Cattle",J2283="Zebu Cattle"),IF(COUNTIF(lists!$M$2:$M$258, K2283) &gt; 0,"bos.indicus",IF(COUNTIF(lists!$L$2:$L$258, K2283) &gt; 0,"cross.bred","pure.bred.exotic")),"NA")</f>
        <v>cross.bred</v>
      </c>
      <c r="O2283" s="9" t="s">
        <v>124</v>
      </c>
      <c r="P2283" s="9" t="s">
        <v>4995</v>
      </c>
      <c r="Q2283" s="9" t="s">
        <v>3813</v>
      </c>
      <c r="S2283" s="9" t="s">
        <v>106</v>
      </c>
      <c r="T2283" s="9" t="s">
        <v>106</v>
      </c>
      <c r="U2283" s="9" t="s">
        <v>106</v>
      </c>
      <c r="V2283" s="9" t="s">
        <v>106</v>
      </c>
      <c r="W2283" s="9" t="s">
        <v>106</v>
      </c>
      <c r="X2283" s="9" t="s">
        <v>106</v>
      </c>
      <c r="Y2283" s="9" t="s">
        <v>106</v>
      </c>
      <c r="Z2283" s="9" t="s">
        <v>106</v>
      </c>
      <c r="AA2283" s="9" t="s">
        <v>106</v>
      </c>
      <c r="AB2283" s="9" t="s">
        <v>106</v>
      </c>
      <c r="AC2283" s="9" t="s">
        <v>5100</v>
      </c>
      <c r="AD2283" s="9" t="s">
        <v>5100</v>
      </c>
    </row>
    <row r="2284" spans="1:30">
      <c r="A2284" s="9" t="s">
        <v>4989</v>
      </c>
      <c r="B2284" s="9" t="s">
        <v>4973</v>
      </c>
      <c r="C2284" s="9" t="s">
        <v>105</v>
      </c>
      <c r="D2284" s="9">
        <v>16.05</v>
      </c>
      <c r="E2284" s="9" t="s">
        <v>106</v>
      </c>
      <c r="F2284" s="68">
        <v>540</v>
      </c>
      <c r="G2284" s="9" t="s">
        <v>106</v>
      </c>
      <c r="H2284" s="9">
        <v>20.47</v>
      </c>
      <c r="I2284" s="9">
        <v>9</v>
      </c>
      <c r="J2284" s="9" t="s">
        <v>122</v>
      </c>
      <c r="K2284" s="9" t="s">
        <v>4165</v>
      </c>
      <c r="L2284" t="str">
        <f>IF(OR(J2284="Cattle",J2284="Zebu Cattle"),IF(COUNTIF(lists!$M$2:$M$258, K2284) &gt; 0,"bos.indicus",IF(COUNTIF(lists!$L$2:$L$258, K2284) &gt; 0,"cross.bred","pure.bred.exotic")),"NA")</f>
        <v>pure.bred.exotic</v>
      </c>
      <c r="O2284" s="9" t="s">
        <v>4194</v>
      </c>
      <c r="P2284" s="9" t="s">
        <v>4996</v>
      </c>
      <c r="Q2284" s="9" t="s">
        <v>3809</v>
      </c>
      <c r="S2284" s="9" t="s">
        <v>106</v>
      </c>
      <c r="T2284" s="9">
        <v>106.3</v>
      </c>
      <c r="U2284" s="9">
        <v>132.69999999999999</v>
      </c>
      <c r="V2284" s="9">
        <v>613.29999999999995</v>
      </c>
      <c r="W2284" s="9">
        <v>26.5</v>
      </c>
      <c r="X2284" s="9" t="s">
        <v>106</v>
      </c>
      <c r="Y2284" s="9" t="s">
        <v>106</v>
      </c>
      <c r="Z2284" s="9" t="s">
        <v>106</v>
      </c>
      <c r="AA2284" s="9">
        <v>65.42</v>
      </c>
      <c r="AB2284" s="9">
        <v>67.64</v>
      </c>
      <c r="AC2284" s="9" t="s">
        <v>5100</v>
      </c>
      <c r="AD2284" s="9" t="s">
        <v>5100</v>
      </c>
    </row>
    <row r="2285" spans="1:30">
      <c r="A2285" s="9" t="s">
        <v>4989</v>
      </c>
      <c r="B2285" s="9" t="s">
        <v>4974</v>
      </c>
      <c r="C2285" s="9" t="s">
        <v>105</v>
      </c>
      <c r="D2285" s="9">
        <v>15.65</v>
      </c>
      <c r="E2285" s="9" t="s">
        <v>106</v>
      </c>
      <c r="F2285" s="68">
        <v>540</v>
      </c>
      <c r="G2285" s="9" t="s">
        <v>106</v>
      </c>
      <c r="H2285" s="9">
        <v>21.52</v>
      </c>
      <c r="I2285" s="9">
        <v>9</v>
      </c>
      <c r="J2285" s="9" t="s">
        <v>122</v>
      </c>
      <c r="K2285" s="9" t="s">
        <v>4165</v>
      </c>
      <c r="L2285" t="str">
        <f>IF(OR(J2285="Cattle",J2285="Zebu Cattle"),IF(COUNTIF(lists!$M$2:$M$258, K2285) &gt; 0,"bos.indicus",IF(COUNTIF(lists!$L$2:$L$258, K2285) &gt; 0,"cross.bred","pure.bred.exotic")),"NA")</f>
        <v>pure.bred.exotic</v>
      </c>
      <c r="O2285" s="9" t="s">
        <v>4194</v>
      </c>
      <c r="P2285" s="9" t="s">
        <v>4996</v>
      </c>
      <c r="Q2285" s="9" t="s">
        <v>3809</v>
      </c>
      <c r="S2285" s="9" t="s">
        <v>106</v>
      </c>
      <c r="T2285" s="9">
        <v>106.4</v>
      </c>
      <c r="U2285" s="9">
        <v>134.80000000000001</v>
      </c>
      <c r="V2285" s="9">
        <v>613</v>
      </c>
      <c r="W2285" s="9">
        <v>26.6</v>
      </c>
      <c r="X2285" s="9" t="s">
        <v>106</v>
      </c>
      <c r="Y2285" s="9" t="s">
        <v>106</v>
      </c>
      <c r="Z2285" s="9" t="s">
        <v>106</v>
      </c>
      <c r="AA2285" s="9">
        <v>68.540000000000006</v>
      </c>
      <c r="AB2285" s="9">
        <v>70.48</v>
      </c>
      <c r="AC2285" s="9" t="s">
        <v>5100</v>
      </c>
      <c r="AD2285" s="9" t="s">
        <v>5100</v>
      </c>
    </row>
    <row r="2286" spans="1:30">
      <c r="A2286" s="9" t="s">
        <v>4989</v>
      </c>
      <c r="B2286" s="9" t="s">
        <v>4975</v>
      </c>
      <c r="C2286" s="9" t="s">
        <v>105</v>
      </c>
      <c r="D2286" s="9">
        <v>15.45</v>
      </c>
      <c r="E2286" s="9" t="s">
        <v>106</v>
      </c>
      <c r="F2286" s="68">
        <v>540</v>
      </c>
      <c r="G2286" s="9" t="s">
        <v>106</v>
      </c>
      <c r="H2286" s="9">
        <v>22.34</v>
      </c>
      <c r="I2286" s="9">
        <v>9</v>
      </c>
      <c r="J2286" s="9" t="s">
        <v>122</v>
      </c>
      <c r="K2286" s="9" t="s">
        <v>4165</v>
      </c>
      <c r="L2286" t="str">
        <f>IF(OR(J2286="Cattle",J2286="Zebu Cattle"),IF(COUNTIF(lists!$M$2:$M$258, K2286) &gt; 0,"bos.indicus",IF(COUNTIF(lists!$L$2:$L$258, K2286) &gt; 0,"cross.bred","pure.bred.exotic")),"NA")</f>
        <v>pure.bred.exotic</v>
      </c>
      <c r="O2286" s="9" t="s">
        <v>4194</v>
      </c>
      <c r="P2286" s="9" t="s">
        <v>4996</v>
      </c>
      <c r="Q2286" s="9" t="s">
        <v>3809</v>
      </c>
      <c r="S2286" s="9" t="s">
        <v>106</v>
      </c>
      <c r="T2286" s="9">
        <v>106.4</v>
      </c>
      <c r="U2286" s="9">
        <v>136</v>
      </c>
      <c r="V2286" s="9">
        <v>614.29999999999995</v>
      </c>
      <c r="W2286" s="9">
        <v>26.7</v>
      </c>
      <c r="X2286" s="9" t="s">
        <v>106</v>
      </c>
      <c r="Y2286" s="9" t="s">
        <v>106</v>
      </c>
      <c r="Z2286" s="9" t="s">
        <v>106</v>
      </c>
      <c r="AA2286" s="9">
        <v>69.95</v>
      </c>
      <c r="AB2286" s="9">
        <v>71.45</v>
      </c>
      <c r="AC2286" s="9" t="s">
        <v>5100</v>
      </c>
      <c r="AD2286" s="9" t="s">
        <v>5100</v>
      </c>
    </row>
    <row r="2287" spans="1:30">
      <c r="A2287" s="9" t="s">
        <v>4990</v>
      </c>
      <c r="B2287" s="9" t="s">
        <v>4976</v>
      </c>
      <c r="C2287" s="9" t="s">
        <v>105</v>
      </c>
      <c r="D2287" s="9">
        <v>14.6</v>
      </c>
      <c r="E2287" s="9" t="s">
        <v>106</v>
      </c>
      <c r="F2287" s="9">
        <v>465</v>
      </c>
      <c r="G2287" s="9" t="s">
        <v>106</v>
      </c>
      <c r="H2287" s="9">
        <v>14.5</v>
      </c>
      <c r="I2287" s="9">
        <v>8</v>
      </c>
      <c r="J2287" s="9" t="s">
        <v>122</v>
      </c>
      <c r="K2287" s="9" t="s">
        <v>4301</v>
      </c>
      <c r="L2287" t="str">
        <f>IF(OR(J2287="Cattle",J2287="Zebu Cattle"),IF(COUNTIF(lists!$M$2:$M$258, K2287) &gt; 0,"bos.indicus",IF(COUNTIF(lists!$L$2:$L$258, K2287) &gt; 0,"cross.bred","pure.bred.exotic")),"NA")</f>
        <v>cross.bred</v>
      </c>
      <c r="O2287" s="9" t="s">
        <v>124</v>
      </c>
      <c r="P2287" s="9" t="s">
        <v>4997</v>
      </c>
      <c r="Q2287" s="9" t="s">
        <v>3809</v>
      </c>
      <c r="S2287" s="9">
        <v>328.77</v>
      </c>
      <c r="T2287" s="9" t="s">
        <v>106</v>
      </c>
      <c r="U2287" s="9">
        <v>136.99</v>
      </c>
      <c r="V2287" s="9" t="s">
        <v>106</v>
      </c>
      <c r="W2287" s="9" t="s">
        <v>106</v>
      </c>
      <c r="X2287" s="9">
        <v>575.34</v>
      </c>
      <c r="Y2287" s="9" t="s">
        <v>106</v>
      </c>
      <c r="Z2287" s="9" t="s">
        <v>106</v>
      </c>
      <c r="AA2287" s="9">
        <v>62.9</v>
      </c>
      <c r="AB2287" s="9" t="s">
        <v>106</v>
      </c>
      <c r="AC2287" s="9" t="s">
        <v>5100</v>
      </c>
      <c r="AD2287" s="9" t="s">
        <v>5100</v>
      </c>
    </row>
    <row r="2288" spans="1:30">
      <c r="A2288" s="9" t="s">
        <v>4990</v>
      </c>
      <c r="B2288" s="9" t="s">
        <v>4977</v>
      </c>
      <c r="C2288" s="9" t="s">
        <v>105</v>
      </c>
      <c r="D2288" s="9">
        <v>14</v>
      </c>
      <c r="E2288" s="9" t="s">
        <v>106</v>
      </c>
      <c r="F2288" s="9">
        <v>467</v>
      </c>
      <c r="G2288" s="9" t="s">
        <v>106</v>
      </c>
      <c r="H2288" s="9">
        <v>13.8</v>
      </c>
      <c r="I2288" s="9">
        <v>8</v>
      </c>
      <c r="J2288" s="9" t="s">
        <v>122</v>
      </c>
      <c r="K2288" s="9" t="s">
        <v>4301</v>
      </c>
      <c r="L2288" t="str">
        <f>IF(OR(J2288="Cattle",J2288="Zebu Cattle"),IF(COUNTIF(lists!$M$2:$M$258, K2288) &gt; 0,"bos.indicus",IF(COUNTIF(lists!$L$2:$L$258, K2288) &gt; 0,"cross.bred","pure.bred.exotic")),"NA")</f>
        <v>cross.bred</v>
      </c>
      <c r="O2288" s="9" t="s">
        <v>124</v>
      </c>
      <c r="P2288" s="9" t="s">
        <v>4997</v>
      </c>
      <c r="Q2288" s="9" t="s">
        <v>3809</v>
      </c>
      <c r="S2288" s="9">
        <v>321.43</v>
      </c>
      <c r="T2288" s="9" t="s">
        <v>106</v>
      </c>
      <c r="U2288" s="9">
        <v>135.71</v>
      </c>
      <c r="V2288" s="9" t="s">
        <v>106</v>
      </c>
      <c r="W2288" s="9" t="s">
        <v>106</v>
      </c>
      <c r="X2288" s="9">
        <v>585.71</v>
      </c>
      <c r="Y2288" s="9" t="s">
        <v>106</v>
      </c>
      <c r="Z2288" s="9" t="s">
        <v>106</v>
      </c>
      <c r="AA2288" s="9">
        <v>61.8</v>
      </c>
      <c r="AB2288" s="9" t="s">
        <v>106</v>
      </c>
      <c r="AC2288" s="9" t="s">
        <v>5100</v>
      </c>
      <c r="AD2288" s="9" t="s">
        <v>5100</v>
      </c>
    </row>
    <row r="2289" spans="1:30">
      <c r="A2289" s="9" t="s">
        <v>4990</v>
      </c>
      <c r="B2289" s="9" t="s">
        <v>4978</v>
      </c>
      <c r="C2289" s="9" t="s">
        <v>105</v>
      </c>
      <c r="D2289" s="9">
        <v>12.9</v>
      </c>
      <c r="E2289" s="9" t="s">
        <v>106</v>
      </c>
      <c r="F2289" s="9">
        <v>445</v>
      </c>
      <c r="G2289" s="9" t="s">
        <v>106</v>
      </c>
      <c r="H2289" s="9">
        <v>14.3</v>
      </c>
      <c r="I2289" s="9">
        <v>8</v>
      </c>
      <c r="J2289" s="9" t="s">
        <v>122</v>
      </c>
      <c r="K2289" s="9" t="s">
        <v>4301</v>
      </c>
      <c r="L2289" t="str">
        <f>IF(OR(J2289="Cattle",J2289="Zebu Cattle"),IF(COUNTIF(lists!$M$2:$M$258, K2289) &gt; 0,"bos.indicus",IF(COUNTIF(lists!$L$2:$L$258, K2289) &gt; 0,"cross.bred","pure.bred.exotic")),"NA")</f>
        <v>cross.bred</v>
      </c>
      <c r="O2289" s="9" t="s">
        <v>124</v>
      </c>
      <c r="P2289" s="9" t="s">
        <v>4997</v>
      </c>
      <c r="Q2289" s="9" t="s">
        <v>3809</v>
      </c>
      <c r="S2289" s="9">
        <v>294.57</v>
      </c>
      <c r="T2289" s="9" t="s">
        <v>106</v>
      </c>
      <c r="U2289" s="9">
        <v>139.53</v>
      </c>
      <c r="V2289" s="9" t="s">
        <v>106</v>
      </c>
      <c r="W2289" s="9" t="s">
        <v>106</v>
      </c>
      <c r="X2289" s="9">
        <v>573.64</v>
      </c>
      <c r="Y2289" s="9" t="s">
        <v>106</v>
      </c>
      <c r="Z2289" s="9" t="s">
        <v>106</v>
      </c>
      <c r="AA2289" s="9">
        <v>65.900000000000006</v>
      </c>
      <c r="AB2289" s="9" t="s">
        <v>106</v>
      </c>
      <c r="AC2289" s="9" t="s">
        <v>5100</v>
      </c>
      <c r="AD2289" s="9" t="s">
        <v>5100</v>
      </c>
    </row>
    <row r="2290" spans="1:30">
      <c r="A2290" s="9" t="s">
        <v>4990</v>
      </c>
      <c r="B2290" s="9" t="s">
        <v>4979</v>
      </c>
      <c r="C2290" s="9" t="s">
        <v>105</v>
      </c>
      <c r="D2290" s="9">
        <v>12.2</v>
      </c>
      <c r="E2290" s="9" t="s">
        <v>106</v>
      </c>
      <c r="F2290" s="9">
        <v>437</v>
      </c>
      <c r="G2290" s="9" t="s">
        <v>106</v>
      </c>
      <c r="H2290" s="9">
        <v>15.4</v>
      </c>
      <c r="I2290" s="9">
        <v>8</v>
      </c>
      <c r="J2290" s="9" t="s">
        <v>122</v>
      </c>
      <c r="K2290" s="9" t="s">
        <v>4301</v>
      </c>
      <c r="L2290" t="str">
        <f>IF(OR(J2290="Cattle",J2290="Zebu Cattle"),IF(COUNTIF(lists!$M$2:$M$258, K2290) &gt; 0,"bos.indicus",IF(COUNTIF(lists!$L$2:$L$258, K2290) &gt; 0,"cross.bred","pure.bred.exotic")),"NA")</f>
        <v>cross.bred</v>
      </c>
      <c r="O2290" s="9" t="s">
        <v>124</v>
      </c>
      <c r="P2290" s="9" t="s">
        <v>4997</v>
      </c>
      <c r="Q2290" s="9" t="s">
        <v>3809</v>
      </c>
      <c r="S2290" s="9">
        <v>270.49</v>
      </c>
      <c r="T2290" s="9" t="s">
        <v>106</v>
      </c>
      <c r="U2290" s="9">
        <v>139.34</v>
      </c>
      <c r="V2290" s="9" t="s">
        <v>106</v>
      </c>
      <c r="W2290" s="9" t="s">
        <v>106</v>
      </c>
      <c r="X2290" s="9">
        <v>557.38</v>
      </c>
      <c r="Y2290" s="9" t="s">
        <v>106</v>
      </c>
      <c r="Z2290" s="9" t="s">
        <v>106</v>
      </c>
      <c r="AA2290" s="9">
        <v>68.599999999999994</v>
      </c>
      <c r="AB2290" s="9" t="s">
        <v>106</v>
      </c>
      <c r="AC2290" s="9" t="s">
        <v>5100</v>
      </c>
      <c r="AD2290" s="9" t="s">
        <v>5100</v>
      </c>
    </row>
    <row r="2291" spans="1:30">
      <c r="A2291" s="9" t="s">
        <v>4991</v>
      </c>
      <c r="B2291" s="9" t="s">
        <v>4980</v>
      </c>
      <c r="C2291" s="9" t="s">
        <v>105</v>
      </c>
      <c r="D2291" s="9">
        <v>7.8</v>
      </c>
      <c r="E2291" s="9" t="s">
        <v>106</v>
      </c>
      <c r="F2291" s="9">
        <v>193.55</v>
      </c>
      <c r="G2291" s="9">
        <v>0.84279999999999999</v>
      </c>
      <c r="H2291" s="9" t="s">
        <v>106</v>
      </c>
      <c r="I2291" s="9">
        <v>5</v>
      </c>
      <c r="J2291" s="9" t="s">
        <v>122</v>
      </c>
      <c r="K2291" s="9" t="s">
        <v>4104</v>
      </c>
      <c r="L2291" t="str">
        <f>IF(OR(J2291="Cattle",J2291="Zebu Cattle"),IF(COUNTIF(lists!$M$2:$M$258, K2291) &gt; 0,"bos.indicus",IF(COUNTIF(lists!$L$2:$L$258, K2291) &gt; 0,"cross.bred","pure.bred.exotic")),"NA")</f>
        <v>bos.indicus</v>
      </c>
      <c r="O2291" s="9" t="s">
        <v>4193</v>
      </c>
      <c r="P2291" s="9" t="s">
        <v>4998</v>
      </c>
      <c r="Q2291" s="9" t="s">
        <v>3800</v>
      </c>
      <c r="S2291" s="9">
        <v>340.2</v>
      </c>
      <c r="T2291" s="9">
        <v>149.69999999999999</v>
      </c>
      <c r="U2291" s="9">
        <v>109.3</v>
      </c>
      <c r="V2291" s="9">
        <v>192</v>
      </c>
      <c r="W2291" s="9" t="s">
        <v>106</v>
      </c>
      <c r="X2291" s="9">
        <v>609.29999999999995</v>
      </c>
      <c r="Y2291" s="9" t="s">
        <v>106</v>
      </c>
      <c r="Z2291" s="9" t="s">
        <v>106</v>
      </c>
      <c r="AA2291" s="9">
        <v>76</v>
      </c>
      <c r="AB2291" s="9">
        <v>76.900000000000006</v>
      </c>
      <c r="AC2291" s="9" t="s">
        <v>5100</v>
      </c>
      <c r="AD2291" s="9" t="s">
        <v>5100</v>
      </c>
    </row>
    <row r="2292" spans="1:30">
      <c r="A2292" s="9" t="s">
        <v>4991</v>
      </c>
      <c r="B2292" s="9" t="s">
        <v>4981</v>
      </c>
      <c r="C2292" s="9" t="s">
        <v>105</v>
      </c>
      <c r="D2292" s="9">
        <v>5.5</v>
      </c>
      <c r="E2292" s="9" t="s">
        <v>106</v>
      </c>
      <c r="F2292" s="9">
        <v>212.15</v>
      </c>
      <c r="G2292" s="9">
        <v>0.7571</v>
      </c>
      <c r="H2292" s="9" t="s">
        <v>106</v>
      </c>
      <c r="I2292" s="9">
        <v>5</v>
      </c>
      <c r="J2292" s="9" t="s">
        <v>122</v>
      </c>
      <c r="K2292" s="9" t="s">
        <v>4104</v>
      </c>
      <c r="L2292" t="str">
        <f>IF(OR(J2292="Cattle",J2292="Zebu Cattle"),IF(COUNTIF(lists!$M$2:$M$258, K2292) &gt; 0,"bos.indicus",IF(COUNTIF(lists!$L$2:$L$258, K2292) &gt; 0,"cross.bred","pure.bred.exotic")),"NA")</f>
        <v>bos.indicus</v>
      </c>
      <c r="O2292" s="9" t="s">
        <v>4193</v>
      </c>
      <c r="P2292" s="9" t="s">
        <v>4998</v>
      </c>
      <c r="Q2292" s="9" t="s">
        <v>3800</v>
      </c>
      <c r="S2292" s="9">
        <v>340.7</v>
      </c>
      <c r="T2292" s="9">
        <v>148.80000000000001</v>
      </c>
      <c r="U2292" s="9">
        <v>107.2</v>
      </c>
      <c r="V2292" s="9">
        <v>192</v>
      </c>
      <c r="W2292" s="9" t="s">
        <v>106</v>
      </c>
      <c r="X2292" s="9">
        <v>607.1</v>
      </c>
      <c r="Y2292" s="9" t="s">
        <v>106</v>
      </c>
      <c r="Z2292" s="9" t="s">
        <v>106</v>
      </c>
      <c r="AA2292" s="9">
        <v>73</v>
      </c>
      <c r="AB2292" s="9">
        <v>74.900000000000006</v>
      </c>
      <c r="AC2292" s="9" t="s">
        <v>5100</v>
      </c>
      <c r="AD2292" s="9" t="s">
        <v>5100</v>
      </c>
    </row>
    <row r="2293" spans="1:30">
      <c r="A2293" s="9" t="s">
        <v>4991</v>
      </c>
      <c r="B2293" s="9" t="s">
        <v>4982</v>
      </c>
      <c r="C2293" s="9" t="s">
        <v>105</v>
      </c>
      <c r="D2293" s="9">
        <v>8.1999999999999993</v>
      </c>
      <c r="E2293" s="9" t="s">
        <v>106</v>
      </c>
      <c r="F2293" s="9">
        <v>218.6</v>
      </c>
      <c r="G2293" s="9">
        <v>0.5786</v>
      </c>
      <c r="H2293" s="9" t="s">
        <v>106</v>
      </c>
      <c r="I2293" s="9">
        <v>5</v>
      </c>
      <c r="J2293" s="9" t="s">
        <v>122</v>
      </c>
      <c r="K2293" s="9" t="s">
        <v>4104</v>
      </c>
      <c r="L2293" t="str">
        <f>IF(OR(J2293="Cattle",J2293="Zebu Cattle"),IF(COUNTIF(lists!$M$2:$M$258, K2293) &gt; 0,"bos.indicus",IF(COUNTIF(lists!$L$2:$L$258, K2293) &gt; 0,"cross.bred","pure.bred.exotic")),"NA")</f>
        <v>bos.indicus</v>
      </c>
      <c r="O2293" s="9" t="s">
        <v>4193</v>
      </c>
      <c r="P2293" s="9" t="s">
        <v>4998</v>
      </c>
      <c r="Q2293" s="9" t="s">
        <v>3800</v>
      </c>
      <c r="S2293" s="9">
        <v>360</v>
      </c>
      <c r="T2293" s="9">
        <v>149.69999999999999</v>
      </c>
      <c r="U2293" s="9">
        <v>89.5</v>
      </c>
      <c r="V2293" s="9">
        <v>184</v>
      </c>
      <c r="W2293" s="9" t="s">
        <v>106</v>
      </c>
      <c r="X2293" s="9">
        <v>629</v>
      </c>
      <c r="Y2293" s="9" t="s">
        <v>106</v>
      </c>
      <c r="Z2293" s="9" t="s">
        <v>106</v>
      </c>
      <c r="AA2293" s="9">
        <v>73.5</v>
      </c>
      <c r="AB2293" s="9">
        <v>74.599999999999994</v>
      </c>
      <c r="AC2293" s="9" t="s">
        <v>5100</v>
      </c>
      <c r="AD2293" s="9" t="s">
        <v>5100</v>
      </c>
    </row>
    <row r="2294" spans="1:30">
      <c r="A2294" s="9" t="s">
        <v>4991</v>
      </c>
      <c r="B2294" s="9" t="s">
        <v>4983</v>
      </c>
      <c r="C2294" s="9" t="s">
        <v>105</v>
      </c>
      <c r="D2294" s="9">
        <v>5.8</v>
      </c>
      <c r="E2294" s="9" t="s">
        <v>106</v>
      </c>
      <c r="F2294" s="9">
        <v>227.45</v>
      </c>
      <c r="G2294" s="9">
        <v>0.26250000000000001</v>
      </c>
      <c r="H2294" s="9" t="s">
        <v>106</v>
      </c>
      <c r="I2294" s="9">
        <v>5</v>
      </c>
      <c r="J2294" s="9" t="s">
        <v>122</v>
      </c>
      <c r="K2294" s="9" t="s">
        <v>4104</v>
      </c>
      <c r="L2294" t="str">
        <f>IF(OR(J2294="Cattle",J2294="Zebu Cattle"),IF(COUNTIF(lists!$M$2:$M$258, K2294) &gt; 0,"bos.indicus",IF(COUNTIF(lists!$L$2:$L$258, K2294) &gt; 0,"cross.bred","pure.bred.exotic")),"NA")</f>
        <v>bos.indicus</v>
      </c>
      <c r="O2294" s="9" t="s">
        <v>4193</v>
      </c>
      <c r="P2294" s="9" t="s">
        <v>4998</v>
      </c>
      <c r="Q2294" s="9" t="s">
        <v>3800</v>
      </c>
      <c r="S2294" s="9">
        <v>360</v>
      </c>
      <c r="T2294" s="9">
        <v>148.9</v>
      </c>
      <c r="U2294" s="9">
        <v>88.1</v>
      </c>
      <c r="V2294" s="9">
        <v>184</v>
      </c>
      <c r="W2294" s="9" t="s">
        <v>106</v>
      </c>
      <c r="X2294" s="9">
        <v>626.5</v>
      </c>
      <c r="Y2294" s="9" t="s">
        <v>106</v>
      </c>
      <c r="Z2294" s="9" t="s">
        <v>106</v>
      </c>
      <c r="AA2294" s="9">
        <v>71.3</v>
      </c>
      <c r="AB2294" s="9">
        <v>72.400000000000006</v>
      </c>
      <c r="AC2294" s="9" t="s">
        <v>5100</v>
      </c>
      <c r="AD2294" s="9" t="s">
        <v>5100</v>
      </c>
    </row>
    <row r="2295" spans="1:30">
      <c r="A2295" s="9" t="s">
        <v>4991</v>
      </c>
      <c r="B2295" s="9" t="s">
        <v>4984</v>
      </c>
      <c r="C2295" s="9" t="s">
        <v>105</v>
      </c>
      <c r="D2295" s="9">
        <v>6.5</v>
      </c>
      <c r="E2295" s="9" t="s">
        <v>106</v>
      </c>
      <c r="F2295" s="9">
        <v>238.95</v>
      </c>
      <c r="G2295" s="9">
        <v>0.3952</v>
      </c>
      <c r="H2295" s="9" t="s">
        <v>106</v>
      </c>
      <c r="I2295" s="9">
        <v>5</v>
      </c>
      <c r="J2295" s="9" t="s">
        <v>122</v>
      </c>
      <c r="K2295" s="9" t="s">
        <v>4104</v>
      </c>
      <c r="L2295" t="str">
        <f>IF(OR(J2295="Cattle",J2295="Zebu Cattle"),IF(COUNTIF(lists!$M$2:$M$258, K2295) &gt; 0,"bos.indicus",IF(COUNTIF(lists!$L$2:$L$258, K2295) &gt; 0,"cross.bred","pure.bred.exotic")),"NA")</f>
        <v>bos.indicus</v>
      </c>
      <c r="O2295" s="9" t="s">
        <v>4193</v>
      </c>
      <c r="P2295" s="9" t="s">
        <v>4998</v>
      </c>
      <c r="Q2295" s="9" t="s">
        <v>3800</v>
      </c>
      <c r="S2295" s="9">
        <v>340.5</v>
      </c>
      <c r="T2295" s="9">
        <v>120</v>
      </c>
      <c r="U2295" s="9">
        <v>117.9</v>
      </c>
      <c r="V2295" s="9">
        <v>232</v>
      </c>
      <c r="W2295" s="9" t="s">
        <v>106</v>
      </c>
      <c r="X2295" s="9">
        <v>617.79999999999995</v>
      </c>
      <c r="Y2295" s="9" t="s">
        <v>106</v>
      </c>
      <c r="Z2295" s="9" t="s">
        <v>106</v>
      </c>
      <c r="AA2295" s="9">
        <v>67.400000000000006</v>
      </c>
      <c r="AB2295" s="9">
        <v>68.8</v>
      </c>
      <c r="AC2295" s="9" t="s">
        <v>5100</v>
      </c>
      <c r="AD2295" s="9" t="s">
        <v>5100</v>
      </c>
    </row>
    <row r="2296" spans="1:30">
      <c r="A2296" s="9" t="s">
        <v>4991</v>
      </c>
      <c r="B2296" s="9" t="s">
        <v>4985</v>
      </c>
      <c r="C2296" s="9" t="s">
        <v>105</v>
      </c>
      <c r="D2296" s="9">
        <v>5.3</v>
      </c>
      <c r="E2296" s="9" t="s">
        <v>106</v>
      </c>
      <c r="F2296" s="9">
        <v>236.8</v>
      </c>
      <c r="G2296" s="9">
        <v>0.1905</v>
      </c>
      <c r="H2296" s="9" t="s">
        <v>106</v>
      </c>
      <c r="I2296" s="9">
        <v>5</v>
      </c>
      <c r="J2296" s="9" t="s">
        <v>122</v>
      </c>
      <c r="K2296" s="9" t="s">
        <v>4104</v>
      </c>
      <c r="L2296" t="str">
        <f>IF(OR(J2296="Cattle",J2296="Zebu Cattle"),IF(COUNTIF(lists!$M$2:$M$258, K2296) &gt; 0,"bos.indicus",IF(COUNTIF(lists!$L$2:$L$258, K2296) &gt; 0,"cross.bred","pure.bred.exotic")),"NA")</f>
        <v>bos.indicus</v>
      </c>
      <c r="O2296" s="9" t="s">
        <v>4193</v>
      </c>
      <c r="P2296" s="9" t="s">
        <v>4998</v>
      </c>
      <c r="Q2296" s="9" t="s">
        <v>3800</v>
      </c>
      <c r="S2296" s="9">
        <v>340.9</v>
      </c>
      <c r="T2296" s="9">
        <v>120</v>
      </c>
      <c r="U2296" s="9">
        <v>116.3</v>
      </c>
      <c r="V2296" s="9">
        <v>232</v>
      </c>
      <c r="W2296" s="9" t="s">
        <v>106</v>
      </c>
      <c r="X2296" s="9">
        <v>616.1</v>
      </c>
      <c r="Y2296" s="9" t="s">
        <v>106</v>
      </c>
      <c r="Z2296" s="9" t="s">
        <v>106</v>
      </c>
      <c r="AA2296" s="9">
        <v>63.3</v>
      </c>
      <c r="AB2296" s="9">
        <v>64.900000000000006</v>
      </c>
      <c r="AC2296" s="9" t="s">
        <v>5100</v>
      </c>
      <c r="AD2296" s="9" t="s">
        <v>5100</v>
      </c>
    </row>
    <row r="2297" spans="1:30">
      <c r="A2297" s="9" t="s">
        <v>5031</v>
      </c>
      <c r="B2297" s="9" t="s">
        <v>455</v>
      </c>
      <c r="C2297" s="9" t="s">
        <v>105</v>
      </c>
      <c r="D2297" s="9">
        <v>11.64</v>
      </c>
      <c r="E2297" s="9" t="s">
        <v>106</v>
      </c>
      <c r="F2297" s="68">
        <v>504</v>
      </c>
      <c r="G2297" s="9" t="s">
        <v>106</v>
      </c>
      <c r="H2297" s="9" t="s">
        <v>106</v>
      </c>
      <c r="I2297" s="9">
        <v>4</v>
      </c>
      <c r="J2297" s="9" t="s">
        <v>122</v>
      </c>
      <c r="K2297" s="9" t="s">
        <v>5028</v>
      </c>
      <c r="L2297" t="str">
        <f>IF(OR(J2297="Cattle",J2297="Zebu Cattle"),IF(COUNTIF(lists!$M$2:$M$258, K2297) &gt; 0,"bos.indicus",IF(COUNTIF(lists!$L$2:$L$258, K2297) &gt; 0,"cross.bred","pure.bred.exotic")),"NA")</f>
        <v>cross.bred</v>
      </c>
      <c r="O2297" s="9" t="s">
        <v>124</v>
      </c>
      <c r="P2297" s="9" t="s">
        <v>5029</v>
      </c>
      <c r="Q2297" s="9" t="s">
        <v>3812</v>
      </c>
      <c r="S2297" s="9">
        <v>335</v>
      </c>
      <c r="T2297" s="9">
        <v>87.53</v>
      </c>
      <c r="U2297" s="9">
        <v>110.43</v>
      </c>
      <c r="V2297" s="9">
        <v>912.5</v>
      </c>
      <c r="W2297" s="9" t="s">
        <v>106</v>
      </c>
      <c r="X2297" s="9">
        <v>410.6</v>
      </c>
      <c r="Y2297" s="9" t="s">
        <v>106</v>
      </c>
      <c r="Z2297" s="9">
        <v>66.13</v>
      </c>
      <c r="AA2297" s="9">
        <v>62.438000000000002</v>
      </c>
      <c r="AB2297" s="9">
        <v>64.254000000000005</v>
      </c>
      <c r="AC2297" s="9" t="s">
        <v>5100</v>
      </c>
      <c r="AD2297" s="9" t="s">
        <v>5100</v>
      </c>
    </row>
    <row r="2298" spans="1:30">
      <c r="A2298" s="9" t="s">
        <v>5031</v>
      </c>
      <c r="B2298" s="9" t="s">
        <v>5040</v>
      </c>
      <c r="C2298" s="9" t="s">
        <v>105</v>
      </c>
      <c r="D2298" s="9">
        <v>15.09</v>
      </c>
      <c r="E2298" s="9" t="s">
        <v>106</v>
      </c>
      <c r="F2298" s="68">
        <v>504</v>
      </c>
      <c r="G2298" s="9" t="s">
        <v>106</v>
      </c>
      <c r="H2298" s="9" t="s">
        <v>106</v>
      </c>
      <c r="I2298" s="9">
        <v>4</v>
      </c>
      <c r="J2298" s="9" t="s">
        <v>122</v>
      </c>
      <c r="K2298" s="9" t="s">
        <v>5028</v>
      </c>
      <c r="L2298" t="str">
        <f>IF(OR(J2298="Cattle",J2298="Zebu Cattle"),IF(COUNTIF(lists!$M$2:$M$258, K2298) &gt; 0,"bos.indicus",IF(COUNTIF(lists!$L$2:$L$258, K2298) &gt; 0,"cross.bred","pure.bred.exotic")),"NA")</f>
        <v>cross.bred</v>
      </c>
      <c r="O2298" s="9" t="s">
        <v>124</v>
      </c>
      <c r="P2298" s="9" t="s">
        <v>5029</v>
      </c>
      <c r="Q2298" s="9" t="s">
        <v>3812</v>
      </c>
      <c r="S2298" s="9">
        <v>380.53</v>
      </c>
      <c r="T2298" s="9">
        <v>81.72</v>
      </c>
      <c r="U2298" s="9">
        <v>130.94</v>
      </c>
      <c r="V2298" s="9">
        <v>918.4</v>
      </c>
      <c r="W2298" s="9" t="s">
        <v>106</v>
      </c>
      <c r="X2298" s="9">
        <v>369.03</v>
      </c>
      <c r="Y2298" s="9" t="s">
        <v>106</v>
      </c>
      <c r="Z2298" s="9">
        <v>74.209999999999994</v>
      </c>
      <c r="AA2298" s="9">
        <v>67.373999999999995</v>
      </c>
      <c r="AB2298" s="9">
        <v>69.13</v>
      </c>
      <c r="AC2298" s="9" t="s">
        <v>5100</v>
      </c>
      <c r="AD2298" s="9" t="s">
        <v>5100</v>
      </c>
    </row>
    <row r="2299" spans="1:30">
      <c r="A2299" s="9" t="s">
        <v>5031</v>
      </c>
      <c r="B2299" s="9" t="s">
        <v>5041</v>
      </c>
      <c r="C2299" s="9" t="s">
        <v>105</v>
      </c>
      <c r="D2299" s="9">
        <v>14.88</v>
      </c>
      <c r="E2299" s="9" t="s">
        <v>106</v>
      </c>
      <c r="F2299" s="68">
        <v>504</v>
      </c>
      <c r="G2299" s="9" t="s">
        <v>106</v>
      </c>
      <c r="H2299" s="9" t="s">
        <v>106</v>
      </c>
      <c r="I2299" s="9">
        <v>4</v>
      </c>
      <c r="J2299" s="9" t="s">
        <v>122</v>
      </c>
      <c r="K2299" s="9" t="s">
        <v>5028</v>
      </c>
      <c r="L2299" t="str">
        <f>IF(OR(J2299="Cattle",J2299="Zebu Cattle"),IF(COUNTIF(lists!$M$2:$M$258, K2299) &gt; 0,"bos.indicus",IF(COUNTIF(lists!$L$2:$L$258, K2299) &gt; 0,"cross.bred","pure.bred.exotic")),"NA")</f>
        <v>cross.bred</v>
      </c>
      <c r="O2299" s="9" t="s">
        <v>124</v>
      </c>
      <c r="P2299" s="9" t="s">
        <v>5029</v>
      </c>
      <c r="Q2299" s="9" t="s">
        <v>3812</v>
      </c>
      <c r="S2299" s="9">
        <v>392.49</v>
      </c>
      <c r="T2299" s="9">
        <v>80.38</v>
      </c>
      <c r="U2299" s="9">
        <v>112.28</v>
      </c>
      <c r="V2299" s="9">
        <v>919.7</v>
      </c>
      <c r="W2299" s="9" t="s">
        <v>106</v>
      </c>
      <c r="X2299" s="9">
        <v>390.48</v>
      </c>
      <c r="Y2299" s="9" t="s">
        <v>106</v>
      </c>
      <c r="Z2299" s="9">
        <v>90.68</v>
      </c>
      <c r="AA2299" s="9">
        <v>67.790000000000006</v>
      </c>
      <c r="AB2299" s="9">
        <v>69.497</v>
      </c>
      <c r="AC2299" s="9" t="s">
        <v>5100</v>
      </c>
      <c r="AD2299" s="9" t="s">
        <v>5100</v>
      </c>
    </row>
    <row r="2300" spans="1:30">
      <c r="A2300" s="9" t="s">
        <v>5031</v>
      </c>
      <c r="B2300" s="9" t="s">
        <v>5042</v>
      </c>
      <c r="C2300" s="9" t="s">
        <v>105</v>
      </c>
      <c r="D2300" s="9">
        <v>14.74</v>
      </c>
      <c r="E2300" s="9" t="s">
        <v>106</v>
      </c>
      <c r="F2300" s="68">
        <v>504</v>
      </c>
      <c r="G2300" s="9" t="s">
        <v>106</v>
      </c>
      <c r="H2300" s="9" t="s">
        <v>106</v>
      </c>
      <c r="I2300" s="9">
        <v>4</v>
      </c>
      <c r="J2300" s="9" t="s">
        <v>122</v>
      </c>
      <c r="K2300" s="9" t="s">
        <v>5028</v>
      </c>
      <c r="L2300" t="str">
        <f>IF(OR(J2300="Cattle",J2300="Zebu Cattle"),IF(COUNTIF(lists!$M$2:$M$258, K2300) &gt; 0,"bos.indicus",IF(COUNTIF(lists!$L$2:$L$258, K2300) &gt; 0,"cross.bred","pure.bred.exotic")),"NA")</f>
        <v>cross.bred</v>
      </c>
      <c r="O2300" s="9" t="s">
        <v>124</v>
      </c>
      <c r="P2300" s="9" t="s">
        <v>5029</v>
      </c>
      <c r="Q2300" s="9" t="s">
        <v>3812</v>
      </c>
      <c r="S2300" s="9">
        <v>402.5</v>
      </c>
      <c r="T2300" s="9">
        <v>84.86</v>
      </c>
      <c r="U2300" s="9">
        <v>113.64</v>
      </c>
      <c r="V2300" s="9">
        <v>915.1</v>
      </c>
      <c r="W2300" s="9" t="s">
        <v>106</v>
      </c>
      <c r="X2300" s="9">
        <v>413.75</v>
      </c>
      <c r="Y2300" s="9" t="s">
        <v>106</v>
      </c>
      <c r="Z2300" s="9">
        <v>82.19</v>
      </c>
      <c r="AA2300" s="9">
        <v>69.578999999999994</v>
      </c>
      <c r="AB2300" s="9">
        <v>71.225999999999999</v>
      </c>
      <c r="AC2300" s="9" t="s">
        <v>5100</v>
      </c>
      <c r="AD2300" s="9" t="s">
        <v>5100</v>
      </c>
    </row>
    <row r="2301" spans="1:30">
      <c r="A2301" s="9" t="s">
        <v>5032</v>
      </c>
      <c r="B2301" s="9" t="s">
        <v>5020</v>
      </c>
      <c r="C2301" s="9" t="s">
        <v>105</v>
      </c>
      <c r="D2301" s="9">
        <v>3.08</v>
      </c>
      <c r="E2301" s="9" t="s">
        <v>106</v>
      </c>
      <c r="F2301" s="65">
        <v>115.565</v>
      </c>
      <c r="G2301" s="59">
        <v>0.42111000000000004</v>
      </c>
      <c r="H2301" s="9" t="s">
        <v>106</v>
      </c>
      <c r="I2301" s="9">
        <v>5</v>
      </c>
      <c r="J2301" s="9" t="s">
        <v>122</v>
      </c>
      <c r="K2301" s="9" t="s">
        <v>1166</v>
      </c>
      <c r="L2301" t="str">
        <f>IF(OR(J2301="Cattle",J2301="Zebu Cattle"),IF(COUNTIF(lists!$M$2:$M$258, K2301) &gt; 0,"bos.indicus",IF(COUNTIF(lists!$L$2:$L$258, K2301) &gt; 0,"cross.bred","pure.bred.exotic")),"NA")</f>
        <v>bos.indicus</v>
      </c>
      <c r="O2301" s="9" t="s">
        <v>4193</v>
      </c>
      <c r="P2301" s="9" t="s">
        <v>4360</v>
      </c>
      <c r="Q2301" s="9" t="s">
        <v>3804</v>
      </c>
      <c r="S2301" s="9">
        <v>452.7</v>
      </c>
      <c r="T2301" s="9">
        <v>26.3</v>
      </c>
      <c r="U2301" s="9">
        <v>98.2</v>
      </c>
      <c r="V2301" s="9">
        <v>269</v>
      </c>
      <c r="W2301" s="9">
        <v>13.5</v>
      </c>
      <c r="X2301" s="9">
        <v>615.29999999999995</v>
      </c>
      <c r="Y2301" s="9" t="s">
        <v>106</v>
      </c>
      <c r="Z2301" s="9" t="s">
        <v>106</v>
      </c>
      <c r="AA2301" s="9" t="s">
        <v>106</v>
      </c>
      <c r="AB2301" s="9" t="s">
        <v>106</v>
      </c>
      <c r="AC2301" s="9" t="s">
        <v>5100</v>
      </c>
      <c r="AD2301" s="9" t="s">
        <v>5100</v>
      </c>
    </row>
    <row r="2302" spans="1:30">
      <c r="A2302" s="9" t="s">
        <v>5032</v>
      </c>
      <c r="B2302" s="9" t="s">
        <v>5021</v>
      </c>
      <c r="C2302" s="9" t="s">
        <v>105</v>
      </c>
      <c r="D2302" s="9">
        <v>4.08</v>
      </c>
      <c r="E2302" s="9" t="s">
        <v>106</v>
      </c>
      <c r="F2302" s="65">
        <v>111.69</v>
      </c>
      <c r="G2302" s="59">
        <v>0.27232000000000001</v>
      </c>
      <c r="H2302" s="9" t="s">
        <v>106</v>
      </c>
      <c r="I2302" s="9">
        <v>5</v>
      </c>
      <c r="J2302" s="9" t="s">
        <v>122</v>
      </c>
      <c r="K2302" s="9" t="s">
        <v>1166</v>
      </c>
      <c r="L2302" t="str">
        <f>IF(OR(J2302="Cattle",J2302="Zebu Cattle"),IF(COUNTIF(lists!$M$2:$M$258, K2302) &gt; 0,"bos.indicus",IF(COUNTIF(lists!$L$2:$L$258, K2302) &gt; 0,"cross.bred","pure.bred.exotic")),"NA")</f>
        <v>bos.indicus</v>
      </c>
      <c r="O2302" s="9" t="s">
        <v>4193</v>
      </c>
      <c r="P2302" s="9" t="s">
        <v>4360</v>
      </c>
      <c r="Q2302" s="9" t="s">
        <v>3804</v>
      </c>
      <c r="S2302" s="9">
        <v>407.66</v>
      </c>
      <c r="T2302" s="9">
        <v>45.37</v>
      </c>
      <c r="U2302" s="9">
        <v>111.74</v>
      </c>
      <c r="V2302" s="9">
        <v>444.62</v>
      </c>
      <c r="W2302" s="9">
        <v>28.01</v>
      </c>
      <c r="X2302" s="9">
        <v>558.11</v>
      </c>
      <c r="Y2302" s="9" t="s">
        <v>106</v>
      </c>
      <c r="Z2302" s="9" t="s">
        <v>106</v>
      </c>
      <c r="AA2302" s="9" t="s">
        <v>106</v>
      </c>
      <c r="AB2302" s="9" t="s">
        <v>106</v>
      </c>
      <c r="AC2302" s="9" t="s">
        <v>5100</v>
      </c>
      <c r="AD2302" s="9" t="s">
        <v>5100</v>
      </c>
    </row>
    <row r="2303" spans="1:30">
      <c r="A2303" s="9" t="s">
        <v>5032</v>
      </c>
      <c r="B2303" s="9" t="s">
        <v>5022</v>
      </c>
      <c r="C2303" s="9" t="s">
        <v>105</v>
      </c>
      <c r="D2303" s="9">
        <v>4.91</v>
      </c>
      <c r="E2303" s="9" t="s">
        <v>106</v>
      </c>
      <c r="F2303" s="65">
        <v>122.875</v>
      </c>
      <c r="G2303" s="59">
        <v>0.5756</v>
      </c>
      <c r="H2303" s="9" t="s">
        <v>106</v>
      </c>
      <c r="I2303" s="9">
        <v>5</v>
      </c>
      <c r="J2303" s="9" t="s">
        <v>122</v>
      </c>
      <c r="K2303" s="9" t="s">
        <v>1166</v>
      </c>
      <c r="L2303" t="str">
        <f>IF(OR(J2303="Cattle",J2303="Zebu Cattle"),IF(COUNTIF(lists!$M$2:$M$258, K2303) &gt; 0,"bos.indicus",IF(COUNTIF(lists!$L$2:$L$258, K2303) &gt; 0,"cross.bred","pure.bred.exotic")),"NA")</f>
        <v>bos.indicus</v>
      </c>
      <c r="O2303" s="9" t="s">
        <v>4193</v>
      </c>
      <c r="P2303" s="9" t="s">
        <v>4360</v>
      </c>
      <c r="Q2303" s="9" t="s">
        <v>3804</v>
      </c>
      <c r="S2303" s="9">
        <v>400.04</v>
      </c>
      <c r="T2303" s="9">
        <v>48.6</v>
      </c>
      <c r="U2303" s="9">
        <v>114.03</v>
      </c>
      <c r="V2303" s="9">
        <v>474.32</v>
      </c>
      <c r="W2303" s="9">
        <v>30.46</v>
      </c>
      <c r="X2303" s="9">
        <v>548.44000000000005</v>
      </c>
      <c r="Y2303" s="9" t="s">
        <v>106</v>
      </c>
      <c r="Z2303" s="9" t="s">
        <v>106</v>
      </c>
      <c r="AA2303" s="9" t="s">
        <v>106</v>
      </c>
      <c r="AB2303" s="9" t="s">
        <v>106</v>
      </c>
      <c r="AC2303" s="9" t="s">
        <v>5100</v>
      </c>
      <c r="AD2303" s="9" t="s">
        <v>5100</v>
      </c>
    </row>
    <row r="2304" spans="1:30">
      <c r="A2304" s="9" t="s">
        <v>5032</v>
      </c>
      <c r="B2304" s="9" t="s">
        <v>5023</v>
      </c>
      <c r="C2304" s="9" t="s">
        <v>105</v>
      </c>
      <c r="D2304" s="9">
        <v>5.38</v>
      </c>
      <c r="E2304" s="9" t="s">
        <v>106</v>
      </c>
      <c r="F2304" s="65">
        <v>123.19</v>
      </c>
      <c r="G2304" s="59">
        <v>0.56279999999999997</v>
      </c>
      <c r="H2304" s="9" t="s">
        <v>106</v>
      </c>
      <c r="I2304" s="9">
        <v>5</v>
      </c>
      <c r="J2304" s="9" t="s">
        <v>122</v>
      </c>
      <c r="K2304" s="9" t="s">
        <v>1166</v>
      </c>
      <c r="L2304" t="str">
        <f>IF(OR(J2304="Cattle",J2304="Zebu Cattle"),IF(COUNTIF(lists!$M$2:$M$258, K2304) &gt; 0,"bos.indicus",IF(COUNTIF(lists!$L$2:$L$258, K2304) &gt; 0,"cross.bred","pure.bred.exotic")),"NA")</f>
        <v>bos.indicus</v>
      </c>
      <c r="O2304" s="9" t="s">
        <v>4193</v>
      </c>
      <c r="P2304" s="9" t="s">
        <v>4360</v>
      </c>
      <c r="Q2304" s="9" t="s">
        <v>3804</v>
      </c>
      <c r="S2304" s="9">
        <v>390.78</v>
      </c>
      <c r="T2304" s="9">
        <v>52.52</v>
      </c>
      <c r="U2304" s="9">
        <v>116.82</v>
      </c>
      <c r="V2304" s="9">
        <v>510.46</v>
      </c>
      <c r="W2304" s="9">
        <v>33.450000000000003</v>
      </c>
      <c r="X2304" s="9">
        <v>536.66999999999996</v>
      </c>
      <c r="Y2304" s="9" t="s">
        <v>106</v>
      </c>
      <c r="Z2304" s="9" t="s">
        <v>106</v>
      </c>
      <c r="AA2304" s="9" t="s">
        <v>106</v>
      </c>
      <c r="AB2304" s="9" t="s">
        <v>106</v>
      </c>
      <c r="AC2304" s="9" t="s">
        <v>5100</v>
      </c>
      <c r="AD2304" s="9" t="s">
        <v>5100</v>
      </c>
    </row>
    <row r="2305" spans="1:30">
      <c r="A2305" s="9" t="s">
        <v>5033</v>
      </c>
      <c r="B2305" s="9" t="s">
        <v>5024</v>
      </c>
      <c r="C2305" s="9" t="s">
        <v>105</v>
      </c>
      <c r="D2305" s="9">
        <v>7.93</v>
      </c>
      <c r="E2305" s="9" t="s">
        <v>106</v>
      </c>
      <c r="F2305" s="9">
        <v>281.89999999999998</v>
      </c>
      <c r="G2305" s="9">
        <v>0.65</v>
      </c>
      <c r="H2305" s="9" t="s">
        <v>106</v>
      </c>
      <c r="I2305" s="9">
        <v>5</v>
      </c>
      <c r="J2305" s="9" t="s">
        <v>122</v>
      </c>
      <c r="K2305" s="9" t="s">
        <v>1703</v>
      </c>
      <c r="L2305" t="str">
        <f>IF(OR(J2305="Cattle",J2305="Zebu Cattle"),IF(COUNTIF(lists!$M$2:$M$258, K2305) &gt; 0,"bos.indicus",IF(COUNTIF(lists!$L$2:$L$258, K2305) &gt; 0,"cross.bred","pure.bred.exotic")),"NA")</f>
        <v>bos.indicus</v>
      </c>
      <c r="O2305" s="9" t="s">
        <v>4193</v>
      </c>
      <c r="P2305" s="9" t="s">
        <v>5030</v>
      </c>
      <c r="Q2305" s="9" t="s">
        <v>3800</v>
      </c>
      <c r="S2305" s="9">
        <v>596</v>
      </c>
      <c r="T2305" s="9">
        <v>83.4</v>
      </c>
      <c r="U2305" s="9">
        <v>110.1</v>
      </c>
      <c r="V2305" s="9" t="s">
        <v>106</v>
      </c>
      <c r="W2305" s="9">
        <v>91.4</v>
      </c>
      <c r="X2305" s="9">
        <v>782.9</v>
      </c>
      <c r="Y2305" s="9">
        <v>81.28</v>
      </c>
      <c r="Z2305" s="9" t="s">
        <v>106</v>
      </c>
      <c r="AA2305" s="9">
        <v>67.48</v>
      </c>
      <c r="AB2305" s="9" t="s">
        <v>106</v>
      </c>
      <c r="AC2305" s="9" t="s">
        <v>5100</v>
      </c>
      <c r="AD2305" s="9" t="s">
        <v>5100</v>
      </c>
    </row>
    <row r="2306" spans="1:30">
      <c r="A2306" s="9" t="s">
        <v>5033</v>
      </c>
      <c r="B2306" s="9" t="s">
        <v>5025</v>
      </c>
      <c r="C2306" s="9" t="s">
        <v>105</v>
      </c>
      <c r="D2306" s="9">
        <v>8.5</v>
      </c>
      <c r="E2306" s="9" t="s">
        <v>106</v>
      </c>
      <c r="F2306" s="9">
        <v>291.10000000000002</v>
      </c>
      <c r="G2306" s="9">
        <v>0.66</v>
      </c>
      <c r="H2306" s="9" t="s">
        <v>106</v>
      </c>
      <c r="I2306" s="9">
        <v>5</v>
      </c>
      <c r="J2306" s="9" t="s">
        <v>122</v>
      </c>
      <c r="K2306" s="9" t="s">
        <v>1703</v>
      </c>
      <c r="L2306" t="str">
        <f>IF(OR(J2306="Cattle",J2306="Zebu Cattle"),IF(COUNTIF(lists!$M$2:$M$258, K2306) &gt; 0,"bos.indicus",IF(COUNTIF(lists!$L$2:$L$258, K2306) &gt; 0,"cross.bred","pure.bred.exotic")),"NA")</f>
        <v>bos.indicus</v>
      </c>
      <c r="O2306" s="9" t="s">
        <v>4193</v>
      </c>
      <c r="P2306" s="9" t="s">
        <v>5030</v>
      </c>
      <c r="Q2306" s="9" t="s">
        <v>3800</v>
      </c>
      <c r="S2306" s="9">
        <v>381.9</v>
      </c>
      <c r="T2306" s="9">
        <v>76.2</v>
      </c>
      <c r="U2306" s="9">
        <v>97.3</v>
      </c>
      <c r="V2306" s="9" t="s">
        <v>106</v>
      </c>
      <c r="W2306" s="9">
        <v>90.6</v>
      </c>
      <c r="X2306" s="9">
        <v>557.4</v>
      </c>
      <c r="Y2306" s="9">
        <v>74.39</v>
      </c>
      <c r="Z2306" s="9" t="s">
        <v>106</v>
      </c>
      <c r="AA2306" s="9">
        <v>65.930000000000007</v>
      </c>
      <c r="AB2306" s="9" t="s">
        <v>106</v>
      </c>
      <c r="AC2306" s="9" t="s">
        <v>5100</v>
      </c>
      <c r="AD2306" s="9" t="s">
        <v>5100</v>
      </c>
    </row>
    <row r="2307" spans="1:30">
      <c r="A2307" s="9" t="s">
        <v>5033</v>
      </c>
      <c r="B2307" s="9" t="s">
        <v>5026</v>
      </c>
      <c r="C2307" s="9" t="s">
        <v>105</v>
      </c>
      <c r="D2307" s="9">
        <v>8.14</v>
      </c>
      <c r="E2307" s="9" t="s">
        <v>106</v>
      </c>
      <c r="F2307" s="9">
        <v>271.2</v>
      </c>
      <c r="G2307" s="9">
        <v>0.4</v>
      </c>
      <c r="H2307" s="9" t="s">
        <v>106</v>
      </c>
      <c r="I2307" s="9">
        <v>5</v>
      </c>
      <c r="J2307" s="9" t="s">
        <v>122</v>
      </c>
      <c r="K2307" s="9" t="s">
        <v>1703</v>
      </c>
      <c r="L2307" t="str">
        <f>IF(OR(J2307="Cattle",J2307="Zebu Cattle"),IF(COUNTIF(lists!$M$2:$M$258, K2307) &gt; 0,"bos.indicus",IF(COUNTIF(lists!$L$2:$L$258, K2307) &gt; 0,"cross.bred","pure.bred.exotic")),"NA")</f>
        <v>bos.indicus</v>
      </c>
      <c r="O2307" s="9" t="s">
        <v>4193</v>
      </c>
      <c r="P2307" s="9" t="s">
        <v>5030</v>
      </c>
      <c r="Q2307" s="9" t="s">
        <v>3800</v>
      </c>
      <c r="S2307" s="9">
        <v>537.20000000000005</v>
      </c>
      <c r="T2307" s="9">
        <v>122.6</v>
      </c>
      <c r="U2307" s="9">
        <v>87</v>
      </c>
      <c r="V2307" s="9" t="s">
        <v>106</v>
      </c>
      <c r="W2307" s="9">
        <v>83.5</v>
      </c>
      <c r="X2307" s="9">
        <v>659.6</v>
      </c>
      <c r="Y2307" s="9">
        <v>66.319999999999993</v>
      </c>
      <c r="Z2307" s="9" t="s">
        <v>106</v>
      </c>
      <c r="AA2307" s="9">
        <v>52.33</v>
      </c>
      <c r="AB2307" s="9" t="s">
        <v>106</v>
      </c>
      <c r="AC2307" s="9" t="s">
        <v>5100</v>
      </c>
      <c r="AD2307" s="9" t="s">
        <v>5100</v>
      </c>
    </row>
    <row r="2308" spans="1:30">
      <c r="A2308" s="9" t="s">
        <v>5033</v>
      </c>
      <c r="B2308" s="9" t="s">
        <v>5027</v>
      </c>
      <c r="C2308" s="9" t="s">
        <v>105</v>
      </c>
      <c r="D2308" s="9">
        <v>7.36</v>
      </c>
      <c r="E2308" s="9" t="s">
        <v>106</v>
      </c>
      <c r="F2308" s="9">
        <v>261.3</v>
      </c>
      <c r="G2308" s="9">
        <v>0.45</v>
      </c>
      <c r="H2308" s="9" t="s">
        <v>106</v>
      </c>
      <c r="I2308" s="9">
        <v>5</v>
      </c>
      <c r="J2308" s="9" t="s">
        <v>122</v>
      </c>
      <c r="K2308" s="9" t="s">
        <v>1703</v>
      </c>
      <c r="L2308" t="str">
        <f>IF(OR(J2308="Cattle",J2308="Zebu Cattle"),IF(COUNTIF(lists!$M$2:$M$258, K2308) &gt; 0,"bos.indicus",IF(COUNTIF(lists!$L$2:$L$258, K2308) &gt; 0,"cross.bred","pure.bred.exotic")),"NA")</f>
        <v>bos.indicus</v>
      </c>
      <c r="O2308" s="9" t="s">
        <v>4193</v>
      </c>
      <c r="P2308" s="9" t="s">
        <v>5030</v>
      </c>
      <c r="Q2308" s="9" t="s">
        <v>3800</v>
      </c>
      <c r="S2308" s="9">
        <v>519.29999999999995</v>
      </c>
      <c r="T2308" s="9">
        <v>137.30000000000001</v>
      </c>
      <c r="U2308" s="9">
        <v>98.5</v>
      </c>
      <c r="V2308" s="9" t="s">
        <v>106</v>
      </c>
      <c r="W2308" s="9">
        <v>72.8</v>
      </c>
      <c r="X2308" s="9">
        <v>747.5</v>
      </c>
      <c r="Y2308" s="9">
        <v>73.06</v>
      </c>
      <c r="Z2308" s="9" t="s">
        <v>106</v>
      </c>
      <c r="AA2308" s="9">
        <v>61.76</v>
      </c>
      <c r="AB2308" s="9" t="s">
        <v>106</v>
      </c>
      <c r="AC2308" s="9" t="s">
        <v>5100</v>
      </c>
      <c r="AD2308" s="9" t="s">
        <v>5100</v>
      </c>
    </row>
    <row r="2309" spans="1:30">
      <c r="A2309" s="9" t="s">
        <v>5080</v>
      </c>
      <c r="B2309" s="9" t="s">
        <v>5059</v>
      </c>
      <c r="C2309" s="9" t="s">
        <v>105</v>
      </c>
      <c r="D2309" s="9">
        <v>24.6</v>
      </c>
      <c r="E2309" s="9" t="s">
        <v>106</v>
      </c>
      <c r="F2309" s="9">
        <v>641</v>
      </c>
      <c r="G2309" s="9">
        <v>-0.56999999999999995</v>
      </c>
      <c r="H2309" s="9">
        <v>38.9</v>
      </c>
      <c r="I2309" s="9">
        <v>10</v>
      </c>
      <c r="J2309" s="9" t="s">
        <v>122</v>
      </c>
      <c r="K2309" s="9" t="s">
        <v>4165</v>
      </c>
      <c r="L2309" t="str">
        <f>IF(OR(J2309="Cattle",J2309="Zebu Cattle"),IF(COUNTIF(lists!$M$2:$M$258, K2309) &gt; 0,"bos.indicus",IF(COUNTIF(lists!$L$2:$L$258, K2309) &gt; 0,"cross.bred","pure.bred.exotic")),"NA")</f>
        <v>pure.bred.exotic</v>
      </c>
      <c r="O2309" s="9" t="s">
        <v>4194</v>
      </c>
      <c r="P2309" s="9" t="s">
        <v>5087</v>
      </c>
      <c r="Q2309" s="9" t="s">
        <v>3809</v>
      </c>
      <c r="S2309" s="9">
        <v>219</v>
      </c>
      <c r="T2309" s="9">
        <v>77</v>
      </c>
      <c r="U2309" s="9">
        <v>166</v>
      </c>
      <c r="V2309" s="9" t="s">
        <v>106</v>
      </c>
      <c r="W2309" s="9">
        <v>55</v>
      </c>
      <c r="X2309" s="9">
        <v>291</v>
      </c>
      <c r="Y2309" s="9" t="s">
        <v>106</v>
      </c>
      <c r="Z2309" s="9" t="s">
        <v>106</v>
      </c>
      <c r="AA2309" s="9" t="s">
        <v>106</v>
      </c>
      <c r="AB2309" s="9" t="s">
        <v>106</v>
      </c>
      <c r="AC2309" s="9" t="s">
        <v>5100</v>
      </c>
      <c r="AD2309" s="9" t="s">
        <v>5100</v>
      </c>
    </row>
    <row r="2310" spans="1:30">
      <c r="A2310" s="9" t="s">
        <v>5080</v>
      </c>
      <c r="B2310" s="9" t="s">
        <v>5060</v>
      </c>
      <c r="C2310" s="9" t="s">
        <v>105</v>
      </c>
      <c r="D2310" s="9">
        <v>23.6</v>
      </c>
      <c r="E2310" s="9" t="s">
        <v>106</v>
      </c>
      <c r="F2310" s="9">
        <v>614</v>
      </c>
      <c r="G2310" s="9">
        <v>-0.53</v>
      </c>
      <c r="H2310" s="9">
        <v>37.4</v>
      </c>
      <c r="I2310" s="9">
        <v>10</v>
      </c>
      <c r="J2310" s="9" t="s">
        <v>122</v>
      </c>
      <c r="K2310" s="9" t="s">
        <v>4165</v>
      </c>
      <c r="L2310" t="str">
        <f>IF(OR(J2310="Cattle",J2310="Zebu Cattle"),IF(COUNTIF(lists!$M$2:$M$258, K2310) &gt; 0,"bos.indicus",IF(COUNTIF(lists!$L$2:$L$258, K2310) &gt; 0,"cross.bred","pure.bred.exotic")),"NA")</f>
        <v>pure.bred.exotic</v>
      </c>
      <c r="O2310" s="9" t="s">
        <v>4194</v>
      </c>
      <c r="P2310" s="9" t="s">
        <v>5087</v>
      </c>
      <c r="Q2310" s="9" t="s">
        <v>3809</v>
      </c>
      <c r="S2310" s="9">
        <v>219</v>
      </c>
      <c r="T2310" s="9">
        <v>77</v>
      </c>
      <c r="U2310" s="9">
        <v>166</v>
      </c>
      <c r="V2310" s="9" t="s">
        <v>106</v>
      </c>
      <c r="W2310" s="9">
        <v>55</v>
      </c>
      <c r="X2310" s="9">
        <v>291</v>
      </c>
      <c r="Y2310" s="9" t="s">
        <v>106</v>
      </c>
      <c r="Z2310" s="9" t="s">
        <v>106</v>
      </c>
      <c r="AA2310" s="9" t="s">
        <v>106</v>
      </c>
      <c r="AB2310" s="9" t="s">
        <v>106</v>
      </c>
      <c r="AC2310" s="9" t="s">
        <v>5100</v>
      </c>
      <c r="AD2310" s="9" t="s">
        <v>5100</v>
      </c>
    </row>
    <row r="2311" spans="1:30">
      <c r="A2311" s="9" t="s">
        <v>5080</v>
      </c>
      <c r="B2311" s="9" t="s">
        <v>5061</v>
      </c>
      <c r="C2311" s="9" t="s">
        <v>105</v>
      </c>
      <c r="D2311" s="9">
        <v>24.3</v>
      </c>
      <c r="E2311" s="9" t="s">
        <v>106</v>
      </c>
      <c r="F2311" s="9">
        <v>629</v>
      </c>
      <c r="G2311" s="9">
        <v>-0.34</v>
      </c>
      <c r="H2311" s="9">
        <v>36.6</v>
      </c>
      <c r="I2311" s="9">
        <v>10</v>
      </c>
      <c r="J2311" s="9" t="s">
        <v>122</v>
      </c>
      <c r="K2311" s="9" t="s">
        <v>4165</v>
      </c>
      <c r="L2311" t="str">
        <f>IF(OR(J2311="Cattle",J2311="Zebu Cattle"),IF(COUNTIF(lists!$M$2:$M$258, K2311) &gt; 0,"bos.indicus",IF(COUNTIF(lists!$L$2:$L$258, K2311) &gt; 0,"cross.bred","pure.bred.exotic")),"NA")</f>
        <v>pure.bred.exotic</v>
      </c>
      <c r="O2311" s="9" t="s">
        <v>4194</v>
      </c>
      <c r="P2311" s="9" t="s">
        <v>5087</v>
      </c>
      <c r="Q2311" s="9" t="s">
        <v>3809</v>
      </c>
      <c r="S2311" s="9">
        <v>219</v>
      </c>
      <c r="T2311" s="9">
        <v>77</v>
      </c>
      <c r="U2311" s="9">
        <v>166</v>
      </c>
      <c r="V2311" s="9" t="s">
        <v>106</v>
      </c>
      <c r="W2311" s="9">
        <v>55</v>
      </c>
      <c r="X2311" s="9">
        <v>291</v>
      </c>
      <c r="Y2311" s="9" t="s">
        <v>106</v>
      </c>
      <c r="Z2311" s="9" t="s">
        <v>106</v>
      </c>
      <c r="AA2311" s="9" t="s">
        <v>106</v>
      </c>
      <c r="AB2311" s="9" t="s">
        <v>106</v>
      </c>
      <c r="AC2311" s="9" t="s">
        <v>5100</v>
      </c>
      <c r="AD2311" s="9" t="s">
        <v>5100</v>
      </c>
    </row>
    <row r="2312" spans="1:30">
      <c r="A2312" s="9" t="s">
        <v>5080</v>
      </c>
      <c r="B2312" s="9" t="s">
        <v>5062</v>
      </c>
      <c r="C2312" s="9" t="s">
        <v>105</v>
      </c>
      <c r="D2312" s="9">
        <v>25.4</v>
      </c>
      <c r="E2312" s="9" t="s">
        <v>106</v>
      </c>
      <c r="F2312" s="9">
        <v>659</v>
      </c>
      <c r="G2312" s="9">
        <v>-0.13500000000000001</v>
      </c>
      <c r="H2312" s="9">
        <v>41.2</v>
      </c>
      <c r="I2312" s="9">
        <v>10</v>
      </c>
      <c r="J2312" s="9" t="s">
        <v>122</v>
      </c>
      <c r="K2312" s="9" t="s">
        <v>4165</v>
      </c>
      <c r="L2312" t="str">
        <f>IF(OR(J2312="Cattle",J2312="Zebu Cattle"),IF(COUNTIF(lists!$M$2:$M$258, K2312) &gt; 0,"bos.indicus",IF(COUNTIF(lists!$L$2:$L$258, K2312) &gt; 0,"cross.bred","pure.bred.exotic")),"NA")</f>
        <v>pure.bred.exotic</v>
      </c>
      <c r="O2312" s="9" t="s">
        <v>4194</v>
      </c>
      <c r="P2312" s="9" t="s">
        <v>5087</v>
      </c>
      <c r="Q2312" s="9" t="s">
        <v>3809</v>
      </c>
      <c r="S2312" s="9">
        <v>219</v>
      </c>
      <c r="T2312" s="9">
        <v>77</v>
      </c>
      <c r="U2312" s="9">
        <v>166</v>
      </c>
      <c r="V2312" s="9" t="s">
        <v>106</v>
      </c>
      <c r="W2312" s="9">
        <v>55</v>
      </c>
      <c r="X2312" s="9">
        <v>291</v>
      </c>
      <c r="Y2312" s="9" t="s">
        <v>106</v>
      </c>
      <c r="Z2312" s="9" t="s">
        <v>106</v>
      </c>
      <c r="AA2312" s="9" t="s">
        <v>106</v>
      </c>
      <c r="AB2312" s="9" t="s">
        <v>106</v>
      </c>
      <c r="AC2312" s="9" t="s">
        <v>5100</v>
      </c>
      <c r="AD2312" s="9" t="s">
        <v>5100</v>
      </c>
    </row>
    <row r="2313" spans="1:30">
      <c r="A2313" s="9" t="s">
        <v>5081</v>
      </c>
      <c r="B2313" s="9" t="s">
        <v>129</v>
      </c>
      <c r="C2313" s="9" t="s">
        <v>105</v>
      </c>
      <c r="D2313" s="9">
        <v>6.7329999999999997</v>
      </c>
      <c r="E2313" s="9" t="s">
        <v>106</v>
      </c>
      <c r="F2313" s="9">
        <v>184.6</v>
      </c>
      <c r="G2313" s="9">
        <v>0.53</v>
      </c>
      <c r="H2313" s="9" t="s">
        <v>106</v>
      </c>
      <c r="I2313" s="9">
        <v>6</v>
      </c>
      <c r="J2313" s="9" t="s">
        <v>122</v>
      </c>
      <c r="K2313" s="9" t="s">
        <v>5089</v>
      </c>
      <c r="L2313" t="str">
        <f>IF(OR(J2313="Cattle",J2313="Zebu Cattle"),IF(COUNTIF(lists!$M$2:$M$258, K2313) &gt; 0,"bos.indicus",IF(COUNTIF(lists!$L$2:$L$258, K2313) &gt; 0,"cross.bred","pure.bred.exotic")),"NA")</f>
        <v>cross.bred</v>
      </c>
      <c r="O2313" s="9" t="s">
        <v>124</v>
      </c>
      <c r="P2313" s="9" t="s">
        <v>5088</v>
      </c>
      <c r="Q2313" s="9" t="s">
        <v>3805</v>
      </c>
      <c r="S2313" s="9">
        <v>424.72</v>
      </c>
      <c r="T2313" s="9">
        <v>83.68</v>
      </c>
      <c r="U2313" s="9">
        <v>102.6</v>
      </c>
      <c r="V2313" s="9">
        <v>921.56</v>
      </c>
      <c r="W2313" s="9" t="s">
        <v>106</v>
      </c>
      <c r="X2313" s="9">
        <v>665.68</v>
      </c>
      <c r="Y2313" s="9" t="s">
        <v>106</v>
      </c>
      <c r="Z2313" s="9">
        <v>91.02</v>
      </c>
      <c r="AA2313" s="9" t="s">
        <v>106</v>
      </c>
      <c r="AB2313" s="9" t="s">
        <v>106</v>
      </c>
      <c r="AC2313" s="9" t="s">
        <v>5100</v>
      </c>
      <c r="AD2313" s="9" t="s">
        <v>5100</v>
      </c>
    </row>
    <row r="2314" spans="1:30">
      <c r="A2314" s="9" t="s">
        <v>5081</v>
      </c>
      <c r="B2314" s="9" t="s">
        <v>130</v>
      </c>
      <c r="C2314" s="9" t="s">
        <v>105</v>
      </c>
      <c r="D2314" s="9">
        <v>6.7290000000000001</v>
      </c>
      <c r="E2314" s="9" t="s">
        <v>106</v>
      </c>
      <c r="F2314" s="9">
        <v>186</v>
      </c>
      <c r="G2314" s="9">
        <v>0.56000000000000005</v>
      </c>
      <c r="H2314" s="9" t="s">
        <v>106</v>
      </c>
      <c r="I2314" s="9">
        <v>6</v>
      </c>
      <c r="J2314" s="9" t="s">
        <v>122</v>
      </c>
      <c r="K2314" s="9" t="s">
        <v>5089</v>
      </c>
      <c r="L2314" t="str">
        <f>IF(OR(J2314="Cattle",J2314="Zebu Cattle"),IF(COUNTIF(lists!$M$2:$M$258, K2314) &gt; 0,"bos.indicus",IF(COUNTIF(lists!$L$2:$L$258, K2314) &gt; 0,"cross.bred","pure.bred.exotic")),"NA")</f>
        <v>cross.bred</v>
      </c>
      <c r="O2314" s="9" t="s">
        <v>124</v>
      </c>
      <c r="P2314" s="9" t="s">
        <v>5088</v>
      </c>
      <c r="Q2314" s="9" t="s">
        <v>3805</v>
      </c>
      <c r="S2314" s="9">
        <v>430.92</v>
      </c>
      <c r="T2314" s="9">
        <v>96.56</v>
      </c>
      <c r="U2314" s="9">
        <v>102.52</v>
      </c>
      <c r="V2314" s="9">
        <v>924.52</v>
      </c>
      <c r="W2314" s="9" t="s">
        <v>106</v>
      </c>
      <c r="X2314" s="9">
        <v>683.28</v>
      </c>
      <c r="Y2314" s="9" t="s">
        <v>106</v>
      </c>
      <c r="Z2314" s="9">
        <v>96.38</v>
      </c>
      <c r="AA2314" s="9" t="s">
        <v>106</v>
      </c>
      <c r="AB2314" s="9" t="s">
        <v>106</v>
      </c>
      <c r="AC2314" s="9" t="s">
        <v>5100</v>
      </c>
      <c r="AD2314" s="9" t="s">
        <v>5100</v>
      </c>
    </row>
    <row r="2315" spans="1:30">
      <c r="A2315" s="9" t="s">
        <v>5081</v>
      </c>
      <c r="B2315" s="9" t="s">
        <v>131</v>
      </c>
      <c r="C2315" s="9" t="s">
        <v>105</v>
      </c>
      <c r="D2315" s="9">
        <v>6.7279999999999998</v>
      </c>
      <c r="E2315" s="9" t="s">
        <v>106</v>
      </c>
      <c r="F2315" s="9">
        <v>187.35</v>
      </c>
      <c r="G2315" s="9">
        <v>0.6</v>
      </c>
      <c r="H2315" s="9" t="s">
        <v>106</v>
      </c>
      <c r="I2315" s="9">
        <v>6</v>
      </c>
      <c r="J2315" s="9" t="s">
        <v>122</v>
      </c>
      <c r="K2315" s="9" t="s">
        <v>5089</v>
      </c>
      <c r="L2315" t="str">
        <f>IF(OR(J2315="Cattle",J2315="Zebu Cattle"),IF(COUNTIF(lists!$M$2:$M$258, K2315) &gt; 0,"bos.indicus",IF(COUNTIF(lists!$L$2:$L$258, K2315) &gt; 0,"cross.bred","pure.bred.exotic")),"NA")</f>
        <v>cross.bred</v>
      </c>
      <c r="O2315" s="9" t="s">
        <v>124</v>
      </c>
      <c r="P2315" s="9" t="s">
        <v>5088</v>
      </c>
      <c r="Q2315" s="9" t="s">
        <v>3805</v>
      </c>
      <c r="S2315" s="9">
        <v>400.6</v>
      </c>
      <c r="T2315" s="9">
        <v>92.2</v>
      </c>
      <c r="U2315" s="9">
        <v>102.48</v>
      </c>
      <c r="V2315" s="9">
        <v>921.88</v>
      </c>
      <c r="W2315" s="9" t="s">
        <v>106</v>
      </c>
      <c r="X2315" s="9">
        <v>644.08000000000004</v>
      </c>
      <c r="Y2315" s="9" t="s">
        <v>106</v>
      </c>
      <c r="Z2315" s="9">
        <v>85.42</v>
      </c>
      <c r="AA2315" s="9" t="s">
        <v>106</v>
      </c>
      <c r="AB2315" s="9" t="s">
        <v>106</v>
      </c>
      <c r="AC2315" s="9" t="s">
        <v>5100</v>
      </c>
      <c r="AD2315" s="9" t="s">
        <v>5100</v>
      </c>
    </row>
    <row r="2316" spans="1:30">
      <c r="A2316" s="9" t="s">
        <v>5081</v>
      </c>
      <c r="B2316" s="9" t="s">
        <v>132</v>
      </c>
      <c r="C2316" s="9" t="s">
        <v>105</v>
      </c>
      <c r="D2316" s="9">
        <v>6.726</v>
      </c>
      <c r="E2316" s="9" t="s">
        <v>106</v>
      </c>
      <c r="F2316" s="9">
        <v>186.6</v>
      </c>
      <c r="G2316" s="9">
        <v>0.56999999999999995</v>
      </c>
      <c r="H2316" s="9" t="s">
        <v>106</v>
      </c>
      <c r="I2316" s="9">
        <v>6</v>
      </c>
      <c r="J2316" s="9" t="s">
        <v>122</v>
      </c>
      <c r="K2316" s="9" t="s">
        <v>5089</v>
      </c>
      <c r="L2316" t="str">
        <f>IF(OR(J2316="Cattle",J2316="Zebu Cattle"),IF(COUNTIF(lists!$M$2:$M$258, K2316) &gt; 0,"bos.indicus",IF(COUNTIF(lists!$L$2:$L$258, K2316) &gt; 0,"cross.bred","pure.bred.exotic")),"NA")</f>
        <v>cross.bred</v>
      </c>
      <c r="O2316" s="9" t="s">
        <v>124</v>
      </c>
      <c r="P2316" s="9" t="s">
        <v>5088</v>
      </c>
      <c r="Q2316" s="9" t="s">
        <v>3805</v>
      </c>
      <c r="S2316" s="9">
        <v>405.28</v>
      </c>
      <c r="T2316" s="9">
        <v>101.24</v>
      </c>
      <c r="U2316" s="9">
        <v>102.44</v>
      </c>
      <c r="V2316" s="9">
        <v>921.56</v>
      </c>
      <c r="W2316" s="9" t="s">
        <v>106</v>
      </c>
      <c r="X2316" s="9">
        <v>676.64</v>
      </c>
      <c r="Y2316" s="9" t="s">
        <v>106</v>
      </c>
      <c r="Z2316" s="9">
        <v>87.9</v>
      </c>
      <c r="AA2316" s="9" t="s">
        <v>106</v>
      </c>
      <c r="AB2316" s="9" t="s">
        <v>106</v>
      </c>
      <c r="AC2316" s="9" t="s">
        <v>5100</v>
      </c>
      <c r="AD2316" s="9" t="s">
        <v>5100</v>
      </c>
    </row>
    <row r="2317" spans="1:30">
      <c r="A2317" s="9" t="s">
        <v>5082</v>
      </c>
      <c r="B2317" s="9" t="s">
        <v>5063</v>
      </c>
      <c r="C2317" s="9" t="s">
        <v>105</v>
      </c>
      <c r="D2317" s="9">
        <v>7.2</v>
      </c>
      <c r="E2317" s="9" t="s">
        <v>106</v>
      </c>
      <c r="F2317" s="9">
        <v>277</v>
      </c>
      <c r="G2317" s="9" t="s">
        <v>106</v>
      </c>
      <c r="H2317" s="9">
        <v>1.8</v>
      </c>
      <c r="I2317" s="9">
        <v>4</v>
      </c>
      <c r="J2317" s="9" t="s">
        <v>122</v>
      </c>
      <c r="K2317" s="9" t="s">
        <v>237</v>
      </c>
      <c r="L2317" t="str">
        <f>IF(OR(J2317="Cattle",J2317="Zebu Cattle"),IF(COUNTIF(lists!$M$2:$M$258, K2317) &gt; 0,"bos.indicus",IF(COUNTIF(lists!$L$2:$L$258, K2317) &gt; 0,"cross.bred","pure.bred.exotic")),"NA")</f>
        <v>bos.indicus</v>
      </c>
      <c r="O2317" s="9" t="s">
        <v>4193</v>
      </c>
      <c r="P2317" s="9" t="s">
        <v>4198</v>
      </c>
      <c r="Q2317" s="9" t="s">
        <v>3809</v>
      </c>
      <c r="S2317" s="9">
        <v>527</v>
      </c>
      <c r="T2317" s="9" t="s">
        <v>106</v>
      </c>
      <c r="U2317" s="9">
        <v>79</v>
      </c>
      <c r="V2317" s="9" t="s">
        <v>106</v>
      </c>
      <c r="W2317" s="9" t="s">
        <v>106</v>
      </c>
      <c r="X2317" s="9">
        <v>672</v>
      </c>
      <c r="Y2317" s="9" t="s">
        <v>106</v>
      </c>
      <c r="Z2317" s="9">
        <v>95</v>
      </c>
      <c r="AA2317" s="9" t="s">
        <v>106</v>
      </c>
      <c r="AB2317" s="9" t="s">
        <v>106</v>
      </c>
      <c r="AC2317" s="9" t="s">
        <v>5100</v>
      </c>
      <c r="AD2317" s="9" t="s">
        <v>5100</v>
      </c>
    </row>
    <row r="2318" spans="1:30">
      <c r="A2318" s="9" t="s">
        <v>5082</v>
      </c>
      <c r="B2318" s="9" t="s">
        <v>5064</v>
      </c>
      <c r="C2318" s="9" t="s">
        <v>105</v>
      </c>
      <c r="D2318" s="9">
        <v>7.1</v>
      </c>
      <c r="E2318" s="9" t="s">
        <v>106</v>
      </c>
      <c r="F2318" s="9">
        <v>284</v>
      </c>
      <c r="G2318" s="9" t="s">
        <v>106</v>
      </c>
      <c r="H2318" s="9">
        <v>1.7</v>
      </c>
      <c r="I2318" s="9">
        <v>4</v>
      </c>
      <c r="J2318" s="9" t="s">
        <v>122</v>
      </c>
      <c r="K2318" s="9" t="s">
        <v>237</v>
      </c>
      <c r="L2318" t="str">
        <f>IF(OR(J2318="Cattle",J2318="Zebu Cattle"),IF(COUNTIF(lists!$M$2:$M$258, K2318) &gt; 0,"bos.indicus",IF(COUNTIF(lists!$L$2:$L$258, K2318) &gt; 0,"cross.bred","pure.bred.exotic")),"NA")</f>
        <v>bos.indicus</v>
      </c>
      <c r="O2318" s="9" t="s">
        <v>4193</v>
      </c>
      <c r="P2318" s="9" t="s">
        <v>4198</v>
      </c>
      <c r="Q2318" s="9" t="s">
        <v>3809</v>
      </c>
      <c r="S2318" s="9">
        <v>500</v>
      </c>
      <c r="T2318" s="9" t="s">
        <v>106</v>
      </c>
      <c r="U2318" s="9">
        <v>86</v>
      </c>
      <c r="V2318" s="9" t="s">
        <v>106</v>
      </c>
      <c r="W2318" s="9" t="s">
        <v>106</v>
      </c>
      <c r="X2318" s="9">
        <v>679</v>
      </c>
      <c r="Y2318" s="9" t="s">
        <v>106</v>
      </c>
      <c r="Z2318" s="9">
        <v>91</v>
      </c>
      <c r="AA2318" s="9" t="s">
        <v>106</v>
      </c>
      <c r="AB2318" s="9" t="s">
        <v>106</v>
      </c>
      <c r="AC2318" s="9" t="s">
        <v>5100</v>
      </c>
      <c r="AD2318" s="9" t="s">
        <v>5100</v>
      </c>
    </row>
    <row r="2319" spans="1:30">
      <c r="A2319" s="9" t="s">
        <v>5082</v>
      </c>
      <c r="B2319" s="9" t="s">
        <v>5065</v>
      </c>
      <c r="C2319" s="9" t="s">
        <v>105</v>
      </c>
      <c r="D2319" s="9">
        <v>7.4</v>
      </c>
      <c r="E2319" s="9" t="s">
        <v>106</v>
      </c>
      <c r="F2319" s="9">
        <v>285</v>
      </c>
      <c r="G2319" s="9" t="s">
        <v>106</v>
      </c>
      <c r="H2319" s="9">
        <v>1.6</v>
      </c>
      <c r="I2319" s="9">
        <v>4</v>
      </c>
      <c r="J2319" s="9" t="s">
        <v>122</v>
      </c>
      <c r="K2319" s="9" t="s">
        <v>237</v>
      </c>
      <c r="L2319" t="str">
        <f>IF(OR(J2319="Cattle",J2319="Zebu Cattle"),IF(COUNTIF(lists!$M$2:$M$258, K2319) &gt; 0,"bos.indicus",IF(COUNTIF(lists!$L$2:$L$258, K2319) &gt; 0,"cross.bred","pure.bred.exotic")),"NA")</f>
        <v>bos.indicus</v>
      </c>
      <c r="O2319" s="9" t="s">
        <v>4193</v>
      </c>
      <c r="P2319" s="9" t="s">
        <v>4198</v>
      </c>
      <c r="Q2319" s="9" t="s">
        <v>3809</v>
      </c>
      <c r="S2319" s="9">
        <v>485</v>
      </c>
      <c r="T2319" s="9" t="s">
        <v>106</v>
      </c>
      <c r="U2319" s="9">
        <v>78</v>
      </c>
      <c r="V2319" s="9" t="s">
        <v>106</v>
      </c>
      <c r="W2319" s="9" t="s">
        <v>106</v>
      </c>
      <c r="X2319" s="9">
        <v>654</v>
      </c>
      <c r="Y2319" s="9" t="s">
        <v>106</v>
      </c>
      <c r="Z2319" s="9">
        <v>130</v>
      </c>
      <c r="AA2319" s="9" t="s">
        <v>106</v>
      </c>
      <c r="AB2319" s="9" t="s">
        <v>106</v>
      </c>
      <c r="AC2319" s="9" t="s">
        <v>5100</v>
      </c>
      <c r="AD2319" s="9" t="s">
        <v>5100</v>
      </c>
    </row>
    <row r="2320" spans="1:30">
      <c r="A2320" s="9" t="s">
        <v>5082</v>
      </c>
      <c r="B2320" s="9" t="s">
        <v>5066</v>
      </c>
      <c r="C2320" s="9" t="s">
        <v>105</v>
      </c>
      <c r="D2320" s="9">
        <v>8.9</v>
      </c>
      <c r="E2320" s="9" t="s">
        <v>106</v>
      </c>
      <c r="F2320" s="9">
        <v>278</v>
      </c>
      <c r="G2320" s="9" t="s">
        <v>106</v>
      </c>
      <c r="H2320" s="9">
        <v>1.9</v>
      </c>
      <c r="I2320" s="9">
        <v>4</v>
      </c>
      <c r="J2320" s="9" t="s">
        <v>122</v>
      </c>
      <c r="K2320" s="9" t="s">
        <v>237</v>
      </c>
      <c r="L2320" t="str">
        <f>IF(OR(J2320="Cattle",J2320="Zebu Cattle"),IF(COUNTIF(lists!$M$2:$M$258, K2320) &gt; 0,"bos.indicus",IF(COUNTIF(lists!$L$2:$L$258, K2320) &gt; 0,"cross.bred","pure.bred.exotic")),"NA")</f>
        <v>bos.indicus</v>
      </c>
      <c r="O2320" s="9" t="s">
        <v>4193</v>
      </c>
      <c r="P2320" s="9" t="s">
        <v>4198</v>
      </c>
      <c r="Q2320" s="9" t="s">
        <v>3809</v>
      </c>
      <c r="S2320" s="9">
        <v>482</v>
      </c>
      <c r="T2320" s="9" t="s">
        <v>106</v>
      </c>
      <c r="U2320" s="9">
        <v>151</v>
      </c>
      <c r="V2320" s="9" t="s">
        <v>106</v>
      </c>
      <c r="W2320" s="9" t="s">
        <v>106</v>
      </c>
      <c r="X2320" s="9">
        <v>677</v>
      </c>
      <c r="Y2320" s="9" t="s">
        <v>106</v>
      </c>
      <c r="Z2320" s="9">
        <v>85</v>
      </c>
      <c r="AA2320" s="9" t="s">
        <v>106</v>
      </c>
      <c r="AB2320" s="9" t="s">
        <v>106</v>
      </c>
      <c r="AC2320" s="9" t="s">
        <v>5100</v>
      </c>
      <c r="AD2320" s="9" t="s">
        <v>5100</v>
      </c>
    </row>
    <row r="2321" spans="1:31">
      <c r="A2321" s="9" t="s">
        <v>5082</v>
      </c>
      <c r="B2321" s="9" t="s">
        <v>5067</v>
      </c>
      <c r="C2321" s="9" t="s">
        <v>105</v>
      </c>
      <c r="D2321" s="9">
        <v>7.5</v>
      </c>
      <c r="E2321" s="9" t="s">
        <v>106</v>
      </c>
      <c r="F2321" s="9">
        <v>242</v>
      </c>
      <c r="G2321" s="9" t="s">
        <v>106</v>
      </c>
      <c r="H2321" s="9">
        <v>0.5</v>
      </c>
      <c r="I2321" s="9">
        <v>4</v>
      </c>
      <c r="J2321" s="9" t="s">
        <v>122</v>
      </c>
      <c r="K2321" s="9" t="s">
        <v>1166</v>
      </c>
      <c r="L2321" t="str">
        <f>IF(OR(J2321="Cattle",J2321="Zebu Cattle"),IF(COUNTIF(lists!$M$2:$M$258, K2321) &gt; 0,"bos.indicus",IF(COUNTIF(lists!$L$2:$L$258, K2321) &gt; 0,"cross.bred","pure.bred.exotic")),"NA")</f>
        <v>bos.indicus</v>
      </c>
      <c r="O2321" s="9" t="s">
        <v>4193</v>
      </c>
      <c r="P2321" s="9" t="s">
        <v>4198</v>
      </c>
      <c r="Q2321" s="9" t="s">
        <v>3809</v>
      </c>
      <c r="S2321" s="9">
        <v>527</v>
      </c>
      <c r="T2321" s="9" t="s">
        <v>106</v>
      </c>
      <c r="U2321" s="9">
        <v>79</v>
      </c>
      <c r="V2321" s="9" t="s">
        <v>106</v>
      </c>
      <c r="W2321" s="9" t="s">
        <v>106</v>
      </c>
      <c r="X2321" s="9">
        <v>672</v>
      </c>
      <c r="Y2321" s="9" t="s">
        <v>106</v>
      </c>
      <c r="Z2321" s="9">
        <v>95</v>
      </c>
      <c r="AA2321" s="9" t="s">
        <v>106</v>
      </c>
      <c r="AB2321" s="9" t="s">
        <v>106</v>
      </c>
      <c r="AC2321" s="9" t="s">
        <v>5100</v>
      </c>
      <c r="AD2321" s="9" t="s">
        <v>5100</v>
      </c>
    </row>
    <row r="2322" spans="1:31">
      <c r="A2322" s="9" t="s">
        <v>5082</v>
      </c>
      <c r="B2322" s="9" t="s">
        <v>5068</v>
      </c>
      <c r="C2322" s="9" t="s">
        <v>105</v>
      </c>
      <c r="D2322" s="9">
        <v>7.1</v>
      </c>
      <c r="E2322" s="9" t="s">
        <v>106</v>
      </c>
      <c r="F2322" s="9">
        <v>237</v>
      </c>
      <c r="G2322" s="9" t="s">
        <v>106</v>
      </c>
      <c r="H2322" s="9">
        <v>0.5</v>
      </c>
      <c r="I2322" s="9">
        <v>4</v>
      </c>
      <c r="J2322" s="9" t="s">
        <v>122</v>
      </c>
      <c r="K2322" s="9" t="s">
        <v>1166</v>
      </c>
      <c r="L2322" t="str">
        <f>IF(OR(J2322="Cattle",J2322="Zebu Cattle"),IF(COUNTIF(lists!$M$2:$M$258, K2322) &gt; 0,"bos.indicus",IF(COUNTIF(lists!$L$2:$L$258, K2322) &gt; 0,"cross.bred","pure.bred.exotic")),"NA")</f>
        <v>bos.indicus</v>
      </c>
      <c r="O2322" s="9" t="s">
        <v>4193</v>
      </c>
      <c r="P2322" s="9" t="s">
        <v>4198</v>
      </c>
      <c r="Q2322" s="9" t="s">
        <v>3809</v>
      </c>
      <c r="S2322" s="9">
        <v>500</v>
      </c>
      <c r="T2322" s="9" t="s">
        <v>106</v>
      </c>
      <c r="U2322" s="9">
        <v>86</v>
      </c>
      <c r="V2322" s="9" t="s">
        <v>106</v>
      </c>
      <c r="W2322" s="9" t="s">
        <v>106</v>
      </c>
      <c r="X2322" s="9">
        <v>679</v>
      </c>
      <c r="Y2322" s="9" t="s">
        <v>106</v>
      </c>
      <c r="Z2322" s="9">
        <v>91</v>
      </c>
      <c r="AA2322" s="9" t="s">
        <v>106</v>
      </c>
      <c r="AB2322" s="9" t="s">
        <v>106</v>
      </c>
      <c r="AC2322" s="9" t="s">
        <v>5100</v>
      </c>
      <c r="AD2322" s="9" t="s">
        <v>5100</v>
      </c>
    </row>
    <row r="2323" spans="1:31">
      <c r="A2323" s="9" t="s">
        <v>5082</v>
      </c>
      <c r="B2323" s="9" t="s">
        <v>5069</v>
      </c>
      <c r="C2323" s="9" t="s">
        <v>105</v>
      </c>
      <c r="D2323" s="9">
        <v>7.6</v>
      </c>
      <c r="E2323" s="9" t="s">
        <v>106</v>
      </c>
      <c r="F2323" s="9">
        <v>238</v>
      </c>
      <c r="G2323" s="9" t="s">
        <v>106</v>
      </c>
      <c r="H2323" s="9">
        <v>0.4</v>
      </c>
      <c r="I2323" s="9">
        <v>4</v>
      </c>
      <c r="J2323" s="9" t="s">
        <v>122</v>
      </c>
      <c r="K2323" s="9" t="s">
        <v>1166</v>
      </c>
      <c r="L2323" t="str">
        <f>IF(OR(J2323="Cattle",J2323="Zebu Cattle"),IF(COUNTIF(lists!$M$2:$M$258, K2323) &gt; 0,"bos.indicus",IF(COUNTIF(lists!$L$2:$L$258, K2323) &gt; 0,"cross.bred","pure.bred.exotic")),"NA")</f>
        <v>bos.indicus</v>
      </c>
      <c r="O2323" s="9" t="s">
        <v>4193</v>
      </c>
      <c r="P2323" s="9" t="s">
        <v>4198</v>
      </c>
      <c r="Q2323" s="9" t="s">
        <v>3809</v>
      </c>
      <c r="S2323" s="9">
        <v>485</v>
      </c>
      <c r="T2323" s="9" t="s">
        <v>106</v>
      </c>
      <c r="U2323" s="9">
        <v>78</v>
      </c>
      <c r="V2323" s="9" t="s">
        <v>106</v>
      </c>
      <c r="W2323" s="9" t="s">
        <v>106</v>
      </c>
      <c r="X2323" s="9">
        <v>654</v>
      </c>
      <c r="Y2323" s="9" t="s">
        <v>106</v>
      </c>
      <c r="Z2323" s="9">
        <v>130</v>
      </c>
      <c r="AA2323" s="9" t="s">
        <v>106</v>
      </c>
      <c r="AB2323" s="9" t="s">
        <v>106</v>
      </c>
      <c r="AC2323" s="9" t="s">
        <v>5100</v>
      </c>
      <c r="AD2323" s="9" t="s">
        <v>5100</v>
      </c>
    </row>
    <row r="2324" spans="1:31">
      <c r="A2324" s="9" t="s">
        <v>5082</v>
      </c>
      <c r="B2324" s="9" t="s">
        <v>5070</v>
      </c>
      <c r="C2324" s="9" t="s">
        <v>105</v>
      </c>
      <c r="D2324" s="9">
        <v>8.1999999999999993</v>
      </c>
      <c r="E2324" s="9" t="s">
        <v>106</v>
      </c>
      <c r="F2324" s="9">
        <v>241</v>
      </c>
      <c r="G2324" s="9" t="s">
        <v>106</v>
      </c>
      <c r="H2324" s="9">
        <v>0.5</v>
      </c>
      <c r="I2324" s="9">
        <v>4</v>
      </c>
      <c r="J2324" s="9" t="s">
        <v>122</v>
      </c>
      <c r="K2324" s="9" t="s">
        <v>1166</v>
      </c>
      <c r="L2324" t="str">
        <f>IF(OR(J2324="Cattle",J2324="Zebu Cattle"),IF(COUNTIF(lists!$M$2:$M$258, K2324) &gt; 0,"bos.indicus",IF(COUNTIF(lists!$L$2:$L$258, K2324) &gt; 0,"cross.bred","pure.bred.exotic")),"NA")</f>
        <v>bos.indicus</v>
      </c>
      <c r="O2324" s="9" t="s">
        <v>4193</v>
      </c>
      <c r="P2324" s="9" t="s">
        <v>4198</v>
      </c>
      <c r="Q2324" s="9" t="s">
        <v>3809</v>
      </c>
      <c r="S2324" s="9">
        <v>482</v>
      </c>
      <c r="T2324" s="9" t="s">
        <v>106</v>
      </c>
      <c r="U2324" s="9">
        <v>151</v>
      </c>
      <c r="V2324" s="9" t="s">
        <v>106</v>
      </c>
      <c r="W2324" s="9" t="s">
        <v>106</v>
      </c>
      <c r="X2324" s="9">
        <v>677</v>
      </c>
      <c r="Y2324" s="9" t="s">
        <v>106</v>
      </c>
      <c r="Z2324" s="9">
        <v>85</v>
      </c>
      <c r="AA2324" s="9" t="s">
        <v>106</v>
      </c>
      <c r="AB2324" s="9" t="s">
        <v>106</v>
      </c>
      <c r="AC2324" s="9" t="s">
        <v>5100</v>
      </c>
      <c r="AD2324" s="9" t="s">
        <v>5100</v>
      </c>
    </row>
    <row r="2325" spans="1:31">
      <c r="A2325" s="9" t="s">
        <v>5083</v>
      </c>
      <c r="B2325" s="9" t="s">
        <v>4070</v>
      </c>
      <c r="C2325" s="9" t="s">
        <v>105</v>
      </c>
      <c r="D2325" s="9">
        <v>5.12</v>
      </c>
      <c r="E2325" s="9" t="s">
        <v>106</v>
      </c>
      <c r="F2325" s="9">
        <v>312</v>
      </c>
      <c r="G2325" s="9">
        <v>0.54</v>
      </c>
      <c r="H2325" s="9" t="s">
        <v>106</v>
      </c>
      <c r="I2325" s="9">
        <v>8</v>
      </c>
      <c r="J2325" s="9" t="s">
        <v>122</v>
      </c>
      <c r="K2325" s="9" t="s">
        <v>4165</v>
      </c>
      <c r="L2325" t="str">
        <f>IF(OR(J2325="Cattle",J2325="Zebu Cattle"),IF(COUNTIF(lists!$M$2:$M$258, K2325) &gt; 0,"bos.indicus",IF(COUNTIF(lists!$L$2:$L$258, K2325) &gt; 0,"cross.bred","pure.bred.exotic")),"NA")</f>
        <v>pure.bred.exotic</v>
      </c>
      <c r="O2325" s="9" t="s">
        <v>4194</v>
      </c>
      <c r="P2325" s="9" t="s">
        <v>5090</v>
      </c>
      <c r="Q2325" s="9" t="s">
        <v>3805</v>
      </c>
      <c r="S2325" s="9">
        <v>332</v>
      </c>
      <c r="T2325" s="9" t="s">
        <v>106</v>
      </c>
      <c r="U2325" s="9">
        <v>179</v>
      </c>
      <c r="V2325" s="9" t="s">
        <v>106</v>
      </c>
      <c r="W2325" s="9" t="s">
        <v>106</v>
      </c>
      <c r="X2325" s="9">
        <v>667</v>
      </c>
      <c r="Y2325" s="9" t="s">
        <v>106</v>
      </c>
      <c r="Z2325" s="9" t="s">
        <v>106</v>
      </c>
      <c r="AA2325" s="9">
        <v>55</v>
      </c>
      <c r="AB2325" s="9" t="s">
        <v>106</v>
      </c>
      <c r="AC2325" s="9" t="s">
        <v>5099</v>
      </c>
      <c r="AD2325" s="9" t="s">
        <v>5099</v>
      </c>
    </row>
    <row r="2326" spans="1:31">
      <c r="A2326" s="9" t="s">
        <v>5083</v>
      </c>
      <c r="B2326" s="9" t="s">
        <v>4792</v>
      </c>
      <c r="C2326" s="9" t="s">
        <v>105</v>
      </c>
      <c r="D2326" s="9">
        <v>6.62</v>
      </c>
      <c r="E2326" s="9" t="s">
        <v>106</v>
      </c>
      <c r="F2326" s="9">
        <v>325</v>
      </c>
      <c r="G2326" s="9">
        <v>1.18</v>
      </c>
      <c r="H2326" s="9" t="s">
        <v>106</v>
      </c>
      <c r="I2326" s="9">
        <v>8</v>
      </c>
      <c r="J2326" s="9" t="s">
        <v>122</v>
      </c>
      <c r="K2326" s="9" t="s">
        <v>4427</v>
      </c>
      <c r="L2326" t="str">
        <f>IF(OR(J2326="Cattle",J2326="Zebu Cattle"),IF(COUNTIF(lists!$M$2:$M$258, K2326) &gt; 0,"bos.indicus",IF(COUNTIF(lists!$L$2:$L$258, K2326) &gt; 0,"cross.bred","pure.bred.exotic")),"NA")</f>
        <v>pure.bred.exotic</v>
      </c>
      <c r="O2326" s="9" t="s">
        <v>4194</v>
      </c>
      <c r="P2326" s="9" t="s">
        <v>5090</v>
      </c>
      <c r="Q2326" s="9" t="s">
        <v>3805</v>
      </c>
      <c r="S2326" s="9">
        <v>332</v>
      </c>
      <c r="T2326" s="9" t="s">
        <v>106</v>
      </c>
      <c r="U2326" s="9">
        <v>179</v>
      </c>
      <c r="V2326" s="9" t="s">
        <v>106</v>
      </c>
      <c r="W2326" s="9" t="s">
        <v>106</v>
      </c>
      <c r="X2326" s="9">
        <v>667</v>
      </c>
      <c r="Y2326" s="9" t="s">
        <v>106</v>
      </c>
      <c r="Z2326" s="9" t="s">
        <v>106</v>
      </c>
      <c r="AA2326" s="9">
        <v>60</v>
      </c>
      <c r="AB2326" s="9" t="s">
        <v>106</v>
      </c>
      <c r="AC2326" s="9" t="s">
        <v>5099</v>
      </c>
      <c r="AD2326" s="9" t="s">
        <v>5099</v>
      </c>
    </row>
    <row r="2327" spans="1:31">
      <c r="A2327" s="9" t="s">
        <v>5084</v>
      </c>
      <c r="B2327" s="9" t="s">
        <v>4692</v>
      </c>
      <c r="C2327" s="9" t="s">
        <v>105</v>
      </c>
      <c r="D2327" s="76">
        <v>3.51</v>
      </c>
      <c r="E2327" s="9" t="s">
        <v>106</v>
      </c>
      <c r="F2327" s="9">
        <v>158</v>
      </c>
      <c r="G2327" s="9" t="s">
        <v>106</v>
      </c>
      <c r="H2327" s="9" t="s">
        <v>106</v>
      </c>
      <c r="I2327" s="9">
        <v>6</v>
      </c>
      <c r="J2327" s="9" t="s">
        <v>122</v>
      </c>
      <c r="K2327" s="9" t="s">
        <v>1265</v>
      </c>
      <c r="L2327" t="str">
        <f>IF(OR(J2327="Cattle",J2327="Zebu Cattle"),IF(COUNTIF(lists!$M$2:$M$258, K2327) &gt; 0,"bos.indicus",IF(COUNTIF(lists!$L$2:$L$258, K2327) &gt; 0,"cross.bred","pure.bred.exotic")),"NA")</f>
        <v>bos.indicus</v>
      </c>
      <c r="O2327" s="9" t="s">
        <v>4193</v>
      </c>
      <c r="P2327" s="9" t="s">
        <v>5091</v>
      </c>
      <c r="Q2327" s="9" t="s">
        <v>3804</v>
      </c>
      <c r="S2327" s="9">
        <v>504</v>
      </c>
      <c r="T2327" s="9" t="s">
        <v>106</v>
      </c>
      <c r="U2327" s="9">
        <v>62</v>
      </c>
      <c r="V2327" s="9" t="s">
        <v>106</v>
      </c>
      <c r="W2327" s="9" t="s">
        <v>106</v>
      </c>
      <c r="X2327" s="9">
        <v>761</v>
      </c>
      <c r="Y2327" s="9">
        <v>62.5</v>
      </c>
      <c r="Z2327" s="9">
        <v>99</v>
      </c>
      <c r="AA2327" s="9">
        <v>56.8</v>
      </c>
      <c r="AB2327" s="9">
        <v>58.3</v>
      </c>
      <c r="AC2327" s="9" t="s">
        <v>5100</v>
      </c>
      <c r="AD2327" s="9" t="s">
        <v>5100</v>
      </c>
    </row>
    <row r="2328" spans="1:31">
      <c r="A2328" s="9" t="s">
        <v>5084</v>
      </c>
      <c r="B2328" s="9" t="s">
        <v>5071</v>
      </c>
      <c r="C2328" s="9" t="s">
        <v>105</v>
      </c>
      <c r="D2328" s="76">
        <v>3.89</v>
      </c>
      <c r="E2328" s="9" t="s">
        <v>106</v>
      </c>
      <c r="F2328" s="9">
        <v>158</v>
      </c>
      <c r="G2328" s="9" t="s">
        <v>106</v>
      </c>
      <c r="H2328" s="9" t="s">
        <v>106</v>
      </c>
      <c r="I2328" s="9">
        <v>6</v>
      </c>
      <c r="J2328" s="9" t="s">
        <v>122</v>
      </c>
      <c r="K2328" s="9" t="s">
        <v>1265</v>
      </c>
      <c r="L2328" t="str">
        <f>IF(OR(J2328="Cattle",J2328="Zebu Cattle"),IF(COUNTIF(lists!$M$2:$M$258, K2328) &gt; 0,"bos.indicus",IF(COUNTIF(lists!$L$2:$L$258, K2328) &gt; 0,"cross.bred","pure.bred.exotic")),"NA")</f>
        <v>bos.indicus</v>
      </c>
      <c r="O2328" s="9" t="s">
        <v>4193</v>
      </c>
      <c r="P2328" s="9" t="s">
        <v>5091</v>
      </c>
      <c r="Q2328" s="9" t="s">
        <v>3804</v>
      </c>
      <c r="S2328" s="9" t="s">
        <v>106</v>
      </c>
      <c r="T2328" s="9" t="s">
        <v>106</v>
      </c>
      <c r="U2328" s="9">
        <v>82</v>
      </c>
      <c r="V2328" s="9" t="s">
        <v>106</v>
      </c>
      <c r="W2328" s="9" t="s">
        <v>106</v>
      </c>
      <c r="X2328" s="9" t="s">
        <v>106</v>
      </c>
      <c r="Y2328" s="9">
        <v>60.8</v>
      </c>
      <c r="Z2328" s="9" t="s">
        <v>106</v>
      </c>
      <c r="AA2328" s="9">
        <v>55.4</v>
      </c>
      <c r="AB2328" s="9">
        <v>57.5</v>
      </c>
      <c r="AC2328" s="9" t="s">
        <v>5100</v>
      </c>
      <c r="AD2328" s="9" t="s">
        <v>5100</v>
      </c>
    </row>
    <row r="2329" spans="1:31">
      <c r="A2329" s="9" t="s">
        <v>5084</v>
      </c>
      <c r="B2329" s="9" t="s">
        <v>5072</v>
      </c>
      <c r="C2329" s="9" t="s">
        <v>105</v>
      </c>
      <c r="D2329" s="76">
        <v>4</v>
      </c>
      <c r="E2329" s="9" t="s">
        <v>106</v>
      </c>
      <c r="F2329" s="9">
        <v>158</v>
      </c>
      <c r="G2329" s="9" t="s">
        <v>106</v>
      </c>
      <c r="H2329" s="9" t="s">
        <v>106</v>
      </c>
      <c r="I2329" s="9">
        <v>6</v>
      </c>
      <c r="J2329" s="9" t="s">
        <v>122</v>
      </c>
      <c r="K2329" s="9" t="s">
        <v>1265</v>
      </c>
      <c r="L2329" t="str">
        <f>IF(OR(J2329="Cattle",J2329="Zebu Cattle"),IF(COUNTIF(lists!$M$2:$M$258, K2329) &gt; 0,"bos.indicus",IF(COUNTIF(lists!$L$2:$L$258, K2329) &gt; 0,"cross.bred","pure.bred.exotic")),"NA")</f>
        <v>bos.indicus</v>
      </c>
      <c r="O2329" s="9" t="s">
        <v>4193</v>
      </c>
      <c r="P2329" s="9" t="s">
        <v>5091</v>
      </c>
      <c r="Q2329" s="9" t="s">
        <v>3804</v>
      </c>
      <c r="S2329" s="9" t="s">
        <v>106</v>
      </c>
      <c r="T2329" s="9" t="s">
        <v>106</v>
      </c>
      <c r="U2329" s="9">
        <v>80</v>
      </c>
      <c r="V2329" s="9" t="s">
        <v>106</v>
      </c>
      <c r="W2329" s="9" t="s">
        <v>106</v>
      </c>
      <c r="X2329" s="9" t="s">
        <v>106</v>
      </c>
      <c r="Y2329" s="9">
        <v>62</v>
      </c>
      <c r="Z2329" s="9" t="s">
        <v>106</v>
      </c>
      <c r="AA2329" s="9">
        <v>57.1</v>
      </c>
      <c r="AB2329" s="9">
        <v>59.3</v>
      </c>
      <c r="AC2329" s="9" t="s">
        <v>5100</v>
      </c>
      <c r="AD2329" s="9" t="s">
        <v>5100</v>
      </c>
    </row>
    <row r="2330" spans="1:31">
      <c r="A2330" s="9" t="s">
        <v>5084</v>
      </c>
      <c r="B2330" s="9" t="s">
        <v>5073</v>
      </c>
      <c r="C2330" s="9" t="s">
        <v>105</v>
      </c>
      <c r="D2330" s="76">
        <v>3.92</v>
      </c>
      <c r="E2330" s="9" t="s">
        <v>106</v>
      </c>
      <c r="F2330" s="9">
        <v>158</v>
      </c>
      <c r="G2330" s="9" t="s">
        <v>106</v>
      </c>
      <c r="H2330" s="9" t="s">
        <v>106</v>
      </c>
      <c r="I2330" s="9">
        <v>6</v>
      </c>
      <c r="J2330" s="9" t="s">
        <v>122</v>
      </c>
      <c r="K2330" s="9" t="s">
        <v>1265</v>
      </c>
      <c r="L2330" t="str">
        <f>IF(OR(J2330="Cattle",J2330="Zebu Cattle"),IF(COUNTIF(lists!$M$2:$M$258, K2330) &gt; 0,"bos.indicus",IF(COUNTIF(lists!$L$2:$L$258, K2330) &gt; 0,"cross.bred","pure.bred.exotic")),"NA")</f>
        <v>bos.indicus</v>
      </c>
      <c r="O2330" s="9" t="s">
        <v>4193</v>
      </c>
      <c r="P2330" s="9" t="s">
        <v>5091</v>
      </c>
      <c r="Q2330" s="9" t="s">
        <v>3804</v>
      </c>
      <c r="S2330" s="9" t="s">
        <v>106</v>
      </c>
      <c r="T2330" s="9" t="s">
        <v>106</v>
      </c>
      <c r="U2330" s="9">
        <v>83</v>
      </c>
      <c r="V2330" s="9" t="s">
        <v>106</v>
      </c>
      <c r="W2330" s="9" t="s">
        <v>106</v>
      </c>
      <c r="X2330" s="9" t="s">
        <v>106</v>
      </c>
      <c r="Y2330" s="9">
        <v>62.3</v>
      </c>
      <c r="Z2330" s="9" t="s">
        <v>106</v>
      </c>
      <c r="AA2330" s="9">
        <v>58.9</v>
      </c>
      <c r="AB2330" s="9">
        <v>60.6</v>
      </c>
      <c r="AC2330" s="9" t="s">
        <v>5100</v>
      </c>
      <c r="AD2330" s="9" t="s">
        <v>5100</v>
      </c>
    </row>
    <row r="2331" spans="1:31">
      <c r="A2331" s="9" t="s">
        <v>5084</v>
      </c>
      <c r="B2331" s="9" t="s">
        <v>5074</v>
      </c>
      <c r="C2331" s="9" t="s">
        <v>105</v>
      </c>
      <c r="D2331" s="76">
        <v>3.87</v>
      </c>
      <c r="E2331" s="9" t="s">
        <v>106</v>
      </c>
      <c r="F2331" s="9">
        <v>158</v>
      </c>
      <c r="G2331" s="9" t="s">
        <v>106</v>
      </c>
      <c r="H2331" s="9" t="s">
        <v>106</v>
      </c>
      <c r="I2331" s="9">
        <v>6</v>
      </c>
      <c r="J2331" s="9" t="s">
        <v>122</v>
      </c>
      <c r="K2331" s="9" t="s">
        <v>1265</v>
      </c>
      <c r="L2331" t="str">
        <f>IF(OR(J2331="Cattle",J2331="Zebu Cattle"),IF(COUNTIF(lists!$M$2:$M$258, K2331) &gt; 0,"bos.indicus",IF(COUNTIF(lists!$L$2:$L$258, K2331) &gt; 0,"cross.bred","pure.bred.exotic")),"NA")</f>
        <v>bos.indicus</v>
      </c>
      <c r="O2331" s="9" t="s">
        <v>4193</v>
      </c>
      <c r="P2331" s="9" t="s">
        <v>5091</v>
      </c>
      <c r="Q2331" s="9" t="s">
        <v>3804</v>
      </c>
      <c r="S2331" s="9" t="s">
        <v>106</v>
      </c>
      <c r="T2331" s="9" t="s">
        <v>106</v>
      </c>
      <c r="U2331" s="9">
        <v>83</v>
      </c>
      <c r="V2331" s="9" t="s">
        <v>106</v>
      </c>
      <c r="W2331" s="9" t="s">
        <v>106</v>
      </c>
      <c r="X2331" s="9" t="s">
        <v>106</v>
      </c>
      <c r="Y2331" s="9">
        <v>61.9</v>
      </c>
      <c r="Z2331" s="9" t="s">
        <v>106</v>
      </c>
      <c r="AA2331" s="9">
        <v>57.4</v>
      </c>
      <c r="AB2331" s="9">
        <v>59.5</v>
      </c>
      <c r="AC2331" s="9" t="s">
        <v>5100</v>
      </c>
      <c r="AD2331" s="9" t="s">
        <v>5100</v>
      </c>
    </row>
    <row r="2332" spans="1:31">
      <c r="A2332" s="9" t="s">
        <v>5084</v>
      </c>
      <c r="B2332" s="9" t="s">
        <v>5075</v>
      </c>
      <c r="C2332" s="9" t="s">
        <v>105</v>
      </c>
      <c r="D2332" s="76">
        <v>3.84</v>
      </c>
      <c r="E2332" s="9" t="s">
        <v>106</v>
      </c>
      <c r="F2332" s="9">
        <v>158</v>
      </c>
      <c r="G2332" s="9" t="s">
        <v>106</v>
      </c>
      <c r="H2332" s="9" t="s">
        <v>106</v>
      </c>
      <c r="I2332" s="9">
        <v>6</v>
      </c>
      <c r="J2332" s="9" t="s">
        <v>122</v>
      </c>
      <c r="K2332" s="9" t="s">
        <v>1265</v>
      </c>
      <c r="L2332" t="str">
        <f>IF(OR(J2332="Cattle",J2332="Zebu Cattle"),IF(COUNTIF(lists!$M$2:$M$258, K2332) &gt; 0,"bos.indicus",IF(COUNTIF(lists!$L$2:$L$258, K2332) &gt; 0,"cross.bred","pure.bred.exotic")),"NA")</f>
        <v>bos.indicus</v>
      </c>
      <c r="O2332" s="9" t="s">
        <v>4193</v>
      </c>
      <c r="P2332" s="9" t="s">
        <v>5091</v>
      </c>
      <c r="Q2332" s="9" t="s">
        <v>3804</v>
      </c>
      <c r="S2332" s="9" t="s">
        <v>106</v>
      </c>
      <c r="T2332" s="9" t="s">
        <v>106</v>
      </c>
      <c r="U2332" s="9">
        <v>85</v>
      </c>
      <c r="V2332" s="9" t="s">
        <v>106</v>
      </c>
      <c r="W2332" s="9" t="s">
        <v>106</v>
      </c>
      <c r="X2332" s="9" t="s">
        <v>106</v>
      </c>
      <c r="Y2332" s="9">
        <v>62.4</v>
      </c>
      <c r="Z2332" s="9" t="s">
        <v>106</v>
      </c>
      <c r="AA2332" s="9">
        <v>57.5</v>
      </c>
      <c r="AB2332" s="9">
        <v>59.3</v>
      </c>
      <c r="AC2332" s="9" t="s">
        <v>5100</v>
      </c>
      <c r="AD2332" s="9" t="s">
        <v>5100</v>
      </c>
    </row>
    <row r="2333" spans="1:31">
      <c r="A2333" s="9" t="s">
        <v>5085</v>
      </c>
      <c r="B2333" s="9" t="s">
        <v>5076</v>
      </c>
      <c r="C2333" s="9" t="s">
        <v>105</v>
      </c>
      <c r="D2333" s="9">
        <v>17.899999999999999</v>
      </c>
      <c r="E2333" s="9" t="s">
        <v>106</v>
      </c>
      <c r="F2333" s="9">
        <v>400.67</v>
      </c>
      <c r="G2333" s="9">
        <v>-0.14000000000000001</v>
      </c>
      <c r="H2333" s="9">
        <v>19.100000000000001</v>
      </c>
      <c r="I2333" s="9">
        <v>19</v>
      </c>
      <c r="J2333" s="9" t="s">
        <v>122</v>
      </c>
      <c r="K2333" s="9" t="s">
        <v>5086</v>
      </c>
      <c r="L2333" t="str">
        <f>IF(OR(J2333="Cattle",J2333="Zebu Cattle"),IF(COUNTIF(lists!$M$2:$M$258, K2333) &gt; 0,"bos.indicus",IF(COUNTIF(lists!$L$2:$L$258, K2333) &gt; 0,"cross.bred","pure.bred.exotic")),"NA")</f>
        <v>pure.bred.exotic</v>
      </c>
      <c r="O2333" s="9" t="s">
        <v>4194</v>
      </c>
      <c r="P2333" s="9" t="s">
        <v>4198</v>
      </c>
      <c r="Q2333" s="9" t="s">
        <v>3809</v>
      </c>
      <c r="S2333" s="9">
        <v>172.2</v>
      </c>
      <c r="T2333" s="9">
        <v>86.62</v>
      </c>
      <c r="U2333" s="9">
        <v>155.56</v>
      </c>
      <c r="V2333" s="9" t="s">
        <v>106</v>
      </c>
      <c r="W2333" s="9">
        <v>26.92</v>
      </c>
      <c r="X2333" s="9">
        <v>272.2</v>
      </c>
      <c r="Y2333" s="9" t="s">
        <v>106</v>
      </c>
      <c r="Z2333" s="9">
        <v>14.36</v>
      </c>
      <c r="AA2333" s="9" t="s">
        <v>106</v>
      </c>
      <c r="AB2333" s="9" t="s">
        <v>106</v>
      </c>
      <c r="AC2333" s="9" t="s">
        <v>5100</v>
      </c>
      <c r="AD2333" s="9" t="s">
        <v>5100</v>
      </c>
    </row>
    <row r="2334" spans="1:31">
      <c r="A2334" s="9" t="s">
        <v>5085</v>
      </c>
      <c r="B2334" s="9" t="s">
        <v>5077</v>
      </c>
      <c r="C2334" s="9" t="s">
        <v>105</v>
      </c>
      <c r="D2334" s="9">
        <v>16.7</v>
      </c>
      <c r="E2334" s="9" t="s">
        <v>106</v>
      </c>
      <c r="F2334" s="9">
        <v>399.5</v>
      </c>
      <c r="G2334" s="9">
        <v>-0.2</v>
      </c>
      <c r="H2334" s="9">
        <v>18.3</v>
      </c>
      <c r="I2334" s="9">
        <v>19</v>
      </c>
      <c r="J2334" s="9" t="s">
        <v>122</v>
      </c>
      <c r="K2334" s="9" t="s">
        <v>5086</v>
      </c>
      <c r="L2334" t="str">
        <f>IF(OR(J2334="Cattle",J2334="Zebu Cattle"),IF(COUNTIF(lists!$M$2:$M$258, K2334) &gt; 0,"bos.indicus",IF(COUNTIF(lists!$L$2:$L$258, K2334) &gt; 0,"cross.bred","pure.bred.exotic")),"NA")</f>
        <v>pure.bred.exotic</v>
      </c>
      <c r="O2334" s="9" t="s">
        <v>4194</v>
      </c>
      <c r="P2334" s="9" t="s">
        <v>4198</v>
      </c>
      <c r="Q2334" s="9" t="s">
        <v>3809</v>
      </c>
      <c r="S2334" s="9">
        <v>188.84</v>
      </c>
      <c r="T2334" s="9">
        <v>86.19</v>
      </c>
      <c r="U2334" s="9">
        <v>154.91</v>
      </c>
      <c r="V2334" s="9" t="s">
        <v>106</v>
      </c>
      <c r="W2334" s="9">
        <v>27.9</v>
      </c>
      <c r="X2334" s="9">
        <v>286.37</v>
      </c>
      <c r="Y2334" s="9" t="s">
        <v>106</v>
      </c>
      <c r="Z2334" s="9">
        <v>19.190000000000001</v>
      </c>
      <c r="AA2334" s="9" t="s">
        <v>106</v>
      </c>
      <c r="AB2334" s="9" t="s">
        <v>106</v>
      </c>
      <c r="AC2334" s="9" t="s">
        <v>5100</v>
      </c>
      <c r="AD2334" s="9" t="s">
        <v>5100</v>
      </c>
    </row>
    <row r="2335" spans="1:31">
      <c r="A2335" s="9" t="s">
        <v>5085</v>
      </c>
      <c r="B2335" s="9" t="s">
        <v>5078</v>
      </c>
      <c r="C2335" s="9" t="s">
        <v>105</v>
      </c>
      <c r="D2335" s="9">
        <v>17.2</v>
      </c>
      <c r="E2335" s="9" t="s">
        <v>106</v>
      </c>
      <c r="F2335" s="9">
        <v>405.8</v>
      </c>
      <c r="G2335" s="9">
        <v>-0.24</v>
      </c>
      <c r="H2335" s="9">
        <v>18.600000000000001</v>
      </c>
      <c r="I2335" s="9">
        <v>19</v>
      </c>
      <c r="J2335" s="9" t="s">
        <v>122</v>
      </c>
      <c r="K2335" s="9" t="s">
        <v>5086</v>
      </c>
      <c r="L2335" t="str">
        <f>IF(OR(J2335="Cattle",J2335="Zebu Cattle"),IF(COUNTIF(lists!$M$2:$M$258, K2335) &gt; 0,"bos.indicus",IF(COUNTIF(lists!$L$2:$L$258, K2335) &gt; 0,"cross.bred","pure.bred.exotic")),"NA")</f>
        <v>pure.bred.exotic</v>
      </c>
      <c r="O2335" s="9" t="s">
        <v>4194</v>
      </c>
      <c r="P2335" s="9" t="s">
        <v>4198</v>
      </c>
      <c r="Q2335" s="9" t="s">
        <v>3809</v>
      </c>
      <c r="S2335" s="9">
        <v>215.33</v>
      </c>
      <c r="T2335" s="9">
        <v>87.93</v>
      </c>
      <c r="U2335" s="9">
        <v>156.5</v>
      </c>
      <c r="V2335" s="9" t="s">
        <v>106</v>
      </c>
      <c r="W2335" s="9">
        <v>30.15</v>
      </c>
      <c r="X2335" s="9">
        <v>308.51</v>
      </c>
      <c r="Y2335" s="9" t="s">
        <v>106</v>
      </c>
      <c r="Z2335" s="9">
        <v>26.26</v>
      </c>
      <c r="AA2335" s="9" t="s">
        <v>106</v>
      </c>
      <c r="AB2335" s="9" t="s">
        <v>106</v>
      </c>
      <c r="AC2335" s="9" t="s">
        <v>5100</v>
      </c>
      <c r="AD2335" s="9" t="s">
        <v>5100</v>
      </c>
    </row>
    <row r="2336" spans="1:31" s="45" customFormat="1">
      <c r="A2336" s="44" t="s">
        <v>5085</v>
      </c>
      <c r="B2336" s="44" t="s">
        <v>5079</v>
      </c>
      <c r="C2336" s="44" t="s">
        <v>105</v>
      </c>
      <c r="D2336" s="44">
        <v>14.5</v>
      </c>
      <c r="E2336" s="44" t="s">
        <v>106</v>
      </c>
      <c r="F2336" s="44">
        <v>398.24</v>
      </c>
      <c r="G2336" s="44">
        <v>-0.21</v>
      </c>
      <c r="H2336" s="44">
        <v>17.399999999999999</v>
      </c>
      <c r="I2336" s="44">
        <v>19</v>
      </c>
      <c r="J2336" s="44" t="s">
        <v>122</v>
      </c>
      <c r="K2336" s="44" t="s">
        <v>5086</v>
      </c>
      <c r="L2336" s="45" t="str">
        <f>IF(OR(J2336="Cattle",J2336="Zebu Cattle"),IF(COUNTIF(lists!$M$2:$M$258, K2336) &gt; 0,"bos.indicus",IF(COUNTIF(lists!$L$2:$L$258, K2336) &gt; 0,"cross.bred","pure.bred.exotic")),"NA")</f>
        <v>pure.bred.exotic</v>
      </c>
      <c r="M2336" s="44"/>
      <c r="N2336" s="44"/>
      <c r="O2336" s="44" t="s">
        <v>4194</v>
      </c>
      <c r="P2336" s="44" t="s">
        <v>4198</v>
      </c>
      <c r="Q2336" s="44" t="s">
        <v>3809</v>
      </c>
      <c r="R2336" s="44"/>
      <c r="S2336" s="44">
        <v>241.6</v>
      </c>
      <c r="T2336" s="44">
        <v>87.61</v>
      </c>
      <c r="U2336" s="44">
        <v>155.04</v>
      </c>
      <c r="V2336" s="44" t="s">
        <v>106</v>
      </c>
      <c r="W2336" s="44">
        <v>30.06</v>
      </c>
      <c r="X2336" s="44">
        <v>329.98</v>
      </c>
      <c r="Y2336" s="44" t="s">
        <v>106</v>
      </c>
      <c r="Z2336" s="44">
        <v>34.049999999999997</v>
      </c>
      <c r="AA2336" s="44" t="s">
        <v>106</v>
      </c>
      <c r="AB2336" s="44" t="s">
        <v>106</v>
      </c>
      <c r="AC2336" s="44" t="s">
        <v>5100</v>
      </c>
      <c r="AD2336" s="44" t="s">
        <v>5100</v>
      </c>
      <c r="AE2336" s="55"/>
    </row>
  </sheetData>
  <autoFilter ref="A1:AE2336" xr:uid="{EF52FA64-51A6-4E75-8691-F958A0D03A94}">
    <filterColumn colId="9">
      <filters>
        <filter val="Cattle"/>
        <filter val="Zebu Cattle"/>
      </filters>
    </filterColumn>
  </autoFilter>
  <sortState xmlns:xlrd2="http://schemas.microsoft.com/office/spreadsheetml/2017/richdata2" ref="A2:AE1647">
    <sortCondition ref="J2:J1647"/>
  </sortState>
  <phoneticPr fontId="22" type="noConversion"/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A9585E-960D-49BD-90D5-95A1B8DEAE95}">
          <x14:formula1>
            <xm:f>lists!$B$2:$B$4</xm:f>
          </x14:formula1>
          <xm:sqref>R2:R2274</xm:sqref>
        </x14:dataValidation>
        <x14:dataValidation type="list" allowBlank="1" showInputMessage="1" showErrorMessage="1" xr:uid="{92BB01F2-FAEF-48C4-AB8F-FDD08FEE9F03}">
          <x14:formula1>
            <xm:f>lists!$A$2:$A$18</xm:f>
          </x14:formula1>
          <xm:sqref>Q2:Q2336</xm:sqref>
        </x14:dataValidation>
        <x14:dataValidation type="list" allowBlank="1" showInputMessage="1" showErrorMessage="1" xr:uid="{783513AD-723A-4348-805B-45E3F4AA90A0}">
          <x14:formula1>
            <xm:f>lists!$O$2:$O$3</xm:f>
          </x14:formula1>
          <xm:sqref>AC2:AC2336</xm:sqref>
        </x14:dataValidation>
        <x14:dataValidation type="list" allowBlank="1" showInputMessage="1" showErrorMessage="1" xr:uid="{174A0AE6-68F9-496C-9FCA-3E9AB9F4A473}">
          <x14:formula1>
            <xm:f>lists!$P$2:$P$3</xm:f>
          </x14:formula1>
          <xm:sqref>AD2:AD2336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831A-659A-46F7-A363-67D561301BFE}">
  <dimension ref="A1:J886"/>
  <sheetViews>
    <sheetView zoomScale="90" zoomScaleNormal="90" zoomScalePageLayoutView="80" workbookViewId="0">
      <pane ySplit="675" topLeftCell="A819" activePane="bottomLeft"/>
      <selection activeCell="G1" sqref="G1:G1048576"/>
      <selection pane="bottomLeft" activeCell="H830" sqref="H830"/>
    </sheetView>
  </sheetViews>
  <sheetFormatPr defaultRowHeight="15"/>
  <cols>
    <col min="1" max="1" width="14" customWidth="1"/>
    <col min="2" max="2" width="18.5703125" customWidth="1"/>
    <col min="3" max="3" width="8.85546875" style="9"/>
    <col min="4" max="4" width="31" customWidth="1"/>
    <col min="6" max="6" width="38.140625" customWidth="1"/>
    <col min="7" max="7" width="12.28515625" customWidth="1"/>
    <col min="8" max="8" width="19.140625" customWidth="1"/>
  </cols>
  <sheetData>
    <row r="1" spans="1:8" s="13" customFormat="1">
      <c r="A1" s="13" t="s">
        <v>0</v>
      </c>
      <c r="B1" s="13" t="s">
        <v>2115</v>
      </c>
      <c r="C1" s="14" t="s">
        <v>2116</v>
      </c>
      <c r="D1" s="13" t="s">
        <v>2117</v>
      </c>
      <c r="E1" s="13" t="s">
        <v>2118</v>
      </c>
      <c r="F1" s="13" t="s">
        <v>2119</v>
      </c>
      <c r="G1" s="13" t="s">
        <v>2120</v>
      </c>
      <c r="H1" s="13" t="s">
        <v>2121</v>
      </c>
    </row>
    <row r="2" spans="1:8">
      <c r="A2" t="s">
        <v>3203</v>
      </c>
      <c r="B2">
        <v>0</v>
      </c>
      <c r="C2" s="9">
        <v>0</v>
      </c>
      <c r="D2">
        <v>0</v>
      </c>
      <c r="E2" t="s">
        <v>106</v>
      </c>
      <c r="F2" t="s">
        <v>106</v>
      </c>
      <c r="G2" t="s">
        <v>106</v>
      </c>
      <c r="H2" t="s">
        <v>3007</v>
      </c>
    </row>
    <row r="3" spans="1:8">
      <c r="A3">
        <v>0</v>
      </c>
      <c r="B3">
        <v>0</v>
      </c>
      <c r="C3" s="9">
        <v>0</v>
      </c>
      <c r="D3">
        <v>0</v>
      </c>
      <c r="E3" t="s">
        <v>106</v>
      </c>
      <c r="F3" t="s">
        <v>106</v>
      </c>
      <c r="G3" t="s">
        <v>106</v>
      </c>
      <c r="H3" t="s">
        <v>3007</v>
      </c>
    </row>
    <row r="4" spans="1:8">
      <c r="A4" t="s">
        <v>779</v>
      </c>
      <c r="B4" t="s">
        <v>2281</v>
      </c>
      <c r="C4" s="9">
        <v>1991</v>
      </c>
      <c r="D4" t="s">
        <v>2282</v>
      </c>
      <c r="E4" t="s">
        <v>2125</v>
      </c>
      <c r="F4" t="s">
        <v>2283</v>
      </c>
      <c r="G4" t="s">
        <v>106</v>
      </c>
      <c r="H4" t="s">
        <v>2127</v>
      </c>
    </row>
    <row r="5" spans="1:8">
      <c r="A5" t="s">
        <v>1387</v>
      </c>
      <c r="B5" t="s">
        <v>2566</v>
      </c>
      <c r="C5" s="9">
        <v>2015</v>
      </c>
      <c r="D5" t="s">
        <v>2124</v>
      </c>
      <c r="E5" t="s">
        <v>2125</v>
      </c>
      <c r="F5" t="s">
        <v>2567</v>
      </c>
      <c r="G5" t="s">
        <v>106</v>
      </c>
      <c r="H5" t="s">
        <v>2127</v>
      </c>
    </row>
    <row r="6" spans="1:8">
      <c r="A6" t="s">
        <v>743</v>
      </c>
      <c r="B6" t="s">
        <v>3616</v>
      </c>
      <c r="C6" s="9">
        <v>2019</v>
      </c>
      <c r="D6" t="s">
        <v>3587</v>
      </c>
      <c r="E6" t="s">
        <v>106</v>
      </c>
      <c r="F6" t="s">
        <v>3617</v>
      </c>
      <c r="G6" t="s">
        <v>106</v>
      </c>
      <c r="H6" t="s">
        <v>3007</v>
      </c>
    </row>
    <row r="7" spans="1:8">
      <c r="A7" t="s">
        <v>2459</v>
      </c>
      <c r="B7" t="s">
        <v>2460</v>
      </c>
      <c r="C7" s="9">
        <v>2011</v>
      </c>
      <c r="D7" t="s">
        <v>2147</v>
      </c>
      <c r="E7" t="s">
        <v>2125</v>
      </c>
      <c r="F7" t="s">
        <v>2461</v>
      </c>
      <c r="G7" t="s">
        <v>106</v>
      </c>
      <c r="H7" t="s">
        <v>2127</v>
      </c>
    </row>
    <row r="8" spans="1:8">
      <c r="A8" t="s">
        <v>3764</v>
      </c>
      <c r="B8" t="s">
        <v>3765</v>
      </c>
      <c r="C8" s="9">
        <v>2019</v>
      </c>
      <c r="D8" t="s">
        <v>3013</v>
      </c>
      <c r="E8" t="s">
        <v>106</v>
      </c>
      <c r="F8" t="s">
        <v>3766</v>
      </c>
      <c r="G8" t="s">
        <v>106</v>
      </c>
      <c r="H8" t="s">
        <v>3007</v>
      </c>
    </row>
    <row r="9" spans="1:8">
      <c r="A9" t="s">
        <v>668</v>
      </c>
      <c r="B9" t="s">
        <v>3492</v>
      </c>
      <c r="C9" s="9">
        <v>2021</v>
      </c>
      <c r="D9" t="s">
        <v>3493</v>
      </c>
      <c r="E9" t="s">
        <v>106</v>
      </c>
      <c r="F9" t="s">
        <v>3494</v>
      </c>
      <c r="G9" t="s">
        <v>106</v>
      </c>
      <c r="H9" t="s">
        <v>3007</v>
      </c>
    </row>
    <row r="10" spans="1:8">
      <c r="A10" t="s">
        <v>474</v>
      </c>
      <c r="B10" t="s">
        <v>3421</v>
      </c>
      <c r="C10" s="9">
        <v>2019</v>
      </c>
      <c r="D10" t="s">
        <v>3106</v>
      </c>
      <c r="E10" t="s">
        <v>106</v>
      </c>
      <c r="F10" t="s">
        <v>3422</v>
      </c>
      <c r="G10" t="s">
        <v>106</v>
      </c>
      <c r="H10" t="s">
        <v>3007</v>
      </c>
    </row>
    <row r="11" spans="1:8">
      <c r="A11" t="s">
        <v>1178</v>
      </c>
      <c r="B11" t="s">
        <v>2465</v>
      </c>
      <c r="C11" s="9">
        <v>2011</v>
      </c>
      <c r="D11" t="s">
        <v>2124</v>
      </c>
      <c r="E11" t="s">
        <v>2125</v>
      </c>
      <c r="F11" t="s">
        <v>2466</v>
      </c>
      <c r="G11" t="s">
        <v>106</v>
      </c>
      <c r="H11" t="s">
        <v>2127</v>
      </c>
    </row>
    <row r="12" spans="1:8">
      <c r="A12" t="s">
        <v>1179</v>
      </c>
      <c r="B12" t="s">
        <v>2467</v>
      </c>
      <c r="C12" s="9">
        <v>2009</v>
      </c>
      <c r="D12" t="s">
        <v>2155</v>
      </c>
      <c r="E12" t="s">
        <v>2125</v>
      </c>
      <c r="F12" t="s">
        <v>2468</v>
      </c>
      <c r="G12" t="s">
        <v>106</v>
      </c>
      <c r="H12" t="s">
        <v>2127</v>
      </c>
    </row>
    <row r="13" spans="1:8">
      <c r="A13" t="s">
        <v>1391</v>
      </c>
      <c r="B13" t="s">
        <v>2467</v>
      </c>
      <c r="C13" s="9">
        <v>2015</v>
      </c>
      <c r="D13" t="s">
        <v>2454</v>
      </c>
      <c r="E13" t="s">
        <v>2125</v>
      </c>
      <c r="F13" t="s">
        <v>2570</v>
      </c>
      <c r="G13" t="s">
        <v>106</v>
      </c>
      <c r="H13" t="s">
        <v>2127</v>
      </c>
    </row>
    <row r="14" spans="1:8">
      <c r="A14" t="s">
        <v>1648</v>
      </c>
      <c r="B14" t="s">
        <v>2467</v>
      </c>
      <c r="C14" s="9">
        <v>2018</v>
      </c>
      <c r="D14" t="s">
        <v>2781</v>
      </c>
      <c r="E14" t="s">
        <v>2125</v>
      </c>
      <c r="F14" t="s">
        <v>2782</v>
      </c>
      <c r="G14" t="s">
        <v>106</v>
      </c>
      <c r="H14" t="s">
        <v>2127</v>
      </c>
    </row>
    <row r="15" spans="1:8">
      <c r="A15" t="s">
        <v>1180</v>
      </c>
      <c r="B15" t="s">
        <v>2469</v>
      </c>
      <c r="C15" s="9">
        <v>2001</v>
      </c>
      <c r="D15" t="s">
        <v>2155</v>
      </c>
      <c r="E15" t="s">
        <v>2125</v>
      </c>
      <c r="F15" t="s">
        <v>2470</v>
      </c>
      <c r="G15" t="s">
        <v>106</v>
      </c>
      <c r="H15" t="s">
        <v>2127</v>
      </c>
    </row>
    <row r="16" spans="1:8">
      <c r="A16" t="s">
        <v>1392</v>
      </c>
      <c r="B16" t="s">
        <v>2469</v>
      </c>
      <c r="C16" s="9">
        <v>2014</v>
      </c>
      <c r="D16" t="s">
        <v>2571</v>
      </c>
      <c r="E16" t="s">
        <v>2125</v>
      </c>
      <c r="F16" t="s">
        <v>106</v>
      </c>
      <c r="G16" t="s">
        <v>2572</v>
      </c>
      <c r="H16" t="s">
        <v>2127</v>
      </c>
    </row>
    <row r="17" spans="1:8">
      <c r="A17" t="s">
        <v>1678</v>
      </c>
      <c r="B17" t="s">
        <v>2804</v>
      </c>
      <c r="C17" s="9">
        <v>2011</v>
      </c>
      <c r="D17" t="s">
        <v>2132</v>
      </c>
      <c r="E17" t="s">
        <v>2125</v>
      </c>
      <c r="F17" t="s">
        <v>2805</v>
      </c>
      <c r="G17" t="s">
        <v>106</v>
      </c>
      <c r="H17" t="s">
        <v>2127</v>
      </c>
    </row>
    <row r="18" spans="1:8">
      <c r="A18" t="s">
        <v>740</v>
      </c>
      <c r="B18" t="s">
        <v>3613</v>
      </c>
      <c r="C18" s="9">
        <v>2019</v>
      </c>
      <c r="D18" t="s">
        <v>3043</v>
      </c>
      <c r="E18" t="s">
        <v>106</v>
      </c>
      <c r="F18" t="s">
        <v>3614</v>
      </c>
      <c r="G18" t="s">
        <v>106</v>
      </c>
      <c r="H18" t="s">
        <v>3007</v>
      </c>
    </row>
    <row r="19" spans="1:8">
      <c r="A19" t="s">
        <v>1506</v>
      </c>
      <c r="B19" t="s">
        <v>2709</v>
      </c>
      <c r="C19" s="9">
        <v>1996</v>
      </c>
      <c r="D19" t="s">
        <v>2300</v>
      </c>
      <c r="E19" t="s">
        <v>2125</v>
      </c>
      <c r="F19" t="s">
        <v>2710</v>
      </c>
      <c r="G19" t="s">
        <v>106</v>
      </c>
      <c r="H19" t="s">
        <v>2127</v>
      </c>
    </row>
    <row r="20" spans="1:8">
      <c r="A20" t="s">
        <v>1518</v>
      </c>
      <c r="B20" t="s">
        <v>2709</v>
      </c>
      <c r="C20" s="9">
        <v>1997</v>
      </c>
      <c r="D20" t="s">
        <v>2183</v>
      </c>
      <c r="E20" t="s">
        <v>2125</v>
      </c>
      <c r="F20" t="s">
        <v>2711</v>
      </c>
      <c r="G20" t="s">
        <v>106</v>
      </c>
      <c r="H20" t="s">
        <v>2127</v>
      </c>
    </row>
    <row r="21" spans="1:8">
      <c r="A21" t="s">
        <v>1523</v>
      </c>
      <c r="B21" t="s">
        <v>2709</v>
      </c>
      <c r="C21" s="9">
        <v>1997</v>
      </c>
      <c r="D21" t="s">
        <v>2183</v>
      </c>
      <c r="E21" t="s">
        <v>2125</v>
      </c>
      <c r="F21" t="s">
        <v>2711</v>
      </c>
      <c r="G21" t="s">
        <v>106</v>
      </c>
      <c r="H21" t="s">
        <v>2127</v>
      </c>
    </row>
    <row r="22" spans="1:8">
      <c r="A22" t="s">
        <v>940</v>
      </c>
      <c r="B22" t="s">
        <v>3641</v>
      </c>
      <c r="C22" s="9">
        <v>2018</v>
      </c>
      <c r="D22" t="s">
        <v>3355</v>
      </c>
      <c r="E22" t="s">
        <v>106</v>
      </c>
      <c r="F22" t="s">
        <v>106</v>
      </c>
      <c r="G22" t="s">
        <v>3642</v>
      </c>
      <c r="H22" t="s">
        <v>3007</v>
      </c>
    </row>
    <row r="23" spans="1:8">
      <c r="A23" t="s">
        <v>780</v>
      </c>
      <c r="B23" t="s">
        <v>2284</v>
      </c>
      <c r="C23" s="9">
        <v>2010</v>
      </c>
      <c r="D23" t="s">
        <v>2285</v>
      </c>
      <c r="E23" t="s">
        <v>2125</v>
      </c>
      <c r="F23" t="s">
        <v>2286</v>
      </c>
      <c r="G23" t="s">
        <v>106</v>
      </c>
      <c r="H23" t="s">
        <v>2127</v>
      </c>
    </row>
    <row r="24" spans="1:8">
      <c r="A24" t="s">
        <v>675</v>
      </c>
      <c r="B24" t="s">
        <v>3502</v>
      </c>
      <c r="C24" s="9">
        <v>2018</v>
      </c>
      <c r="D24" t="s">
        <v>3503</v>
      </c>
      <c r="E24" t="s">
        <v>106</v>
      </c>
      <c r="F24" t="s">
        <v>106</v>
      </c>
      <c r="G24" t="s">
        <v>3504</v>
      </c>
      <c r="H24" t="s">
        <v>3007</v>
      </c>
    </row>
    <row r="25" spans="1:8">
      <c r="A25" t="s">
        <v>1028</v>
      </c>
      <c r="B25" t="s">
        <v>3169</v>
      </c>
      <c r="C25" s="9">
        <v>2018</v>
      </c>
      <c r="D25" t="s">
        <v>3170</v>
      </c>
      <c r="E25" t="s">
        <v>106</v>
      </c>
      <c r="F25" t="s">
        <v>3171</v>
      </c>
      <c r="G25" t="s">
        <v>106</v>
      </c>
      <c r="H25" t="s">
        <v>3007</v>
      </c>
    </row>
    <row r="26" spans="1:8">
      <c r="A26" t="s">
        <v>1694</v>
      </c>
      <c r="B26" t="s">
        <v>2810</v>
      </c>
      <c r="C26" s="9">
        <v>2009</v>
      </c>
      <c r="D26" t="s">
        <v>2129</v>
      </c>
      <c r="E26" t="s">
        <v>2125</v>
      </c>
      <c r="F26" t="s">
        <v>2811</v>
      </c>
      <c r="G26" t="s">
        <v>106</v>
      </c>
      <c r="H26" t="s">
        <v>2127</v>
      </c>
    </row>
    <row r="27" spans="1:8">
      <c r="A27" t="s">
        <v>1124</v>
      </c>
      <c r="B27" t="s">
        <v>2810</v>
      </c>
      <c r="C27" s="9">
        <v>2020</v>
      </c>
      <c r="D27" t="s">
        <v>3760</v>
      </c>
      <c r="E27" t="s">
        <v>106</v>
      </c>
      <c r="F27" t="s">
        <v>3761</v>
      </c>
      <c r="G27" t="s">
        <v>106</v>
      </c>
      <c r="H27" t="s">
        <v>3007</v>
      </c>
    </row>
    <row r="28" spans="1:8">
      <c r="A28" t="s">
        <v>785</v>
      </c>
      <c r="B28" t="s">
        <v>2287</v>
      </c>
      <c r="C28" s="9">
        <v>2004</v>
      </c>
      <c r="D28" t="s">
        <v>2158</v>
      </c>
      <c r="E28" t="s">
        <v>2125</v>
      </c>
      <c r="F28" t="s">
        <v>2288</v>
      </c>
      <c r="G28" t="s">
        <v>106</v>
      </c>
      <c r="H28" t="s">
        <v>2127</v>
      </c>
    </row>
    <row r="29" spans="1:8">
      <c r="A29" t="s">
        <v>1501</v>
      </c>
      <c r="B29" t="s">
        <v>2287</v>
      </c>
      <c r="C29" s="9">
        <v>2012</v>
      </c>
      <c r="D29" t="s">
        <v>2705</v>
      </c>
      <c r="E29" t="s">
        <v>2125</v>
      </c>
      <c r="F29" t="s">
        <v>106</v>
      </c>
      <c r="G29" t="s">
        <v>2706</v>
      </c>
      <c r="H29" t="s">
        <v>2127</v>
      </c>
    </row>
    <row r="30" spans="1:8">
      <c r="A30" t="s">
        <v>3041</v>
      </c>
      <c r="B30" t="s">
        <v>3042</v>
      </c>
      <c r="C30" s="9">
        <v>2023</v>
      </c>
      <c r="D30" t="s">
        <v>3043</v>
      </c>
      <c r="E30" t="s">
        <v>106</v>
      </c>
      <c r="F30" t="s">
        <v>3044</v>
      </c>
      <c r="G30" t="s">
        <v>106</v>
      </c>
      <c r="H30" t="s">
        <v>3007</v>
      </c>
    </row>
    <row r="31" spans="1:8">
      <c r="A31" t="s">
        <v>200</v>
      </c>
      <c r="B31" t="s">
        <v>3195</v>
      </c>
      <c r="C31" s="9">
        <v>2024</v>
      </c>
      <c r="D31" t="s">
        <v>2124</v>
      </c>
      <c r="E31" t="s">
        <v>106</v>
      </c>
      <c r="F31" t="s">
        <v>3196</v>
      </c>
      <c r="G31" t="s">
        <v>106</v>
      </c>
      <c r="H31" t="s">
        <v>3007</v>
      </c>
    </row>
    <row r="32" spans="1:8">
      <c r="A32" t="s">
        <v>1151</v>
      </c>
      <c r="B32" t="s">
        <v>3195</v>
      </c>
      <c r="C32" s="9">
        <v>2019</v>
      </c>
      <c r="D32" t="s">
        <v>3027</v>
      </c>
      <c r="E32" t="s">
        <v>106</v>
      </c>
      <c r="F32" t="s">
        <v>3788</v>
      </c>
      <c r="G32" t="s">
        <v>106</v>
      </c>
      <c r="H32" t="s">
        <v>3007</v>
      </c>
    </row>
    <row r="33" spans="1:8">
      <c r="A33" t="s">
        <v>1399</v>
      </c>
      <c r="B33" t="s">
        <v>2579</v>
      </c>
      <c r="C33" s="9">
        <v>2017</v>
      </c>
      <c r="D33" t="s">
        <v>2132</v>
      </c>
      <c r="E33" t="s">
        <v>2125</v>
      </c>
      <c r="F33" t="s">
        <v>2580</v>
      </c>
      <c r="G33" t="s">
        <v>106</v>
      </c>
      <c r="H33" t="s">
        <v>2127</v>
      </c>
    </row>
    <row r="34" spans="1:8">
      <c r="A34" t="s">
        <v>428</v>
      </c>
      <c r="B34" t="s">
        <v>3373</v>
      </c>
      <c r="C34" s="9">
        <v>2019</v>
      </c>
      <c r="D34" t="s">
        <v>3161</v>
      </c>
      <c r="E34" t="s">
        <v>106</v>
      </c>
      <c r="F34" t="s">
        <v>3374</v>
      </c>
      <c r="G34" t="s">
        <v>106</v>
      </c>
      <c r="H34" t="s">
        <v>3007</v>
      </c>
    </row>
    <row r="35" spans="1:8">
      <c r="A35" t="s">
        <v>1400</v>
      </c>
      <c r="B35" t="s">
        <v>2581</v>
      </c>
      <c r="C35" s="9">
        <v>2017</v>
      </c>
      <c r="D35" t="s">
        <v>2124</v>
      </c>
      <c r="E35" t="s">
        <v>2125</v>
      </c>
      <c r="F35" t="s">
        <v>2582</v>
      </c>
      <c r="G35" t="s">
        <v>106</v>
      </c>
      <c r="H35" t="s">
        <v>2127</v>
      </c>
    </row>
    <row r="36" spans="1:8">
      <c r="A36" t="s">
        <v>3391</v>
      </c>
      <c r="B36" t="s">
        <v>3392</v>
      </c>
      <c r="C36" s="9">
        <v>2024</v>
      </c>
      <c r="D36" t="s">
        <v>3393</v>
      </c>
      <c r="E36" t="s">
        <v>106</v>
      </c>
      <c r="F36" t="s">
        <v>3394</v>
      </c>
      <c r="G36" t="s">
        <v>106</v>
      </c>
      <c r="H36" t="s">
        <v>3007</v>
      </c>
    </row>
    <row r="37" spans="1:8">
      <c r="A37" t="s">
        <v>3521</v>
      </c>
      <c r="B37" t="s">
        <v>3522</v>
      </c>
      <c r="C37" s="9">
        <v>2020</v>
      </c>
      <c r="D37" t="s">
        <v>3523</v>
      </c>
      <c r="E37" t="s">
        <v>106</v>
      </c>
      <c r="F37" t="s">
        <v>3524</v>
      </c>
      <c r="G37" t="s">
        <v>106</v>
      </c>
      <c r="H37" t="s">
        <v>3007</v>
      </c>
    </row>
    <row r="38" spans="1:8">
      <c r="A38" t="s">
        <v>3341</v>
      </c>
      <c r="B38" t="s">
        <v>3342</v>
      </c>
      <c r="C38" s="9">
        <v>2021</v>
      </c>
      <c r="D38" t="s">
        <v>3071</v>
      </c>
      <c r="E38" t="s">
        <v>106</v>
      </c>
      <c r="F38" t="s">
        <v>3343</v>
      </c>
      <c r="G38" t="s">
        <v>106</v>
      </c>
      <c r="H38" t="s">
        <v>3007</v>
      </c>
    </row>
    <row r="39" spans="1:8">
      <c r="A39" t="s">
        <v>128</v>
      </c>
      <c r="B39" t="s">
        <v>2221</v>
      </c>
      <c r="C39" s="9">
        <v>2016</v>
      </c>
      <c r="D39" t="s">
        <v>2222</v>
      </c>
      <c r="E39" t="s">
        <v>2125</v>
      </c>
      <c r="F39" t="s">
        <v>2223</v>
      </c>
      <c r="G39" t="s">
        <v>106</v>
      </c>
      <c r="H39" t="s">
        <v>2127</v>
      </c>
    </row>
    <row r="40" spans="1:8">
      <c r="A40" t="s">
        <v>379</v>
      </c>
      <c r="B40" t="s">
        <v>2221</v>
      </c>
      <c r="C40" s="9">
        <v>2020</v>
      </c>
      <c r="D40" t="s">
        <v>3322</v>
      </c>
      <c r="E40" t="s">
        <v>106</v>
      </c>
      <c r="F40" t="s">
        <v>3323</v>
      </c>
      <c r="G40" t="s">
        <v>106</v>
      </c>
      <c r="H40" t="s">
        <v>3007</v>
      </c>
    </row>
    <row r="41" spans="1:8">
      <c r="A41" t="s">
        <v>786</v>
      </c>
      <c r="B41" t="s">
        <v>2289</v>
      </c>
      <c r="C41" s="9">
        <v>1991</v>
      </c>
      <c r="D41" t="s">
        <v>2129</v>
      </c>
      <c r="E41" t="s">
        <v>2125</v>
      </c>
      <c r="F41" t="s">
        <v>2290</v>
      </c>
      <c r="G41" t="s">
        <v>106</v>
      </c>
      <c r="H41" t="s">
        <v>2127</v>
      </c>
    </row>
    <row r="42" spans="1:8">
      <c r="A42" t="s">
        <v>834</v>
      </c>
      <c r="B42" t="s">
        <v>2349</v>
      </c>
      <c r="C42" s="9">
        <v>1995</v>
      </c>
      <c r="D42" t="s">
        <v>2158</v>
      </c>
      <c r="E42" t="s">
        <v>2125</v>
      </c>
      <c r="F42" t="s">
        <v>2350</v>
      </c>
      <c r="G42" t="s">
        <v>106</v>
      </c>
      <c r="H42" t="s">
        <v>2127</v>
      </c>
    </row>
    <row r="43" spans="1:8">
      <c r="A43" t="s">
        <v>795</v>
      </c>
      <c r="B43" t="s">
        <v>2291</v>
      </c>
      <c r="C43" s="9">
        <v>1994</v>
      </c>
      <c r="D43" t="s">
        <v>2129</v>
      </c>
      <c r="E43" t="s">
        <v>2125</v>
      </c>
      <c r="F43" t="s">
        <v>2292</v>
      </c>
      <c r="G43" t="s">
        <v>106</v>
      </c>
      <c r="H43" t="s">
        <v>2127</v>
      </c>
    </row>
    <row r="44" spans="1:8">
      <c r="A44" t="s">
        <v>993</v>
      </c>
      <c r="B44" t="s">
        <v>3143</v>
      </c>
      <c r="C44" s="9">
        <v>2020</v>
      </c>
      <c r="D44" t="s">
        <v>3106</v>
      </c>
      <c r="E44" t="s">
        <v>106</v>
      </c>
      <c r="F44" t="s">
        <v>3144</v>
      </c>
      <c r="G44" t="s">
        <v>106</v>
      </c>
      <c r="H44" t="s">
        <v>3007</v>
      </c>
    </row>
    <row r="45" spans="1:8">
      <c r="A45" t="s">
        <v>799</v>
      </c>
      <c r="B45" t="s">
        <v>2293</v>
      </c>
      <c r="C45" s="9">
        <v>2009</v>
      </c>
      <c r="D45" t="s">
        <v>2294</v>
      </c>
      <c r="E45" t="s">
        <v>2125</v>
      </c>
      <c r="F45" t="s">
        <v>2295</v>
      </c>
      <c r="G45" t="s">
        <v>106</v>
      </c>
      <c r="H45" t="s">
        <v>2127</v>
      </c>
    </row>
    <row r="46" spans="1:8">
      <c r="A46" t="s">
        <v>1713</v>
      </c>
      <c r="B46" t="s">
        <v>2828</v>
      </c>
      <c r="C46" s="9">
        <v>2011</v>
      </c>
      <c r="D46" t="s">
        <v>2147</v>
      </c>
      <c r="E46" t="s">
        <v>2125</v>
      </c>
      <c r="F46" t="s">
        <v>2829</v>
      </c>
      <c r="G46" t="s">
        <v>106</v>
      </c>
      <c r="H46" t="s">
        <v>2127</v>
      </c>
    </row>
    <row r="47" spans="1:8">
      <c r="A47" t="s">
        <v>3665</v>
      </c>
      <c r="B47" t="s">
        <v>3666</v>
      </c>
      <c r="C47" s="9">
        <v>2024</v>
      </c>
      <c r="D47" t="s">
        <v>3667</v>
      </c>
      <c r="E47" t="s">
        <v>106</v>
      </c>
      <c r="F47" t="s">
        <v>3668</v>
      </c>
      <c r="G47" t="s">
        <v>106</v>
      </c>
      <c r="H47" t="s">
        <v>3007</v>
      </c>
    </row>
    <row r="48" spans="1:8">
      <c r="A48" t="s">
        <v>800</v>
      </c>
      <c r="B48" t="s">
        <v>2296</v>
      </c>
      <c r="C48" s="9">
        <v>2010</v>
      </c>
      <c r="D48" t="s">
        <v>2297</v>
      </c>
      <c r="E48" t="s">
        <v>2125</v>
      </c>
      <c r="F48" t="s">
        <v>106</v>
      </c>
      <c r="G48" t="s">
        <v>2298</v>
      </c>
      <c r="H48" t="s">
        <v>2127</v>
      </c>
    </row>
    <row r="49" spans="1:8">
      <c r="A49" t="s">
        <v>939</v>
      </c>
      <c r="B49" t="s">
        <v>3639</v>
      </c>
      <c r="C49" s="9">
        <v>2020</v>
      </c>
      <c r="D49" t="s">
        <v>3037</v>
      </c>
      <c r="E49" t="s">
        <v>106</v>
      </c>
      <c r="F49" t="s">
        <v>3640</v>
      </c>
      <c r="G49" t="s">
        <v>106</v>
      </c>
      <c r="H49" t="s">
        <v>3007</v>
      </c>
    </row>
    <row r="50" spans="1:8">
      <c r="A50" t="s">
        <v>586</v>
      </c>
      <c r="B50" t="s">
        <v>3449</v>
      </c>
      <c r="C50" s="9">
        <v>2021</v>
      </c>
      <c r="D50" t="s">
        <v>3135</v>
      </c>
      <c r="E50" t="s">
        <v>106</v>
      </c>
      <c r="F50" t="s">
        <v>3450</v>
      </c>
      <c r="G50" t="s">
        <v>106</v>
      </c>
      <c r="H50" t="s">
        <v>3007</v>
      </c>
    </row>
    <row r="51" spans="1:8">
      <c r="A51" t="s">
        <v>1110</v>
      </c>
      <c r="B51" t="s">
        <v>3732</v>
      </c>
      <c r="C51" s="9">
        <v>2023</v>
      </c>
      <c r="D51" t="s">
        <v>3733</v>
      </c>
      <c r="E51" t="s">
        <v>106</v>
      </c>
      <c r="F51" t="s">
        <v>3734</v>
      </c>
      <c r="G51" t="s">
        <v>106</v>
      </c>
      <c r="H51" t="s">
        <v>3007</v>
      </c>
    </row>
    <row r="52" spans="1:8">
      <c r="A52" t="s">
        <v>1407</v>
      </c>
      <c r="B52" t="s">
        <v>2583</v>
      </c>
      <c r="C52" s="9">
        <v>2014</v>
      </c>
      <c r="D52" t="s">
        <v>2584</v>
      </c>
      <c r="E52" t="s">
        <v>2125</v>
      </c>
      <c r="F52" t="s">
        <v>2585</v>
      </c>
      <c r="G52" t="s">
        <v>106</v>
      </c>
      <c r="H52" t="s">
        <v>2127</v>
      </c>
    </row>
    <row r="53" spans="1:8">
      <c r="A53" t="s">
        <v>540</v>
      </c>
      <c r="B53" t="s">
        <v>3423</v>
      </c>
      <c r="C53" s="9">
        <v>2023</v>
      </c>
      <c r="D53" t="s">
        <v>3164</v>
      </c>
      <c r="E53" t="s">
        <v>106</v>
      </c>
      <c r="F53" t="s">
        <v>3424</v>
      </c>
      <c r="G53" t="s">
        <v>106</v>
      </c>
      <c r="H53" t="s">
        <v>3007</v>
      </c>
    </row>
    <row r="54" spans="1:8">
      <c r="A54" t="s">
        <v>656</v>
      </c>
      <c r="B54" t="s">
        <v>3423</v>
      </c>
      <c r="C54" s="9">
        <v>2024</v>
      </c>
      <c r="D54" t="s">
        <v>3479</v>
      </c>
      <c r="E54" t="s">
        <v>106</v>
      </c>
      <c r="F54" t="s">
        <v>3480</v>
      </c>
      <c r="G54" t="s">
        <v>106</v>
      </c>
      <c r="H54" t="s">
        <v>3007</v>
      </c>
    </row>
    <row r="55" spans="1:8">
      <c r="A55" t="s">
        <v>1284</v>
      </c>
      <c r="B55" t="s">
        <v>2522</v>
      </c>
      <c r="C55" s="9">
        <v>2000</v>
      </c>
      <c r="D55" t="s">
        <v>2308</v>
      </c>
      <c r="E55" t="s">
        <v>2125</v>
      </c>
      <c r="F55" t="s">
        <v>2523</v>
      </c>
      <c r="G55" t="s">
        <v>106</v>
      </c>
      <c r="H55" t="s">
        <v>2127</v>
      </c>
    </row>
    <row r="56" spans="1:8">
      <c r="A56" t="s">
        <v>1289</v>
      </c>
      <c r="B56" t="s">
        <v>2522</v>
      </c>
      <c r="C56" s="9">
        <v>1999</v>
      </c>
      <c r="D56" t="s">
        <v>2124</v>
      </c>
      <c r="E56" t="s">
        <v>2125</v>
      </c>
      <c r="F56" t="s">
        <v>2524</v>
      </c>
      <c r="G56" t="s">
        <v>106</v>
      </c>
      <c r="H56" t="s">
        <v>2127</v>
      </c>
    </row>
    <row r="57" spans="1:8">
      <c r="A57" t="s">
        <v>2586</v>
      </c>
      <c r="B57" t="s">
        <v>2587</v>
      </c>
      <c r="C57" s="9">
        <v>2013</v>
      </c>
      <c r="D57" t="s">
        <v>2124</v>
      </c>
      <c r="E57" t="s">
        <v>2125</v>
      </c>
      <c r="F57" t="s">
        <v>2588</v>
      </c>
      <c r="G57" t="s">
        <v>106</v>
      </c>
      <c r="H57" t="s">
        <v>2127</v>
      </c>
    </row>
    <row r="58" spans="1:8">
      <c r="A58" t="s">
        <v>1188</v>
      </c>
      <c r="B58" t="s">
        <v>2481</v>
      </c>
      <c r="C58" s="9">
        <v>2000</v>
      </c>
      <c r="D58" t="s">
        <v>2435</v>
      </c>
      <c r="E58" t="s">
        <v>2125</v>
      </c>
      <c r="F58" t="s">
        <v>2482</v>
      </c>
      <c r="G58" t="s">
        <v>106</v>
      </c>
      <c r="H58" t="s">
        <v>2127</v>
      </c>
    </row>
    <row r="59" spans="1:8">
      <c r="A59" t="s">
        <v>1408</v>
      </c>
      <c r="B59" t="s">
        <v>2481</v>
      </c>
      <c r="C59" s="9">
        <v>2015</v>
      </c>
      <c r="D59" t="s">
        <v>2129</v>
      </c>
      <c r="E59" t="s">
        <v>2125</v>
      </c>
      <c r="F59" t="s">
        <v>2589</v>
      </c>
      <c r="G59" t="s">
        <v>106</v>
      </c>
      <c r="H59" t="s">
        <v>2127</v>
      </c>
    </row>
    <row r="60" spans="1:8">
      <c r="A60" t="s">
        <v>211</v>
      </c>
      <c r="B60" t="s">
        <v>2481</v>
      </c>
      <c r="C60" s="9">
        <v>2023</v>
      </c>
      <c r="D60" t="s">
        <v>3050</v>
      </c>
      <c r="E60" t="s">
        <v>106</v>
      </c>
      <c r="F60" t="s">
        <v>3051</v>
      </c>
      <c r="G60" t="s">
        <v>106</v>
      </c>
      <c r="H60" t="s">
        <v>3007</v>
      </c>
    </row>
    <row r="61" spans="1:8">
      <c r="A61" t="s">
        <v>241</v>
      </c>
      <c r="B61" t="s">
        <v>2481</v>
      </c>
      <c r="C61" s="9">
        <v>2022</v>
      </c>
      <c r="D61" t="s">
        <v>3037</v>
      </c>
      <c r="E61" t="s">
        <v>106</v>
      </c>
      <c r="F61" t="s">
        <v>3210</v>
      </c>
      <c r="G61" t="s">
        <v>106</v>
      </c>
      <c r="H61" t="s">
        <v>3007</v>
      </c>
    </row>
    <row r="62" spans="1:8">
      <c r="A62" t="s">
        <v>290</v>
      </c>
      <c r="B62" t="s">
        <v>2481</v>
      </c>
      <c r="C62" s="9">
        <v>2019</v>
      </c>
      <c r="D62" t="s">
        <v>3244</v>
      </c>
      <c r="E62" t="s">
        <v>106</v>
      </c>
      <c r="F62" t="s">
        <v>106</v>
      </c>
      <c r="G62" t="s">
        <v>3245</v>
      </c>
      <c r="H62" t="s">
        <v>3007</v>
      </c>
    </row>
    <row r="63" spans="1:8">
      <c r="A63" t="s">
        <v>801</v>
      </c>
      <c r="B63" t="s">
        <v>2299</v>
      </c>
      <c r="C63" s="9">
        <v>2008</v>
      </c>
      <c r="D63" t="s">
        <v>2300</v>
      </c>
      <c r="E63" t="s">
        <v>2125</v>
      </c>
      <c r="F63" t="s">
        <v>2301</v>
      </c>
      <c r="G63" t="s">
        <v>106</v>
      </c>
      <c r="H63" t="s">
        <v>2127</v>
      </c>
    </row>
    <row r="64" spans="1:8">
      <c r="A64" t="s">
        <v>1165</v>
      </c>
      <c r="B64" t="s">
        <v>2429</v>
      </c>
      <c r="C64" s="9">
        <v>2003</v>
      </c>
      <c r="D64" t="s">
        <v>2183</v>
      </c>
      <c r="E64" t="s">
        <v>2125</v>
      </c>
      <c r="F64" t="s">
        <v>2430</v>
      </c>
      <c r="G64" t="s">
        <v>106</v>
      </c>
      <c r="H64" t="s">
        <v>2127</v>
      </c>
    </row>
    <row r="65" spans="1:8">
      <c r="A65" s="41" t="s">
        <v>941</v>
      </c>
      <c r="B65" s="41" t="s">
        <v>3643</v>
      </c>
      <c r="C65" s="40">
        <v>2021</v>
      </c>
      <c r="D65" s="41" t="s">
        <v>2245</v>
      </c>
      <c r="E65" t="s">
        <v>106</v>
      </c>
      <c r="F65" t="s">
        <v>3644</v>
      </c>
      <c r="G65" t="s">
        <v>106</v>
      </c>
      <c r="H65" t="s">
        <v>3007</v>
      </c>
    </row>
    <row r="66" spans="1:8">
      <c r="A66" t="s">
        <v>802</v>
      </c>
      <c r="B66" t="s">
        <v>2302</v>
      </c>
      <c r="C66" s="9">
        <v>2013</v>
      </c>
      <c r="D66" t="s">
        <v>2124</v>
      </c>
      <c r="E66" t="s">
        <v>2125</v>
      </c>
      <c r="F66" t="s">
        <v>2303</v>
      </c>
      <c r="G66" t="s">
        <v>106</v>
      </c>
      <c r="H66" t="s">
        <v>2127</v>
      </c>
    </row>
    <row r="67" spans="1:8">
      <c r="A67" t="s">
        <v>803</v>
      </c>
      <c r="B67" t="s">
        <v>2304</v>
      </c>
      <c r="C67" s="9">
        <v>1992</v>
      </c>
      <c r="D67" t="s">
        <v>2158</v>
      </c>
      <c r="E67" t="s">
        <v>2125</v>
      </c>
      <c r="F67" t="s">
        <v>2305</v>
      </c>
      <c r="G67" t="s">
        <v>106</v>
      </c>
      <c r="H67" t="s">
        <v>2127</v>
      </c>
    </row>
    <row r="68" spans="1:8">
      <c r="A68" t="s">
        <v>3505</v>
      </c>
      <c r="B68" t="s">
        <v>3506</v>
      </c>
      <c r="C68" s="9">
        <v>2023</v>
      </c>
      <c r="D68" t="s">
        <v>3507</v>
      </c>
      <c r="E68" t="s">
        <v>106</v>
      </c>
      <c r="F68" t="s">
        <v>3508</v>
      </c>
      <c r="G68" t="s">
        <v>106</v>
      </c>
      <c r="H68" t="s">
        <v>3007</v>
      </c>
    </row>
    <row r="69" spans="1:8">
      <c r="A69" t="s">
        <v>369</v>
      </c>
      <c r="B69" t="s">
        <v>3304</v>
      </c>
      <c r="C69" s="9">
        <v>2022</v>
      </c>
      <c r="D69" t="s">
        <v>3305</v>
      </c>
      <c r="E69" t="s">
        <v>106</v>
      </c>
      <c r="F69" t="s">
        <v>3306</v>
      </c>
      <c r="G69" t="s">
        <v>106</v>
      </c>
      <c r="H69" t="s">
        <v>3007</v>
      </c>
    </row>
    <row r="70" spans="1:8">
      <c r="A70" t="s">
        <v>136</v>
      </c>
      <c r="B70" t="s">
        <v>2227</v>
      </c>
      <c r="C70" s="9">
        <v>2013</v>
      </c>
      <c r="D70" t="s">
        <v>2124</v>
      </c>
      <c r="E70" t="s">
        <v>2125</v>
      </c>
      <c r="F70" t="s">
        <v>2228</v>
      </c>
      <c r="G70" t="s">
        <v>106</v>
      </c>
      <c r="H70" t="s">
        <v>2127</v>
      </c>
    </row>
    <row r="71" spans="1:8">
      <c r="A71" t="s">
        <v>1294</v>
      </c>
      <c r="B71" t="s">
        <v>2531</v>
      </c>
      <c r="C71" s="9">
        <v>2010</v>
      </c>
      <c r="D71" t="s">
        <v>2124</v>
      </c>
      <c r="E71" t="s">
        <v>2125</v>
      </c>
      <c r="F71" t="s">
        <v>2532</v>
      </c>
      <c r="G71" t="s">
        <v>106</v>
      </c>
      <c r="H71" t="s">
        <v>2127</v>
      </c>
    </row>
    <row r="72" spans="1:8">
      <c r="A72" t="s">
        <v>3348</v>
      </c>
      <c r="B72" t="s">
        <v>2531</v>
      </c>
      <c r="C72" s="9">
        <v>2020</v>
      </c>
      <c r="D72" t="s">
        <v>3349</v>
      </c>
      <c r="E72" t="s">
        <v>106</v>
      </c>
      <c r="F72" t="s">
        <v>3350</v>
      </c>
      <c r="G72" t="s">
        <v>106</v>
      </c>
      <c r="H72" t="s">
        <v>3007</v>
      </c>
    </row>
    <row r="73" spans="1:8">
      <c r="A73" t="s">
        <v>2346</v>
      </c>
      <c r="B73" t="s">
        <v>2347</v>
      </c>
      <c r="C73" s="9">
        <v>1991</v>
      </c>
      <c r="D73" t="s">
        <v>2132</v>
      </c>
      <c r="E73" t="s">
        <v>2125</v>
      </c>
      <c r="F73" t="s">
        <v>2348</v>
      </c>
      <c r="G73" t="s">
        <v>106</v>
      </c>
      <c r="H73" t="s">
        <v>2127</v>
      </c>
    </row>
    <row r="74" spans="1:8">
      <c r="A74" t="s">
        <v>3577</v>
      </c>
      <c r="B74" t="s">
        <v>3578</v>
      </c>
      <c r="C74" s="9">
        <v>2019</v>
      </c>
      <c r="D74" t="s">
        <v>3579</v>
      </c>
      <c r="E74" t="s">
        <v>106</v>
      </c>
      <c r="F74" t="s">
        <v>3580</v>
      </c>
      <c r="G74" t="s">
        <v>106</v>
      </c>
      <c r="H74" t="s">
        <v>3007</v>
      </c>
    </row>
    <row r="75" spans="1:8">
      <c r="A75" t="s">
        <v>365</v>
      </c>
      <c r="B75" t="s">
        <v>3302</v>
      </c>
      <c r="C75" s="9">
        <v>2021</v>
      </c>
      <c r="D75" t="s">
        <v>3071</v>
      </c>
      <c r="E75" t="s">
        <v>106</v>
      </c>
      <c r="F75" t="s">
        <v>3303</v>
      </c>
      <c r="G75" t="s">
        <v>106</v>
      </c>
      <c r="H75" t="s">
        <v>3007</v>
      </c>
    </row>
    <row r="76" spans="1:8">
      <c r="A76" t="s">
        <v>3344</v>
      </c>
      <c r="B76" t="s">
        <v>3345</v>
      </c>
      <c r="C76" s="9">
        <v>2019</v>
      </c>
      <c r="D76" t="s">
        <v>3346</v>
      </c>
      <c r="E76" t="s">
        <v>106</v>
      </c>
      <c r="F76" t="s">
        <v>3347</v>
      </c>
      <c r="G76" t="s">
        <v>106</v>
      </c>
      <c r="H76" t="s">
        <v>3007</v>
      </c>
    </row>
    <row r="77" spans="1:8">
      <c r="A77" t="s">
        <v>134</v>
      </c>
      <c r="B77" t="s">
        <v>2224</v>
      </c>
      <c r="C77" s="9">
        <v>2018</v>
      </c>
      <c r="D77" t="s">
        <v>2225</v>
      </c>
      <c r="E77" t="s">
        <v>2165</v>
      </c>
      <c r="F77" t="s">
        <v>2226</v>
      </c>
      <c r="G77" t="s">
        <v>106</v>
      </c>
      <c r="H77" t="s">
        <v>2127</v>
      </c>
    </row>
    <row r="78" spans="1:8">
      <c r="A78" t="s">
        <v>3772</v>
      </c>
      <c r="B78" t="s">
        <v>3773</v>
      </c>
      <c r="C78" s="9">
        <v>2019</v>
      </c>
      <c r="D78" t="s">
        <v>3774</v>
      </c>
      <c r="E78" t="s">
        <v>106</v>
      </c>
      <c r="F78" t="s">
        <v>3775</v>
      </c>
      <c r="G78" t="s">
        <v>106</v>
      </c>
      <c r="H78" t="s">
        <v>3007</v>
      </c>
    </row>
    <row r="79" spans="1:8">
      <c r="A79" t="s">
        <v>2306</v>
      </c>
      <c r="B79" t="s">
        <v>2307</v>
      </c>
      <c r="C79" s="9">
        <v>2003</v>
      </c>
      <c r="D79" t="s">
        <v>2308</v>
      </c>
      <c r="E79" t="s">
        <v>2125</v>
      </c>
      <c r="F79" t="s">
        <v>2309</v>
      </c>
      <c r="G79" t="s">
        <v>106</v>
      </c>
      <c r="H79" t="s">
        <v>2127</v>
      </c>
    </row>
    <row r="80" spans="1:8">
      <c r="A80" t="s">
        <v>632</v>
      </c>
      <c r="B80" t="s">
        <v>2307</v>
      </c>
      <c r="C80" s="9">
        <v>2020</v>
      </c>
      <c r="D80" t="s">
        <v>3244</v>
      </c>
      <c r="E80" t="s">
        <v>106</v>
      </c>
      <c r="F80" t="s">
        <v>106</v>
      </c>
      <c r="G80" t="s">
        <v>3472</v>
      </c>
      <c r="H80" t="s">
        <v>3007</v>
      </c>
    </row>
    <row r="81" spans="1:8">
      <c r="A81" t="s">
        <v>807</v>
      </c>
      <c r="B81" t="s">
        <v>2310</v>
      </c>
      <c r="C81" s="9">
        <v>2000</v>
      </c>
      <c r="D81" t="s">
        <v>2311</v>
      </c>
      <c r="E81" t="s">
        <v>2125</v>
      </c>
      <c r="F81" t="s">
        <v>106</v>
      </c>
      <c r="G81" t="s">
        <v>2312</v>
      </c>
      <c r="H81" t="s">
        <v>2127</v>
      </c>
    </row>
    <row r="82" spans="1:8">
      <c r="A82" t="s">
        <v>283</v>
      </c>
      <c r="B82" t="s">
        <v>3237</v>
      </c>
      <c r="C82" s="9">
        <v>2019</v>
      </c>
      <c r="D82" t="s">
        <v>3238</v>
      </c>
      <c r="E82" t="s">
        <v>106</v>
      </c>
      <c r="F82" t="s">
        <v>3239</v>
      </c>
      <c r="G82" t="s">
        <v>106</v>
      </c>
      <c r="H82" t="s">
        <v>3007</v>
      </c>
    </row>
    <row r="83" spans="1:8">
      <c r="A83" t="s">
        <v>3750</v>
      </c>
      <c r="B83" t="s">
        <v>3751</v>
      </c>
      <c r="C83" s="9">
        <v>2019</v>
      </c>
      <c r="D83" t="s">
        <v>3752</v>
      </c>
      <c r="E83" t="s">
        <v>106</v>
      </c>
      <c r="F83" t="s">
        <v>3753</v>
      </c>
      <c r="G83" t="s">
        <v>106</v>
      </c>
      <c r="H83" t="s">
        <v>3007</v>
      </c>
    </row>
    <row r="84" spans="1:8">
      <c r="A84" t="s">
        <v>1671</v>
      </c>
      <c r="B84" t="s">
        <v>2800</v>
      </c>
      <c r="C84" s="9">
        <v>2002</v>
      </c>
      <c r="D84" t="s">
        <v>2183</v>
      </c>
      <c r="E84" t="s">
        <v>2125</v>
      </c>
      <c r="F84" t="s">
        <v>2801</v>
      </c>
      <c r="G84" t="s">
        <v>106</v>
      </c>
      <c r="H84" t="s">
        <v>2127</v>
      </c>
    </row>
    <row r="85" spans="1:8">
      <c r="A85" t="s">
        <v>665</v>
      </c>
      <c r="B85" t="s">
        <v>3488</v>
      </c>
      <c r="C85" s="9">
        <v>2020</v>
      </c>
      <c r="D85" t="s">
        <v>3489</v>
      </c>
      <c r="E85" t="s">
        <v>106</v>
      </c>
      <c r="F85" t="s">
        <v>3490</v>
      </c>
      <c r="G85" t="s">
        <v>106</v>
      </c>
      <c r="H85" t="s">
        <v>3007</v>
      </c>
    </row>
    <row r="86" spans="1:8">
      <c r="A86" t="s">
        <v>1094</v>
      </c>
      <c r="B86" t="s">
        <v>3702</v>
      </c>
      <c r="C86" s="9">
        <v>2023</v>
      </c>
      <c r="D86" t="s">
        <v>3219</v>
      </c>
      <c r="E86" t="s">
        <v>106</v>
      </c>
      <c r="F86" t="s">
        <v>3703</v>
      </c>
      <c r="G86" t="s">
        <v>106</v>
      </c>
      <c r="H86" t="s">
        <v>3007</v>
      </c>
    </row>
    <row r="87" spans="1:8">
      <c r="A87" t="s">
        <v>2250</v>
      </c>
      <c r="B87" t="s">
        <v>2251</v>
      </c>
      <c r="C87" s="9">
        <v>2014</v>
      </c>
      <c r="D87" t="s">
        <v>2252</v>
      </c>
      <c r="E87" t="s">
        <v>2125</v>
      </c>
      <c r="F87" t="s">
        <v>2253</v>
      </c>
      <c r="G87" t="s">
        <v>106</v>
      </c>
      <c r="H87" t="s">
        <v>2127</v>
      </c>
    </row>
    <row r="88" spans="1:8">
      <c r="A88" t="s">
        <v>1299</v>
      </c>
      <c r="B88" t="s">
        <v>2533</v>
      </c>
      <c r="C88" s="9">
        <v>2010</v>
      </c>
      <c r="D88" t="s">
        <v>2124</v>
      </c>
      <c r="E88" t="s">
        <v>2125</v>
      </c>
      <c r="F88" t="s">
        <v>2534</v>
      </c>
      <c r="G88" t="s">
        <v>106</v>
      </c>
      <c r="H88" t="s">
        <v>2127</v>
      </c>
    </row>
    <row r="89" spans="1:8">
      <c r="A89" t="s">
        <v>1649</v>
      </c>
      <c r="B89" t="s">
        <v>2533</v>
      </c>
      <c r="C89" s="9">
        <v>2016</v>
      </c>
      <c r="D89" t="s">
        <v>2124</v>
      </c>
      <c r="E89" t="s">
        <v>2125</v>
      </c>
      <c r="F89" t="s">
        <v>2783</v>
      </c>
      <c r="G89" t="s">
        <v>106</v>
      </c>
      <c r="H89" t="s">
        <v>2127</v>
      </c>
    </row>
    <row r="90" spans="1:8">
      <c r="A90" t="s">
        <v>1076</v>
      </c>
      <c r="B90" t="s">
        <v>3675</v>
      </c>
      <c r="C90" s="9">
        <v>2021</v>
      </c>
      <c r="D90" t="s">
        <v>3250</v>
      </c>
      <c r="E90" t="s">
        <v>106</v>
      </c>
      <c r="F90" t="s">
        <v>3676</v>
      </c>
      <c r="G90" t="s">
        <v>106</v>
      </c>
      <c r="H90" t="s">
        <v>3007</v>
      </c>
    </row>
    <row r="91" spans="1:8">
      <c r="A91" t="s">
        <v>989</v>
      </c>
      <c r="B91" t="s">
        <v>3137</v>
      </c>
      <c r="C91" s="9">
        <v>2021</v>
      </c>
      <c r="D91" t="s">
        <v>2160</v>
      </c>
      <c r="E91" t="s">
        <v>106</v>
      </c>
      <c r="F91" t="s">
        <v>3138</v>
      </c>
      <c r="G91" t="s">
        <v>106</v>
      </c>
      <c r="H91" t="s">
        <v>3007</v>
      </c>
    </row>
    <row r="92" spans="1:8">
      <c r="A92" t="s">
        <v>1146</v>
      </c>
      <c r="B92" t="s">
        <v>3137</v>
      </c>
      <c r="C92" s="9">
        <v>2021</v>
      </c>
      <c r="D92" t="s">
        <v>3108</v>
      </c>
      <c r="E92" t="s">
        <v>106</v>
      </c>
      <c r="F92" t="s">
        <v>3783</v>
      </c>
      <c r="G92" t="s">
        <v>106</v>
      </c>
      <c r="H92" t="s">
        <v>3007</v>
      </c>
    </row>
    <row r="93" spans="1:8">
      <c r="A93" t="s">
        <v>1167</v>
      </c>
      <c r="B93" t="s">
        <v>2434</v>
      </c>
      <c r="C93" s="9">
        <v>2002</v>
      </c>
      <c r="D93" t="s">
        <v>2435</v>
      </c>
      <c r="E93" t="s">
        <v>2125</v>
      </c>
      <c r="F93" t="s">
        <v>2436</v>
      </c>
      <c r="G93" t="s">
        <v>106</v>
      </c>
      <c r="H93" t="s">
        <v>2127</v>
      </c>
    </row>
    <row r="94" spans="1:8">
      <c r="A94" t="s">
        <v>3124</v>
      </c>
      <c r="B94" t="s">
        <v>3125</v>
      </c>
      <c r="C94" s="9">
        <v>2019</v>
      </c>
      <c r="D94" t="s">
        <v>2124</v>
      </c>
      <c r="E94" t="s">
        <v>106</v>
      </c>
      <c r="F94" t="s">
        <v>3126</v>
      </c>
      <c r="G94" t="s">
        <v>106</v>
      </c>
      <c r="H94" t="s">
        <v>3007</v>
      </c>
    </row>
    <row r="95" spans="1:8">
      <c r="A95" t="s">
        <v>3398</v>
      </c>
      <c r="B95" t="s">
        <v>3399</v>
      </c>
      <c r="C95" s="9">
        <v>2020</v>
      </c>
      <c r="D95" t="s">
        <v>3071</v>
      </c>
      <c r="E95" t="s">
        <v>106</v>
      </c>
      <c r="F95" t="s">
        <v>3400</v>
      </c>
      <c r="G95" t="s">
        <v>106</v>
      </c>
      <c r="H95" t="s">
        <v>3007</v>
      </c>
    </row>
    <row r="96" spans="1:8">
      <c r="A96" t="s">
        <v>2122</v>
      </c>
      <c r="B96" t="s">
        <v>2123</v>
      </c>
      <c r="C96" s="9">
        <v>2007</v>
      </c>
      <c r="D96" t="s">
        <v>2124</v>
      </c>
      <c r="E96" t="s">
        <v>2125</v>
      </c>
      <c r="F96" t="s">
        <v>2126</v>
      </c>
      <c r="G96" t="s">
        <v>106</v>
      </c>
      <c r="H96" t="s">
        <v>2127</v>
      </c>
    </row>
    <row r="97" spans="1:8">
      <c r="A97" t="s">
        <v>1655</v>
      </c>
      <c r="B97" t="s">
        <v>2784</v>
      </c>
      <c r="C97" s="9">
        <v>2016</v>
      </c>
      <c r="D97" t="s">
        <v>2393</v>
      </c>
      <c r="E97" t="s">
        <v>2125</v>
      </c>
      <c r="F97" t="s">
        <v>2785</v>
      </c>
      <c r="G97" t="s">
        <v>106</v>
      </c>
      <c r="H97" t="s">
        <v>2127</v>
      </c>
    </row>
    <row r="98" spans="1:8">
      <c r="A98" t="s">
        <v>1011</v>
      </c>
      <c r="B98" t="s">
        <v>3158</v>
      </c>
      <c r="C98" s="9">
        <v>2022</v>
      </c>
      <c r="D98" t="s">
        <v>3062</v>
      </c>
      <c r="E98" t="s">
        <v>106</v>
      </c>
      <c r="F98" t="s">
        <v>3159</v>
      </c>
      <c r="G98" t="s">
        <v>106</v>
      </c>
      <c r="H98" t="s">
        <v>3007</v>
      </c>
    </row>
    <row r="99" spans="1:8">
      <c r="A99" t="s">
        <v>2134</v>
      </c>
      <c r="B99" t="s">
        <v>2135</v>
      </c>
      <c r="C99" s="9">
        <v>2006</v>
      </c>
      <c r="D99" t="s">
        <v>2136</v>
      </c>
      <c r="E99" t="s">
        <v>2125</v>
      </c>
      <c r="F99" t="s">
        <v>2137</v>
      </c>
      <c r="G99" t="s">
        <v>106</v>
      </c>
      <c r="H99" t="s">
        <v>2127</v>
      </c>
    </row>
    <row r="100" spans="1:8">
      <c r="A100" t="s">
        <v>295</v>
      </c>
      <c r="B100" t="s">
        <v>3246</v>
      </c>
      <c r="C100" s="9">
        <v>2020</v>
      </c>
      <c r="D100" t="s">
        <v>3027</v>
      </c>
      <c r="E100" t="s">
        <v>106</v>
      </c>
      <c r="F100" t="s">
        <v>3247</v>
      </c>
      <c r="G100" t="s">
        <v>106</v>
      </c>
      <c r="H100" t="s">
        <v>3007</v>
      </c>
    </row>
    <row r="101" spans="1:8">
      <c r="A101" t="s">
        <v>3268</v>
      </c>
      <c r="B101" t="s">
        <v>3246</v>
      </c>
      <c r="C101" s="9">
        <v>2020</v>
      </c>
      <c r="D101" t="s">
        <v>3027</v>
      </c>
      <c r="E101" t="s">
        <v>106</v>
      </c>
      <c r="F101" t="s">
        <v>3269</v>
      </c>
      <c r="G101" t="s">
        <v>106</v>
      </c>
      <c r="H101" t="s">
        <v>3007</v>
      </c>
    </row>
    <row r="102" spans="1:8">
      <c r="A102" t="s">
        <v>1097</v>
      </c>
      <c r="B102" t="s">
        <v>3246</v>
      </c>
      <c r="C102" s="9">
        <v>2020</v>
      </c>
      <c r="D102" t="s">
        <v>3043</v>
      </c>
      <c r="E102" t="s">
        <v>106</v>
      </c>
      <c r="F102" t="s">
        <v>3707</v>
      </c>
      <c r="G102" t="s">
        <v>106</v>
      </c>
      <c r="H102" t="s">
        <v>3007</v>
      </c>
    </row>
    <row r="103" spans="1:8">
      <c r="A103" t="s">
        <v>2229</v>
      </c>
      <c r="B103" t="s">
        <v>2230</v>
      </c>
      <c r="C103" s="9">
        <v>2017</v>
      </c>
      <c r="D103" t="s">
        <v>2231</v>
      </c>
      <c r="E103" t="s">
        <v>2165</v>
      </c>
      <c r="F103" t="s">
        <v>2232</v>
      </c>
      <c r="G103" t="s">
        <v>106</v>
      </c>
      <c r="H103" t="s">
        <v>2127</v>
      </c>
    </row>
    <row r="104" spans="1:8">
      <c r="A104" t="s">
        <v>730</v>
      </c>
      <c r="B104" t="s">
        <v>3606</v>
      </c>
      <c r="C104" s="9">
        <v>2019</v>
      </c>
      <c r="D104" t="s">
        <v>3607</v>
      </c>
      <c r="E104" t="s">
        <v>106</v>
      </c>
      <c r="F104" t="s">
        <v>3608</v>
      </c>
      <c r="G104" t="s">
        <v>106</v>
      </c>
      <c r="H104" t="s">
        <v>3007</v>
      </c>
    </row>
    <row r="105" spans="1:8">
      <c r="A105" t="s">
        <v>2233</v>
      </c>
      <c r="B105" t="s">
        <v>2234</v>
      </c>
      <c r="C105" s="9">
        <v>2018</v>
      </c>
      <c r="D105" t="s">
        <v>2235</v>
      </c>
      <c r="E105" t="s">
        <v>2165</v>
      </c>
      <c r="F105" t="s">
        <v>106</v>
      </c>
      <c r="G105" t="s">
        <v>2236</v>
      </c>
      <c r="H105" t="s">
        <v>2127</v>
      </c>
    </row>
    <row r="106" spans="1:8">
      <c r="A106" t="s">
        <v>3395</v>
      </c>
      <c r="B106" t="s">
        <v>3396</v>
      </c>
      <c r="C106" s="9">
        <v>2020</v>
      </c>
      <c r="D106" t="s">
        <v>3071</v>
      </c>
      <c r="E106" t="s">
        <v>106</v>
      </c>
      <c r="F106" t="s">
        <v>3397</v>
      </c>
      <c r="G106" t="s">
        <v>106</v>
      </c>
      <c r="H106" t="s">
        <v>3007</v>
      </c>
    </row>
    <row r="107" spans="1:8">
      <c r="A107" t="s">
        <v>3499</v>
      </c>
      <c r="B107" t="s">
        <v>3500</v>
      </c>
      <c r="C107" s="9">
        <v>2019</v>
      </c>
      <c r="D107" t="s">
        <v>3445</v>
      </c>
      <c r="E107" t="s">
        <v>106</v>
      </c>
      <c r="F107" t="s">
        <v>3501</v>
      </c>
      <c r="G107" t="s">
        <v>106</v>
      </c>
      <c r="H107" t="s">
        <v>3007</v>
      </c>
    </row>
    <row r="108" spans="1:8">
      <c r="A108" t="s">
        <v>1071</v>
      </c>
      <c r="B108" t="s">
        <v>3673</v>
      </c>
      <c r="C108" s="9">
        <v>2018</v>
      </c>
      <c r="D108" t="s">
        <v>3646</v>
      </c>
      <c r="E108" t="s">
        <v>106</v>
      </c>
      <c r="F108" t="s">
        <v>3674</v>
      </c>
      <c r="G108" t="s">
        <v>106</v>
      </c>
      <c r="H108" t="s">
        <v>3007</v>
      </c>
    </row>
    <row r="109" spans="1:8">
      <c r="A109" t="s">
        <v>677</v>
      </c>
      <c r="B109" t="s">
        <v>3515</v>
      </c>
      <c r="C109" s="9">
        <v>2020</v>
      </c>
      <c r="D109" t="s">
        <v>3516</v>
      </c>
      <c r="E109" t="s">
        <v>106</v>
      </c>
      <c r="F109" t="s">
        <v>3517</v>
      </c>
      <c r="G109" t="s">
        <v>106</v>
      </c>
      <c r="H109" t="s">
        <v>3007</v>
      </c>
    </row>
    <row r="110" spans="1:8">
      <c r="A110" t="s">
        <v>748</v>
      </c>
      <c r="B110" t="s">
        <v>2257</v>
      </c>
      <c r="C110" s="9">
        <v>2014</v>
      </c>
      <c r="D110" t="s">
        <v>2124</v>
      </c>
      <c r="E110" t="s">
        <v>2125</v>
      </c>
      <c r="F110" t="s">
        <v>2258</v>
      </c>
      <c r="G110" t="s">
        <v>106</v>
      </c>
      <c r="H110" t="s">
        <v>2127</v>
      </c>
    </row>
    <row r="111" spans="1:8">
      <c r="A111" t="s">
        <v>1125</v>
      </c>
      <c r="B111" t="s">
        <v>3762</v>
      </c>
      <c r="C111" s="9">
        <v>2023</v>
      </c>
      <c r="D111" t="s">
        <v>2837</v>
      </c>
      <c r="E111" t="s">
        <v>106</v>
      </c>
      <c r="F111" t="s">
        <v>3763</v>
      </c>
      <c r="G111" t="s">
        <v>106</v>
      </c>
      <c r="H111" t="s">
        <v>3007</v>
      </c>
    </row>
    <row r="112" spans="1:8">
      <c r="A112" t="s">
        <v>808</v>
      </c>
      <c r="B112" t="s">
        <v>2313</v>
      </c>
      <c r="C112" s="9">
        <v>1990</v>
      </c>
      <c r="D112" t="s">
        <v>2132</v>
      </c>
      <c r="E112" t="s">
        <v>2125</v>
      </c>
      <c r="F112" t="s">
        <v>2314</v>
      </c>
      <c r="G112" t="s">
        <v>106</v>
      </c>
      <c r="H112" t="s">
        <v>2127</v>
      </c>
    </row>
    <row r="113" spans="1:8">
      <c r="A113" t="s">
        <v>809</v>
      </c>
      <c r="B113" t="s">
        <v>2313</v>
      </c>
      <c r="C113" s="9">
        <v>1990</v>
      </c>
      <c r="D113" t="s">
        <v>2132</v>
      </c>
      <c r="E113" t="s">
        <v>2125</v>
      </c>
      <c r="F113" t="s">
        <v>2314</v>
      </c>
      <c r="G113" t="s">
        <v>106</v>
      </c>
      <c r="H113" t="s">
        <v>2127</v>
      </c>
    </row>
    <row r="114" spans="1:8">
      <c r="A114" t="s">
        <v>837</v>
      </c>
      <c r="B114" t="s">
        <v>2313</v>
      </c>
      <c r="C114" s="9">
        <v>1995</v>
      </c>
      <c r="D114" t="s">
        <v>2351</v>
      </c>
      <c r="E114" t="s">
        <v>2125</v>
      </c>
      <c r="F114" t="s">
        <v>106</v>
      </c>
      <c r="G114" s="7" t="s">
        <v>2352</v>
      </c>
      <c r="H114" t="s">
        <v>2127</v>
      </c>
    </row>
    <row r="115" spans="1:8">
      <c r="A115" t="s">
        <v>2254</v>
      </c>
      <c r="B115" t="s">
        <v>2255</v>
      </c>
      <c r="C115" s="9">
        <v>2014</v>
      </c>
      <c r="D115" t="s">
        <v>2238</v>
      </c>
      <c r="E115" t="s">
        <v>2125</v>
      </c>
      <c r="F115" t="s">
        <v>106</v>
      </c>
      <c r="G115" t="s">
        <v>2256</v>
      </c>
      <c r="H115" t="s">
        <v>2127</v>
      </c>
    </row>
    <row r="116" spans="1:8">
      <c r="A116" t="s">
        <v>2376</v>
      </c>
      <c r="B116" t="s">
        <v>2377</v>
      </c>
      <c r="C116" s="9">
        <v>1991</v>
      </c>
      <c r="D116" t="s">
        <v>2378</v>
      </c>
      <c r="E116" t="s">
        <v>2125</v>
      </c>
      <c r="F116" t="s">
        <v>2379</v>
      </c>
      <c r="G116" t="s">
        <v>106</v>
      </c>
      <c r="H116" t="s">
        <v>2127</v>
      </c>
    </row>
    <row r="117" spans="1:8">
      <c r="A117" t="s">
        <v>3240</v>
      </c>
      <c r="B117" t="s">
        <v>3241</v>
      </c>
      <c r="C117" s="9">
        <v>2023</v>
      </c>
      <c r="D117" t="s">
        <v>3242</v>
      </c>
      <c r="E117" t="s">
        <v>106</v>
      </c>
      <c r="F117" t="s">
        <v>3243</v>
      </c>
      <c r="G117" t="s">
        <v>106</v>
      </c>
      <c r="H117" t="s">
        <v>3007</v>
      </c>
    </row>
    <row r="118" spans="1:8">
      <c r="A118" t="s">
        <v>1413</v>
      </c>
      <c r="B118" t="s">
        <v>2590</v>
      </c>
      <c r="C118" s="9">
        <v>2013</v>
      </c>
      <c r="D118" t="s">
        <v>2124</v>
      </c>
      <c r="E118" t="s">
        <v>2125</v>
      </c>
      <c r="F118" t="s">
        <v>2591</v>
      </c>
      <c r="G118" t="s">
        <v>106</v>
      </c>
      <c r="H118" t="s">
        <v>2127</v>
      </c>
    </row>
    <row r="119" spans="1:8">
      <c r="A119" t="s">
        <v>951</v>
      </c>
      <c r="B119" t="s">
        <v>2590</v>
      </c>
      <c r="C119" s="9">
        <v>2021</v>
      </c>
      <c r="D119" t="s">
        <v>3108</v>
      </c>
      <c r="E119" t="s">
        <v>106</v>
      </c>
      <c r="F119" t="s">
        <v>106</v>
      </c>
      <c r="G119" t="s">
        <v>3109</v>
      </c>
      <c r="H119" t="s">
        <v>3007</v>
      </c>
    </row>
    <row r="120" spans="1:8">
      <c r="A120" t="s">
        <v>433</v>
      </c>
      <c r="B120" t="s">
        <v>2590</v>
      </c>
      <c r="C120" s="9">
        <v>2022</v>
      </c>
      <c r="D120" t="s">
        <v>3108</v>
      </c>
      <c r="E120" t="s">
        <v>106</v>
      </c>
      <c r="F120" t="s">
        <v>3375</v>
      </c>
      <c r="G120" t="s">
        <v>106</v>
      </c>
      <c r="H120" t="s">
        <v>3007</v>
      </c>
    </row>
    <row r="121" spans="1:8">
      <c r="A121" t="s">
        <v>810</v>
      </c>
      <c r="B121" t="s">
        <v>2315</v>
      </c>
      <c r="C121" s="9">
        <v>2012</v>
      </c>
      <c r="D121" t="s">
        <v>2316</v>
      </c>
      <c r="E121" t="s">
        <v>2125</v>
      </c>
      <c r="F121" t="s">
        <v>106</v>
      </c>
      <c r="G121" t="s">
        <v>2317</v>
      </c>
      <c r="H121" t="s">
        <v>2127</v>
      </c>
    </row>
    <row r="122" spans="1:8">
      <c r="A122" t="s">
        <v>1443</v>
      </c>
      <c r="B122" t="s">
        <v>2629</v>
      </c>
      <c r="C122" s="9">
        <v>2004</v>
      </c>
      <c r="D122" t="s">
        <v>2129</v>
      </c>
      <c r="E122" t="s">
        <v>2125</v>
      </c>
      <c r="F122" t="s">
        <v>2630</v>
      </c>
      <c r="G122" t="s">
        <v>106</v>
      </c>
      <c r="H122" t="s">
        <v>2127</v>
      </c>
    </row>
    <row r="123" spans="1:8">
      <c r="A123" t="s">
        <v>572</v>
      </c>
      <c r="B123" t="s">
        <v>3441</v>
      </c>
      <c r="C123" s="9">
        <v>2022</v>
      </c>
      <c r="D123" t="s">
        <v>3442</v>
      </c>
      <c r="E123" t="s">
        <v>106</v>
      </c>
      <c r="F123" t="s">
        <v>3443</v>
      </c>
      <c r="G123" t="s">
        <v>106</v>
      </c>
      <c r="H123" t="s">
        <v>3007</v>
      </c>
    </row>
    <row r="124" spans="1:8">
      <c r="A124" t="s">
        <v>2265</v>
      </c>
      <c r="B124" t="s">
        <v>2266</v>
      </c>
      <c r="C124" s="9">
        <v>2013</v>
      </c>
      <c r="D124" t="s">
        <v>2267</v>
      </c>
      <c r="E124" t="s">
        <v>2165</v>
      </c>
      <c r="F124" t="s">
        <v>106</v>
      </c>
      <c r="G124" t="s">
        <v>2268</v>
      </c>
      <c r="H124" t="s">
        <v>2127</v>
      </c>
    </row>
    <row r="125" spans="1:8">
      <c r="A125" t="s">
        <v>2278</v>
      </c>
      <c r="B125" t="s">
        <v>2279</v>
      </c>
      <c r="C125" s="9">
        <v>2013</v>
      </c>
      <c r="D125" t="s">
        <v>2238</v>
      </c>
      <c r="E125" t="s">
        <v>2125</v>
      </c>
      <c r="F125" t="s">
        <v>106</v>
      </c>
      <c r="G125" t="s">
        <v>2280</v>
      </c>
      <c r="H125" t="s">
        <v>2127</v>
      </c>
    </row>
    <row r="126" spans="1:8">
      <c r="A126" t="s">
        <v>2535</v>
      </c>
      <c r="B126" t="s">
        <v>2536</v>
      </c>
      <c r="C126" s="9">
        <v>2009</v>
      </c>
      <c r="D126" t="s">
        <v>2124</v>
      </c>
      <c r="E126" t="s">
        <v>2125</v>
      </c>
      <c r="F126" t="s">
        <v>2537</v>
      </c>
      <c r="G126" t="s">
        <v>106</v>
      </c>
      <c r="H126" t="s">
        <v>2127</v>
      </c>
    </row>
    <row r="127" spans="1:8">
      <c r="A127" t="s">
        <v>1303</v>
      </c>
      <c r="B127" t="s">
        <v>2538</v>
      </c>
      <c r="C127" s="9">
        <v>2008</v>
      </c>
      <c r="D127" t="s">
        <v>2124</v>
      </c>
      <c r="E127" t="s">
        <v>2125</v>
      </c>
      <c r="F127" t="s">
        <v>2539</v>
      </c>
      <c r="G127" t="s">
        <v>106</v>
      </c>
      <c r="H127" t="s">
        <v>2127</v>
      </c>
    </row>
    <row r="128" spans="1:8">
      <c r="A128" t="s">
        <v>1309</v>
      </c>
      <c r="B128" t="s">
        <v>2540</v>
      </c>
      <c r="C128" s="9">
        <v>1994</v>
      </c>
      <c r="D128" t="s">
        <v>2300</v>
      </c>
      <c r="E128" t="s">
        <v>2125</v>
      </c>
      <c r="F128" t="s">
        <v>2541</v>
      </c>
      <c r="G128" t="s">
        <v>106</v>
      </c>
      <c r="H128" t="s">
        <v>2127</v>
      </c>
    </row>
    <row r="129" spans="1:8">
      <c r="A129" t="s">
        <v>1314</v>
      </c>
      <c r="B129" t="s">
        <v>2540</v>
      </c>
      <c r="C129" s="9">
        <v>1995</v>
      </c>
      <c r="D129" t="s">
        <v>2180</v>
      </c>
      <c r="E129" t="s">
        <v>2125</v>
      </c>
      <c r="F129" t="s">
        <v>2542</v>
      </c>
      <c r="G129" t="s">
        <v>106</v>
      </c>
      <c r="H129" t="s">
        <v>2127</v>
      </c>
    </row>
    <row r="130" spans="1:8">
      <c r="A130" t="s">
        <v>1772</v>
      </c>
      <c r="B130" t="s">
        <v>2540</v>
      </c>
      <c r="C130" s="9">
        <v>1996</v>
      </c>
      <c r="D130" t="s">
        <v>2132</v>
      </c>
      <c r="E130" t="s">
        <v>2125</v>
      </c>
      <c r="F130" t="s">
        <v>2844</v>
      </c>
      <c r="G130" t="s">
        <v>106</v>
      </c>
      <c r="H130" t="s">
        <v>2127</v>
      </c>
    </row>
    <row r="131" spans="1:8">
      <c r="A131" t="s">
        <v>1718</v>
      </c>
      <c r="B131" t="s">
        <v>2171</v>
      </c>
      <c r="C131" s="9">
        <v>1997</v>
      </c>
      <c r="D131" t="s">
        <v>2172</v>
      </c>
      <c r="E131" t="s">
        <v>2125</v>
      </c>
      <c r="F131" t="s">
        <v>2173</v>
      </c>
      <c r="G131" t="s">
        <v>106</v>
      </c>
      <c r="H131" t="s">
        <v>2127</v>
      </c>
    </row>
    <row r="132" spans="1:8">
      <c r="A132" t="s">
        <v>2631</v>
      </c>
      <c r="B132" t="s">
        <v>2171</v>
      </c>
      <c r="C132" s="9">
        <v>1997</v>
      </c>
      <c r="D132" t="s">
        <v>2129</v>
      </c>
      <c r="E132" t="s">
        <v>2125</v>
      </c>
      <c r="F132" t="s">
        <v>2632</v>
      </c>
      <c r="G132" t="s">
        <v>106</v>
      </c>
      <c r="H132" t="s">
        <v>2127</v>
      </c>
    </row>
    <row r="133" spans="1:8">
      <c r="A133" t="s">
        <v>1472</v>
      </c>
      <c r="B133" t="s">
        <v>2171</v>
      </c>
      <c r="C133" s="9">
        <v>2001</v>
      </c>
      <c r="D133" t="s">
        <v>2667</v>
      </c>
      <c r="E133" t="s">
        <v>2125</v>
      </c>
      <c r="F133" t="s">
        <v>2668</v>
      </c>
      <c r="G133" t="s">
        <v>106</v>
      </c>
      <c r="H133" t="s">
        <v>2127</v>
      </c>
    </row>
    <row r="134" spans="1:8">
      <c r="A134" t="s">
        <v>1473</v>
      </c>
      <c r="B134" t="s">
        <v>2171</v>
      </c>
      <c r="C134" s="9">
        <v>2001</v>
      </c>
      <c r="D134" t="s">
        <v>2667</v>
      </c>
      <c r="E134" t="s">
        <v>2125</v>
      </c>
      <c r="F134" t="s">
        <v>2668</v>
      </c>
      <c r="G134" t="s">
        <v>106</v>
      </c>
      <c r="H134" t="s">
        <v>2127</v>
      </c>
    </row>
    <row r="135" spans="1:8">
      <c r="A135" t="s">
        <v>1474</v>
      </c>
      <c r="B135" t="s">
        <v>2171</v>
      </c>
      <c r="C135" s="9">
        <v>1991</v>
      </c>
      <c r="D135" t="s">
        <v>2669</v>
      </c>
      <c r="E135" t="s">
        <v>2125</v>
      </c>
      <c r="F135" t="s">
        <v>106</v>
      </c>
      <c r="G135" s="7" t="s">
        <v>2670</v>
      </c>
      <c r="H135" t="s">
        <v>2127</v>
      </c>
    </row>
    <row r="136" spans="1:8">
      <c r="A136" t="s">
        <v>2830</v>
      </c>
      <c r="B136" t="s">
        <v>2171</v>
      </c>
      <c r="C136" s="9">
        <v>1999</v>
      </c>
      <c r="D136" t="s">
        <v>2667</v>
      </c>
      <c r="E136" t="s">
        <v>2125</v>
      </c>
      <c r="F136" t="s">
        <v>2831</v>
      </c>
      <c r="G136" t="s">
        <v>106</v>
      </c>
      <c r="H136" t="s">
        <v>2127</v>
      </c>
    </row>
    <row r="137" spans="1:8">
      <c r="A137" t="s">
        <v>1717</v>
      </c>
      <c r="B137" t="s">
        <v>2171</v>
      </c>
      <c r="C137" s="9">
        <v>1995</v>
      </c>
      <c r="D137" t="s">
        <v>2132</v>
      </c>
      <c r="E137" t="s">
        <v>2125</v>
      </c>
      <c r="F137" t="s">
        <v>2832</v>
      </c>
      <c r="G137" t="s">
        <v>106</v>
      </c>
      <c r="H137" t="s">
        <v>2127</v>
      </c>
    </row>
    <row r="138" spans="1:8">
      <c r="A138" t="s">
        <v>205</v>
      </c>
      <c r="B138" t="s">
        <v>3045</v>
      </c>
      <c r="C138" s="9">
        <v>2019</v>
      </c>
      <c r="D138" t="s">
        <v>3037</v>
      </c>
      <c r="E138" t="s">
        <v>106</v>
      </c>
      <c r="F138" t="s">
        <v>3046</v>
      </c>
      <c r="G138" t="s">
        <v>106</v>
      </c>
      <c r="H138" t="s">
        <v>3007</v>
      </c>
    </row>
    <row r="139" spans="1:8">
      <c r="A139" t="s">
        <v>2592</v>
      </c>
      <c r="B139" t="s">
        <v>2593</v>
      </c>
      <c r="C139" s="9">
        <v>2004</v>
      </c>
      <c r="D139" t="s">
        <v>2183</v>
      </c>
      <c r="E139" t="s">
        <v>2125</v>
      </c>
      <c r="F139" t="s">
        <v>2594</v>
      </c>
      <c r="G139" t="s">
        <v>106</v>
      </c>
      <c r="H139" t="s">
        <v>2127</v>
      </c>
    </row>
    <row r="140" spans="1:8">
      <c r="A140" t="s">
        <v>2595</v>
      </c>
      <c r="B140" t="s">
        <v>2593</v>
      </c>
      <c r="C140" s="9">
        <v>2004</v>
      </c>
      <c r="D140" t="s">
        <v>2183</v>
      </c>
      <c r="E140" t="s">
        <v>2125</v>
      </c>
      <c r="F140" t="s">
        <v>2594</v>
      </c>
      <c r="G140" t="s">
        <v>106</v>
      </c>
      <c r="H140" t="s">
        <v>2127</v>
      </c>
    </row>
    <row r="141" spans="1:8">
      <c r="A141" t="s">
        <v>2243</v>
      </c>
      <c r="B141" t="s">
        <v>2244</v>
      </c>
      <c r="C141" s="9">
        <v>2018</v>
      </c>
      <c r="D141" t="s">
        <v>2245</v>
      </c>
      <c r="E141" t="s">
        <v>2125</v>
      </c>
      <c r="F141" t="s">
        <v>2246</v>
      </c>
      <c r="G141" t="s">
        <v>106</v>
      </c>
      <c r="H141" t="s">
        <v>2127</v>
      </c>
    </row>
    <row r="142" spans="1:8">
      <c r="A142" t="s">
        <v>2907</v>
      </c>
      <c r="B142" t="s">
        <v>2908</v>
      </c>
      <c r="C142" s="9">
        <v>2016</v>
      </c>
      <c r="D142" t="s">
        <v>2909</v>
      </c>
      <c r="E142" t="s">
        <v>2125</v>
      </c>
      <c r="F142" t="s">
        <v>2910</v>
      </c>
      <c r="G142" t="s">
        <v>106</v>
      </c>
      <c r="H142" t="s">
        <v>2127</v>
      </c>
    </row>
    <row r="143" spans="1:8">
      <c r="A143" t="s">
        <v>1045</v>
      </c>
      <c r="B143" t="s">
        <v>3659</v>
      </c>
      <c r="C143" s="9">
        <v>2018</v>
      </c>
      <c r="D143" t="s">
        <v>3660</v>
      </c>
      <c r="E143" t="s">
        <v>106</v>
      </c>
      <c r="F143" t="s">
        <v>106</v>
      </c>
      <c r="G143" t="s">
        <v>3661</v>
      </c>
      <c r="H143" t="s">
        <v>3007</v>
      </c>
    </row>
    <row r="144" spans="1:8">
      <c r="A144" t="s">
        <v>1103</v>
      </c>
      <c r="B144" s="41" t="s">
        <v>3659</v>
      </c>
      <c r="C144" s="40">
        <v>2018</v>
      </c>
      <c r="D144" s="41" t="s">
        <v>3250</v>
      </c>
      <c r="E144" t="s">
        <v>106</v>
      </c>
      <c r="F144" t="s">
        <v>106</v>
      </c>
      <c r="G144" t="s">
        <v>3708</v>
      </c>
      <c r="H144" t="s">
        <v>3007</v>
      </c>
    </row>
    <row r="145" spans="1:8">
      <c r="A145" t="s">
        <v>1029</v>
      </c>
      <c r="B145" t="s">
        <v>3172</v>
      </c>
      <c r="C145" s="9">
        <v>2018</v>
      </c>
      <c r="D145" t="s">
        <v>2308</v>
      </c>
      <c r="E145" t="s">
        <v>106</v>
      </c>
      <c r="F145" t="s">
        <v>3173</v>
      </c>
      <c r="G145" t="s">
        <v>106</v>
      </c>
      <c r="H145" t="s">
        <v>3007</v>
      </c>
    </row>
    <row r="146" spans="1:8">
      <c r="A146" t="s">
        <v>2941</v>
      </c>
      <c r="B146" t="s">
        <v>2942</v>
      </c>
      <c r="C146" s="9">
        <v>2016</v>
      </c>
      <c r="D146" t="s">
        <v>2943</v>
      </c>
      <c r="E146" t="s">
        <v>2125</v>
      </c>
      <c r="F146" t="s">
        <v>2944</v>
      </c>
      <c r="G146" t="s">
        <v>106</v>
      </c>
      <c r="H146" t="s">
        <v>2127</v>
      </c>
    </row>
    <row r="147" spans="1:8">
      <c r="A147" t="s">
        <v>1894</v>
      </c>
      <c r="B147" t="s">
        <v>2911</v>
      </c>
      <c r="C147" s="9">
        <v>2018</v>
      </c>
      <c r="D147" t="s">
        <v>2129</v>
      </c>
      <c r="E147" t="s">
        <v>2125</v>
      </c>
      <c r="F147" t="s">
        <v>2912</v>
      </c>
      <c r="G147" t="s">
        <v>106</v>
      </c>
      <c r="H147" t="s">
        <v>2127</v>
      </c>
    </row>
    <row r="148" spans="1:8">
      <c r="A148" t="s">
        <v>2880</v>
      </c>
      <c r="B148" t="s">
        <v>2881</v>
      </c>
      <c r="C148" s="9">
        <v>1996</v>
      </c>
      <c r="D148" t="s">
        <v>2454</v>
      </c>
      <c r="E148" t="s">
        <v>2125</v>
      </c>
      <c r="F148" t="s">
        <v>2882</v>
      </c>
      <c r="G148" t="s">
        <v>106</v>
      </c>
      <c r="H148" t="s">
        <v>2127</v>
      </c>
    </row>
    <row r="149" spans="1:8">
      <c r="A149" t="s">
        <v>2883</v>
      </c>
      <c r="B149" t="s">
        <v>2881</v>
      </c>
      <c r="C149" s="9">
        <v>1996</v>
      </c>
      <c r="D149" t="s">
        <v>2454</v>
      </c>
      <c r="E149" t="s">
        <v>2125</v>
      </c>
      <c r="F149" t="s">
        <v>2882</v>
      </c>
      <c r="G149" t="s">
        <v>106</v>
      </c>
      <c r="H149" t="s">
        <v>2127</v>
      </c>
    </row>
    <row r="150" spans="1:8">
      <c r="A150" t="s">
        <v>1899</v>
      </c>
      <c r="B150" t="s">
        <v>2913</v>
      </c>
      <c r="C150" s="9">
        <v>2013</v>
      </c>
      <c r="D150" t="s">
        <v>2172</v>
      </c>
      <c r="E150" t="s">
        <v>2125</v>
      </c>
      <c r="F150" t="s">
        <v>2914</v>
      </c>
      <c r="G150" t="s">
        <v>106</v>
      </c>
      <c r="H150" t="s">
        <v>2127</v>
      </c>
    </row>
    <row r="151" spans="1:8">
      <c r="A151" t="s">
        <v>334</v>
      </c>
      <c r="B151" t="s">
        <v>3281</v>
      </c>
      <c r="C151" s="9">
        <v>2019</v>
      </c>
      <c r="D151" t="s">
        <v>2172</v>
      </c>
      <c r="E151" t="s">
        <v>106</v>
      </c>
      <c r="F151" t="s">
        <v>3282</v>
      </c>
      <c r="G151" t="s">
        <v>106</v>
      </c>
      <c r="H151" t="s">
        <v>3007</v>
      </c>
    </row>
    <row r="152" spans="1:8">
      <c r="A152" t="s">
        <v>439</v>
      </c>
      <c r="B152" t="s">
        <v>3281</v>
      </c>
      <c r="C152" s="9">
        <v>2019</v>
      </c>
      <c r="D152" t="s">
        <v>2172</v>
      </c>
      <c r="E152" t="s">
        <v>106</v>
      </c>
      <c r="F152" t="s">
        <v>3282</v>
      </c>
      <c r="G152" t="s">
        <v>106</v>
      </c>
      <c r="H152" t="s">
        <v>3007</v>
      </c>
    </row>
    <row r="153" spans="1:8">
      <c r="A153" t="s">
        <v>1482</v>
      </c>
      <c r="B153" t="s">
        <v>2671</v>
      </c>
      <c r="C153" s="9">
        <v>2010</v>
      </c>
      <c r="D153" t="s">
        <v>2172</v>
      </c>
      <c r="E153" t="s">
        <v>2125</v>
      </c>
      <c r="F153" t="s">
        <v>106</v>
      </c>
      <c r="G153" t="s">
        <v>2672</v>
      </c>
      <c r="H153" t="s">
        <v>2127</v>
      </c>
    </row>
    <row r="154" spans="1:8">
      <c r="A154" t="s">
        <v>1901</v>
      </c>
      <c r="B154" t="s">
        <v>2918</v>
      </c>
      <c r="C154" s="9">
        <v>2018</v>
      </c>
      <c r="D154" t="s">
        <v>2172</v>
      </c>
      <c r="E154" t="s">
        <v>2125</v>
      </c>
      <c r="F154" t="s">
        <v>2919</v>
      </c>
      <c r="G154" t="s">
        <v>106</v>
      </c>
      <c r="H154" t="s">
        <v>2127</v>
      </c>
    </row>
    <row r="155" spans="1:8">
      <c r="A155" t="s">
        <v>673</v>
      </c>
      <c r="B155" t="s">
        <v>2918</v>
      </c>
      <c r="C155" s="9">
        <v>2019</v>
      </c>
      <c r="D155" t="s">
        <v>3432</v>
      </c>
      <c r="E155" t="s">
        <v>106</v>
      </c>
      <c r="F155" t="s">
        <v>3495</v>
      </c>
      <c r="G155" t="s">
        <v>106</v>
      </c>
      <c r="H155" t="s">
        <v>3007</v>
      </c>
    </row>
    <row r="156" spans="1:8">
      <c r="A156" t="s">
        <v>1672</v>
      </c>
      <c r="B156" t="s">
        <v>2802</v>
      </c>
      <c r="C156" s="9">
        <v>1997</v>
      </c>
      <c r="D156" t="s">
        <v>2132</v>
      </c>
      <c r="E156" t="s">
        <v>2125</v>
      </c>
      <c r="F156" t="s">
        <v>2803</v>
      </c>
      <c r="G156" t="s">
        <v>106</v>
      </c>
      <c r="H156" t="s">
        <v>2127</v>
      </c>
    </row>
    <row r="157" spans="1:8">
      <c r="A157" t="s">
        <v>1902</v>
      </c>
      <c r="B157" t="s">
        <v>2197</v>
      </c>
      <c r="C157" s="9">
        <v>2018</v>
      </c>
      <c r="D157" t="s">
        <v>2124</v>
      </c>
      <c r="E157" t="s">
        <v>2125</v>
      </c>
      <c r="F157" t="s">
        <v>2198</v>
      </c>
      <c r="G157" t="s">
        <v>106</v>
      </c>
      <c r="H157" t="s">
        <v>2127</v>
      </c>
    </row>
    <row r="158" spans="1:8">
      <c r="A158" t="s">
        <v>1320</v>
      </c>
      <c r="B158" t="s">
        <v>2543</v>
      </c>
      <c r="C158" s="9">
        <v>1992</v>
      </c>
      <c r="D158" t="s">
        <v>2544</v>
      </c>
      <c r="E158" t="s">
        <v>2125</v>
      </c>
      <c r="F158" t="s">
        <v>2545</v>
      </c>
      <c r="G158" t="s">
        <v>106</v>
      </c>
      <c r="H158" t="s">
        <v>2127</v>
      </c>
    </row>
    <row r="159" spans="1:8">
      <c r="A159" t="s">
        <v>2546</v>
      </c>
      <c r="B159" t="s">
        <v>2543</v>
      </c>
      <c r="C159" s="9">
        <v>1992</v>
      </c>
      <c r="D159" t="s">
        <v>2544</v>
      </c>
      <c r="E159" t="s">
        <v>2125</v>
      </c>
      <c r="F159" t="s">
        <v>2545</v>
      </c>
      <c r="G159" t="s">
        <v>106</v>
      </c>
      <c r="H159" t="s">
        <v>2127</v>
      </c>
    </row>
    <row r="160" spans="1:8">
      <c r="A160" t="s">
        <v>2547</v>
      </c>
      <c r="B160" t="s">
        <v>2543</v>
      </c>
      <c r="C160" s="9">
        <v>1999</v>
      </c>
      <c r="D160" t="s">
        <v>2548</v>
      </c>
      <c r="E160" t="s">
        <v>2165</v>
      </c>
      <c r="F160" t="s">
        <v>2549</v>
      </c>
      <c r="G160" t="s">
        <v>106</v>
      </c>
      <c r="H160" t="s">
        <v>2127</v>
      </c>
    </row>
    <row r="161" spans="1:8">
      <c r="A161" t="s">
        <v>2673</v>
      </c>
      <c r="B161" t="s">
        <v>2674</v>
      </c>
      <c r="C161" s="9">
        <v>1990</v>
      </c>
      <c r="D161" t="s">
        <v>2172</v>
      </c>
      <c r="E161" t="s">
        <v>2125</v>
      </c>
      <c r="F161" t="s">
        <v>106</v>
      </c>
      <c r="G161" t="s">
        <v>2675</v>
      </c>
      <c r="H161" t="s">
        <v>2127</v>
      </c>
    </row>
    <row r="162" spans="1:8">
      <c r="A162" t="s">
        <v>2210</v>
      </c>
      <c r="B162" t="s">
        <v>2211</v>
      </c>
      <c r="C162" s="9">
        <v>2015</v>
      </c>
      <c r="D162" t="s">
        <v>2212</v>
      </c>
      <c r="E162" t="s">
        <v>2125</v>
      </c>
      <c r="F162" t="s">
        <v>2213</v>
      </c>
      <c r="G162" t="s">
        <v>106</v>
      </c>
      <c r="H162" t="s">
        <v>2127</v>
      </c>
    </row>
    <row r="163" spans="1:8">
      <c r="A163" t="s">
        <v>1903</v>
      </c>
      <c r="B163" t="s">
        <v>2211</v>
      </c>
      <c r="C163" s="9">
        <v>2017</v>
      </c>
      <c r="D163" t="s">
        <v>2320</v>
      </c>
      <c r="E163" t="s">
        <v>2125</v>
      </c>
      <c r="F163" t="s">
        <v>2920</v>
      </c>
      <c r="G163" t="s">
        <v>106</v>
      </c>
      <c r="H163" t="s">
        <v>2127</v>
      </c>
    </row>
    <row r="164" spans="1:8">
      <c r="A164" t="s">
        <v>1904</v>
      </c>
      <c r="B164" t="s">
        <v>2211</v>
      </c>
      <c r="C164" s="9">
        <v>2015</v>
      </c>
      <c r="D164" t="s">
        <v>2921</v>
      </c>
      <c r="E164" t="s">
        <v>2125</v>
      </c>
      <c r="F164" t="s">
        <v>2922</v>
      </c>
      <c r="G164" t="s">
        <v>106</v>
      </c>
      <c r="H164" t="s">
        <v>2127</v>
      </c>
    </row>
    <row r="165" spans="1:8">
      <c r="A165" t="s">
        <v>3364</v>
      </c>
      <c r="B165" t="s">
        <v>3365</v>
      </c>
      <c r="C165" s="9">
        <v>2024</v>
      </c>
      <c r="D165" t="s">
        <v>3366</v>
      </c>
      <c r="E165" t="s">
        <v>106</v>
      </c>
      <c r="F165" t="s">
        <v>3367</v>
      </c>
      <c r="G165" t="s">
        <v>106</v>
      </c>
      <c r="H165" t="s">
        <v>3007</v>
      </c>
    </row>
    <row r="166" spans="1:8">
      <c r="A166" t="s">
        <v>728</v>
      </c>
      <c r="B166" t="s">
        <v>3365</v>
      </c>
      <c r="C166" s="9">
        <v>2021</v>
      </c>
      <c r="D166" t="s">
        <v>3604</v>
      </c>
      <c r="E166" t="s">
        <v>106</v>
      </c>
      <c r="F166" t="s">
        <v>3605</v>
      </c>
      <c r="G166" t="s">
        <v>106</v>
      </c>
      <c r="H166" t="s">
        <v>3007</v>
      </c>
    </row>
    <row r="167" spans="1:8">
      <c r="A167" t="s">
        <v>535</v>
      </c>
      <c r="B167" t="s">
        <v>3090</v>
      </c>
      <c r="C167" s="9">
        <v>2024</v>
      </c>
      <c r="D167" t="s">
        <v>3091</v>
      </c>
      <c r="E167" t="s">
        <v>106</v>
      </c>
      <c r="F167" t="s">
        <v>3092</v>
      </c>
      <c r="G167" t="s">
        <v>106</v>
      </c>
      <c r="H167" t="s">
        <v>3007</v>
      </c>
    </row>
    <row r="168" spans="1:8">
      <c r="A168" t="s">
        <v>1326</v>
      </c>
      <c r="B168" t="s">
        <v>2550</v>
      </c>
      <c r="C168" s="9">
        <v>2000</v>
      </c>
      <c r="D168" t="s">
        <v>2183</v>
      </c>
      <c r="E168" t="s">
        <v>2125</v>
      </c>
      <c r="F168" t="s">
        <v>2551</v>
      </c>
      <c r="G168" t="s">
        <v>106</v>
      </c>
      <c r="H168" t="s">
        <v>2127</v>
      </c>
    </row>
    <row r="169" spans="1:8">
      <c r="A169" t="s">
        <v>1131</v>
      </c>
      <c r="B169" t="s">
        <v>3767</v>
      </c>
      <c r="C169" s="9">
        <v>2019</v>
      </c>
      <c r="D169" t="s">
        <v>3768</v>
      </c>
      <c r="E169" t="s">
        <v>106</v>
      </c>
      <c r="F169" t="s">
        <v>3769</v>
      </c>
      <c r="G169" t="s">
        <v>106</v>
      </c>
      <c r="H169" t="s">
        <v>3007</v>
      </c>
    </row>
    <row r="170" spans="1:8">
      <c r="A170" t="s">
        <v>2623</v>
      </c>
      <c r="B170" t="s">
        <v>2624</v>
      </c>
      <c r="C170" s="9">
        <v>1981</v>
      </c>
      <c r="D170" t="s">
        <v>2172</v>
      </c>
      <c r="E170" t="s">
        <v>2125</v>
      </c>
      <c r="F170" t="s">
        <v>106</v>
      </c>
      <c r="G170" t="s">
        <v>2625</v>
      </c>
      <c r="H170" t="s">
        <v>2127</v>
      </c>
    </row>
    <row r="171" spans="1:8">
      <c r="A171" t="s">
        <v>608</v>
      </c>
      <c r="B171" t="s">
        <v>3456</v>
      </c>
      <c r="C171" s="9">
        <v>2020</v>
      </c>
      <c r="D171" t="s">
        <v>3457</v>
      </c>
      <c r="E171" t="s">
        <v>106</v>
      </c>
      <c r="F171" t="s">
        <v>3458</v>
      </c>
      <c r="G171" t="s">
        <v>106</v>
      </c>
      <c r="H171" t="s">
        <v>3007</v>
      </c>
    </row>
    <row r="172" spans="1:8">
      <c r="A172" t="s">
        <v>1329</v>
      </c>
      <c r="B172" t="s">
        <v>2552</v>
      </c>
      <c r="C172" s="9">
        <v>2009</v>
      </c>
      <c r="D172" t="s">
        <v>2132</v>
      </c>
      <c r="E172" t="s">
        <v>2125</v>
      </c>
      <c r="F172" t="s">
        <v>2553</v>
      </c>
      <c r="G172" t="s">
        <v>106</v>
      </c>
      <c r="H172" t="s">
        <v>2127</v>
      </c>
    </row>
    <row r="173" spans="1:8">
      <c r="A173" t="s">
        <v>1334</v>
      </c>
      <c r="B173" t="s">
        <v>2554</v>
      </c>
      <c r="C173" s="9">
        <v>2010</v>
      </c>
      <c r="D173" t="s">
        <v>2124</v>
      </c>
      <c r="E173" t="s">
        <v>2125</v>
      </c>
      <c r="F173" t="s">
        <v>2555</v>
      </c>
      <c r="G173" t="s">
        <v>106</v>
      </c>
      <c r="H173" t="s">
        <v>2127</v>
      </c>
    </row>
    <row r="174" spans="1:8">
      <c r="A174" t="s">
        <v>1390</v>
      </c>
      <c r="B174" t="s">
        <v>2568</v>
      </c>
      <c r="C174" s="9">
        <v>2015</v>
      </c>
      <c r="D174" t="s">
        <v>2124</v>
      </c>
      <c r="E174" t="s">
        <v>2125</v>
      </c>
      <c r="F174" t="s">
        <v>2569</v>
      </c>
      <c r="G174" t="s">
        <v>106</v>
      </c>
      <c r="H174" t="s">
        <v>2127</v>
      </c>
    </row>
    <row r="175" spans="1:8">
      <c r="A175" t="s">
        <v>1659</v>
      </c>
      <c r="B175" t="s">
        <v>2790</v>
      </c>
      <c r="C175" s="9">
        <v>2018</v>
      </c>
      <c r="D175" t="s">
        <v>2443</v>
      </c>
      <c r="E175" t="s">
        <v>2125</v>
      </c>
      <c r="F175" t="s">
        <v>2791</v>
      </c>
      <c r="G175" t="s">
        <v>106</v>
      </c>
      <c r="H175" t="s">
        <v>2127</v>
      </c>
    </row>
    <row r="176" spans="1:8">
      <c r="A176" t="s">
        <v>1685</v>
      </c>
      <c r="B176" t="s">
        <v>2806</v>
      </c>
      <c r="C176" s="9">
        <v>1998</v>
      </c>
      <c r="D176" t="s">
        <v>2183</v>
      </c>
      <c r="E176" t="s">
        <v>2125</v>
      </c>
      <c r="F176" t="s">
        <v>2807</v>
      </c>
      <c r="G176" t="s">
        <v>106</v>
      </c>
      <c r="H176" t="s">
        <v>2127</v>
      </c>
    </row>
    <row r="177" spans="1:8">
      <c r="A177" t="s">
        <v>2573</v>
      </c>
      <c r="B177" t="s">
        <v>2574</v>
      </c>
      <c r="C177" s="9">
        <v>2015</v>
      </c>
      <c r="D177" t="s">
        <v>2285</v>
      </c>
      <c r="E177" t="s">
        <v>2125</v>
      </c>
      <c r="F177" t="s">
        <v>2575</v>
      </c>
      <c r="G177" t="s">
        <v>106</v>
      </c>
      <c r="H177" t="s">
        <v>2127</v>
      </c>
    </row>
    <row r="178" spans="1:8">
      <c r="A178" t="s">
        <v>1168</v>
      </c>
      <c r="B178" t="s">
        <v>2437</v>
      </c>
      <c r="C178" s="9">
        <v>2001</v>
      </c>
      <c r="D178" t="s">
        <v>2435</v>
      </c>
      <c r="E178" t="s">
        <v>2125</v>
      </c>
      <c r="F178" t="s">
        <v>2438</v>
      </c>
      <c r="G178" t="s">
        <v>106</v>
      </c>
      <c r="H178" t="s">
        <v>2127</v>
      </c>
    </row>
    <row r="179" spans="1:8">
      <c r="A179" t="s">
        <v>1169</v>
      </c>
      <c r="B179" t="s">
        <v>2437</v>
      </c>
      <c r="C179" s="9">
        <v>2001</v>
      </c>
      <c r="D179" t="s">
        <v>2435</v>
      </c>
      <c r="E179" t="s">
        <v>2125</v>
      </c>
      <c r="F179" t="s">
        <v>2438</v>
      </c>
      <c r="G179" t="s">
        <v>106</v>
      </c>
      <c r="H179" t="s">
        <v>2127</v>
      </c>
    </row>
    <row r="180" spans="1:8">
      <c r="A180" t="s">
        <v>1170</v>
      </c>
      <c r="B180" t="s">
        <v>2437</v>
      </c>
      <c r="C180" s="9">
        <v>1999</v>
      </c>
      <c r="D180" t="s">
        <v>2132</v>
      </c>
      <c r="E180" t="s">
        <v>2125</v>
      </c>
      <c r="F180" t="s">
        <v>2439</v>
      </c>
      <c r="G180" t="s">
        <v>106</v>
      </c>
      <c r="H180" t="s">
        <v>2127</v>
      </c>
    </row>
    <row r="181" spans="1:8">
      <c r="A181" t="s">
        <v>1171</v>
      </c>
      <c r="B181" t="s">
        <v>2437</v>
      </c>
      <c r="C181" s="9">
        <v>2010</v>
      </c>
      <c r="D181" t="s">
        <v>2440</v>
      </c>
      <c r="E181" t="s">
        <v>2165</v>
      </c>
      <c r="F181" t="s">
        <v>106</v>
      </c>
      <c r="G181" t="s">
        <v>2441</v>
      </c>
      <c r="H181" t="s">
        <v>2127</v>
      </c>
    </row>
    <row r="182" spans="1:8">
      <c r="A182" t="s">
        <v>3184</v>
      </c>
      <c r="B182" t="s">
        <v>3185</v>
      </c>
      <c r="C182" s="9">
        <v>2023</v>
      </c>
      <c r="D182" t="s">
        <v>3186</v>
      </c>
      <c r="E182" t="s">
        <v>106</v>
      </c>
      <c r="F182" t="s">
        <v>3187</v>
      </c>
      <c r="G182" t="s">
        <v>106</v>
      </c>
      <c r="H182" t="s">
        <v>3007</v>
      </c>
    </row>
    <row r="183" spans="1:8">
      <c r="A183" t="s">
        <v>3511</v>
      </c>
      <c r="B183" t="s">
        <v>3512</v>
      </c>
      <c r="C183" s="9">
        <v>2023</v>
      </c>
      <c r="D183" t="s">
        <v>3513</v>
      </c>
      <c r="E183" t="s">
        <v>106</v>
      </c>
      <c r="F183" t="s">
        <v>3514</v>
      </c>
      <c r="G183" t="s">
        <v>106</v>
      </c>
      <c r="H183" t="s">
        <v>3007</v>
      </c>
    </row>
    <row r="184" spans="1:8">
      <c r="A184" t="s">
        <v>3104</v>
      </c>
      <c r="B184" t="s">
        <v>3105</v>
      </c>
      <c r="C184" s="9">
        <v>2022</v>
      </c>
      <c r="D184" t="s">
        <v>3106</v>
      </c>
      <c r="E184" t="s">
        <v>106</v>
      </c>
      <c r="F184" t="s">
        <v>3107</v>
      </c>
      <c r="G184" t="s">
        <v>106</v>
      </c>
      <c r="H184" t="s">
        <v>3007</v>
      </c>
    </row>
    <row r="185" spans="1:8">
      <c r="A185" t="s">
        <v>3545</v>
      </c>
      <c r="B185" t="s">
        <v>3105</v>
      </c>
      <c r="C185" s="9">
        <v>2019</v>
      </c>
      <c r="D185" t="s">
        <v>3385</v>
      </c>
      <c r="E185" t="s">
        <v>106</v>
      </c>
      <c r="F185" t="s">
        <v>3546</v>
      </c>
      <c r="G185" t="s">
        <v>106</v>
      </c>
      <c r="H185" t="s">
        <v>3007</v>
      </c>
    </row>
    <row r="186" spans="1:8">
      <c r="A186" t="s">
        <v>719</v>
      </c>
      <c r="B186" t="s">
        <v>3589</v>
      </c>
      <c r="C186" s="9">
        <v>2024</v>
      </c>
      <c r="D186" t="s">
        <v>3590</v>
      </c>
      <c r="E186" t="s">
        <v>106</v>
      </c>
      <c r="F186" t="s">
        <v>3591</v>
      </c>
      <c r="G186" t="s">
        <v>106</v>
      </c>
      <c r="H186" t="s">
        <v>3007</v>
      </c>
    </row>
    <row r="187" spans="1:8">
      <c r="A187" t="s">
        <v>3518</v>
      </c>
      <c r="B187" t="s">
        <v>3519</v>
      </c>
      <c r="C187" s="9">
        <v>2010</v>
      </c>
      <c r="D187" t="s">
        <v>3071</v>
      </c>
      <c r="E187" t="s">
        <v>106</v>
      </c>
      <c r="F187" t="s">
        <v>3520</v>
      </c>
      <c r="G187" t="s">
        <v>106</v>
      </c>
      <c r="H187" t="s">
        <v>3007</v>
      </c>
    </row>
    <row r="188" spans="1:8">
      <c r="A188" t="s">
        <v>1502</v>
      </c>
      <c r="B188" t="s">
        <v>2707</v>
      </c>
      <c r="C188" s="9">
        <v>2009</v>
      </c>
      <c r="D188" t="s">
        <v>2172</v>
      </c>
      <c r="E188" t="s">
        <v>2125</v>
      </c>
      <c r="F188" t="s">
        <v>2708</v>
      </c>
      <c r="G188" t="s">
        <v>106</v>
      </c>
      <c r="H188" t="s">
        <v>2127</v>
      </c>
    </row>
    <row r="189" spans="1:8">
      <c r="A189" t="s">
        <v>3121</v>
      </c>
      <c r="B189" t="s">
        <v>3122</v>
      </c>
      <c r="C189" s="9">
        <v>2022</v>
      </c>
      <c r="D189" t="s">
        <v>3043</v>
      </c>
      <c r="E189" t="s">
        <v>106</v>
      </c>
      <c r="F189" t="s">
        <v>3123</v>
      </c>
      <c r="G189" t="s">
        <v>106</v>
      </c>
      <c r="H189" t="s">
        <v>3007</v>
      </c>
    </row>
    <row r="190" spans="1:8">
      <c r="A190" t="s">
        <v>3794</v>
      </c>
      <c r="B190" t="s">
        <v>3795</v>
      </c>
      <c r="C190" s="9">
        <v>2024</v>
      </c>
      <c r="D190" t="s">
        <v>3796</v>
      </c>
      <c r="E190" t="s">
        <v>106</v>
      </c>
      <c r="F190" t="s">
        <v>3797</v>
      </c>
      <c r="G190" t="s">
        <v>106</v>
      </c>
      <c r="H190" t="s">
        <v>3007</v>
      </c>
    </row>
    <row r="191" spans="1:8">
      <c r="A191" t="s">
        <v>678</v>
      </c>
      <c r="B191" t="s">
        <v>3525</v>
      </c>
      <c r="C191" s="9">
        <v>2021</v>
      </c>
      <c r="D191" t="s">
        <v>3071</v>
      </c>
      <c r="E191" t="s">
        <v>106</v>
      </c>
      <c r="F191" t="s">
        <v>3526</v>
      </c>
      <c r="G191" t="s">
        <v>106</v>
      </c>
      <c r="H191" t="s">
        <v>3007</v>
      </c>
    </row>
    <row r="192" spans="1:8">
      <c r="A192" t="s">
        <v>577</v>
      </c>
      <c r="B192" t="s">
        <v>3444</v>
      </c>
      <c r="C192" s="9">
        <v>2021</v>
      </c>
      <c r="D192" t="s">
        <v>3445</v>
      </c>
      <c r="E192" t="s">
        <v>106</v>
      </c>
      <c r="F192" t="s">
        <v>3446</v>
      </c>
      <c r="G192" t="s">
        <v>106</v>
      </c>
      <c r="H192" t="s">
        <v>3007</v>
      </c>
    </row>
    <row r="193" spans="1:8">
      <c r="A193" t="s">
        <v>3299</v>
      </c>
      <c r="B193" t="s">
        <v>3300</v>
      </c>
      <c r="C193" s="9">
        <v>2023</v>
      </c>
      <c r="D193" t="s">
        <v>3043</v>
      </c>
      <c r="E193" t="s">
        <v>106</v>
      </c>
      <c r="F193" t="s">
        <v>3301</v>
      </c>
      <c r="G193" t="s">
        <v>106</v>
      </c>
      <c r="H193" t="s">
        <v>3007</v>
      </c>
    </row>
    <row r="194" spans="1:8">
      <c r="A194" t="s">
        <v>3412</v>
      </c>
      <c r="B194" t="s">
        <v>3300</v>
      </c>
      <c r="C194" s="9">
        <v>2023</v>
      </c>
      <c r="D194" t="s">
        <v>3413</v>
      </c>
      <c r="E194" t="s">
        <v>106</v>
      </c>
      <c r="F194" t="s">
        <v>3414</v>
      </c>
      <c r="G194" t="s">
        <v>106</v>
      </c>
      <c r="H194" t="s">
        <v>3007</v>
      </c>
    </row>
    <row r="195" spans="1:8">
      <c r="A195" t="s">
        <v>1714</v>
      </c>
      <c r="B195" t="s">
        <v>2167</v>
      </c>
      <c r="C195" s="9">
        <v>2002</v>
      </c>
      <c r="D195" t="s">
        <v>2168</v>
      </c>
      <c r="E195" t="s">
        <v>2125</v>
      </c>
      <c r="F195" t="s">
        <v>106</v>
      </c>
      <c r="G195" t="s">
        <v>2169</v>
      </c>
      <c r="H195" t="s">
        <v>2127</v>
      </c>
    </row>
    <row r="196" spans="1:8">
      <c r="A196" t="s">
        <v>1715</v>
      </c>
      <c r="B196" t="s">
        <v>2167</v>
      </c>
      <c r="C196" s="9">
        <v>2002</v>
      </c>
      <c r="D196" t="s">
        <v>2168</v>
      </c>
      <c r="E196" t="s">
        <v>2125</v>
      </c>
      <c r="F196" t="s">
        <v>106</v>
      </c>
      <c r="G196" t="s">
        <v>2169</v>
      </c>
      <c r="H196" t="s">
        <v>2127</v>
      </c>
    </row>
    <row r="197" spans="1:8">
      <c r="A197" t="s">
        <v>1716</v>
      </c>
      <c r="B197" t="s">
        <v>2167</v>
      </c>
      <c r="C197" s="9">
        <v>2002</v>
      </c>
      <c r="D197" t="s">
        <v>2168</v>
      </c>
      <c r="E197" t="s">
        <v>2125</v>
      </c>
      <c r="F197" t="s">
        <v>106</v>
      </c>
      <c r="G197" t="s">
        <v>2169</v>
      </c>
      <c r="H197" t="s">
        <v>2127</v>
      </c>
    </row>
    <row r="198" spans="1:8">
      <c r="A198" t="s">
        <v>2170</v>
      </c>
      <c r="B198" t="s">
        <v>2167</v>
      </c>
      <c r="C198" s="9">
        <v>2002</v>
      </c>
      <c r="D198" t="s">
        <v>2168</v>
      </c>
      <c r="E198" t="s">
        <v>2125</v>
      </c>
      <c r="F198" t="s">
        <v>106</v>
      </c>
      <c r="G198" t="s">
        <v>2169</v>
      </c>
      <c r="H198" t="s">
        <v>2127</v>
      </c>
    </row>
    <row r="199" spans="1:8">
      <c r="A199" t="s">
        <v>3677</v>
      </c>
      <c r="B199" t="s">
        <v>3678</v>
      </c>
      <c r="C199" s="9">
        <v>2018</v>
      </c>
      <c r="D199" t="s">
        <v>3027</v>
      </c>
      <c r="E199" t="s">
        <v>106</v>
      </c>
      <c r="F199" t="s">
        <v>3679</v>
      </c>
      <c r="G199" t="s">
        <v>106</v>
      </c>
      <c r="H199" t="s">
        <v>3007</v>
      </c>
    </row>
    <row r="200" spans="1:8">
      <c r="A200" t="s">
        <v>450</v>
      </c>
      <c r="B200" t="s">
        <v>3384</v>
      </c>
      <c r="C200" s="9">
        <v>2018</v>
      </c>
      <c r="D200" t="s">
        <v>3385</v>
      </c>
      <c r="E200" t="s">
        <v>106</v>
      </c>
      <c r="F200" t="s">
        <v>3386</v>
      </c>
      <c r="G200" t="s">
        <v>106</v>
      </c>
      <c r="H200" t="s">
        <v>3007</v>
      </c>
    </row>
    <row r="201" spans="1:8">
      <c r="A201" t="s">
        <v>3307</v>
      </c>
      <c r="B201" t="s">
        <v>3308</v>
      </c>
      <c r="C201" s="9">
        <v>2018</v>
      </c>
      <c r="D201" t="s">
        <v>3027</v>
      </c>
      <c r="E201" t="s">
        <v>106</v>
      </c>
      <c r="F201" t="s">
        <v>3309</v>
      </c>
      <c r="G201" t="s">
        <v>106</v>
      </c>
      <c r="H201" t="s">
        <v>3007</v>
      </c>
    </row>
    <row r="202" spans="1:8">
      <c r="A202" t="s">
        <v>3357</v>
      </c>
      <c r="B202" t="s">
        <v>3358</v>
      </c>
      <c r="C202" s="9">
        <v>2020</v>
      </c>
      <c r="D202" t="s">
        <v>3359</v>
      </c>
      <c r="E202" t="s">
        <v>106</v>
      </c>
      <c r="F202" t="s">
        <v>3360</v>
      </c>
      <c r="G202" t="s">
        <v>106</v>
      </c>
      <c r="H202" t="s">
        <v>3007</v>
      </c>
    </row>
    <row r="203" spans="1:8">
      <c r="A203" t="s">
        <v>3192</v>
      </c>
      <c r="B203" t="s">
        <v>3193</v>
      </c>
      <c r="C203" s="9">
        <v>2018</v>
      </c>
      <c r="D203" t="s">
        <v>3013</v>
      </c>
      <c r="E203" t="s">
        <v>106</v>
      </c>
      <c r="F203" t="s">
        <v>3194</v>
      </c>
      <c r="G203" t="s">
        <v>106</v>
      </c>
      <c r="H203" t="s">
        <v>3007</v>
      </c>
    </row>
    <row r="204" spans="1:8">
      <c r="A204" t="s">
        <v>3073</v>
      </c>
      <c r="B204" t="s">
        <v>3074</v>
      </c>
      <c r="C204" s="9">
        <v>2020</v>
      </c>
      <c r="D204" t="s">
        <v>3075</v>
      </c>
      <c r="E204" t="s">
        <v>106</v>
      </c>
      <c r="F204" t="s">
        <v>106</v>
      </c>
      <c r="G204" t="s">
        <v>3076</v>
      </c>
      <c r="H204" t="s">
        <v>3007</v>
      </c>
    </row>
    <row r="205" spans="1:8">
      <c r="A205" t="s">
        <v>277</v>
      </c>
      <c r="B205" t="s">
        <v>3234</v>
      </c>
      <c r="C205" s="9">
        <v>2020</v>
      </c>
      <c r="D205" t="s">
        <v>3235</v>
      </c>
      <c r="E205" t="s">
        <v>106</v>
      </c>
      <c r="F205" t="s">
        <v>3236</v>
      </c>
      <c r="G205" t="s">
        <v>106</v>
      </c>
      <c r="H205" t="s">
        <v>3007</v>
      </c>
    </row>
    <row r="206" spans="1:8">
      <c r="A206" t="s">
        <v>3025</v>
      </c>
      <c r="B206" t="s">
        <v>3026</v>
      </c>
      <c r="C206" s="9">
        <v>2019</v>
      </c>
      <c r="D206" t="s">
        <v>3027</v>
      </c>
      <c r="E206" t="s">
        <v>106</v>
      </c>
      <c r="F206" t="s">
        <v>3028</v>
      </c>
      <c r="G206" t="s">
        <v>106</v>
      </c>
      <c r="H206" t="s">
        <v>3007</v>
      </c>
    </row>
    <row r="207" spans="1:8">
      <c r="A207" t="s">
        <v>470</v>
      </c>
      <c r="B207" t="s">
        <v>3026</v>
      </c>
      <c r="C207" s="9">
        <v>2018</v>
      </c>
      <c r="D207" t="s">
        <v>3027</v>
      </c>
      <c r="E207" t="s">
        <v>106</v>
      </c>
      <c r="F207" t="s">
        <v>3066</v>
      </c>
      <c r="G207" t="s">
        <v>106</v>
      </c>
      <c r="H207" t="s">
        <v>3007</v>
      </c>
    </row>
    <row r="208" spans="1:8">
      <c r="A208" t="s">
        <v>1173</v>
      </c>
      <c r="B208" t="s">
        <v>2462</v>
      </c>
      <c r="C208" s="9">
        <v>2012</v>
      </c>
      <c r="D208" t="s">
        <v>2463</v>
      </c>
      <c r="E208" t="s">
        <v>2125</v>
      </c>
      <c r="F208" t="s">
        <v>106</v>
      </c>
      <c r="G208" s="7" t="s">
        <v>2464</v>
      </c>
      <c r="H208" t="s">
        <v>2127</v>
      </c>
    </row>
    <row r="209" spans="1:8">
      <c r="A209" t="s">
        <v>1181</v>
      </c>
      <c r="B209" t="s">
        <v>2471</v>
      </c>
      <c r="C209" s="9">
        <v>2011</v>
      </c>
      <c r="D209" t="s">
        <v>2151</v>
      </c>
      <c r="E209" t="s">
        <v>2125</v>
      </c>
      <c r="F209" t="s">
        <v>2472</v>
      </c>
      <c r="G209" t="s">
        <v>106</v>
      </c>
      <c r="H209" t="s">
        <v>2127</v>
      </c>
    </row>
    <row r="210" spans="1:8">
      <c r="A210" t="s">
        <v>1182</v>
      </c>
      <c r="B210" t="s">
        <v>2471</v>
      </c>
      <c r="C210" s="9">
        <v>2011</v>
      </c>
      <c r="D210" t="s">
        <v>2155</v>
      </c>
      <c r="E210" t="s">
        <v>2125</v>
      </c>
      <c r="F210" t="s">
        <v>2473</v>
      </c>
      <c r="G210" t="s">
        <v>106</v>
      </c>
      <c r="H210" t="s">
        <v>2127</v>
      </c>
    </row>
    <row r="211" spans="1:8">
      <c r="A211" t="s">
        <v>2474</v>
      </c>
      <c r="B211" t="s">
        <v>2475</v>
      </c>
      <c r="C211" s="9">
        <v>2003</v>
      </c>
      <c r="D211" t="s">
        <v>2454</v>
      </c>
      <c r="E211" t="s">
        <v>2125</v>
      </c>
      <c r="F211" t="s">
        <v>2476</v>
      </c>
      <c r="G211" t="s">
        <v>106</v>
      </c>
      <c r="H211" t="s">
        <v>2127</v>
      </c>
    </row>
    <row r="212" spans="1:8">
      <c r="A212" t="s">
        <v>1441</v>
      </c>
      <c r="B212" t="s">
        <v>2616</v>
      </c>
      <c r="C212" s="9">
        <v>2014</v>
      </c>
      <c r="D212" t="s">
        <v>2341</v>
      </c>
      <c r="E212" t="s">
        <v>2125</v>
      </c>
      <c r="F212" t="s">
        <v>2617</v>
      </c>
      <c r="G212" t="s">
        <v>106</v>
      </c>
      <c r="H212" t="s">
        <v>2127</v>
      </c>
    </row>
    <row r="213" spans="1:8">
      <c r="A213" t="s">
        <v>162</v>
      </c>
      <c r="B213" t="s">
        <v>3190</v>
      </c>
      <c r="C213" s="9">
        <v>2023</v>
      </c>
      <c r="D213" t="s">
        <v>3027</v>
      </c>
      <c r="E213" t="s">
        <v>106</v>
      </c>
      <c r="F213" t="s">
        <v>3191</v>
      </c>
      <c r="G213" t="s">
        <v>106</v>
      </c>
      <c r="H213" t="s">
        <v>3007</v>
      </c>
    </row>
    <row r="214" spans="1:8">
      <c r="A214" t="s">
        <v>2145</v>
      </c>
      <c r="B214" t="s">
        <v>2146</v>
      </c>
      <c r="C214" s="9">
        <v>2011</v>
      </c>
      <c r="D214" t="s">
        <v>2147</v>
      </c>
      <c r="E214" t="s">
        <v>2125</v>
      </c>
      <c r="F214" t="s">
        <v>2148</v>
      </c>
      <c r="G214" t="s">
        <v>106</v>
      </c>
      <c r="H214" t="s">
        <v>2127</v>
      </c>
    </row>
    <row r="215" spans="1:8">
      <c r="A215" t="s">
        <v>1905</v>
      </c>
      <c r="B215" t="s">
        <v>2923</v>
      </c>
      <c r="C215" s="9">
        <v>2013</v>
      </c>
      <c r="D215" t="s">
        <v>2129</v>
      </c>
      <c r="E215" t="s">
        <v>2125</v>
      </c>
      <c r="F215" t="s">
        <v>2924</v>
      </c>
      <c r="G215" t="s">
        <v>106</v>
      </c>
      <c r="H215" t="s">
        <v>2127</v>
      </c>
    </row>
    <row r="216" spans="1:8">
      <c r="A216" t="s">
        <v>676</v>
      </c>
      <c r="B216" t="s">
        <v>3509</v>
      </c>
      <c r="C216" s="9">
        <v>2020</v>
      </c>
      <c r="D216" t="s">
        <v>3071</v>
      </c>
      <c r="E216" t="s">
        <v>106</v>
      </c>
      <c r="F216" t="s">
        <v>3510</v>
      </c>
      <c r="G216" t="s">
        <v>106</v>
      </c>
      <c r="H216" t="s">
        <v>3007</v>
      </c>
    </row>
    <row r="217" spans="1:8">
      <c r="A217" t="s">
        <v>676</v>
      </c>
      <c r="B217" t="s">
        <v>3509</v>
      </c>
      <c r="C217" s="9">
        <v>2020</v>
      </c>
      <c r="D217" t="s">
        <v>3071</v>
      </c>
      <c r="E217" t="s">
        <v>106</v>
      </c>
      <c r="F217" t="s">
        <v>3510</v>
      </c>
      <c r="G217" t="s">
        <v>106</v>
      </c>
      <c r="H217" t="s">
        <v>3007</v>
      </c>
    </row>
    <row r="218" spans="1:8">
      <c r="A218" t="s">
        <v>2452</v>
      </c>
      <c r="B218" t="s">
        <v>2453</v>
      </c>
      <c r="C218" s="9">
        <v>2011</v>
      </c>
      <c r="D218" t="s">
        <v>2454</v>
      </c>
      <c r="E218" t="s">
        <v>2125</v>
      </c>
      <c r="F218" t="s">
        <v>2455</v>
      </c>
      <c r="G218" t="s">
        <v>106</v>
      </c>
      <c r="H218" t="s">
        <v>2127</v>
      </c>
    </row>
    <row r="219" spans="1:8">
      <c r="A219" t="s">
        <v>843</v>
      </c>
      <c r="B219" t="s">
        <v>2353</v>
      </c>
      <c r="C219" s="9">
        <v>2007</v>
      </c>
      <c r="D219" t="s">
        <v>2354</v>
      </c>
      <c r="E219" t="s">
        <v>2165</v>
      </c>
      <c r="F219" t="s">
        <v>2355</v>
      </c>
      <c r="G219" t="s">
        <v>106</v>
      </c>
      <c r="H219" t="s">
        <v>2127</v>
      </c>
    </row>
    <row r="220" spans="1:8">
      <c r="A220" t="s">
        <v>1701</v>
      </c>
      <c r="B220" t="s">
        <v>2353</v>
      </c>
      <c r="C220" s="9">
        <v>2008</v>
      </c>
      <c r="D220" t="s">
        <v>2124</v>
      </c>
      <c r="E220" t="s">
        <v>2125</v>
      </c>
      <c r="F220" t="s">
        <v>2814</v>
      </c>
      <c r="G220" t="s">
        <v>106</v>
      </c>
      <c r="H220" t="s">
        <v>2127</v>
      </c>
    </row>
    <row r="221" spans="1:8">
      <c r="A221" t="s">
        <v>1707</v>
      </c>
      <c r="B221" t="s">
        <v>2353</v>
      </c>
      <c r="C221" s="9">
        <v>2008</v>
      </c>
      <c r="D221" t="s">
        <v>2124</v>
      </c>
      <c r="E221" t="s">
        <v>2125</v>
      </c>
      <c r="F221" t="s">
        <v>2814</v>
      </c>
      <c r="G221" t="s">
        <v>106</v>
      </c>
      <c r="H221" t="s">
        <v>2127</v>
      </c>
    </row>
    <row r="222" spans="1:8">
      <c r="A222" t="s">
        <v>702</v>
      </c>
      <c r="B222" t="s">
        <v>3567</v>
      </c>
      <c r="C222" s="9">
        <v>2018</v>
      </c>
      <c r="D222" t="s">
        <v>3027</v>
      </c>
      <c r="E222" t="s">
        <v>106</v>
      </c>
      <c r="F222" t="s">
        <v>3568</v>
      </c>
      <c r="G222" t="s">
        <v>106</v>
      </c>
      <c r="H222" t="s">
        <v>3007</v>
      </c>
    </row>
    <row r="223" spans="1:8">
      <c r="A223" t="s">
        <v>1900</v>
      </c>
      <c r="B223" t="s">
        <v>2915</v>
      </c>
      <c r="C223" s="9">
        <v>2014</v>
      </c>
      <c r="D223" t="s">
        <v>2916</v>
      </c>
      <c r="E223" t="s">
        <v>2125</v>
      </c>
      <c r="F223" t="s">
        <v>2917</v>
      </c>
      <c r="G223" t="s">
        <v>106</v>
      </c>
      <c r="H223" t="s">
        <v>2127</v>
      </c>
    </row>
    <row r="224" spans="1:8">
      <c r="A224" t="s">
        <v>458</v>
      </c>
      <c r="B224" t="s">
        <v>3063</v>
      </c>
      <c r="C224" s="9">
        <v>2019</v>
      </c>
      <c r="D224" t="s">
        <v>3064</v>
      </c>
      <c r="E224" t="s">
        <v>106</v>
      </c>
      <c r="F224" t="s">
        <v>3065</v>
      </c>
      <c r="G224" t="s">
        <v>106</v>
      </c>
      <c r="H224" t="s">
        <v>3007</v>
      </c>
    </row>
    <row r="225" spans="1:8">
      <c r="A225" t="s">
        <v>3637</v>
      </c>
      <c r="B225" t="s">
        <v>3063</v>
      </c>
      <c r="C225" s="9">
        <v>2019</v>
      </c>
      <c r="D225" t="s">
        <v>3116</v>
      </c>
      <c r="E225" t="s">
        <v>106</v>
      </c>
      <c r="F225" t="s">
        <v>3638</v>
      </c>
      <c r="G225" t="s">
        <v>106</v>
      </c>
      <c r="H225" t="s">
        <v>3007</v>
      </c>
    </row>
    <row r="226" spans="1:8">
      <c r="A226" t="s">
        <v>1708</v>
      </c>
      <c r="B226" t="s">
        <v>2815</v>
      </c>
      <c r="C226" s="9">
        <v>2008</v>
      </c>
      <c r="D226" t="s">
        <v>2147</v>
      </c>
      <c r="E226" t="s">
        <v>2125</v>
      </c>
      <c r="F226" t="s">
        <v>2816</v>
      </c>
      <c r="G226" t="s">
        <v>106</v>
      </c>
      <c r="H226" t="s">
        <v>2127</v>
      </c>
    </row>
    <row r="227" spans="1:8">
      <c r="A227" t="s">
        <v>2149</v>
      </c>
      <c r="B227" t="s">
        <v>2150</v>
      </c>
      <c r="C227" s="9">
        <v>1995</v>
      </c>
      <c r="D227" t="s">
        <v>2151</v>
      </c>
      <c r="E227" t="s">
        <v>2125</v>
      </c>
      <c r="F227" t="s">
        <v>2152</v>
      </c>
      <c r="G227" t="s">
        <v>106</v>
      </c>
      <c r="H227" t="s">
        <v>2127</v>
      </c>
    </row>
    <row r="228" spans="1:8">
      <c r="A228" t="s">
        <v>2153</v>
      </c>
      <c r="B228" t="s">
        <v>2150</v>
      </c>
      <c r="C228" s="9">
        <v>1995</v>
      </c>
      <c r="D228" t="s">
        <v>2151</v>
      </c>
      <c r="E228" t="s">
        <v>2125</v>
      </c>
      <c r="F228" t="s">
        <v>2152</v>
      </c>
      <c r="G228" t="s">
        <v>106</v>
      </c>
      <c r="H228" t="s">
        <v>2127</v>
      </c>
    </row>
    <row r="229" spans="1:8">
      <c r="A229" t="s">
        <v>2154</v>
      </c>
      <c r="B229" t="s">
        <v>2150</v>
      </c>
      <c r="C229" s="9">
        <v>1999</v>
      </c>
      <c r="D229" t="s">
        <v>2155</v>
      </c>
      <c r="E229" t="s">
        <v>2125</v>
      </c>
      <c r="F229" t="s">
        <v>2156</v>
      </c>
      <c r="G229" t="s">
        <v>106</v>
      </c>
      <c r="H229" t="s">
        <v>2127</v>
      </c>
    </row>
    <row r="230" spans="1:8">
      <c r="A230" t="s">
        <v>2157</v>
      </c>
      <c r="B230" t="s">
        <v>2150</v>
      </c>
      <c r="C230" s="9">
        <v>1991</v>
      </c>
      <c r="D230" t="s">
        <v>2158</v>
      </c>
      <c r="E230" t="s">
        <v>2125</v>
      </c>
      <c r="F230" t="s">
        <v>2159</v>
      </c>
      <c r="G230" t="s">
        <v>106</v>
      </c>
      <c r="H230" t="s">
        <v>2127</v>
      </c>
    </row>
    <row r="231" spans="1:8">
      <c r="A231" t="s">
        <v>1709</v>
      </c>
      <c r="B231" t="s">
        <v>2150</v>
      </c>
      <c r="C231" s="9">
        <v>2010</v>
      </c>
      <c r="D231" t="s">
        <v>2160</v>
      </c>
      <c r="E231" t="s">
        <v>2125</v>
      </c>
      <c r="F231" t="s">
        <v>2161</v>
      </c>
      <c r="G231" t="s">
        <v>106</v>
      </c>
      <c r="H231" t="s">
        <v>2127</v>
      </c>
    </row>
    <row r="232" spans="1:8">
      <c r="A232" t="s">
        <v>2356</v>
      </c>
      <c r="B232" t="s">
        <v>2150</v>
      </c>
      <c r="C232" s="9">
        <v>1991</v>
      </c>
      <c r="D232" t="s">
        <v>2158</v>
      </c>
      <c r="E232" t="s">
        <v>2125</v>
      </c>
      <c r="F232" t="s">
        <v>2357</v>
      </c>
      <c r="G232" t="s">
        <v>106</v>
      </c>
      <c r="H232" t="s">
        <v>2127</v>
      </c>
    </row>
    <row r="233" spans="1:8">
      <c r="A233" t="s">
        <v>2817</v>
      </c>
      <c r="B233" t="s">
        <v>2150</v>
      </c>
      <c r="C233" s="9">
        <v>1999</v>
      </c>
      <c r="D233" t="s">
        <v>2454</v>
      </c>
      <c r="E233" t="s">
        <v>2125</v>
      </c>
      <c r="F233" t="s">
        <v>2818</v>
      </c>
      <c r="G233" t="s">
        <v>106</v>
      </c>
      <c r="H233" t="s">
        <v>2127</v>
      </c>
    </row>
    <row r="234" spans="1:8">
      <c r="A234" t="s">
        <v>2819</v>
      </c>
      <c r="B234" t="s">
        <v>2150</v>
      </c>
      <c r="C234" s="9">
        <v>2004</v>
      </c>
      <c r="D234" t="s">
        <v>2155</v>
      </c>
      <c r="E234" t="s">
        <v>2125</v>
      </c>
      <c r="F234" t="s">
        <v>2820</v>
      </c>
      <c r="G234" t="s">
        <v>106</v>
      </c>
      <c r="H234" t="s">
        <v>2127</v>
      </c>
    </row>
    <row r="235" spans="1:8">
      <c r="A235" t="s">
        <v>1710</v>
      </c>
      <c r="B235" t="s">
        <v>2150</v>
      </c>
      <c r="C235" s="9">
        <v>2001</v>
      </c>
      <c r="D235" t="s">
        <v>2136</v>
      </c>
      <c r="E235" t="s">
        <v>2125</v>
      </c>
      <c r="F235" t="s">
        <v>2821</v>
      </c>
      <c r="G235" t="s">
        <v>106</v>
      </c>
      <c r="H235" t="s">
        <v>2127</v>
      </c>
    </row>
    <row r="236" spans="1:8">
      <c r="A236" t="s">
        <v>718</v>
      </c>
      <c r="B236" t="s">
        <v>3586</v>
      </c>
      <c r="C236" s="9">
        <v>2024</v>
      </c>
      <c r="D236" t="s">
        <v>3587</v>
      </c>
      <c r="E236" t="s">
        <v>106</v>
      </c>
      <c r="F236" t="s">
        <v>3588</v>
      </c>
      <c r="G236" t="s">
        <v>106</v>
      </c>
      <c r="H236" t="s">
        <v>3007</v>
      </c>
    </row>
    <row r="237" spans="1:8">
      <c r="A237" t="s">
        <v>2925</v>
      </c>
      <c r="B237" t="s">
        <v>2926</v>
      </c>
      <c r="C237" s="9">
        <v>2010</v>
      </c>
      <c r="D237" t="s">
        <v>2927</v>
      </c>
      <c r="E237" t="s">
        <v>2165</v>
      </c>
      <c r="F237" t="s">
        <v>106</v>
      </c>
      <c r="G237" t="s">
        <v>2928</v>
      </c>
      <c r="H237" t="s">
        <v>2127</v>
      </c>
    </row>
    <row r="238" spans="1:8">
      <c r="A238" t="s">
        <v>2822</v>
      </c>
      <c r="B238" t="s">
        <v>2823</v>
      </c>
      <c r="C238" s="9">
        <v>2011</v>
      </c>
      <c r="D238" t="s">
        <v>2297</v>
      </c>
      <c r="E238" t="s">
        <v>2125</v>
      </c>
      <c r="F238" t="s">
        <v>106</v>
      </c>
      <c r="G238" t="s">
        <v>2824</v>
      </c>
      <c r="H238" t="s">
        <v>2127</v>
      </c>
    </row>
    <row r="239" spans="1:8">
      <c r="A239" t="s">
        <v>760</v>
      </c>
      <c r="B239" t="s">
        <v>2261</v>
      </c>
      <c r="C239" s="9">
        <v>2016</v>
      </c>
      <c r="D239" t="s">
        <v>2205</v>
      </c>
      <c r="E239" t="s">
        <v>2125</v>
      </c>
      <c r="F239" t="s">
        <v>106</v>
      </c>
      <c r="G239" s="7" t="s">
        <v>2262</v>
      </c>
      <c r="H239" t="s">
        <v>2127</v>
      </c>
    </row>
    <row r="240" spans="1:8">
      <c r="A240" t="s">
        <v>666</v>
      </c>
      <c r="B240" t="s">
        <v>2261</v>
      </c>
      <c r="C240" s="9">
        <v>2012</v>
      </c>
      <c r="D240" t="s">
        <v>3071</v>
      </c>
      <c r="E240" t="s">
        <v>106</v>
      </c>
      <c r="F240" t="s">
        <v>3491</v>
      </c>
      <c r="G240" t="s">
        <v>106</v>
      </c>
      <c r="H240" t="s">
        <v>3007</v>
      </c>
    </row>
    <row r="241" spans="1:8">
      <c r="A241" t="s">
        <v>1711</v>
      </c>
      <c r="B241" t="s">
        <v>2825</v>
      </c>
      <c r="C241" s="9">
        <v>1999</v>
      </c>
      <c r="D241" t="s">
        <v>2155</v>
      </c>
      <c r="E241" t="s">
        <v>2125</v>
      </c>
      <c r="F241" t="s">
        <v>2826</v>
      </c>
      <c r="G241" t="s">
        <v>106</v>
      </c>
      <c r="H241" t="s">
        <v>2127</v>
      </c>
    </row>
    <row r="242" spans="1:8">
      <c r="A242" t="s">
        <v>2162</v>
      </c>
      <c r="B242" t="s">
        <v>2163</v>
      </c>
      <c r="C242" s="9">
        <v>2007</v>
      </c>
      <c r="D242" t="s">
        <v>2164</v>
      </c>
      <c r="E242" t="s">
        <v>2165</v>
      </c>
      <c r="F242" t="s">
        <v>106</v>
      </c>
      <c r="G242" t="s">
        <v>2166</v>
      </c>
      <c r="H242" t="s">
        <v>2127</v>
      </c>
    </row>
    <row r="243" spans="1:8">
      <c r="A243" t="s">
        <v>1712</v>
      </c>
      <c r="B243" t="s">
        <v>2163</v>
      </c>
      <c r="C243" s="9">
        <v>2007</v>
      </c>
      <c r="D243" t="s">
        <v>2147</v>
      </c>
      <c r="E243" t="s">
        <v>2125</v>
      </c>
      <c r="F243" t="s">
        <v>106</v>
      </c>
      <c r="G243" t="s">
        <v>2827</v>
      </c>
      <c r="H243" t="s">
        <v>2127</v>
      </c>
    </row>
    <row r="244" spans="1:8">
      <c r="A244" t="s">
        <v>700</v>
      </c>
      <c r="B244" t="s">
        <v>3562</v>
      </c>
      <c r="C244" s="9">
        <v>2022</v>
      </c>
      <c r="D244" t="s">
        <v>3563</v>
      </c>
      <c r="E244" t="s">
        <v>106</v>
      </c>
      <c r="F244" t="s">
        <v>3564</v>
      </c>
      <c r="G244" t="s">
        <v>106</v>
      </c>
      <c r="H244" t="s">
        <v>3007</v>
      </c>
    </row>
    <row r="245" spans="1:8">
      <c r="A245" t="s">
        <v>1483</v>
      </c>
      <c r="B245" t="s">
        <v>2676</v>
      </c>
      <c r="C245" s="9">
        <v>1994</v>
      </c>
      <c r="D245" t="s">
        <v>2344</v>
      </c>
      <c r="E245" t="s">
        <v>2125</v>
      </c>
      <c r="F245" t="s">
        <v>2677</v>
      </c>
      <c r="G245" t="s">
        <v>106</v>
      </c>
      <c r="H245" t="s">
        <v>2127</v>
      </c>
    </row>
    <row r="246" spans="1:8">
      <c r="A246" t="s">
        <v>1491</v>
      </c>
      <c r="B246" t="s">
        <v>2676</v>
      </c>
      <c r="C246" s="9">
        <v>1994</v>
      </c>
      <c r="D246" t="s">
        <v>2344</v>
      </c>
      <c r="E246" t="s">
        <v>2125</v>
      </c>
      <c r="F246" t="s">
        <v>2677</v>
      </c>
      <c r="G246" t="s">
        <v>106</v>
      </c>
      <c r="H246" t="s">
        <v>2127</v>
      </c>
    </row>
    <row r="247" spans="1:8">
      <c r="A247" t="s">
        <v>1496</v>
      </c>
      <c r="B247" t="s">
        <v>2676</v>
      </c>
      <c r="C247" s="9">
        <v>1994</v>
      </c>
      <c r="D247" t="s">
        <v>2344</v>
      </c>
      <c r="E247" t="s">
        <v>2125</v>
      </c>
      <c r="F247" t="s">
        <v>2677</v>
      </c>
      <c r="G247" t="s">
        <v>106</v>
      </c>
      <c r="H247" t="s">
        <v>2127</v>
      </c>
    </row>
    <row r="248" spans="1:8">
      <c r="A248" t="s">
        <v>614</v>
      </c>
      <c r="B248" t="s">
        <v>3459</v>
      </c>
      <c r="C248" s="9">
        <v>2020</v>
      </c>
      <c r="D248" t="s">
        <v>3460</v>
      </c>
      <c r="E248" t="s">
        <v>106</v>
      </c>
      <c r="F248" t="s">
        <v>3461</v>
      </c>
      <c r="G248" t="s">
        <v>106</v>
      </c>
      <c r="H248" t="s">
        <v>3007</v>
      </c>
    </row>
    <row r="249" spans="1:8">
      <c r="A249" t="s">
        <v>3310</v>
      </c>
      <c r="B249" t="s">
        <v>3311</v>
      </c>
      <c r="C249" s="9">
        <v>2018</v>
      </c>
      <c r="D249" t="s">
        <v>3071</v>
      </c>
      <c r="E249" t="s">
        <v>106</v>
      </c>
      <c r="F249" t="s">
        <v>3312</v>
      </c>
      <c r="G249" t="s">
        <v>106</v>
      </c>
      <c r="H249" t="s">
        <v>3007</v>
      </c>
    </row>
    <row r="250" spans="1:8">
      <c r="A250" t="s">
        <v>649</v>
      </c>
      <c r="B250" t="s">
        <v>3311</v>
      </c>
      <c r="C250" s="9">
        <v>2018</v>
      </c>
      <c r="D250" t="s">
        <v>3071</v>
      </c>
      <c r="E250" t="s">
        <v>106</v>
      </c>
      <c r="F250" t="s">
        <v>3478</v>
      </c>
      <c r="G250" t="s">
        <v>106</v>
      </c>
      <c r="H250" t="s">
        <v>3007</v>
      </c>
    </row>
    <row r="251" spans="1:8">
      <c r="A251" t="s">
        <v>1460</v>
      </c>
      <c r="B251" t="s">
        <v>2639</v>
      </c>
      <c r="C251" s="9">
        <v>2004</v>
      </c>
      <c r="D251" t="s">
        <v>2124</v>
      </c>
      <c r="E251" t="s">
        <v>2125</v>
      </c>
      <c r="F251" t="s">
        <v>2640</v>
      </c>
      <c r="G251" t="s">
        <v>106</v>
      </c>
      <c r="H251" t="s">
        <v>2127</v>
      </c>
    </row>
    <row r="252" spans="1:8">
      <c r="A252" t="s">
        <v>2199</v>
      </c>
      <c r="B252" t="s">
        <v>2200</v>
      </c>
      <c r="C252" s="9">
        <v>2014</v>
      </c>
      <c r="D252" t="s">
        <v>2201</v>
      </c>
      <c r="E252" t="s">
        <v>2165</v>
      </c>
      <c r="F252" t="s">
        <v>2202</v>
      </c>
      <c r="G252" t="s">
        <v>106</v>
      </c>
      <c r="H252" t="s">
        <v>2127</v>
      </c>
    </row>
    <row r="253" spans="1:8">
      <c r="A253" t="s">
        <v>3248</v>
      </c>
      <c r="B253" t="s">
        <v>3249</v>
      </c>
      <c r="C253" s="9">
        <v>2019</v>
      </c>
      <c r="D253" t="s">
        <v>3250</v>
      </c>
      <c r="E253" t="s">
        <v>106</v>
      </c>
      <c r="F253" t="s">
        <v>3251</v>
      </c>
      <c r="G253" t="s">
        <v>106</v>
      </c>
      <c r="H253" t="s">
        <v>3007</v>
      </c>
    </row>
    <row r="254" spans="1:8">
      <c r="A254" t="s">
        <v>3745</v>
      </c>
      <c r="B254" t="s">
        <v>3746</v>
      </c>
      <c r="C254" s="9">
        <v>2018</v>
      </c>
      <c r="D254" t="s">
        <v>3747</v>
      </c>
      <c r="E254" t="s">
        <v>106</v>
      </c>
      <c r="F254" t="s">
        <v>3748</v>
      </c>
      <c r="G254" t="s">
        <v>106</v>
      </c>
      <c r="H254" t="s">
        <v>3007</v>
      </c>
    </row>
    <row r="255" spans="1:8">
      <c r="A255" t="s">
        <v>1119</v>
      </c>
      <c r="B255" t="s">
        <v>3746</v>
      </c>
      <c r="C255" s="9">
        <v>2018</v>
      </c>
      <c r="D255" t="s">
        <v>3102</v>
      </c>
      <c r="E255" t="s">
        <v>106</v>
      </c>
      <c r="F255" t="s">
        <v>3749</v>
      </c>
      <c r="G255" t="s">
        <v>106</v>
      </c>
      <c r="H255" t="s">
        <v>3007</v>
      </c>
    </row>
    <row r="256" spans="1:8">
      <c r="A256" t="s">
        <v>3776</v>
      </c>
      <c r="B256" t="s">
        <v>3777</v>
      </c>
      <c r="C256" s="9">
        <v>2020</v>
      </c>
      <c r="D256" t="s">
        <v>2393</v>
      </c>
      <c r="E256" t="s">
        <v>106</v>
      </c>
      <c r="F256" t="s">
        <v>3778</v>
      </c>
      <c r="G256" t="s">
        <v>106</v>
      </c>
      <c r="H256" t="s">
        <v>3007</v>
      </c>
    </row>
    <row r="257" spans="1:8">
      <c r="A257" t="s">
        <v>971</v>
      </c>
      <c r="B257" t="s">
        <v>3130</v>
      </c>
      <c r="C257" s="9">
        <v>2020</v>
      </c>
      <c r="D257" t="s">
        <v>3131</v>
      </c>
      <c r="E257" t="s">
        <v>106</v>
      </c>
      <c r="F257" t="s">
        <v>3132</v>
      </c>
      <c r="G257" t="s">
        <v>3133</v>
      </c>
      <c r="H257" t="s">
        <v>3007</v>
      </c>
    </row>
    <row r="258" spans="1:8">
      <c r="A258" t="s">
        <v>2380</v>
      </c>
      <c r="B258" t="s">
        <v>2381</v>
      </c>
      <c r="C258" s="9">
        <v>2005</v>
      </c>
      <c r="D258" t="s">
        <v>2382</v>
      </c>
      <c r="E258" t="s">
        <v>2125</v>
      </c>
      <c r="F258" t="s">
        <v>2383</v>
      </c>
      <c r="G258" t="s">
        <v>106</v>
      </c>
      <c r="H258" t="s">
        <v>2127</v>
      </c>
    </row>
    <row r="259" spans="1:8">
      <c r="A259" t="s">
        <v>1698</v>
      </c>
      <c r="B259" t="s">
        <v>2143</v>
      </c>
      <c r="C259" s="9">
        <v>2006</v>
      </c>
      <c r="D259" t="s">
        <v>2132</v>
      </c>
      <c r="E259" t="s">
        <v>2125</v>
      </c>
      <c r="F259" t="s">
        <v>2144</v>
      </c>
      <c r="G259" t="s">
        <v>106</v>
      </c>
      <c r="H259" t="s">
        <v>2127</v>
      </c>
    </row>
    <row r="260" spans="1:8">
      <c r="A260" t="s">
        <v>267</v>
      </c>
      <c r="B260" t="s">
        <v>3229</v>
      </c>
      <c r="C260" s="9">
        <v>2020</v>
      </c>
      <c r="D260" t="s">
        <v>3227</v>
      </c>
      <c r="E260" t="s">
        <v>106</v>
      </c>
      <c r="F260" t="s">
        <v>3230</v>
      </c>
      <c r="G260" t="s">
        <v>106</v>
      </c>
      <c r="H260" t="s">
        <v>3007</v>
      </c>
    </row>
    <row r="261" spans="1:8">
      <c r="A261" t="s">
        <v>1340</v>
      </c>
      <c r="B261" t="s">
        <v>2556</v>
      </c>
      <c r="C261" s="9">
        <v>2012</v>
      </c>
      <c r="D261" t="s">
        <v>2124</v>
      </c>
      <c r="E261" t="s">
        <v>2125</v>
      </c>
      <c r="F261" t="s">
        <v>2557</v>
      </c>
      <c r="G261" t="s">
        <v>106</v>
      </c>
      <c r="H261" t="s">
        <v>2127</v>
      </c>
    </row>
    <row r="262" spans="1:8">
      <c r="A262" t="s">
        <v>964</v>
      </c>
      <c r="B262" t="s">
        <v>3127</v>
      </c>
      <c r="C262" s="9">
        <v>2019</v>
      </c>
      <c r="D262" t="s">
        <v>3128</v>
      </c>
      <c r="E262" t="s">
        <v>106</v>
      </c>
      <c r="F262" t="s">
        <v>3129</v>
      </c>
      <c r="G262" t="s">
        <v>106</v>
      </c>
      <c r="H262" t="s">
        <v>3007</v>
      </c>
    </row>
    <row r="263" spans="1:8">
      <c r="A263" t="s">
        <v>557</v>
      </c>
      <c r="B263" t="s">
        <v>3434</v>
      </c>
      <c r="C263" s="9">
        <v>2019</v>
      </c>
      <c r="D263" t="s">
        <v>3170</v>
      </c>
      <c r="E263" t="s">
        <v>106</v>
      </c>
      <c r="F263" t="s">
        <v>3435</v>
      </c>
      <c r="G263" t="s">
        <v>106</v>
      </c>
      <c r="H263" t="s">
        <v>3007</v>
      </c>
    </row>
    <row r="264" spans="1:8">
      <c r="A264" t="s">
        <v>766</v>
      </c>
      <c r="B264" t="s">
        <v>2271</v>
      </c>
      <c r="C264" s="9">
        <v>2017</v>
      </c>
      <c r="D264" t="s">
        <v>2238</v>
      </c>
      <c r="E264" t="s">
        <v>2125</v>
      </c>
      <c r="F264" t="s">
        <v>106</v>
      </c>
      <c r="G264" s="7" t="s">
        <v>2272</v>
      </c>
      <c r="H264" t="s">
        <v>2127</v>
      </c>
    </row>
    <row r="265" spans="1:8">
      <c r="A265" t="s">
        <v>185</v>
      </c>
      <c r="B265" t="s">
        <v>2271</v>
      </c>
      <c r="C265" s="9">
        <v>2024</v>
      </c>
      <c r="D265" t="s">
        <v>2320</v>
      </c>
      <c r="E265" t="s">
        <v>106</v>
      </c>
      <c r="F265" t="s">
        <v>3021</v>
      </c>
      <c r="G265" t="s">
        <v>106</v>
      </c>
      <c r="H265" t="s">
        <v>3007</v>
      </c>
    </row>
    <row r="266" spans="1:8">
      <c r="A266" t="s">
        <v>1344</v>
      </c>
      <c r="B266" t="s">
        <v>2558</v>
      </c>
      <c r="C266" s="9">
        <v>1994</v>
      </c>
      <c r="D266" t="s">
        <v>2132</v>
      </c>
      <c r="E266" t="s">
        <v>2125</v>
      </c>
      <c r="F266" t="s">
        <v>2559</v>
      </c>
      <c r="G266" t="s">
        <v>106</v>
      </c>
      <c r="H266" t="s">
        <v>2127</v>
      </c>
    </row>
    <row r="267" spans="1:8">
      <c r="A267" t="s">
        <v>2929</v>
      </c>
      <c r="B267" t="s">
        <v>2558</v>
      </c>
      <c r="C267" s="9">
        <v>2015</v>
      </c>
      <c r="D267" t="s">
        <v>2252</v>
      </c>
      <c r="E267" t="s">
        <v>2125</v>
      </c>
      <c r="F267" t="s">
        <v>2930</v>
      </c>
      <c r="G267" t="s">
        <v>106</v>
      </c>
      <c r="H267" t="s">
        <v>2127</v>
      </c>
    </row>
    <row r="268" spans="1:8">
      <c r="A268" t="s">
        <v>377</v>
      </c>
      <c r="B268" t="s">
        <v>3320</v>
      </c>
      <c r="C268" s="9">
        <v>2023</v>
      </c>
      <c r="D268" t="s">
        <v>3227</v>
      </c>
      <c r="E268" t="s">
        <v>106</v>
      </c>
      <c r="F268" t="s">
        <v>3321</v>
      </c>
      <c r="G268" t="s">
        <v>106</v>
      </c>
      <c r="H268" t="s">
        <v>3007</v>
      </c>
    </row>
    <row r="269" spans="1:8">
      <c r="A269" t="s">
        <v>370</v>
      </c>
      <c r="B269" t="s">
        <v>3317</v>
      </c>
      <c r="C269" s="9">
        <v>2018</v>
      </c>
      <c r="D269" t="s">
        <v>3318</v>
      </c>
      <c r="E269" t="s">
        <v>106</v>
      </c>
      <c r="F269" t="s">
        <v>3319</v>
      </c>
      <c r="G269" t="s">
        <v>106</v>
      </c>
      <c r="H269" t="s">
        <v>3007</v>
      </c>
    </row>
    <row r="270" spans="1:8">
      <c r="A270" t="s">
        <v>2931</v>
      </c>
      <c r="B270" t="s">
        <v>2932</v>
      </c>
      <c r="C270" s="9">
        <v>2014</v>
      </c>
      <c r="D270" t="s">
        <v>2454</v>
      </c>
      <c r="E270" t="s">
        <v>2125</v>
      </c>
      <c r="F270" t="s">
        <v>2933</v>
      </c>
      <c r="G270" t="s">
        <v>106</v>
      </c>
      <c r="H270" t="s">
        <v>2127</v>
      </c>
    </row>
    <row r="271" spans="1:8">
      <c r="A271" t="s">
        <v>1910</v>
      </c>
      <c r="B271" t="s">
        <v>2932</v>
      </c>
      <c r="C271" s="9">
        <v>2014</v>
      </c>
      <c r="D271" t="s">
        <v>2454</v>
      </c>
      <c r="E271" t="s">
        <v>2125</v>
      </c>
      <c r="F271" t="s">
        <v>2934</v>
      </c>
      <c r="G271" t="s">
        <v>106</v>
      </c>
      <c r="H271" t="s">
        <v>2127</v>
      </c>
    </row>
    <row r="272" spans="1:8">
      <c r="A272" t="s">
        <v>2935</v>
      </c>
      <c r="B272" t="s">
        <v>2932</v>
      </c>
      <c r="C272" s="9">
        <v>2014</v>
      </c>
      <c r="D272" t="s">
        <v>2753</v>
      </c>
      <c r="E272" t="s">
        <v>2125</v>
      </c>
      <c r="F272" t="s">
        <v>2936</v>
      </c>
      <c r="G272" t="s">
        <v>106</v>
      </c>
      <c r="H272" t="s">
        <v>2127</v>
      </c>
    </row>
    <row r="273" spans="1:8">
      <c r="A273" t="s">
        <v>2937</v>
      </c>
      <c r="B273" t="s">
        <v>2932</v>
      </c>
      <c r="C273" s="9">
        <v>2014</v>
      </c>
      <c r="D273" t="s">
        <v>2132</v>
      </c>
      <c r="E273" t="s">
        <v>2125</v>
      </c>
      <c r="F273" t="s">
        <v>2938</v>
      </c>
      <c r="G273" t="s">
        <v>106</v>
      </c>
      <c r="H273" t="s">
        <v>2127</v>
      </c>
    </row>
    <row r="274" spans="1:8">
      <c r="A274" t="s">
        <v>1199</v>
      </c>
      <c r="B274" t="s">
        <v>2486</v>
      </c>
      <c r="C274" s="9">
        <v>1997</v>
      </c>
      <c r="D274" t="s">
        <v>2183</v>
      </c>
      <c r="E274" t="s">
        <v>2125</v>
      </c>
      <c r="F274" t="s">
        <v>2487</v>
      </c>
      <c r="G274" t="s">
        <v>106</v>
      </c>
      <c r="H274" t="s">
        <v>2127</v>
      </c>
    </row>
    <row r="275" spans="1:8">
      <c r="A275" t="s">
        <v>659</v>
      </c>
      <c r="B275" t="s">
        <v>3484</v>
      </c>
      <c r="C275" s="9">
        <v>2017</v>
      </c>
      <c r="D275" t="s">
        <v>3071</v>
      </c>
      <c r="E275" t="s">
        <v>106</v>
      </c>
      <c r="F275" t="s">
        <v>3485</v>
      </c>
      <c r="G275" t="s">
        <v>106</v>
      </c>
      <c r="H275" t="s">
        <v>3007</v>
      </c>
    </row>
    <row r="276" spans="1:8">
      <c r="A276" t="s">
        <v>2174</v>
      </c>
      <c r="B276" t="s">
        <v>2175</v>
      </c>
      <c r="C276" s="9">
        <v>2004</v>
      </c>
      <c r="D276" t="s">
        <v>2129</v>
      </c>
      <c r="E276" t="s">
        <v>2125</v>
      </c>
      <c r="F276" t="s">
        <v>2176</v>
      </c>
      <c r="G276" t="s">
        <v>106</v>
      </c>
      <c r="H276" t="s">
        <v>2127</v>
      </c>
    </row>
    <row r="277" spans="1:8">
      <c r="A277" t="s">
        <v>2203</v>
      </c>
      <c r="B277" t="s">
        <v>2204</v>
      </c>
      <c r="C277" s="9">
        <v>2015</v>
      </c>
      <c r="D277" t="s">
        <v>2205</v>
      </c>
      <c r="E277" t="s">
        <v>2125</v>
      </c>
      <c r="F277" t="s">
        <v>106</v>
      </c>
      <c r="G277" t="s">
        <v>2206</v>
      </c>
      <c r="H277" t="s">
        <v>2127</v>
      </c>
    </row>
    <row r="278" spans="1:8">
      <c r="A278" t="s">
        <v>2269</v>
      </c>
      <c r="B278" t="s">
        <v>2204</v>
      </c>
      <c r="C278" s="9">
        <v>2016</v>
      </c>
      <c r="D278" t="s">
        <v>2238</v>
      </c>
      <c r="E278" t="s">
        <v>2125</v>
      </c>
      <c r="F278" t="s">
        <v>106</v>
      </c>
      <c r="G278" t="s">
        <v>2270</v>
      </c>
      <c r="H278" t="s">
        <v>2127</v>
      </c>
    </row>
    <row r="279" spans="1:8">
      <c r="A279" t="s">
        <v>1636</v>
      </c>
      <c r="B279" t="s">
        <v>2204</v>
      </c>
      <c r="C279" s="9">
        <v>2015</v>
      </c>
      <c r="D279" t="s">
        <v>2129</v>
      </c>
      <c r="E279" t="s">
        <v>2125</v>
      </c>
      <c r="F279" t="s">
        <v>2776</v>
      </c>
      <c r="G279" t="s">
        <v>106</v>
      </c>
      <c r="H279" t="s">
        <v>2127</v>
      </c>
    </row>
    <row r="280" spans="1:8">
      <c r="A280" t="s">
        <v>1641</v>
      </c>
      <c r="B280" t="s">
        <v>2204</v>
      </c>
      <c r="C280" s="9">
        <v>2015</v>
      </c>
      <c r="D280" t="s">
        <v>2132</v>
      </c>
      <c r="E280" t="s">
        <v>2125</v>
      </c>
      <c r="F280" t="s">
        <v>2777</v>
      </c>
      <c r="G280" t="s">
        <v>106</v>
      </c>
      <c r="H280" t="s">
        <v>2127</v>
      </c>
    </row>
    <row r="281" spans="1:8">
      <c r="A281" t="s">
        <v>2786</v>
      </c>
      <c r="B281" t="s">
        <v>2204</v>
      </c>
      <c r="C281" s="9">
        <v>2017</v>
      </c>
      <c r="D281" t="s">
        <v>2393</v>
      </c>
      <c r="E281" t="s">
        <v>2125</v>
      </c>
      <c r="F281" t="s">
        <v>2787</v>
      </c>
      <c r="G281" t="s">
        <v>106</v>
      </c>
      <c r="H281" t="s">
        <v>2127</v>
      </c>
    </row>
    <row r="282" spans="1:8">
      <c r="A282" t="s">
        <v>2788</v>
      </c>
      <c r="B282" t="s">
        <v>2204</v>
      </c>
      <c r="C282" s="9">
        <v>2015</v>
      </c>
      <c r="D282" t="s">
        <v>2285</v>
      </c>
      <c r="E282" t="s">
        <v>2125</v>
      </c>
      <c r="F282" t="s">
        <v>2789</v>
      </c>
      <c r="G282" t="s">
        <v>106</v>
      </c>
      <c r="H282" t="s">
        <v>2127</v>
      </c>
    </row>
    <row r="283" spans="1:8">
      <c r="A283" t="s">
        <v>994</v>
      </c>
      <c r="B283" t="s">
        <v>2204</v>
      </c>
      <c r="C283" s="9">
        <v>2022</v>
      </c>
      <c r="D283" t="s">
        <v>2205</v>
      </c>
      <c r="E283" t="s">
        <v>106</v>
      </c>
      <c r="F283" t="s">
        <v>3145</v>
      </c>
      <c r="G283" t="s">
        <v>106</v>
      </c>
      <c r="H283" t="s">
        <v>3007</v>
      </c>
    </row>
    <row r="284" spans="1:8">
      <c r="A284" t="s">
        <v>2619</v>
      </c>
      <c r="B284" t="s">
        <v>2620</v>
      </c>
      <c r="C284" s="9">
        <v>2014</v>
      </c>
      <c r="D284" t="s">
        <v>2621</v>
      </c>
      <c r="E284" t="s">
        <v>2125</v>
      </c>
      <c r="F284" t="s">
        <v>2622</v>
      </c>
      <c r="G284" t="s">
        <v>106</v>
      </c>
      <c r="H284" t="s">
        <v>2127</v>
      </c>
    </row>
    <row r="285" spans="1:8">
      <c r="A285" t="s">
        <v>1120</v>
      </c>
      <c r="B285" t="s">
        <v>3754</v>
      </c>
      <c r="C285" s="9">
        <v>2020</v>
      </c>
      <c r="D285" t="s">
        <v>3102</v>
      </c>
      <c r="E285" t="s">
        <v>106</v>
      </c>
      <c r="F285" t="s">
        <v>3755</v>
      </c>
      <c r="G285" t="s">
        <v>106</v>
      </c>
      <c r="H285" t="s">
        <v>3007</v>
      </c>
    </row>
    <row r="286" spans="1:8">
      <c r="A286" t="s">
        <v>2983</v>
      </c>
      <c r="B286" t="s">
        <v>2984</v>
      </c>
      <c r="C286" s="9">
        <v>2013</v>
      </c>
      <c r="D286" t="s">
        <v>2985</v>
      </c>
      <c r="E286" t="s">
        <v>2125</v>
      </c>
      <c r="F286" t="s">
        <v>2986</v>
      </c>
      <c r="G286" t="s">
        <v>106</v>
      </c>
      <c r="H286" t="s">
        <v>2127</v>
      </c>
    </row>
    <row r="287" spans="1:8">
      <c r="A287" t="s">
        <v>1346</v>
      </c>
      <c r="B287" t="s">
        <v>2560</v>
      </c>
      <c r="C287" s="9">
        <v>2009</v>
      </c>
      <c r="D287" t="s">
        <v>2124</v>
      </c>
      <c r="E287" t="s">
        <v>2125</v>
      </c>
      <c r="F287" t="s">
        <v>2561</v>
      </c>
      <c r="G287" t="s">
        <v>106</v>
      </c>
      <c r="H287" t="s">
        <v>2127</v>
      </c>
    </row>
    <row r="288" spans="1:8">
      <c r="A288" t="s">
        <v>956</v>
      </c>
      <c r="B288" t="s">
        <v>3648</v>
      </c>
      <c r="C288" s="9">
        <v>2020</v>
      </c>
      <c r="D288" t="s">
        <v>106</v>
      </c>
      <c r="E288" t="s">
        <v>106</v>
      </c>
      <c r="F288" t="s">
        <v>3649</v>
      </c>
      <c r="G288" t="s">
        <v>106</v>
      </c>
      <c r="H288" t="s">
        <v>3007</v>
      </c>
    </row>
    <row r="289" spans="1:8">
      <c r="A289" t="s">
        <v>1936</v>
      </c>
      <c r="B289" t="s">
        <v>2977</v>
      </c>
      <c r="C289" s="9">
        <v>2016</v>
      </c>
      <c r="D289" t="s">
        <v>2124</v>
      </c>
      <c r="E289" t="s">
        <v>2125</v>
      </c>
      <c r="F289" t="s">
        <v>2978</v>
      </c>
      <c r="G289" t="s">
        <v>106</v>
      </c>
      <c r="H289" t="s">
        <v>2127</v>
      </c>
    </row>
    <row r="290" spans="1:8">
      <c r="A290" t="s">
        <v>2411</v>
      </c>
      <c r="B290" t="s">
        <v>2412</v>
      </c>
      <c r="C290" s="9">
        <v>2016</v>
      </c>
      <c r="D290" t="s">
        <v>2129</v>
      </c>
      <c r="E290" t="s">
        <v>2125</v>
      </c>
      <c r="F290" t="s">
        <v>2413</v>
      </c>
      <c r="G290" t="s">
        <v>106</v>
      </c>
      <c r="H290" t="s">
        <v>2127</v>
      </c>
    </row>
    <row r="291" spans="1:8">
      <c r="A291" t="s">
        <v>2959</v>
      </c>
      <c r="B291" t="s">
        <v>2960</v>
      </c>
      <c r="C291" s="9">
        <v>2017</v>
      </c>
      <c r="D291" t="s">
        <v>2961</v>
      </c>
      <c r="E291" t="s">
        <v>2125</v>
      </c>
      <c r="F291" t="s">
        <v>2962</v>
      </c>
      <c r="G291" t="s">
        <v>106</v>
      </c>
      <c r="H291" t="s">
        <v>2127</v>
      </c>
    </row>
    <row r="292" spans="1:8">
      <c r="A292" t="s">
        <v>1917</v>
      </c>
      <c r="B292" t="s">
        <v>2950</v>
      </c>
      <c r="C292" s="9">
        <v>2017</v>
      </c>
      <c r="D292" t="s">
        <v>2151</v>
      </c>
      <c r="E292" t="s">
        <v>2125</v>
      </c>
      <c r="F292" t="s">
        <v>2951</v>
      </c>
      <c r="G292" t="s">
        <v>106</v>
      </c>
      <c r="H292" t="s">
        <v>2127</v>
      </c>
    </row>
    <row r="293" spans="1:8">
      <c r="A293" t="s">
        <v>2968</v>
      </c>
      <c r="B293" t="s">
        <v>2950</v>
      </c>
      <c r="C293" s="9">
        <v>2015</v>
      </c>
      <c r="D293" t="s">
        <v>2132</v>
      </c>
      <c r="E293" t="s">
        <v>2125</v>
      </c>
      <c r="F293" t="s">
        <v>2969</v>
      </c>
      <c r="G293" t="s">
        <v>106</v>
      </c>
      <c r="H293" t="s">
        <v>2127</v>
      </c>
    </row>
    <row r="294" spans="1:8">
      <c r="A294" t="s">
        <v>232</v>
      </c>
      <c r="B294" t="s">
        <v>3055</v>
      </c>
      <c r="C294" s="9">
        <v>2024</v>
      </c>
      <c r="D294" t="s">
        <v>2837</v>
      </c>
      <c r="E294" t="s">
        <v>106</v>
      </c>
      <c r="F294" t="s">
        <v>3056</v>
      </c>
      <c r="G294" t="s">
        <v>106</v>
      </c>
      <c r="H294" t="s">
        <v>3007</v>
      </c>
    </row>
    <row r="295" spans="1:8">
      <c r="A295" t="s">
        <v>394</v>
      </c>
      <c r="B295" t="s">
        <v>3055</v>
      </c>
      <c r="C295" s="9">
        <v>2021</v>
      </c>
      <c r="D295" t="s">
        <v>3331</v>
      </c>
      <c r="E295" t="s">
        <v>106</v>
      </c>
      <c r="F295" t="s">
        <v>106</v>
      </c>
      <c r="G295" t="s">
        <v>3332</v>
      </c>
      <c r="H295" t="s">
        <v>3007</v>
      </c>
    </row>
    <row r="296" spans="1:8">
      <c r="A296" t="s">
        <v>592</v>
      </c>
      <c r="B296" t="s">
        <v>3055</v>
      </c>
      <c r="C296" s="9">
        <v>2021</v>
      </c>
      <c r="D296" t="s">
        <v>3071</v>
      </c>
      <c r="E296" t="s">
        <v>106</v>
      </c>
      <c r="F296" t="s">
        <v>3451</v>
      </c>
      <c r="G296" t="s">
        <v>106</v>
      </c>
      <c r="H296" t="s">
        <v>3007</v>
      </c>
    </row>
    <row r="297" spans="1:8">
      <c r="A297" t="s">
        <v>912</v>
      </c>
      <c r="B297" t="s">
        <v>3055</v>
      </c>
      <c r="C297" s="9">
        <v>2023</v>
      </c>
      <c r="D297" t="s">
        <v>2124</v>
      </c>
      <c r="E297" t="s">
        <v>106</v>
      </c>
      <c r="F297" t="s">
        <v>3627</v>
      </c>
      <c r="G297" t="s">
        <v>106</v>
      </c>
      <c r="H297" t="s">
        <v>3007</v>
      </c>
    </row>
    <row r="298" spans="1:8">
      <c r="A298" t="s">
        <v>3469</v>
      </c>
      <c r="B298" t="s">
        <v>3470</v>
      </c>
      <c r="C298" s="9">
        <v>2020</v>
      </c>
      <c r="D298" t="s">
        <v>3043</v>
      </c>
      <c r="E298" t="s">
        <v>106</v>
      </c>
      <c r="F298" t="s">
        <v>3471</v>
      </c>
      <c r="G298" t="s">
        <v>106</v>
      </c>
      <c r="H298" t="s">
        <v>3007</v>
      </c>
    </row>
    <row r="299" spans="1:8">
      <c r="A299" t="s">
        <v>3011</v>
      </c>
      <c r="B299" t="s">
        <v>3012</v>
      </c>
      <c r="C299" s="9">
        <v>2018</v>
      </c>
      <c r="D299" t="s">
        <v>3013</v>
      </c>
      <c r="E299" t="s">
        <v>106</v>
      </c>
      <c r="F299" t="s">
        <v>3014</v>
      </c>
      <c r="G299" t="s">
        <v>106</v>
      </c>
      <c r="H299" t="s">
        <v>3007</v>
      </c>
    </row>
    <row r="300" spans="1:8">
      <c r="A300" t="s">
        <v>3174</v>
      </c>
      <c r="B300" t="s">
        <v>3012</v>
      </c>
      <c r="C300" s="9">
        <v>2018</v>
      </c>
      <c r="D300" t="s">
        <v>3013</v>
      </c>
      <c r="E300" t="s">
        <v>106</v>
      </c>
      <c r="F300" t="s">
        <v>3175</v>
      </c>
      <c r="G300" t="s">
        <v>106</v>
      </c>
      <c r="H300" t="s">
        <v>3007</v>
      </c>
    </row>
    <row r="301" spans="1:8">
      <c r="A301" t="s">
        <v>680</v>
      </c>
      <c r="B301" t="s">
        <v>3528</v>
      </c>
      <c r="C301" s="9">
        <v>2020</v>
      </c>
      <c r="D301" t="s">
        <v>3529</v>
      </c>
      <c r="E301" t="s">
        <v>106</v>
      </c>
      <c r="F301" t="s">
        <v>3530</v>
      </c>
      <c r="G301" t="s">
        <v>106</v>
      </c>
      <c r="H301" t="s">
        <v>3007</v>
      </c>
    </row>
    <row r="302" spans="1:8">
      <c r="A302" t="s">
        <v>562</v>
      </c>
      <c r="B302" t="s">
        <v>3436</v>
      </c>
      <c r="C302" s="9">
        <v>2022</v>
      </c>
      <c r="D302" t="s">
        <v>3437</v>
      </c>
      <c r="E302" t="s">
        <v>106</v>
      </c>
      <c r="F302" t="s">
        <v>3438</v>
      </c>
      <c r="G302" t="s">
        <v>106</v>
      </c>
      <c r="H302" t="s">
        <v>3007</v>
      </c>
    </row>
    <row r="303" spans="1:8">
      <c r="A303" t="s">
        <v>3554</v>
      </c>
      <c r="B303" t="s">
        <v>3436</v>
      </c>
      <c r="C303" s="9">
        <v>2021</v>
      </c>
      <c r="D303" t="s">
        <v>3393</v>
      </c>
      <c r="E303" t="s">
        <v>106</v>
      </c>
      <c r="F303" t="s">
        <v>3555</v>
      </c>
      <c r="G303" t="s">
        <v>106</v>
      </c>
      <c r="H303" t="s">
        <v>3007</v>
      </c>
    </row>
    <row r="304" spans="1:8">
      <c r="A304" t="s">
        <v>772</v>
      </c>
      <c r="B304" t="s">
        <v>2273</v>
      </c>
      <c r="C304" s="9">
        <v>2015</v>
      </c>
      <c r="D304" t="s">
        <v>2238</v>
      </c>
      <c r="E304" t="s">
        <v>2125</v>
      </c>
      <c r="F304" t="s">
        <v>106</v>
      </c>
      <c r="G304" s="7" t="s">
        <v>2274</v>
      </c>
      <c r="H304" t="s">
        <v>2127</v>
      </c>
    </row>
    <row r="305" spans="1:8">
      <c r="A305" t="s">
        <v>1660</v>
      </c>
      <c r="B305" t="s">
        <v>2273</v>
      </c>
      <c r="C305" s="9">
        <v>2018</v>
      </c>
      <c r="D305" t="s">
        <v>2124</v>
      </c>
      <c r="E305" t="s">
        <v>2125</v>
      </c>
      <c r="F305" t="s">
        <v>2792</v>
      </c>
      <c r="G305" t="s">
        <v>106</v>
      </c>
      <c r="H305" t="s">
        <v>2127</v>
      </c>
    </row>
    <row r="306" spans="1:8">
      <c r="A306" t="s">
        <v>900</v>
      </c>
      <c r="B306" t="s">
        <v>2404</v>
      </c>
      <c r="C306" s="9">
        <v>2014</v>
      </c>
      <c r="D306" t="s">
        <v>2294</v>
      </c>
      <c r="E306" t="s">
        <v>2125</v>
      </c>
      <c r="F306" t="s">
        <v>2405</v>
      </c>
      <c r="G306" t="s">
        <v>106</v>
      </c>
      <c r="H306" t="s">
        <v>2127</v>
      </c>
    </row>
    <row r="307" spans="1:8">
      <c r="A307" t="s">
        <v>1497</v>
      </c>
      <c r="B307" t="s">
        <v>2404</v>
      </c>
      <c r="C307" s="9">
        <v>2011</v>
      </c>
      <c r="D307" t="s">
        <v>2222</v>
      </c>
      <c r="E307" t="s">
        <v>2125</v>
      </c>
      <c r="F307" t="s">
        <v>2678</v>
      </c>
      <c r="G307" t="s">
        <v>106</v>
      </c>
      <c r="H307" t="s">
        <v>2127</v>
      </c>
    </row>
    <row r="308" spans="1:8">
      <c r="A308" t="s">
        <v>2679</v>
      </c>
      <c r="B308" t="s">
        <v>2404</v>
      </c>
      <c r="C308" s="9">
        <v>2011</v>
      </c>
      <c r="D308" t="s">
        <v>2222</v>
      </c>
      <c r="E308" t="s">
        <v>2125</v>
      </c>
      <c r="F308" t="s">
        <v>2680</v>
      </c>
      <c r="G308" t="s">
        <v>106</v>
      </c>
      <c r="H308" t="s">
        <v>2127</v>
      </c>
    </row>
    <row r="309" spans="1:8">
      <c r="A309" t="s">
        <v>2681</v>
      </c>
      <c r="B309" t="s">
        <v>2682</v>
      </c>
      <c r="C309" s="9">
        <v>1997</v>
      </c>
      <c r="D309" t="s">
        <v>2683</v>
      </c>
      <c r="E309" t="s">
        <v>2125</v>
      </c>
      <c r="F309" t="s">
        <v>106</v>
      </c>
      <c r="G309" t="s">
        <v>2684</v>
      </c>
      <c r="H309" t="s">
        <v>2127</v>
      </c>
    </row>
    <row r="310" spans="1:8">
      <c r="A310" t="s">
        <v>902</v>
      </c>
      <c r="B310" t="s">
        <v>2409</v>
      </c>
      <c r="C310" s="9">
        <v>2013</v>
      </c>
      <c r="D310" t="s">
        <v>2124</v>
      </c>
      <c r="E310" t="s">
        <v>2125</v>
      </c>
      <c r="F310" t="s">
        <v>2410</v>
      </c>
      <c r="G310" t="s">
        <v>106</v>
      </c>
      <c r="H310" t="s">
        <v>2127</v>
      </c>
    </row>
    <row r="311" spans="1:8">
      <c r="A311" t="s">
        <v>918</v>
      </c>
      <c r="B311" t="s">
        <v>3628</v>
      </c>
      <c r="C311" s="9">
        <v>2023</v>
      </c>
      <c r="D311" t="s">
        <v>3349</v>
      </c>
      <c r="E311" t="s">
        <v>106</v>
      </c>
      <c r="F311" t="s">
        <v>3629</v>
      </c>
      <c r="G311" t="s">
        <v>106</v>
      </c>
      <c r="H311" t="s">
        <v>3007</v>
      </c>
    </row>
    <row r="312" spans="1:8">
      <c r="A312" t="s">
        <v>384</v>
      </c>
      <c r="B312" t="s">
        <v>3324</v>
      </c>
      <c r="C312" s="9">
        <v>2020</v>
      </c>
      <c r="D312" t="s">
        <v>3325</v>
      </c>
      <c r="E312" t="s">
        <v>106</v>
      </c>
      <c r="F312" t="s">
        <v>3326</v>
      </c>
      <c r="G312" t="s">
        <v>106</v>
      </c>
      <c r="H312" t="s">
        <v>3007</v>
      </c>
    </row>
    <row r="313" spans="1:8">
      <c r="A313" t="s">
        <v>1468</v>
      </c>
      <c r="B313" t="s">
        <v>2652</v>
      </c>
      <c r="C313" s="9">
        <v>1988</v>
      </c>
      <c r="D313" t="s">
        <v>2344</v>
      </c>
      <c r="E313" t="s">
        <v>2125</v>
      </c>
      <c r="F313" t="s">
        <v>2653</v>
      </c>
      <c r="G313" t="s">
        <v>106</v>
      </c>
      <c r="H313" t="s">
        <v>2127</v>
      </c>
    </row>
    <row r="314" spans="1:8">
      <c r="A314" t="s">
        <v>1469</v>
      </c>
      <c r="B314" t="s">
        <v>2652</v>
      </c>
      <c r="C314" s="9">
        <v>1993</v>
      </c>
      <c r="D314" t="s">
        <v>2344</v>
      </c>
      <c r="E314" t="s">
        <v>2125</v>
      </c>
      <c r="F314" t="s">
        <v>2654</v>
      </c>
      <c r="G314" t="s">
        <v>106</v>
      </c>
      <c r="H314" t="s">
        <v>2127</v>
      </c>
    </row>
    <row r="315" spans="1:8">
      <c r="A315" t="s">
        <v>1012</v>
      </c>
      <c r="B315" t="s">
        <v>3160</v>
      </c>
      <c r="C315" s="9">
        <v>2023</v>
      </c>
      <c r="D315" t="s">
        <v>3161</v>
      </c>
      <c r="E315" t="s">
        <v>106</v>
      </c>
      <c r="F315" t="s">
        <v>3162</v>
      </c>
      <c r="G315" t="s">
        <v>106</v>
      </c>
      <c r="H315" t="s">
        <v>3007</v>
      </c>
    </row>
    <row r="316" spans="1:8">
      <c r="A316" t="s">
        <v>732</v>
      </c>
      <c r="B316" t="s">
        <v>3609</v>
      </c>
      <c r="C316" s="9">
        <v>2018</v>
      </c>
      <c r="D316" t="s">
        <v>3095</v>
      </c>
      <c r="E316" t="s">
        <v>106</v>
      </c>
      <c r="F316" t="s">
        <v>106</v>
      </c>
      <c r="G316" t="s">
        <v>3610</v>
      </c>
      <c r="H316" t="s">
        <v>3007</v>
      </c>
    </row>
    <row r="317" spans="1:8">
      <c r="A317" t="s">
        <v>1007</v>
      </c>
      <c r="B317" t="s">
        <v>3152</v>
      </c>
      <c r="C317" s="9">
        <v>2018</v>
      </c>
      <c r="D317" t="s">
        <v>3095</v>
      </c>
      <c r="E317" t="s">
        <v>106</v>
      </c>
      <c r="F317" t="s">
        <v>3153</v>
      </c>
      <c r="G317" t="s">
        <v>106</v>
      </c>
      <c r="H317" t="s">
        <v>3007</v>
      </c>
    </row>
    <row r="318" spans="1:8">
      <c r="A318" t="s">
        <v>1961</v>
      </c>
      <c r="B318" t="s">
        <v>2995</v>
      </c>
      <c r="C318" s="9">
        <v>2015</v>
      </c>
      <c r="D318" t="s">
        <v>2124</v>
      </c>
      <c r="E318" t="s">
        <v>2125</v>
      </c>
      <c r="F318" t="s">
        <v>2996</v>
      </c>
      <c r="G318" t="s">
        <v>106</v>
      </c>
      <c r="H318" t="s">
        <v>2127</v>
      </c>
    </row>
    <row r="319" spans="1:8">
      <c r="A319" t="s">
        <v>1118</v>
      </c>
      <c r="B319" t="s">
        <v>3742</v>
      </c>
      <c r="C319" s="9">
        <v>2024</v>
      </c>
      <c r="D319" t="s">
        <v>3743</v>
      </c>
      <c r="E319" t="s">
        <v>106</v>
      </c>
      <c r="F319" t="s">
        <v>3744</v>
      </c>
      <c r="G319" t="s">
        <v>106</v>
      </c>
      <c r="H319" t="s">
        <v>3007</v>
      </c>
    </row>
    <row r="320" spans="1:8">
      <c r="A320" t="s">
        <v>1668</v>
      </c>
      <c r="B320" t="s">
        <v>2795</v>
      </c>
      <c r="C320" s="9">
        <v>2018</v>
      </c>
      <c r="D320" t="s">
        <v>2124</v>
      </c>
      <c r="E320" t="s">
        <v>2125</v>
      </c>
      <c r="F320" t="s">
        <v>2796</v>
      </c>
      <c r="G320" t="s">
        <v>106</v>
      </c>
      <c r="H320" t="s">
        <v>2127</v>
      </c>
    </row>
    <row r="321" spans="1:8">
      <c r="A321" t="s">
        <v>174</v>
      </c>
      <c r="B321" t="s">
        <v>2795</v>
      </c>
      <c r="C321" s="9">
        <v>2019</v>
      </c>
      <c r="D321" t="s">
        <v>3015</v>
      </c>
      <c r="E321" t="s">
        <v>106</v>
      </c>
      <c r="F321" t="s">
        <v>3016</v>
      </c>
      <c r="G321" t="s">
        <v>106</v>
      </c>
      <c r="H321" t="s">
        <v>3007</v>
      </c>
    </row>
    <row r="322" spans="1:8">
      <c r="A322" t="s">
        <v>195</v>
      </c>
      <c r="B322" t="s">
        <v>2795</v>
      </c>
      <c r="C322" s="9">
        <v>2023</v>
      </c>
      <c r="D322" t="s">
        <v>3039</v>
      </c>
      <c r="E322" t="s">
        <v>106</v>
      </c>
      <c r="F322" t="s">
        <v>3040</v>
      </c>
      <c r="G322" t="s">
        <v>106</v>
      </c>
      <c r="H322" t="s">
        <v>3007</v>
      </c>
    </row>
    <row r="323" spans="1:8">
      <c r="A323" t="s">
        <v>3327</v>
      </c>
      <c r="B323" t="s">
        <v>2795</v>
      </c>
      <c r="C323" s="9">
        <v>2018</v>
      </c>
      <c r="D323" t="s">
        <v>3071</v>
      </c>
      <c r="E323" t="s">
        <v>106</v>
      </c>
      <c r="F323" t="s">
        <v>3328</v>
      </c>
      <c r="G323" t="s">
        <v>106</v>
      </c>
      <c r="H323" t="s">
        <v>3007</v>
      </c>
    </row>
    <row r="324" spans="1:8">
      <c r="A324" t="s">
        <v>747</v>
      </c>
      <c r="B324" t="s">
        <v>2795</v>
      </c>
      <c r="C324" s="9">
        <v>2018</v>
      </c>
      <c r="D324" t="s">
        <v>3039</v>
      </c>
      <c r="E324" t="s">
        <v>106</v>
      </c>
      <c r="F324" t="s">
        <v>3623</v>
      </c>
      <c r="G324" t="s">
        <v>106</v>
      </c>
      <c r="H324" t="s">
        <v>3007</v>
      </c>
    </row>
    <row r="325" spans="1:8">
      <c r="A325" t="s">
        <v>546</v>
      </c>
      <c r="B325" t="s">
        <v>3425</v>
      </c>
      <c r="C325" s="9">
        <v>2022</v>
      </c>
      <c r="D325" t="s">
        <v>2124</v>
      </c>
      <c r="E325" t="s">
        <v>106</v>
      </c>
      <c r="F325" t="s">
        <v>3426</v>
      </c>
      <c r="G325" t="s">
        <v>106</v>
      </c>
      <c r="H325" t="s">
        <v>3007</v>
      </c>
    </row>
    <row r="326" spans="1:8">
      <c r="A326" t="s">
        <v>713</v>
      </c>
      <c r="B326" t="s">
        <v>3581</v>
      </c>
      <c r="C326" s="9">
        <v>2019</v>
      </c>
      <c r="D326" t="s">
        <v>3582</v>
      </c>
      <c r="E326" t="s">
        <v>106</v>
      </c>
      <c r="F326" t="s">
        <v>3583</v>
      </c>
      <c r="G326" t="s">
        <v>106</v>
      </c>
      <c r="H326" t="s">
        <v>3007</v>
      </c>
    </row>
    <row r="327" spans="1:8">
      <c r="A327" t="s">
        <v>713</v>
      </c>
      <c r="B327" t="s">
        <v>3581</v>
      </c>
      <c r="C327" s="9">
        <v>2019</v>
      </c>
      <c r="D327" t="s">
        <v>3582</v>
      </c>
      <c r="E327" t="s">
        <v>106</v>
      </c>
      <c r="F327" t="s">
        <v>3583</v>
      </c>
      <c r="G327" t="s">
        <v>106</v>
      </c>
      <c r="H327" t="s">
        <v>3007</v>
      </c>
    </row>
    <row r="328" spans="1:8">
      <c r="A328" t="s">
        <v>1526</v>
      </c>
      <c r="B328" t="s">
        <v>2712</v>
      </c>
      <c r="C328" s="9">
        <v>2007</v>
      </c>
      <c r="D328" t="s">
        <v>2129</v>
      </c>
      <c r="E328" t="s">
        <v>2125</v>
      </c>
      <c r="F328" t="s">
        <v>2713</v>
      </c>
      <c r="G328" t="s">
        <v>106</v>
      </c>
      <c r="H328" t="s">
        <v>2127</v>
      </c>
    </row>
    <row r="329" spans="1:8">
      <c r="A329" t="s">
        <v>1351</v>
      </c>
      <c r="B329" t="s">
        <v>2562</v>
      </c>
      <c r="C329" s="9">
        <v>1998</v>
      </c>
      <c r="D329" t="s">
        <v>2183</v>
      </c>
      <c r="E329" t="s">
        <v>2125</v>
      </c>
      <c r="F329" t="s">
        <v>2563</v>
      </c>
      <c r="G329" t="s">
        <v>106</v>
      </c>
      <c r="H329" t="s">
        <v>2127</v>
      </c>
    </row>
    <row r="330" spans="1:8">
      <c r="A330" t="s">
        <v>1357</v>
      </c>
      <c r="B330" t="s">
        <v>2562</v>
      </c>
      <c r="C330" s="9">
        <v>1998</v>
      </c>
      <c r="D330" t="s">
        <v>2183</v>
      </c>
      <c r="E330" t="s">
        <v>2125</v>
      </c>
      <c r="F330" t="s">
        <v>2563</v>
      </c>
      <c r="G330" t="s">
        <v>106</v>
      </c>
      <c r="H330" t="s">
        <v>2127</v>
      </c>
    </row>
    <row r="331" spans="1:8">
      <c r="A331" t="s">
        <v>1358</v>
      </c>
      <c r="B331" t="s">
        <v>2562</v>
      </c>
      <c r="C331" s="9">
        <v>1998</v>
      </c>
      <c r="D331" t="s">
        <v>2180</v>
      </c>
      <c r="E331" t="s">
        <v>2125</v>
      </c>
      <c r="F331" t="s">
        <v>2564</v>
      </c>
      <c r="G331" t="s">
        <v>106</v>
      </c>
      <c r="H331" t="s">
        <v>2127</v>
      </c>
    </row>
    <row r="332" spans="1:8">
      <c r="A332" t="s">
        <v>1369</v>
      </c>
      <c r="B332" t="s">
        <v>2562</v>
      </c>
      <c r="C332" s="9">
        <v>1998</v>
      </c>
      <c r="D332" t="s">
        <v>2132</v>
      </c>
      <c r="E332" t="s">
        <v>2125</v>
      </c>
      <c r="F332" t="s">
        <v>2565</v>
      </c>
      <c r="G332" t="s">
        <v>106</v>
      </c>
      <c r="H332" t="s">
        <v>2127</v>
      </c>
    </row>
    <row r="333" spans="1:8">
      <c r="A333" t="s">
        <v>2488</v>
      </c>
      <c r="B333" t="s">
        <v>2489</v>
      </c>
      <c r="C333" s="9">
        <v>2001</v>
      </c>
      <c r="D333" t="s">
        <v>2180</v>
      </c>
      <c r="E333" t="s">
        <v>2125</v>
      </c>
      <c r="F333" t="s">
        <v>2490</v>
      </c>
      <c r="G333" t="s">
        <v>106</v>
      </c>
      <c r="H333" t="s">
        <v>2127</v>
      </c>
    </row>
    <row r="334" spans="1:8">
      <c r="A334" t="s">
        <v>1916</v>
      </c>
      <c r="B334" t="s">
        <v>2948</v>
      </c>
      <c r="C334" s="9">
        <v>2016</v>
      </c>
      <c r="D334" t="s">
        <v>2124</v>
      </c>
      <c r="E334" t="s">
        <v>2125</v>
      </c>
      <c r="F334" t="s">
        <v>2949</v>
      </c>
      <c r="G334" t="s">
        <v>106</v>
      </c>
      <c r="H334" t="s">
        <v>2127</v>
      </c>
    </row>
    <row r="335" spans="1:8">
      <c r="A335" t="s">
        <v>1669</v>
      </c>
      <c r="B335" t="s">
        <v>2797</v>
      </c>
      <c r="C335" s="9">
        <v>2014</v>
      </c>
      <c r="D335" t="s">
        <v>2798</v>
      </c>
      <c r="E335" t="s">
        <v>2165</v>
      </c>
      <c r="F335" t="s">
        <v>2799</v>
      </c>
      <c r="G335" t="s">
        <v>106</v>
      </c>
      <c r="H335" t="s">
        <v>2127</v>
      </c>
    </row>
    <row r="336" spans="1:8">
      <c r="A336" t="s">
        <v>2877</v>
      </c>
      <c r="B336" t="s">
        <v>2878</v>
      </c>
      <c r="C336" s="9">
        <v>2006</v>
      </c>
      <c r="D336" t="s">
        <v>2155</v>
      </c>
      <c r="E336" t="s">
        <v>2125</v>
      </c>
      <c r="F336" t="s">
        <v>2879</v>
      </c>
      <c r="G336" t="s">
        <v>106</v>
      </c>
      <c r="H336" t="s">
        <v>2127</v>
      </c>
    </row>
    <row r="337" spans="1:8">
      <c r="A337" t="s">
        <v>2491</v>
      </c>
      <c r="B337" t="s">
        <v>2492</v>
      </c>
      <c r="C337" s="9">
        <v>1998</v>
      </c>
      <c r="D337" t="s">
        <v>2180</v>
      </c>
      <c r="E337" t="s">
        <v>2125</v>
      </c>
      <c r="F337" t="s">
        <v>2493</v>
      </c>
      <c r="G337" t="s">
        <v>106</v>
      </c>
      <c r="H337" t="s">
        <v>2127</v>
      </c>
    </row>
    <row r="338" spans="1:8">
      <c r="A338" t="s">
        <v>1532</v>
      </c>
      <c r="B338" t="s">
        <v>2714</v>
      </c>
      <c r="C338" s="9">
        <v>1999</v>
      </c>
      <c r="D338" t="s">
        <v>2183</v>
      </c>
      <c r="E338" t="s">
        <v>2125</v>
      </c>
      <c r="F338" t="s">
        <v>2715</v>
      </c>
      <c r="G338" t="s">
        <v>106</v>
      </c>
      <c r="H338" t="s">
        <v>2127</v>
      </c>
    </row>
    <row r="339" spans="1:8">
      <c r="A339" t="s">
        <v>1860</v>
      </c>
      <c r="B339" t="s">
        <v>2714</v>
      </c>
      <c r="C339" s="9">
        <v>1999</v>
      </c>
      <c r="D339" t="s">
        <v>2172</v>
      </c>
      <c r="E339" t="s">
        <v>2125</v>
      </c>
      <c r="F339" t="s">
        <v>106</v>
      </c>
      <c r="G339" s="43" t="s">
        <v>2890</v>
      </c>
      <c r="H339" t="s">
        <v>2127</v>
      </c>
    </row>
    <row r="340" spans="1:8">
      <c r="A340" t="s">
        <v>1454</v>
      </c>
      <c r="B340" t="s">
        <v>2637</v>
      </c>
      <c r="C340" s="9">
        <v>2013</v>
      </c>
      <c r="D340" t="s">
        <v>2238</v>
      </c>
      <c r="E340" t="s">
        <v>2125</v>
      </c>
      <c r="F340" t="s">
        <v>106</v>
      </c>
      <c r="G340" s="7" t="s">
        <v>2638</v>
      </c>
      <c r="H340" t="s">
        <v>2127</v>
      </c>
    </row>
    <row r="341" spans="1:8">
      <c r="A341" t="s">
        <v>1865</v>
      </c>
      <c r="B341" t="s">
        <v>2891</v>
      </c>
      <c r="C341" s="9">
        <v>2009</v>
      </c>
      <c r="D341" t="s">
        <v>2124</v>
      </c>
      <c r="E341" t="s">
        <v>2125</v>
      </c>
      <c r="F341" t="s">
        <v>2892</v>
      </c>
      <c r="G341" t="s">
        <v>106</v>
      </c>
      <c r="H341" t="s">
        <v>2127</v>
      </c>
    </row>
    <row r="342" spans="1:8">
      <c r="A342" t="s">
        <v>1861</v>
      </c>
      <c r="B342" t="s">
        <v>2891</v>
      </c>
      <c r="C342" s="9">
        <v>2009</v>
      </c>
      <c r="D342" t="s">
        <v>2124</v>
      </c>
      <c r="E342" t="s">
        <v>2125</v>
      </c>
      <c r="F342" t="s">
        <v>2892</v>
      </c>
      <c r="G342" t="s">
        <v>106</v>
      </c>
      <c r="H342" t="s">
        <v>2127</v>
      </c>
    </row>
    <row r="343" spans="1:8">
      <c r="A343" t="s">
        <v>1866</v>
      </c>
      <c r="B343" t="s">
        <v>2891</v>
      </c>
      <c r="C343" s="9">
        <v>2009</v>
      </c>
      <c r="D343" t="s">
        <v>2124</v>
      </c>
      <c r="E343" t="s">
        <v>2125</v>
      </c>
      <c r="F343" t="s">
        <v>2893</v>
      </c>
      <c r="G343" t="s">
        <v>106</v>
      </c>
      <c r="H343" t="s">
        <v>2127</v>
      </c>
    </row>
    <row r="344" spans="1:8">
      <c r="A344" t="s">
        <v>623</v>
      </c>
      <c r="B344" t="s">
        <v>3464</v>
      </c>
      <c r="C344" s="9">
        <v>2024</v>
      </c>
      <c r="D344" t="s">
        <v>3465</v>
      </c>
      <c r="E344" t="s">
        <v>106</v>
      </c>
      <c r="F344" t="s">
        <v>3466</v>
      </c>
      <c r="G344" t="s">
        <v>106</v>
      </c>
      <c r="H344" t="s">
        <v>3007</v>
      </c>
    </row>
    <row r="345" spans="1:8">
      <c r="A345" t="s">
        <v>3097</v>
      </c>
      <c r="B345" t="s">
        <v>3098</v>
      </c>
      <c r="C345" s="9">
        <v>2021</v>
      </c>
      <c r="D345" t="s">
        <v>2172</v>
      </c>
      <c r="E345" t="s">
        <v>106</v>
      </c>
      <c r="F345" t="s">
        <v>106</v>
      </c>
      <c r="G345" t="s">
        <v>3099</v>
      </c>
      <c r="H345" t="s">
        <v>3007</v>
      </c>
    </row>
    <row r="346" spans="1:8">
      <c r="A346" t="s">
        <v>923</v>
      </c>
      <c r="B346" t="s">
        <v>3098</v>
      </c>
      <c r="C346" s="9">
        <v>2019</v>
      </c>
      <c r="D346" t="s">
        <v>2172</v>
      </c>
      <c r="E346" t="s">
        <v>106</v>
      </c>
      <c r="F346" t="s">
        <v>3630</v>
      </c>
      <c r="G346" t="s">
        <v>106</v>
      </c>
      <c r="H346" t="s">
        <v>3007</v>
      </c>
    </row>
    <row r="347" spans="1:8">
      <c r="A347" t="s">
        <v>522</v>
      </c>
      <c r="B347" t="s">
        <v>3086</v>
      </c>
      <c r="C347" s="9">
        <v>2023</v>
      </c>
      <c r="D347" t="s">
        <v>2124</v>
      </c>
      <c r="E347" t="s">
        <v>106</v>
      </c>
      <c r="F347" t="s">
        <v>3087</v>
      </c>
      <c r="G347" t="s">
        <v>106</v>
      </c>
      <c r="H347" t="s">
        <v>3007</v>
      </c>
    </row>
    <row r="348" spans="1:8">
      <c r="A348" t="s">
        <v>3031</v>
      </c>
      <c r="B348" t="s">
        <v>3032</v>
      </c>
      <c r="C348" s="9">
        <v>2020</v>
      </c>
      <c r="D348" t="s">
        <v>3033</v>
      </c>
      <c r="E348" t="s">
        <v>106</v>
      </c>
      <c r="F348" t="s">
        <v>106</v>
      </c>
      <c r="G348" t="s">
        <v>3034</v>
      </c>
      <c r="H348" t="s">
        <v>3007</v>
      </c>
    </row>
    <row r="349" spans="1:8">
      <c r="A349" t="s">
        <v>3035</v>
      </c>
      <c r="B349" t="s">
        <v>3036</v>
      </c>
      <c r="C349" s="9">
        <v>2021</v>
      </c>
      <c r="D349" t="s">
        <v>3037</v>
      </c>
      <c r="E349" t="s">
        <v>106</v>
      </c>
      <c r="F349" t="s">
        <v>3038</v>
      </c>
      <c r="G349" t="s">
        <v>106</v>
      </c>
      <c r="H349" t="s">
        <v>3007</v>
      </c>
    </row>
    <row r="350" spans="1:8">
      <c r="A350" t="s">
        <v>1729</v>
      </c>
      <c r="B350" t="s">
        <v>2177</v>
      </c>
      <c r="C350" s="9">
        <v>1992</v>
      </c>
      <c r="D350" t="s">
        <v>2132</v>
      </c>
      <c r="E350" t="s">
        <v>2125</v>
      </c>
      <c r="F350" t="s">
        <v>2178</v>
      </c>
      <c r="G350" t="s">
        <v>106</v>
      </c>
      <c r="H350" t="s">
        <v>2127</v>
      </c>
    </row>
    <row r="351" spans="1:8">
      <c r="A351" t="s">
        <v>872</v>
      </c>
      <c r="B351" t="s">
        <v>2392</v>
      </c>
      <c r="C351" s="9">
        <v>2017</v>
      </c>
      <c r="D351" t="s">
        <v>2393</v>
      </c>
      <c r="E351" t="s">
        <v>2125</v>
      </c>
      <c r="F351" t="s">
        <v>2394</v>
      </c>
      <c r="G351" t="s">
        <v>106</v>
      </c>
      <c r="H351" t="s">
        <v>2127</v>
      </c>
    </row>
    <row r="352" spans="1:8">
      <c r="A352" t="s">
        <v>892</v>
      </c>
      <c r="B352" t="s">
        <v>2392</v>
      </c>
      <c r="C352" s="9">
        <v>2014</v>
      </c>
      <c r="D352" t="s">
        <v>2252</v>
      </c>
      <c r="E352" t="s">
        <v>2125</v>
      </c>
      <c r="F352" t="s">
        <v>2399</v>
      </c>
      <c r="G352" t="s">
        <v>106</v>
      </c>
      <c r="H352" t="s">
        <v>2127</v>
      </c>
    </row>
    <row r="353" spans="1:8">
      <c r="A353" t="s">
        <v>2970</v>
      </c>
      <c r="B353" t="s">
        <v>2971</v>
      </c>
      <c r="C353" s="9">
        <v>2013</v>
      </c>
      <c r="D353" t="s">
        <v>2252</v>
      </c>
      <c r="E353" t="s">
        <v>2125</v>
      </c>
      <c r="F353" t="s">
        <v>2972</v>
      </c>
      <c r="G353" t="s">
        <v>106</v>
      </c>
      <c r="H353" t="s">
        <v>2127</v>
      </c>
    </row>
    <row r="354" spans="1:8">
      <c r="A354" t="s">
        <v>3596</v>
      </c>
      <c r="B354" t="s">
        <v>2971</v>
      </c>
      <c r="C354" s="9">
        <v>2022</v>
      </c>
      <c r="D354" t="s">
        <v>3597</v>
      </c>
      <c r="E354" t="s">
        <v>106</v>
      </c>
      <c r="F354" t="s">
        <v>3598</v>
      </c>
      <c r="G354" t="s">
        <v>106</v>
      </c>
      <c r="H354" t="s">
        <v>3007</v>
      </c>
    </row>
    <row r="355" spans="1:8">
      <c r="A355" t="s">
        <v>2954</v>
      </c>
      <c r="B355" t="s">
        <v>2955</v>
      </c>
      <c r="C355" s="9">
        <v>2016</v>
      </c>
      <c r="D355" t="s">
        <v>2132</v>
      </c>
      <c r="E355" t="s">
        <v>2125</v>
      </c>
      <c r="F355" t="s">
        <v>2956</v>
      </c>
      <c r="G355" t="s">
        <v>106</v>
      </c>
      <c r="H355" t="s">
        <v>2127</v>
      </c>
    </row>
    <row r="356" spans="1:8">
      <c r="A356" t="s">
        <v>1919</v>
      </c>
      <c r="B356" t="s">
        <v>2955</v>
      </c>
      <c r="C356" s="9">
        <v>2015</v>
      </c>
      <c r="D356" t="s">
        <v>2129</v>
      </c>
      <c r="E356" t="s">
        <v>2125</v>
      </c>
      <c r="F356" t="s">
        <v>2957</v>
      </c>
      <c r="G356" t="s">
        <v>106</v>
      </c>
      <c r="H356" t="s">
        <v>2127</v>
      </c>
    </row>
    <row r="357" spans="1:8">
      <c r="A357" t="s">
        <v>1922</v>
      </c>
      <c r="B357" t="s">
        <v>2955</v>
      </c>
      <c r="C357" s="9">
        <v>2014</v>
      </c>
      <c r="D357" t="s">
        <v>2308</v>
      </c>
      <c r="E357" t="s">
        <v>2125</v>
      </c>
      <c r="F357" t="s">
        <v>2958</v>
      </c>
      <c r="G357" t="s">
        <v>106</v>
      </c>
      <c r="H357" t="s">
        <v>2127</v>
      </c>
    </row>
    <row r="358" spans="1:8">
      <c r="A358" t="s">
        <v>1926</v>
      </c>
      <c r="B358" t="s">
        <v>2955</v>
      </c>
      <c r="C358" s="9">
        <v>2016</v>
      </c>
      <c r="D358" t="s">
        <v>2963</v>
      </c>
      <c r="E358" t="s">
        <v>2125</v>
      </c>
      <c r="F358" t="s">
        <v>2964</v>
      </c>
      <c r="G358" t="s">
        <v>106</v>
      </c>
      <c r="H358" t="s">
        <v>2127</v>
      </c>
    </row>
    <row r="359" spans="1:8">
      <c r="A359" t="s">
        <v>1931</v>
      </c>
      <c r="B359" t="s">
        <v>2955</v>
      </c>
      <c r="C359" s="9">
        <v>2018</v>
      </c>
      <c r="D359" t="s">
        <v>2129</v>
      </c>
      <c r="E359" t="s">
        <v>2125</v>
      </c>
      <c r="F359" t="s">
        <v>2967</v>
      </c>
      <c r="G359" t="s">
        <v>106</v>
      </c>
      <c r="H359" t="s">
        <v>2127</v>
      </c>
    </row>
    <row r="360" spans="1:8">
      <c r="A360" t="s">
        <v>3179</v>
      </c>
      <c r="B360" t="s">
        <v>2955</v>
      </c>
      <c r="C360" s="9">
        <v>2022</v>
      </c>
      <c r="D360" t="s">
        <v>2837</v>
      </c>
      <c r="E360" t="s">
        <v>106</v>
      </c>
      <c r="F360" t="s">
        <v>3180</v>
      </c>
      <c r="G360" t="s">
        <v>106</v>
      </c>
      <c r="H360" t="s">
        <v>3007</v>
      </c>
    </row>
    <row r="361" spans="1:8">
      <c r="A361" t="s">
        <v>2664</v>
      </c>
      <c r="B361" t="s">
        <v>2665</v>
      </c>
      <c r="C361" s="9">
        <v>1993</v>
      </c>
      <c r="D361" t="s">
        <v>2124</v>
      </c>
      <c r="E361" t="s">
        <v>2125</v>
      </c>
      <c r="F361" t="s">
        <v>2666</v>
      </c>
      <c r="G361" t="s">
        <v>106</v>
      </c>
      <c r="H361" t="s">
        <v>2127</v>
      </c>
    </row>
    <row r="362" spans="1:8">
      <c r="A362" t="s">
        <v>2945</v>
      </c>
      <c r="B362" t="s">
        <v>2946</v>
      </c>
      <c r="C362" s="9">
        <v>2013</v>
      </c>
      <c r="D362" t="s">
        <v>2657</v>
      </c>
      <c r="E362" t="s">
        <v>2125</v>
      </c>
      <c r="F362" t="s">
        <v>106</v>
      </c>
      <c r="G362" t="s">
        <v>2947</v>
      </c>
      <c r="H362" t="s">
        <v>2127</v>
      </c>
    </row>
    <row r="363" spans="1:8">
      <c r="A363" t="s">
        <v>1038</v>
      </c>
      <c r="B363" t="s">
        <v>3657</v>
      </c>
      <c r="C363" s="9">
        <v>2023</v>
      </c>
      <c r="D363" t="s">
        <v>3078</v>
      </c>
      <c r="E363" t="s">
        <v>106</v>
      </c>
      <c r="F363" t="s">
        <v>3658</v>
      </c>
      <c r="G363" t="s">
        <v>106</v>
      </c>
      <c r="H363" t="s">
        <v>3007</v>
      </c>
    </row>
    <row r="364" spans="1:8">
      <c r="A364" t="s">
        <v>3333</v>
      </c>
      <c r="B364" t="s">
        <v>3334</v>
      </c>
      <c r="C364" s="9">
        <v>2023</v>
      </c>
      <c r="D364" t="s">
        <v>3335</v>
      </c>
      <c r="E364" t="s">
        <v>106</v>
      </c>
      <c r="F364" t="s">
        <v>3336</v>
      </c>
      <c r="G364" t="s">
        <v>106</v>
      </c>
      <c r="H364" t="s">
        <v>3007</v>
      </c>
    </row>
    <row r="365" spans="1:8">
      <c r="A365" t="s">
        <v>3060</v>
      </c>
      <c r="B365" t="s">
        <v>3061</v>
      </c>
      <c r="C365" s="9">
        <v>2023</v>
      </c>
      <c r="D365" t="s">
        <v>3062</v>
      </c>
      <c r="E365" t="s">
        <v>106</v>
      </c>
      <c r="F365" t="s">
        <v>3059</v>
      </c>
      <c r="G365" t="s">
        <v>106</v>
      </c>
      <c r="H365" t="s">
        <v>3007</v>
      </c>
    </row>
    <row r="366" spans="1:8">
      <c r="A366" t="s">
        <v>334</v>
      </c>
      <c r="B366" t="s">
        <v>3266</v>
      </c>
      <c r="C366" s="9">
        <v>2021</v>
      </c>
      <c r="D366" t="s">
        <v>2860</v>
      </c>
      <c r="E366" t="s">
        <v>106</v>
      </c>
      <c r="F366" t="s">
        <v>3267</v>
      </c>
      <c r="G366" t="s">
        <v>106</v>
      </c>
      <c r="H366" t="s">
        <v>3007</v>
      </c>
    </row>
    <row r="367" spans="1:8">
      <c r="A367" t="s">
        <v>2835</v>
      </c>
      <c r="B367" t="s">
        <v>2836</v>
      </c>
      <c r="C367" s="9">
        <v>2008</v>
      </c>
      <c r="D367" t="s">
        <v>2837</v>
      </c>
      <c r="E367" t="s">
        <v>2125</v>
      </c>
      <c r="F367" t="s">
        <v>2838</v>
      </c>
      <c r="G367" t="s">
        <v>106</v>
      </c>
      <c r="H367" t="s">
        <v>2127</v>
      </c>
    </row>
    <row r="368" spans="1:8">
      <c r="A368" t="s">
        <v>3223</v>
      </c>
      <c r="B368" t="s">
        <v>3224</v>
      </c>
      <c r="C368" s="9">
        <v>2021</v>
      </c>
      <c r="D368" t="s">
        <v>3037</v>
      </c>
      <c r="E368" t="s">
        <v>106</v>
      </c>
      <c r="F368" t="s">
        <v>3225</v>
      </c>
      <c r="G368" t="s">
        <v>106</v>
      </c>
      <c r="H368" t="s">
        <v>3007</v>
      </c>
    </row>
    <row r="369" spans="1:8" s="10" customFormat="1">
      <c r="A369" s="10" t="s">
        <v>494</v>
      </c>
      <c r="B369" s="10" t="s">
        <v>3080</v>
      </c>
      <c r="C369" s="11">
        <v>2016</v>
      </c>
      <c r="D369" s="10" t="s">
        <v>3081</v>
      </c>
      <c r="E369" s="10" t="s">
        <v>106</v>
      </c>
      <c r="F369" s="10" t="s">
        <v>3082</v>
      </c>
      <c r="G369" s="10" t="s">
        <v>106</v>
      </c>
      <c r="H369" s="10" t="s">
        <v>3007</v>
      </c>
    </row>
    <row r="370" spans="1:8" s="10" customFormat="1">
      <c r="A370" s="10" t="s">
        <v>3149</v>
      </c>
      <c r="B370" s="10" t="s">
        <v>3080</v>
      </c>
      <c r="C370" s="11">
        <v>2023</v>
      </c>
      <c r="D370" s="10" t="s">
        <v>3150</v>
      </c>
      <c r="E370" s="10" t="s">
        <v>106</v>
      </c>
      <c r="F370" s="10" t="s">
        <v>3151</v>
      </c>
      <c r="G370" s="10" t="s">
        <v>106</v>
      </c>
      <c r="H370" s="10" t="s">
        <v>3007</v>
      </c>
    </row>
    <row r="371" spans="1:8" s="10" customFormat="1">
      <c r="A371" s="10" t="s">
        <v>958</v>
      </c>
      <c r="B371" s="10" t="s">
        <v>3080</v>
      </c>
      <c r="C371" s="11">
        <v>2022</v>
      </c>
      <c r="D371" s="10" t="s">
        <v>3650</v>
      </c>
      <c r="E371" s="10" t="s">
        <v>106</v>
      </c>
      <c r="F371" s="10" t="s">
        <v>3651</v>
      </c>
      <c r="G371" s="10" t="s">
        <v>106</v>
      </c>
      <c r="H371" s="10" t="s">
        <v>3007</v>
      </c>
    </row>
    <row r="372" spans="1:8">
      <c r="A372" t="s">
        <v>221</v>
      </c>
      <c r="B372" t="s">
        <v>3199</v>
      </c>
      <c r="C372" s="9">
        <v>2018</v>
      </c>
      <c r="D372" t="s">
        <v>3200</v>
      </c>
      <c r="E372" t="s">
        <v>106</v>
      </c>
      <c r="F372" t="s">
        <v>3201</v>
      </c>
      <c r="G372" t="s">
        <v>106</v>
      </c>
      <c r="H372" t="s">
        <v>3007</v>
      </c>
    </row>
    <row r="373" spans="1:8">
      <c r="A373" t="s">
        <v>946</v>
      </c>
      <c r="B373" t="s">
        <v>3645</v>
      </c>
      <c r="C373" s="9">
        <v>2024</v>
      </c>
      <c r="D373" t="s">
        <v>3646</v>
      </c>
      <c r="E373" t="s">
        <v>106</v>
      </c>
      <c r="F373" t="s">
        <v>3647</v>
      </c>
      <c r="G373" t="s">
        <v>106</v>
      </c>
      <c r="H373" t="s">
        <v>3007</v>
      </c>
    </row>
    <row r="374" spans="1:8">
      <c r="A374" t="s">
        <v>417</v>
      </c>
      <c r="B374" t="s">
        <v>3361</v>
      </c>
      <c r="C374" s="9">
        <v>2020</v>
      </c>
      <c r="D374" t="s">
        <v>3362</v>
      </c>
      <c r="E374" t="s">
        <v>106</v>
      </c>
      <c r="F374" t="s">
        <v>3363</v>
      </c>
      <c r="G374" t="s">
        <v>106</v>
      </c>
      <c r="H374" t="s">
        <v>3007</v>
      </c>
    </row>
    <row r="375" spans="1:8">
      <c r="A375" t="s">
        <v>1968</v>
      </c>
      <c r="B375" t="s">
        <v>2997</v>
      </c>
      <c r="C375" s="9">
        <v>2012</v>
      </c>
      <c r="D375" t="s">
        <v>2998</v>
      </c>
      <c r="E375" t="s">
        <v>2125</v>
      </c>
      <c r="F375" t="s">
        <v>2999</v>
      </c>
      <c r="G375" t="s">
        <v>106</v>
      </c>
      <c r="H375" t="s">
        <v>2127</v>
      </c>
    </row>
    <row r="376" spans="1:8">
      <c r="A376" t="s">
        <v>2894</v>
      </c>
      <c r="B376" t="s">
        <v>2895</v>
      </c>
      <c r="C376" s="9">
        <v>2009</v>
      </c>
      <c r="D376" t="s">
        <v>2484</v>
      </c>
      <c r="E376" t="s">
        <v>2125</v>
      </c>
      <c r="F376" t="s">
        <v>106</v>
      </c>
      <c r="G376" t="s">
        <v>2896</v>
      </c>
      <c r="H376" t="s">
        <v>2127</v>
      </c>
    </row>
    <row r="377" spans="1:8">
      <c r="A377" t="s">
        <v>2897</v>
      </c>
      <c r="B377" t="s">
        <v>2895</v>
      </c>
      <c r="C377" s="9">
        <v>2009</v>
      </c>
      <c r="D377" t="s">
        <v>2484</v>
      </c>
      <c r="E377" t="s">
        <v>2125</v>
      </c>
      <c r="F377" t="s">
        <v>106</v>
      </c>
      <c r="G377" t="s">
        <v>2898</v>
      </c>
      <c r="H377" t="s">
        <v>2127</v>
      </c>
    </row>
    <row r="378" spans="1:8">
      <c r="A378" t="s">
        <v>1735</v>
      </c>
      <c r="B378" t="s">
        <v>2179</v>
      </c>
      <c r="C378" s="9">
        <v>1993</v>
      </c>
      <c r="D378" t="s">
        <v>2180</v>
      </c>
      <c r="E378" t="s">
        <v>2125</v>
      </c>
      <c r="F378" t="s">
        <v>2181</v>
      </c>
      <c r="G378" t="s">
        <v>106</v>
      </c>
      <c r="H378" t="s">
        <v>2127</v>
      </c>
    </row>
    <row r="379" spans="1:8">
      <c r="A379" t="s">
        <v>2685</v>
      </c>
      <c r="B379" t="s">
        <v>2686</v>
      </c>
      <c r="C379" s="9">
        <v>2006</v>
      </c>
      <c r="D379" t="s">
        <v>2172</v>
      </c>
      <c r="E379" t="s">
        <v>2125</v>
      </c>
      <c r="F379" t="s">
        <v>106</v>
      </c>
      <c r="G379" t="s">
        <v>2687</v>
      </c>
      <c r="H379" t="s">
        <v>2127</v>
      </c>
    </row>
    <row r="380" spans="1:8">
      <c r="A380" t="s">
        <v>158</v>
      </c>
      <c r="B380" t="s">
        <v>3188</v>
      </c>
      <c r="C380" s="9">
        <v>2019</v>
      </c>
      <c r="D380" t="s">
        <v>2172</v>
      </c>
      <c r="E380" t="s">
        <v>106</v>
      </c>
      <c r="F380" t="s">
        <v>3189</v>
      </c>
      <c r="G380" t="s">
        <v>106</v>
      </c>
      <c r="H380" t="s">
        <v>3007</v>
      </c>
    </row>
    <row r="381" spans="1:8">
      <c r="A381" t="s">
        <v>3376</v>
      </c>
      <c r="B381" t="s">
        <v>3188</v>
      </c>
      <c r="C381" s="9">
        <v>2019</v>
      </c>
      <c r="D381" t="s">
        <v>2172</v>
      </c>
      <c r="E381" t="s">
        <v>106</v>
      </c>
      <c r="F381" t="s">
        <v>3377</v>
      </c>
      <c r="G381" t="s">
        <v>106</v>
      </c>
      <c r="H381" t="s">
        <v>3007</v>
      </c>
    </row>
    <row r="382" spans="1:8">
      <c r="A382" t="s">
        <v>2431</v>
      </c>
      <c r="B382" t="s">
        <v>2432</v>
      </c>
      <c r="C382" s="9">
        <v>1991</v>
      </c>
      <c r="D382" t="s">
        <v>2124</v>
      </c>
      <c r="E382" t="s">
        <v>2125</v>
      </c>
      <c r="F382" t="s">
        <v>2433</v>
      </c>
      <c r="G382" t="s">
        <v>106</v>
      </c>
      <c r="H382" t="s">
        <v>2127</v>
      </c>
    </row>
    <row r="383" spans="1:8">
      <c r="A383" t="s">
        <v>1470</v>
      </c>
      <c r="B383" t="s">
        <v>2662</v>
      </c>
      <c r="C383" s="9">
        <v>1997</v>
      </c>
      <c r="D383" t="s">
        <v>2132</v>
      </c>
      <c r="E383" t="s">
        <v>2125</v>
      </c>
      <c r="F383" t="s">
        <v>2663</v>
      </c>
      <c r="G383" t="s">
        <v>106</v>
      </c>
      <c r="H383" t="s">
        <v>2127</v>
      </c>
    </row>
    <row r="384" spans="1:8">
      <c r="A384" t="s">
        <v>707</v>
      </c>
      <c r="B384" t="s">
        <v>3575</v>
      </c>
      <c r="C384" s="9">
        <v>2021</v>
      </c>
      <c r="D384" t="s">
        <v>2172</v>
      </c>
      <c r="E384" t="s">
        <v>106</v>
      </c>
      <c r="F384" t="s">
        <v>3576</v>
      </c>
      <c r="G384" t="s">
        <v>106</v>
      </c>
      <c r="H384" t="s">
        <v>3007</v>
      </c>
    </row>
    <row r="385" spans="1:8">
      <c r="A385" t="s">
        <v>2525</v>
      </c>
      <c r="B385" t="s">
        <v>2526</v>
      </c>
      <c r="C385" s="9">
        <v>2002</v>
      </c>
      <c r="D385" t="s">
        <v>2172</v>
      </c>
      <c r="E385" t="s">
        <v>2125</v>
      </c>
      <c r="F385" t="s">
        <v>2527</v>
      </c>
      <c r="G385" t="s">
        <v>106</v>
      </c>
      <c r="H385" t="s">
        <v>2127</v>
      </c>
    </row>
    <row r="386" spans="1:8">
      <c r="A386" t="s">
        <v>906</v>
      </c>
      <c r="B386" t="s">
        <v>2420</v>
      </c>
      <c r="C386" s="9">
        <v>2014</v>
      </c>
      <c r="D386" t="s">
        <v>2124</v>
      </c>
      <c r="E386" t="s">
        <v>2125</v>
      </c>
      <c r="F386" t="s">
        <v>2421</v>
      </c>
      <c r="G386" t="s">
        <v>106</v>
      </c>
      <c r="H386" t="s">
        <v>2127</v>
      </c>
    </row>
    <row r="387" spans="1:8">
      <c r="A387" t="s">
        <v>2905</v>
      </c>
      <c r="B387" t="s">
        <v>2420</v>
      </c>
      <c r="C387" s="9">
        <v>2011</v>
      </c>
      <c r="D387" t="s">
        <v>2124</v>
      </c>
      <c r="E387" t="s">
        <v>2125</v>
      </c>
      <c r="F387" t="s">
        <v>2906</v>
      </c>
      <c r="G387" t="s">
        <v>106</v>
      </c>
      <c r="H387" t="s">
        <v>2127</v>
      </c>
    </row>
    <row r="388" spans="1:8">
      <c r="A388" t="s">
        <v>1930</v>
      </c>
      <c r="B388" t="s">
        <v>2965</v>
      </c>
      <c r="C388" s="9">
        <v>2017</v>
      </c>
      <c r="D388" t="s">
        <v>2454</v>
      </c>
      <c r="E388" t="s">
        <v>2125</v>
      </c>
      <c r="F388" t="s">
        <v>2966</v>
      </c>
      <c r="G388" t="s">
        <v>106</v>
      </c>
      <c r="H388" t="s">
        <v>2127</v>
      </c>
    </row>
    <row r="389" spans="1:8">
      <c r="A389" t="s">
        <v>226</v>
      </c>
      <c r="B389" t="s">
        <v>2965</v>
      </c>
      <c r="C389" s="9">
        <v>2020</v>
      </c>
      <c r="D389" t="s">
        <v>3027</v>
      </c>
      <c r="E389" t="s">
        <v>106</v>
      </c>
      <c r="F389" t="s">
        <v>3202</v>
      </c>
      <c r="G389" t="s">
        <v>106</v>
      </c>
      <c r="H389" t="s">
        <v>3007</v>
      </c>
    </row>
    <row r="390" spans="1:8">
      <c r="A390" t="s">
        <v>2138</v>
      </c>
      <c r="B390" t="s">
        <v>2139</v>
      </c>
      <c r="C390" s="9">
        <v>2011</v>
      </c>
      <c r="D390" t="s">
        <v>2140</v>
      </c>
      <c r="E390" t="s">
        <v>2125</v>
      </c>
      <c r="F390" t="s">
        <v>2141</v>
      </c>
      <c r="G390" t="s">
        <v>106</v>
      </c>
      <c r="H390" t="s">
        <v>2127</v>
      </c>
    </row>
    <row r="391" spans="1:8">
      <c r="A391" t="s">
        <v>2142</v>
      </c>
      <c r="B391" t="s">
        <v>2139</v>
      </c>
      <c r="C391" s="9">
        <v>2011</v>
      </c>
      <c r="D391" t="s">
        <v>2140</v>
      </c>
      <c r="E391" t="s">
        <v>2125</v>
      </c>
      <c r="F391" t="s">
        <v>2141</v>
      </c>
      <c r="G391" t="s">
        <v>106</v>
      </c>
      <c r="H391" t="s">
        <v>2127</v>
      </c>
    </row>
    <row r="392" spans="1:8">
      <c r="A392" t="s">
        <v>1152</v>
      </c>
      <c r="B392" t="s">
        <v>3789</v>
      </c>
      <c r="C392" s="9">
        <v>2019</v>
      </c>
      <c r="D392" t="s">
        <v>3790</v>
      </c>
      <c r="E392" t="s">
        <v>106</v>
      </c>
      <c r="F392" t="s">
        <v>3791</v>
      </c>
      <c r="G392" t="s">
        <v>106</v>
      </c>
      <c r="H392" t="s">
        <v>3007</v>
      </c>
    </row>
    <row r="393" spans="1:8">
      <c r="A393" t="s">
        <v>637</v>
      </c>
      <c r="B393" t="s">
        <v>3473</v>
      </c>
      <c r="C393" s="9">
        <v>2018</v>
      </c>
      <c r="D393" t="s">
        <v>3043</v>
      </c>
      <c r="E393" t="s">
        <v>106</v>
      </c>
      <c r="F393" t="s">
        <v>3474</v>
      </c>
      <c r="G393" t="s">
        <v>106</v>
      </c>
      <c r="H393" t="s">
        <v>3007</v>
      </c>
    </row>
    <row r="394" spans="1:8">
      <c r="A394" t="s">
        <v>844</v>
      </c>
      <c r="B394" t="s">
        <v>2358</v>
      </c>
      <c r="C394" s="9">
        <v>2004</v>
      </c>
      <c r="D394" t="s">
        <v>2359</v>
      </c>
      <c r="E394" t="s">
        <v>2125</v>
      </c>
      <c r="F394" t="s">
        <v>2360</v>
      </c>
      <c r="G394" t="s">
        <v>106</v>
      </c>
      <c r="H394" t="s">
        <v>2127</v>
      </c>
    </row>
    <row r="395" spans="1:8">
      <c r="A395" t="s">
        <v>2688</v>
      </c>
      <c r="B395" t="s">
        <v>2689</v>
      </c>
      <c r="C395" s="9">
        <v>2008</v>
      </c>
      <c r="D395" t="s">
        <v>2172</v>
      </c>
      <c r="E395" t="s">
        <v>2125</v>
      </c>
      <c r="F395" t="s">
        <v>106</v>
      </c>
      <c r="G395" t="s">
        <v>2690</v>
      </c>
      <c r="H395" t="s">
        <v>2127</v>
      </c>
    </row>
    <row r="396" spans="1:8">
      <c r="A396" t="s">
        <v>2691</v>
      </c>
      <c r="B396" t="s">
        <v>2689</v>
      </c>
      <c r="C396" s="9">
        <v>2009</v>
      </c>
      <c r="D396" t="s">
        <v>2351</v>
      </c>
      <c r="E396" t="s">
        <v>2125</v>
      </c>
      <c r="F396" t="s">
        <v>106</v>
      </c>
      <c r="G396" t="s">
        <v>2692</v>
      </c>
      <c r="H396" t="s">
        <v>2127</v>
      </c>
    </row>
    <row r="397" spans="1:8">
      <c r="A397" t="s">
        <v>765</v>
      </c>
      <c r="B397" t="s">
        <v>2263</v>
      </c>
      <c r="C397" s="9">
        <v>2017</v>
      </c>
      <c r="D397" t="s">
        <v>2238</v>
      </c>
      <c r="E397" t="s">
        <v>2125</v>
      </c>
      <c r="F397" t="s">
        <v>106</v>
      </c>
      <c r="G397" t="s">
        <v>2264</v>
      </c>
      <c r="H397" t="s">
        <v>2127</v>
      </c>
    </row>
    <row r="398" spans="1:8">
      <c r="A398" t="s">
        <v>2693</v>
      </c>
      <c r="B398" t="s">
        <v>2694</v>
      </c>
      <c r="C398" s="9">
        <v>2009</v>
      </c>
      <c r="D398" t="s">
        <v>2252</v>
      </c>
      <c r="E398" t="s">
        <v>2125</v>
      </c>
      <c r="F398" t="s">
        <v>2695</v>
      </c>
      <c r="G398" t="s">
        <v>106</v>
      </c>
      <c r="H398" t="s">
        <v>2127</v>
      </c>
    </row>
    <row r="399" spans="1:8">
      <c r="A399" t="s">
        <v>3057</v>
      </c>
      <c r="B399" t="s">
        <v>3058</v>
      </c>
      <c r="C399" s="9">
        <v>2018</v>
      </c>
      <c r="D399" t="s">
        <v>2172</v>
      </c>
      <c r="E399" t="s">
        <v>106</v>
      </c>
      <c r="F399" t="s">
        <v>3059</v>
      </c>
      <c r="G399" t="s">
        <v>106</v>
      </c>
      <c r="H399" t="s">
        <v>3007</v>
      </c>
    </row>
    <row r="400" spans="1:8">
      <c r="A400" t="s">
        <v>1629</v>
      </c>
      <c r="B400" t="s">
        <v>2774</v>
      </c>
      <c r="C400" s="9">
        <v>2015</v>
      </c>
      <c r="D400" t="s">
        <v>2124</v>
      </c>
      <c r="E400" t="s">
        <v>2125</v>
      </c>
      <c r="F400" t="s">
        <v>2775</v>
      </c>
      <c r="G400" t="s">
        <v>106</v>
      </c>
      <c r="H400" t="s">
        <v>2127</v>
      </c>
    </row>
    <row r="401" spans="1:8">
      <c r="A401" t="s">
        <v>2366</v>
      </c>
      <c r="B401" t="s">
        <v>2367</v>
      </c>
      <c r="C401" s="9">
        <v>2007</v>
      </c>
      <c r="D401" t="s">
        <v>2155</v>
      </c>
      <c r="E401" t="s">
        <v>2125</v>
      </c>
      <c r="F401" t="s">
        <v>2368</v>
      </c>
      <c r="G401" t="s">
        <v>106</v>
      </c>
      <c r="H401" t="s">
        <v>2127</v>
      </c>
    </row>
    <row r="402" spans="1:8">
      <c r="A402" t="s">
        <v>3003</v>
      </c>
      <c r="B402" t="s">
        <v>3004</v>
      </c>
      <c r="C402" s="9">
        <v>2019</v>
      </c>
      <c r="D402" t="s">
        <v>3005</v>
      </c>
      <c r="E402" t="s">
        <v>106</v>
      </c>
      <c r="F402" t="s">
        <v>106</v>
      </c>
      <c r="G402" t="s">
        <v>3006</v>
      </c>
      <c r="H402" t="s">
        <v>3007</v>
      </c>
    </row>
    <row r="403" spans="1:8">
      <c r="A403" t="s">
        <v>1960</v>
      </c>
      <c r="B403" t="s">
        <v>2988</v>
      </c>
      <c r="C403" s="9">
        <v>2012</v>
      </c>
      <c r="D403" t="s">
        <v>2454</v>
      </c>
      <c r="E403" t="s">
        <v>2125</v>
      </c>
      <c r="F403" t="s">
        <v>2989</v>
      </c>
      <c r="G403" t="s">
        <v>106</v>
      </c>
      <c r="H403" t="s">
        <v>2127</v>
      </c>
    </row>
    <row r="404" spans="1:8">
      <c r="A404" t="s">
        <v>167</v>
      </c>
      <c r="B404" t="s">
        <v>3008</v>
      </c>
      <c r="C404" s="9">
        <v>2022</v>
      </c>
      <c r="D404" t="s">
        <v>3009</v>
      </c>
      <c r="E404" t="s">
        <v>106</v>
      </c>
      <c r="F404" t="s">
        <v>3010</v>
      </c>
      <c r="G404" t="s">
        <v>106</v>
      </c>
      <c r="H404" t="s">
        <v>3007</v>
      </c>
    </row>
    <row r="405" spans="1:8">
      <c r="A405" t="s">
        <v>3139</v>
      </c>
      <c r="B405" t="s">
        <v>3140</v>
      </c>
      <c r="C405" s="9">
        <v>2021</v>
      </c>
      <c r="D405" t="s">
        <v>3141</v>
      </c>
      <c r="E405" t="s">
        <v>106</v>
      </c>
      <c r="F405" t="s">
        <v>3142</v>
      </c>
      <c r="G405" t="s">
        <v>106</v>
      </c>
      <c r="H405" t="s">
        <v>3007</v>
      </c>
    </row>
    <row r="406" spans="1:8">
      <c r="A406" t="s">
        <v>628</v>
      </c>
      <c r="B406" t="s">
        <v>3140</v>
      </c>
      <c r="C406" s="9">
        <v>2021</v>
      </c>
      <c r="D406" t="s">
        <v>3467</v>
      </c>
      <c r="E406" t="s">
        <v>106</v>
      </c>
      <c r="F406" t="s">
        <v>3468</v>
      </c>
      <c r="G406" t="s">
        <v>106</v>
      </c>
      <c r="H406" t="s">
        <v>3007</v>
      </c>
    </row>
    <row r="407" spans="1:8">
      <c r="A407" t="s">
        <v>2696</v>
      </c>
      <c r="B407" t="s">
        <v>2697</v>
      </c>
      <c r="C407" s="9">
        <v>2006</v>
      </c>
      <c r="D407" t="s">
        <v>2172</v>
      </c>
      <c r="E407" t="s">
        <v>2125</v>
      </c>
      <c r="F407" t="s">
        <v>2698</v>
      </c>
      <c r="G407" t="s">
        <v>106</v>
      </c>
      <c r="H407" t="s">
        <v>2127</v>
      </c>
    </row>
    <row r="408" spans="1:8">
      <c r="A408" t="s">
        <v>1943</v>
      </c>
      <c r="B408" t="s">
        <v>2981</v>
      </c>
      <c r="C408" s="9">
        <v>2013</v>
      </c>
      <c r="D408" t="s">
        <v>2124</v>
      </c>
      <c r="E408" t="s">
        <v>2125</v>
      </c>
      <c r="F408" t="s">
        <v>2982</v>
      </c>
      <c r="G408" t="s">
        <v>106</v>
      </c>
      <c r="H408" t="s">
        <v>2127</v>
      </c>
    </row>
    <row r="409" spans="1:8">
      <c r="A409" t="s">
        <v>754</v>
      </c>
      <c r="B409" t="s">
        <v>2259</v>
      </c>
      <c r="C409" s="9">
        <v>2013</v>
      </c>
      <c r="D409" t="s">
        <v>2238</v>
      </c>
      <c r="E409" t="s">
        <v>2125</v>
      </c>
      <c r="F409" t="s">
        <v>106</v>
      </c>
      <c r="G409" t="s">
        <v>2260</v>
      </c>
      <c r="H409" t="s">
        <v>2127</v>
      </c>
    </row>
    <row r="410" spans="1:8">
      <c r="A410" t="s">
        <v>3154</v>
      </c>
      <c r="B410" t="s">
        <v>3155</v>
      </c>
      <c r="C410" s="9">
        <v>2022</v>
      </c>
      <c r="D410" t="s">
        <v>3156</v>
      </c>
      <c r="E410" t="s">
        <v>106</v>
      </c>
      <c r="F410" t="s">
        <v>3157</v>
      </c>
      <c r="G410" t="s">
        <v>106</v>
      </c>
      <c r="H410" t="s">
        <v>3007</v>
      </c>
    </row>
    <row r="411" spans="1:8">
      <c r="A411" t="s">
        <v>977</v>
      </c>
      <c r="B411" t="s">
        <v>3134</v>
      </c>
      <c r="C411" s="9">
        <v>2019</v>
      </c>
      <c r="D411" t="s">
        <v>3135</v>
      </c>
      <c r="E411" t="s">
        <v>106</v>
      </c>
      <c r="F411" t="s">
        <v>3136</v>
      </c>
      <c r="G411" t="s">
        <v>106</v>
      </c>
      <c r="H411" t="s">
        <v>3007</v>
      </c>
    </row>
    <row r="412" spans="1:8">
      <c r="A412" t="s">
        <v>601</v>
      </c>
      <c r="B412" t="s">
        <v>3454</v>
      </c>
      <c r="C412" s="9">
        <v>2024</v>
      </c>
      <c r="D412" t="s">
        <v>3335</v>
      </c>
      <c r="E412" t="s">
        <v>106</v>
      </c>
      <c r="F412" t="s">
        <v>3455</v>
      </c>
      <c r="G412" t="s">
        <v>106</v>
      </c>
      <c r="H412" t="s">
        <v>3007</v>
      </c>
    </row>
    <row r="413" spans="1:8">
      <c r="A413" t="s">
        <v>1393</v>
      </c>
      <c r="B413" t="s">
        <v>2576</v>
      </c>
      <c r="C413" s="9">
        <v>2018</v>
      </c>
      <c r="D413" t="s">
        <v>2577</v>
      </c>
      <c r="E413" t="s">
        <v>2165</v>
      </c>
      <c r="F413" t="s">
        <v>2578</v>
      </c>
      <c r="G413" t="s">
        <v>106</v>
      </c>
      <c r="H413" t="s">
        <v>2127</v>
      </c>
    </row>
    <row r="414" spans="1:8">
      <c r="A414" t="s">
        <v>3176</v>
      </c>
      <c r="B414" t="s">
        <v>2576</v>
      </c>
      <c r="C414" s="9">
        <v>2018</v>
      </c>
      <c r="D414" t="s">
        <v>2577</v>
      </c>
      <c r="E414" t="s">
        <v>106</v>
      </c>
      <c r="F414" t="s">
        <v>2578</v>
      </c>
      <c r="G414" t="s">
        <v>106</v>
      </c>
      <c r="H414" t="s">
        <v>3007</v>
      </c>
    </row>
    <row r="415" spans="1:8" s="41" customFormat="1">
      <c r="A415" s="41" t="s">
        <v>354</v>
      </c>
      <c r="B415" s="41" t="s">
        <v>2576</v>
      </c>
      <c r="C415" s="40">
        <v>2020</v>
      </c>
      <c r="D415" s="41" t="s">
        <v>2975</v>
      </c>
      <c r="E415" s="41" t="s">
        <v>106</v>
      </c>
      <c r="F415" s="41" t="s">
        <v>3295</v>
      </c>
      <c r="G415" s="41" t="s">
        <v>106</v>
      </c>
      <c r="H415" s="41" t="s">
        <v>3007</v>
      </c>
    </row>
    <row r="416" spans="1:8">
      <c r="A416" t="s">
        <v>1742</v>
      </c>
      <c r="B416" t="s">
        <v>2182</v>
      </c>
      <c r="C416" s="9">
        <v>2004</v>
      </c>
      <c r="D416" t="s">
        <v>2183</v>
      </c>
      <c r="E416" t="s">
        <v>2125</v>
      </c>
      <c r="F416" t="s">
        <v>2184</v>
      </c>
      <c r="G416" t="s">
        <v>106</v>
      </c>
      <c r="H416" t="s">
        <v>2127</v>
      </c>
    </row>
    <row r="417" spans="1:8">
      <c r="A417" t="s">
        <v>1752</v>
      </c>
      <c r="B417" t="s">
        <v>2182</v>
      </c>
      <c r="C417" s="9">
        <v>2003</v>
      </c>
      <c r="D417" t="s">
        <v>2132</v>
      </c>
      <c r="E417" t="s">
        <v>2125</v>
      </c>
      <c r="F417" t="s">
        <v>2839</v>
      </c>
      <c r="G417" t="s">
        <v>106</v>
      </c>
      <c r="H417" t="s">
        <v>2127</v>
      </c>
    </row>
    <row r="418" spans="1:8">
      <c r="A418" t="s">
        <v>1760</v>
      </c>
      <c r="B418" t="s">
        <v>2840</v>
      </c>
      <c r="C418" s="9">
        <v>2013</v>
      </c>
      <c r="D418" t="s">
        <v>2252</v>
      </c>
      <c r="E418" t="s">
        <v>2125</v>
      </c>
      <c r="F418" t="s">
        <v>2841</v>
      </c>
      <c r="G418" t="s">
        <v>106</v>
      </c>
      <c r="H418" t="s">
        <v>2127</v>
      </c>
    </row>
    <row r="419" spans="1:8">
      <c r="A419" t="s">
        <v>3047</v>
      </c>
      <c r="B419" t="s">
        <v>3048</v>
      </c>
      <c r="C419" s="9">
        <v>2020</v>
      </c>
      <c r="D419" t="s">
        <v>2779</v>
      </c>
      <c r="E419" t="s">
        <v>106</v>
      </c>
      <c r="F419" t="s">
        <v>3049</v>
      </c>
      <c r="G419" t="s">
        <v>106</v>
      </c>
      <c r="H419" t="s">
        <v>3007</v>
      </c>
    </row>
    <row r="420" spans="1:8">
      <c r="A420" t="s">
        <v>3211</v>
      </c>
      <c r="B420" t="s">
        <v>3048</v>
      </c>
      <c r="C420" s="9">
        <v>2022</v>
      </c>
      <c r="D420" t="s">
        <v>3212</v>
      </c>
      <c r="E420" t="s">
        <v>106</v>
      </c>
      <c r="F420" t="s">
        <v>3213</v>
      </c>
      <c r="G420" t="s">
        <v>106</v>
      </c>
      <c r="H420" t="s">
        <v>3007</v>
      </c>
    </row>
    <row r="421" spans="1:8">
      <c r="A421" t="s">
        <v>983</v>
      </c>
      <c r="B421" t="s">
        <v>3048</v>
      </c>
      <c r="C421" s="9">
        <v>2021</v>
      </c>
      <c r="D421" t="s">
        <v>3652</v>
      </c>
      <c r="E421" t="s">
        <v>106</v>
      </c>
      <c r="F421" t="s">
        <v>106</v>
      </c>
      <c r="G421" s="7" t="s">
        <v>3653</v>
      </c>
      <c r="H421" t="s">
        <v>3007</v>
      </c>
    </row>
    <row r="422" spans="1:8">
      <c r="A422" t="s">
        <v>345</v>
      </c>
      <c r="B422" t="s">
        <v>3289</v>
      </c>
      <c r="C422" s="9">
        <v>2020</v>
      </c>
      <c r="D422" t="s">
        <v>3068</v>
      </c>
      <c r="E422" t="s">
        <v>106</v>
      </c>
      <c r="F422" t="s">
        <v>3290</v>
      </c>
      <c r="G422" t="s">
        <v>106</v>
      </c>
      <c r="H422" t="s">
        <v>3007</v>
      </c>
    </row>
    <row r="423" spans="1:8">
      <c r="A423" t="s">
        <v>3624</v>
      </c>
      <c r="B423" t="s">
        <v>3289</v>
      </c>
      <c r="C423" s="9">
        <v>2018</v>
      </c>
      <c r="D423" t="s">
        <v>3625</v>
      </c>
      <c r="E423" t="s">
        <v>106</v>
      </c>
      <c r="F423" t="s">
        <v>3626</v>
      </c>
      <c r="G423" t="s">
        <v>106</v>
      </c>
      <c r="H423" t="s">
        <v>3007</v>
      </c>
    </row>
    <row r="424" spans="1:8">
      <c r="A424" t="s">
        <v>3380</v>
      </c>
      <c r="B424" t="s">
        <v>3381</v>
      </c>
      <c r="C424" s="9">
        <v>2023</v>
      </c>
      <c r="D424" t="s">
        <v>3382</v>
      </c>
      <c r="E424" t="s">
        <v>106</v>
      </c>
      <c r="F424" t="s">
        <v>3383</v>
      </c>
      <c r="G424" t="s">
        <v>106</v>
      </c>
      <c r="H424" t="s">
        <v>3007</v>
      </c>
    </row>
    <row r="425" spans="1:8">
      <c r="A425" t="s">
        <v>1088</v>
      </c>
      <c r="B425" t="s">
        <v>3697</v>
      </c>
      <c r="C425" s="9">
        <v>2019</v>
      </c>
      <c r="D425" t="s">
        <v>3523</v>
      </c>
      <c r="E425" t="s">
        <v>106</v>
      </c>
      <c r="F425" t="s">
        <v>3698</v>
      </c>
      <c r="G425" t="s">
        <v>106</v>
      </c>
      <c r="H425" t="s">
        <v>3007</v>
      </c>
    </row>
    <row r="426" spans="1:8">
      <c r="A426" t="s">
        <v>1918</v>
      </c>
      <c r="B426" t="s">
        <v>2952</v>
      </c>
      <c r="C426" s="9">
        <v>2015</v>
      </c>
      <c r="D426" t="s">
        <v>2151</v>
      </c>
      <c r="E426" t="s">
        <v>2125</v>
      </c>
      <c r="F426" t="s">
        <v>2953</v>
      </c>
      <c r="G426" t="s">
        <v>106</v>
      </c>
      <c r="H426" t="s">
        <v>2127</v>
      </c>
    </row>
    <row r="427" spans="1:8">
      <c r="A427" t="s">
        <v>3481</v>
      </c>
      <c r="B427" t="s">
        <v>3482</v>
      </c>
      <c r="C427" s="9">
        <v>2020</v>
      </c>
      <c r="D427" t="s">
        <v>3244</v>
      </c>
      <c r="E427" t="s">
        <v>106</v>
      </c>
      <c r="F427" t="s">
        <v>106</v>
      </c>
      <c r="G427" t="s">
        <v>3483</v>
      </c>
      <c r="H427" t="s">
        <v>3007</v>
      </c>
    </row>
    <row r="428" spans="1:8">
      <c r="A428" t="s">
        <v>3093</v>
      </c>
      <c r="B428" t="s">
        <v>3094</v>
      </c>
      <c r="C428" s="9">
        <v>2023</v>
      </c>
      <c r="D428" t="s">
        <v>3095</v>
      </c>
      <c r="E428" t="s">
        <v>106</v>
      </c>
      <c r="F428" t="s">
        <v>3096</v>
      </c>
      <c r="G428" t="s">
        <v>106</v>
      </c>
      <c r="H428" t="s">
        <v>3007</v>
      </c>
    </row>
    <row r="429" spans="1:8">
      <c r="A429" t="s">
        <v>3680</v>
      </c>
      <c r="B429" t="s">
        <v>3681</v>
      </c>
      <c r="C429" s="9">
        <v>2019</v>
      </c>
      <c r="D429" t="s">
        <v>3682</v>
      </c>
      <c r="E429" t="s">
        <v>106</v>
      </c>
      <c r="F429" t="s">
        <v>3683</v>
      </c>
      <c r="G429" t="s">
        <v>106</v>
      </c>
      <c r="H429" t="s">
        <v>3007</v>
      </c>
    </row>
    <row r="430" spans="1:8">
      <c r="A430" t="s">
        <v>641</v>
      </c>
      <c r="B430" t="s">
        <v>3475</v>
      </c>
      <c r="C430" s="9">
        <v>2020</v>
      </c>
      <c r="D430" t="s">
        <v>3071</v>
      </c>
      <c r="E430" t="s">
        <v>106</v>
      </c>
      <c r="F430" t="s">
        <v>3476</v>
      </c>
      <c r="G430" t="s">
        <v>106</v>
      </c>
      <c r="H430" t="s">
        <v>3007</v>
      </c>
    </row>
    <row r="431" spans="1:8">
      <c r="A431" t="s">
        <v>3620</v>
      </c>
      <c r="B431" t="s">
        <v>3621</v>
      </c>
      <c r="C431" s="9">
        <v>2022</v>
      </c>
      <c r="D431" t="s">
        <v>3062</v>
      </c>
      <c r="E431" t="s">
        <v>106</v>
      </c>
      <c r="F431" t="s">
        <v>3622</v>
      </c>
      <c r="G431" t="s">
        <v>106</v>
      </c>
      <c r="H431" t="s">
        <v>3007</v>
      </c>
    </row>
    <row r="432" spans="1:8">
      <c r="A432" t="s">
        <v>871</v>
      </c>
      <c r="B432" t="s">
        <v>2390</v>
      </c>
      <c r="C432" s="9">
        <v>2017</v>
      </c>
      <c r="D432" t="s">
        <v>2172</v>
      </c>
      <c r="E432" t="s">
        <v>2125</v>
      </c>
      <c r="F432" t="s">
        <v>2391</v>
      </c>
      <c r="G432" t="s">
        <v>106</v>
      </c>
      <c r="H432" t="s">
        <v>2127</v>
      </c>
    </row>
    <row r="433" spans="1:10">
      <c r="A433" t="s">
        <v>1116</v>
      </c>
      <c r="B433" t="s">
        <v>3735</v>
      </c>
      <c r="C433" s="9">
        <v>2019</v>
      </c>
      <c r="D433" t="s">
        <v>3009</v>
      </c>
      <c r="E433" t="s">
        <v>106</v>
      </c>
      <c r="F433" t="s">
        <v>3736</v>
      </c>
      <c r="G433" t="s">
        <v>106</v>
      </c>
      <c r="H433" t="s">
        <v>3007</v>
      </c>
    </row>
    <row r="434" spans="1:10">
      <c r="A434" t="s">
        <v>188</v>
      </c>
      <c r="B434" t="s">
        <v>3022</v>
      </c>
      <c r="C434" s="9">
        <v>2020</v>
      </c>
      <c r="D434" t="s">
        <v>3023</v>
      </c>
      <c r="E434" t="s">
        <v>106</v>
      </c>
      <c r="F434" t="s">
        <v>3024</v>
      </c>
      <c r="G434" t="s">
        <v>106</v>
      </c>
      <c r="H434" t="s">
        <v>3007</v>
      </c>
    </row>
    <row r="435" spans="1:10">
      <c r="A435" t="s">
        <v>1941</v>
      </c>
      <c r="B435" t="s">
        <v>2979</v>
      </c>
      <c r="C435" s="9">
        <v>2012</v>
      </c>
      <c r="D435" t="s">
        <v>2124</v>
      </c>
      <c r="E435" t="s">
        <v>2125</v>
      </c>
      <c r="F435" t="s">
        <v>2980</v>
      </c>
      <c r="G435" t="s">
        <v>106</v>
      </c>
      <c r="H435" t="s">
        <v>2127</v>
      </c>
    </row>
    <row r="436" spans="1:10">
      <c r="A436" t="s">
        <v>1048</v>
      </c>
      <c r="B436" t="s">
        <v>2979</v>
      </c>
      <c r="C436" s="9">
        <v>2023</v>
      </c>
      <c r="D436" t="s">
        <v>2320</v>
      </c>
      <c r="E436" t="s">
        <v>106</v>
      </c>
      <c r="F436" t="s">
        <v>3662</v>
      </c>
      <c r="G436" t="s">
        <v>106</v>
      </c>
      <c r="H436" t="s">
        <v>3007</v>
      </c>
    </row>
    <row r="437" spans="1:10">
      <c r="A437" t="s">
        <v>1498</v>
      </c>
      <c r="B437" t="s">
        <v>2699</v>
      </c>
      <c r="C437" s="9">
        <v>2009</v>
      </c>
      <c r="D437" t="s">
        <v>2124</v>
      </c>
      <c r="E437" t="s">
        <v>2125</v>
      </c>
      <c r="F437" t="s">
        <v>2700</v>
      </c>
      <c r="G437" t="s">
        <v>106</v>
      </c>
      <c r="H437" t="s">
        <v>2127</v>
      </c>
    </row>
    <row r="438" spans="1:10">
      <c r="A438" t="s">
        <v>736</v>
      </c>
      <c r="B438" t="s">
        <v>3611</v>
      </c>
      <c r="C438" s="9">
        <v>2021</v>
      </c>
      <c r="D438" t="s">
        <v>2837</v>
      </c>
      <c r="E438" t="s">
        <v>106</v>
      </c>
      <c r="F438" t="s">
        <v>3612</v>
      </c>
      <c r="G438" t="s">
        <v>106</v>
      </c>
      <c r="H438" t="s">
        <v>3007</v>
      </c>
    </row>
    <row r="439" spans="1:10">
      <c r="A439" t="s">
        <v>3415</v>
      </c>
      <c r="B439" t="s">
        <v>3416</v>
      </c>
      <c r="C439" s="9">
        <v>2023</v>
      </c>
      <c r="D439" t="s">
        <v>3417</v>
      </c>
      <c r="E439" t="s">
        <v>106</v>
      </c>
      <c r="F439" t="s">
        <v>3418</v>
      </c>
      <c r="G439" t="s">
        <v>106</v>
      </c>
      <c r="H439" t="s">
        <v>3007</v>
      </c>
    </row>
    <row r="440" spans="1:10">
      <c r="A440" t="s">
        <v>1148</v>
      </c>
      <c r="B440" t="s">
        <v>3786</v>
      </c>
      <c r="C440" s="9">
        <v>2021</v>
      </c>
      <c r="D440" t="s">
        <v>3108</v>
      </c>
      <c r="E440" t="s">
        <v>106</v>
      </c>
      <c r="F440" t="s">
        <v>3787</v>
      </c>
      <c r="G440" t="s">
        <v>106</v>
      </c>
      <c r="H440" t="s">
        <v>3007</v>
      </c>
    </row>
    <row r="441" spans="1:10">
      <c r="A441" t="s">
        <v>1014</v>
      </c>
      <c r="B441" t="s">
        <v>3166</v>
      </c>
      <c r="C441" s="9">
        <v>2018</v>
      </c>
      <c r="D441" t="s">
        <v>2308</v>
      </c>
      <c r="E441" t="s">
        <v>106</v>
      </c>
      <c r="F441" t="s">
        <v>3167</v>
      </c>
      <c r="G441" t="s">
        <v>106</v>
      </c>
      <c r="H441" t="s">
        <v>3007</v>
      </c>
    </row>
    <row r="442" spans="1:10">
      <c r="A442" t="s">
        <v>3168</v>
      </c>
      <c r="B442" t="s">
        <v>3166</v>
      </c>
      <c r="C442" s="9">
        <v>2018</v>
      </c>
      <c r="D442" t="s">
        <v>2308</v>
      </c>
      <c r="E442" t="s">
        <v>106</v>
      </c>
      <c r="F442" t="s">
        <v>3167</v>
      </c>
      <c r="G442" t="s">
        <v>106</v>
      </c>
      <c r="H442" t="s">
        <v>3007</v>
      </c>
    </row>
    <row r="443" spans="1:10">
      <c r="A443" t="s">
        <v>1017</v>
      </c>
      <c r="B443" t="s">
        <v>3166</v>
      </c>
      <c r="C443" s="9">
        <v>2018</v>
      </c>
      <c r="D443" t="s">
        <v>2308</v>
      </c>
      <c r="E443" t="s">
        <v>106</v>
      </c>
      <c r="F443" t="s">
        <v>3167</v>
      </c>
      <c r="G443" t="s">
        <v>106</v>
      </c>
      <c r="H443" t="s">
        <v>3007</v>
      </c>
    </row>
    <row r="444" spans="1:10">
      <c r="A444" t="s">
        <v>1023</v>
      </c>
      <c r="B444" t="s">
        <v>3166</v>
      </c>
      <c r="C444" s="9">
        <v>2018</v>
      </c>
      <c r="D444" t="s">
        <v>2308</v>
      </c>
      <c r="E444" t="s">
        <v>106</v>
      </c>
      <c r="F444" t="s">
        <v>3167</v>
      </c>
      <c r="G444" t="s">
        <v>106</v>
      </c>
      <c r="H444" t="s">
        <v>3007</v>
      </c>
    </row>
    <row r="445" spans="1:10">
      <c r="A445" t="s">
        <v>1023</v>
      </c>
      <c r="B445" t="s">
        <v>3166</v>
      </c>
      <c r="C445" s="9">
        <v>2018</v>
      </c>
      <c r="D445" t="s">
        <v>2308</v>
      </c>
      <c r="E445" t="s">
        <v>106</v>
      </c>
      <c r="F445" t="s">
        <v>3167</v>
      </c>
      <c r="G445" t="s">
        <v>106</v>
      </c>
      <c r="H445" t="s">
        <v>3007</v>
      </c>
      <c r="J445" s="9"/>
    </row>
    <row r="446" spans="1:10">
      <c r="A446" t="s">
        <v>1870</v>
      </c>
      <c r="B446" t="s">
        <v>2899</v>
      </c>
      <c r="C446" s="9">
        <v>1998</v>
      </c>
      <c r="D446" t="s">
        <v>2180</v>
      </c>
      <c r="E446" t="s">
        <v>2125</v>
      </c>
      <c r="F446" t="s">
        <v>2900</v>
      </c>
      <c r="G446" t="s">
        <v>106</v>
      </c>
      <c r="H446" t="s">
        <v>2127</v>
      </c>
    </row>
    <row r="447" spans="1:10">
      <c r="A447" s="10" t="s">
        <v>1875</v>
      </c>
      <c r="B447" s="10" t="s">
        <v>2899</v>
      </c>
      <c r="C447" s="11">
        <v>2003</v>
      </c>
      <c r="D447" s="10" t="s">
        <v>2183</v>
      </c>
      <c r="E447" t="s">
        <v>2125</v>
      </c>
      <c r="F447" s="43" t="s">
        <v>2901</v>
      </c>
      <c r="G447" t="s">
        <v>106</v>
      </c>
      <c r="H447" t="s">
        <v>2127</v>
      </c>
    </row>
    <row r="448" spans="1:10">
      <c r="A448" s="10" t="s">
        <v>1884</v>
      </c>
      <c r="B448" s="10" t="s">
        <v>2899</v>
      </c>
      <c r="C448" s="11">
        <v>2003</v>
      </c>
      <c r="D448" s="10" t="s">
        <v>2183</v>
      </c>
      <c r="E448" t="s">
        <v>2125</v>
      </c>
      <c r="F448" s="43" t="s">
        <v>2902</v>
      </c>
      <c r="G448" t="s">
        <v>106</v>
      </c>
      <c r="H448" t="s">
        <v>2127</v>
      </c>
    </row>
    <row r="449" spans="1:8">
      <c r="A449" t="s">
        <v>1613</v>
      </c>
      <c r="B449" t="s">
        <v>2764</v>
      </c>
      <c r="C449" s="9">
        <v>2015</v>
      </c>
      <c r="D449" t="s">
        <v>2124</v>
      </c>
      <c r="E449" t="s">
        <v>2125</v>
      </c>
      <c r="F449" t="s">
        <v>2765</v>
      </c>
      <c r="G449" t="s">
        <v>106</v>
      </c>
      <c r="H449" t="s">
        <v>2127</v>
      </c>
    </row>
    <row r="450" spans="1:8">
      <c r="A450" t="s">
        <v>2494</v>
      </c>
      <c r="B450" t="s">
        <v>2495</v>
      </c>
      <c r="C450" s="9">
        <v>1990</v>
      </c>
      <c r="D450" t="s">
        <v>2129</v>
      </c>
      <c r="E450" t="s">
        <v>2125</v>
      </c>
      <c r="F450" t="s">
        <v>2496</v>
      </c>
      <c r="G450" t="s">
        <v>106</v>
      </c>
      <c r="H450" t="s">
        <v>2127</v>
      </c>
    </row>
    <row r="451" spans="1:8">
      <c r="A451" t="s">
        <v>3737</v>
      </c>
      <c r="B451" t="s">
        <v>3738</v>
      </c>
      <c r="C451" s="9">
        <v>2024</v>
      </c>
      <c r="D451" t="s">
        <v>2124</v>
      </c>
      <c r="E451" t="s">
        <v>106</v>
      </c>
      <c r="F451" t="s">
        <v>3739</v>
      </c>
      <c r="G451" t="s">
        <v>106</v>
      </c>
      <c r="H451" t="s">
        <v>3007</v>
      </c>
    </row>
    <row r="452" spans="1:8">
      <c r="A452" t="s">
        <v>2659</v>
      </c>
      <c r="B452" t="s">
        <v>2660</v>
      </c>
      <c r="C452" s="9">
        <v>2008</v>
      </c>
      <c r="D452" t="s">
        <v>2222</v>
      </c>
      <c r="E452" t="s">
        <v>2125</v>
      </c>
      <c r="F452" t="s">
        <v>2661</v>
      </c>
      <c r="G452" t="s">
        <v>106</v>
      </c>
      <c r="H452" t="s">
        <v>2127</v>
      </c>
    </row>
    <row r="453" spans="1:8">
      <c r="A453" t="s">
        <v>1055</v>
      </c>
      <c r="B453" t="s">
        <v>3663</v>
      </c>
      <c r="C453" s="9">
        <v>2021</v>
      </c>
      <c r="D453" t="s">
        <v>3507</v>
      </c>
      <c r="E453" t="s">
        <v>106</v>
      </c>
      <c r="F453" t="s">
        <v>3664</v>
      </c>
      <c r="G453" t="s">
        <v>106</v>
      </c>
      <c r="H453" t="s">
        <v>3007</v>
      </c>
    </row>
    <row r="454" spans="1:8">
      <c r="A454" t="s">
        <v>1537</v>
      </c>
      <c r="B454" t="s">
        <v>2716</v>
      </c>
      <c r="C454" s="9">
        <v>2000</v>
      </c>
      <c r="D454" t="s">
        <v>2183</v>
      </c>
      <c r="E454" t="s">
        <v>2125</v>
      </c>
      <c r="F454" t="s">
        <v>2717</v>
      </c>
      <c r="G454" t="s">
        <v>106</v>
      </c>
      <c r="H454" t="s">
        <v>2127</v>
      </c>
    </row>
    <row r="455" spans="1:8">
      <c r="A455" t="s">
        <v>1542</v>
      </c>
      <c r="B455" t="s">
        <v>2716</v>
      </c>
      <c r="C455" s="9">
        <v>2000</v>
      </c>
      <c r="D455" t="s">
        <v>2183</v>
      </c>
      <c r="E455" t="s">
        <v>2125</v>
      </c>
      <c r="F455" t="s">
        <v>2717</v>
      </c>
      <c r="G455" t="s">
        <v>106</v>
      </c>
      <c r="H455" t="s">
        <v>2127</v>
      </c>
    </row>
    <row r="456" spans="1:8">
      <c r="A456" t="s">
        <v>1547</v>
      </c>
      <c r="B456" t="s">
        <v>2718</v>
      </c>
      <c r="C456" s="9">
        <v>1993</v>
      </c>
      <c r="D456" t="s">
        <v>2124</v>
      </c>
      <c r="E456" t="s">
        <v>2125</v>
      </c>
      <c r="F456" t="s">
        <v>2719</v>
      </c>
      <c r="G456" t="s">
        <v>106</v>
      </c>
      <c r="H456" t="s">
        <v>2127</v>
      </c>
    </row>
    <row r="457" spans="1:8">
      <c r="A457" t="s">
        <v>1550</v>
      </c>
      <c r="B457" t="s">
        <v>2718</v>
      </c>
      <c r="C457" s="9">
        <v>1993</v>
      </c>
      <c r="D457" t="s">
        <v>2124</v>
      </c>
      <c r="E457" t="s">
        <v>2125</v>
      </c>
      <c r="F457" t="s">
        <v>2719</v>
      </c>
      <c r="G457" t="s">
        <v>106</v>
      </c>
      <c r="H457" t="s">
        <v>2127</v>
      </c>
    </row>
    <row r="458" spans="1:8" s="15" customFormat="1">
      <c r="A458" s="15" t="s">
        <v>1553</v>
      </c>
      <c r="B458" s="15" t="s">
        <v>2718</v>
      </c>
      <c r="C458" s="16">
        <v>1995</v>
      </c>
      <c r="D458" s="15" t="s">
        <v>2300</v>
      </c>
      <c r="E458" s="15" t="s">
        <v>2125</v>
      </c>
      <c r="F458" s="15" t="s">
        <v>2720</v>
      </c>
      <c r="G458" s="15" t="s">
        <v>106</v>
      </c>
      <c r="H458" s="15" t="s">
        <v>2127</v>
      </c>
    </row>
    <row r="459" spans="1:8">
      <c r="A459" t="s">
        <v>1973</v>
      </c>
      <c r="B459" t="s">
        <v>3001</v>
      </c>
      <c r="C459" s="9">
        <v>2018</v>
      </c>
      <c r="D459" t="s">
        <v>2124</v>
      </c>
      <c r="E459" t="s">
        <v>2125</v>
      </c>
      <c r="F459" t="s">
        <v>3002</v>
      </c>
      <c r="G459" t="s">
        <v>106</v>
      </c>
      <c r="H459" t="s">
        <v>2127</v>
      </c>
    </row>
    <row r="460" spans="1:8">
      <c r="A460" t="s">
        <v>333</v>
      </c>
      <c r="B460" t="s">
        <v>3277</v>
      </c>
      <c r="C460" s="9">
        <v>2022</v>
      </c>
      <c r="D460" t="s">
        <v>3278</v>
      </c>
      <c r="E460" t="s">
        <v>106</v>
      </c>
      <c r="F460" t="s">
        <v>3279</v>
      </c>
      <c r="G460" t="s">
        <v>106</v>
      </c>
      <c r="H460" t="s">
        <v>3007</v>
      </c>
    </row>
    <row r="461" spans="1:8">
      <c r="A461" t="s">
        <v>148</v>
      </c>
      <c r="B461" t="s">
        <v>3277</v>
      </c>
      <c r="C461" s="9">
        <v>2022</v>
      </c>
      <c r="D461" t="s">
        <v>2201</v>
      </c>
      <c r="E461" t="s">
        <v>106</v>
      </c>
      <c r="F461" t="s">
        <v>3280</v>
      </c>
      <c r="G461" t="s">
        <v>106</v>
      </c>
      <c r="H461" t="s">
        <v>3007</v>
      </c>
    </row>
    <row r="462" spans="1:8">
      <c r="A462" t="s">
        <v>679</v>
      </c>
      <c r="B462" t="s">
        <v>3277</v>
      </c>
      <c r="C462" s="9">
        <v>2022</v>
      </c>
      <c r="D462" t="s">
        <v>2201</v>
      </c>
      <c r="E462" t="s">
        <v>106</v>
      </c>
      <c r="F462" t="s">
        <v>3527</v>
      </c>
      <c r="G462" t="s">
        <v>106</v>
      </c>
      <c r="H462" t="s">
        <v>3007</v>
      </c>
    </row>
    <row r="463" spans="1:8">
      <c r="A463" t="s">
        <v>874</v>
      </c>
      <c r="B463" t="s">
        <v>2397</v>
      </c>
      <c r="C463" s="9">
        <v>2014</v>
      </c>
      <c r="D463" t="s">
        <v>2172</v>
      </c>
      <c r="E463" t="s">
        <v>2125</v>
      </c>
      <c r="F463" t="s">
        <v>2398</v>
      </c>
      <c r="G463" t="s">
        <v>106</v>
      </c>
      <c r="H463" t="s">
        <v>2127</v>
      </c>
    </row>
    <row r="464" spans="1:8">
      <c r="A464" t="s">
        <v>880</v>
      </c>
      <c r="B464" t="s">
        <v>2397</v>
      </c>
      <c r="C464" s="9">
        <v>2014</v>
      </c>
      <c r="D464" t="s">
        <v>2172</v>
      </c>
      <c r="E464" t="s">
        <v>2125</v>
      </c>
      <c r="F464" t="s">
        <v>2398</v>
      </c>
      <c r="G464" t="s">
        <v>106</v>
      </c>
      <c r="H464" t="s">
        <v>2127</v>
      </c>
    </row>
    <row r="465" spans="1:8">
      <c r="A465" t="s">
        <v>886</v>
      </c>
      <c r="B465" t="s">
        <v>2397</v>
      </c>
      <c r="C465" s="9">
        <v>2014</v>
      </c>
      <c r="D465" t="s">
        <v>2172</v>
      </c>
      <c r="E465" t="s">
        <v>2125</v>
      </c>
      <c r="F465" t="s">
        <v>2398</v>
      </c>
      <c r="G465" t="s">
        <v>106</v>
      </c>
      <c r="H465" t="s">
        <v>2127</v>
      </c>
    </row>
    <row r="466" spans="1:8">
      <c r="A466" t="s">
        <v>3430</v>
      </c>
      <c r="B466" t="s">
        <v>3431</v>
      </c>
      <c r="C466" s="9">
        <v>2022</v>
      </c>
      <c r="D466" t="s">
        <v>3432</v>
      </c>
      <c r="E466" t="s">
        <v>106</v>
      </c>
      <c r="F466" t="s">
        <v>3433</v>
      </c>
      <c r="G466" t="s">
        <v>106</v>
      </c>
      <c r="H466" t="s">
        <v>3007</v>
      </c>
    </row>
    <row r="467" spans="1:8">
      <c r="A467" t="s">
        <v>1117</v>
      </c>
      <c r="B467" t="s">
        <v>3740</v>
      </c>
      <c r="C467" s="9">
        <v>2022</v>
      </c>
      <c r="D467" t="s">
        <v>3033</v>
      </c>
      <c r="E467" t="s">
        <v>106</v>
      </c>
      <c r="F467" t="s">
        <v>3741</v>
      </c>
      <c r="G467" t="s">
        <v>106</v>
      </c>
      <c r="H467" t="s">
        <v>3007</v>
      </c>
    </row>
    <row r="468" spans="1:8">
      <c r="A468" t="s">
        <v>674</v>
      </c>
      <c r="B468" t="s">
        <v>3496</v>
      </c>
      <c r="C468" s="9">
        <v>2024</v>
      </c>
      <c r="D468" t="s">
        <v>3497</v>
      </c>
      <c r="E468" t="s">
        <v>106</v>
      </c>
      <c r="F468" t="s">
        <v>3498</v>
      </c>
      <c r="G468" t="s">
        <v>106</v>
      </c>
      <c r="H468" t="s">
        <v>3007</v>
      </c>
    </row>
    <row r="469" spans="1:8">
      <c r="A469" t="s">
        <v>863</v>
      </c>
      <c r="B469" t="s">
        <v>2384</v>
      </c>
      <c r="C469" s="9">
        <v>2005</v>
      </c>
      <c r="D469" t="s">
        <v>2132</v>
      </c>
      <c r="E469" t="s">
        <v>2125</v>
      </c>
      <c r="F469" t="s">
        <v>2385</v>
      </c>
      <c r="G469" t="s">
        <v>106</v>
      </c>
      <c r="H469" t="s">
        <v>2127</v>
      </c>
    </row>
    <row r="470" spans="1:8">
      <c r="A470" t="s">
        <v>1205</v>
      </c>
      <c r="B470" t="s">
        <v>2497</v>
      </c>
      <c r="C470" s="9">
        <v>2009</v>
      </c>
      <c r="D470" t="s">
        <v>2252</v>
      </c>
      <c r="E470" t="s">
        <v>2125</v>
      </c>
      <c r="F470" t="s">
        <v>2498</v>
      </c>
      <c r="G470" t="s">
        <v>106</v>
      </c>
      <c r="H470" t="s">
        <v>2127</v>
      </c>
    </row>
    <row r="471" spans="1:8">
      <c r="A471" t="s">
        <v>176</v>
      </c>
      <c r="B471" t="s">
        <v>3017</v>
      </c>
      <c r="C471" s="9">
        <v>2024</v>
      </c>
      <c r="D471" t="s">
        <v>2124</v>
      </c>
      <c r="E471" t="s">
        <v>106</v>
      </c>
      <c r="F471" t="s">
        <v>3018</v>
      </c>
      <c r="G471" t="s">
        <v>106</v>
      </c>
      <c r="H471" t="s">
        <v>3007</v>
      </c>
    </row>
    <row r="472" spans="1:8">
      <c r="A472" t="s">
        <v>120</v>
      </c>
      <c r="B472" t="s">
        <v>2214</v>
      </c>
      <c r="C472" s="9">
        <v>2018</v>
      </c>
      <c r="D472" t="s">
        <v>2215</v>
      </c>
      <c r="E472" t="s">
        <v>2125</v>
      </c>
      <c r="F472" t="s">
        <v>2216</v>
      </c>
      <c r="G472" t="s">
        <v>106</v>
      </c>
      <c r="H472" t="s">
        <v>2127</v>
      </c>
    </row>
    <row r="473" spans="1:8">
      <c r="A473" t="s">
        <v>1969</v>
      </c>
      <c r="B473" t="s">
        <v>2214</v>
      </c>
      <c r="C473" s="9">
        <v>2016</v>
      </c>
      <c r="D473" t="s">
        <v>2124</v>
      </c>
      <c r="E473" t="s">
        <v>2125</v>
      </c>
      <c r="F473" t="s">
        <v>3000</v>
      </c>
      <c r="G473" t="s">
        <v>106</v>
      </c>
      <c r="H473" t="s">
        <v>2127</v>
      </c>
    </row>
    <row r="474" spans="1:8">
      <c r="A474" t="s">
        <v>191</v>
      </c>
      <c r="B474" t="s">
        <v>3029</v>
      </c>
      <c r="C474" s="9">
        <v>2024</v>
      </c>
      <c r="D474" t="s">
        <v>2300</v>
      </c>
      <c r="E474" t="s">
        <v>106</v>
      </c>
      <c r="F474" t="s">
        <v>3030</v>
      </c>
      <c r="G474" t="s">
        <v>106</v>
      </c>
      <c r="H474" t="s">
        <v>3007</v>
      </c>
    </row>
    <row r="475" spans="1:8">
      <c r="A475" t="s">
        <v>1893</v>
      </c>
      <c r="B475" t="s">
        <v>2903</v>
      </c>
      <c r="C475" s="9">
        <v>2013</v>
      </c>
      <c r="D475" t="s">
        <v>2124</v>
      </c>
      <c r="E475" t="s">
        <v>2125</v>
      </c>
      <c r="F475" t="s">
        <v>2904</v>
      </c>
      <c r="G475" t="s">
        <v>106</v>
      </c>
      <c r="H475" t="s">
        <v>2127</v>
      </c>
    </row>
    <row r="476" spans="1:8">
      <c r="A476" t="s">
        <v>2414</v>
      </c>
      <c r="B476" t="s">
        <v>2415</v>
      </c>
      <c r="C476" s="9">
        <v>2016</v>
      </c>
      <c r="D476" t="s">
        <v>2124</v>
      </c>
      <c r="E476" t="s">
        <v>2125</v>
      </c>
      <c r="F476" t="s">
        <v>2416</v>
      </c>
      <c r="G476" t="s">
        <v>106</v>
      </c>
      <c r="H476" t="s">
        <v>2127</v>
      </c>
    </row>
    <row r="477" spans="1:8">
      <c r="A477" t="s">
        <v>1581</v>
      </c>
      <c r="B477" t="s">
        <v>2731</v>
      </c>
      <c r="C477" s="9">
        <v>1992</v>
      </c>
      <c r="D477" t="s">
        <v>2132</v>
      </c>
      <c r="E477" t="s">
        <v>2125</v>
      </c>
      <c r="F477" t="s">
        <v>2732</v>
      </c>
      <c r="G477" t="s">
        <v>106</v>
      </c>
      <c r="H477" t="s">
        <v>2127</v>
      </c>
    </row>
    <row r="478" spans="1:8">
      <c r="A478" t="s">
        <v>2417</v>
      </c>
      <c r="B478" t="s">
        <v>2418</v>
      </c>
      <c r="C478" s="9">
        <v>2017</v>
      </c>
      <c r="D478" t="s">
        <v>2129</v>
      </c>
      <c r="E478" t="s">
        <v>2125</v>
      </c>
      <c r="F478" t="s">
        <v>2419</v>
      </c>
      <c r="G478" t="s">
        <v>106</v>
      </c>
      <c r="H478" t="s">
        <v>2127</v>
      </c>
    </row>
    <row r="479" spans="1:8">
      <c r="A479" t="s">
        <v>2973</v>
      </c>
      <c r="B479" t="s">
        <v>2974</v>
      </c>
      <c r="C479" s="9">
        <v>2017</v>
      </c>
      <c r="D479" t="s">
        <v>2975</v>
      </c>
      <c r="E479" t="s">
        <v>2125</v>
      </c>
      <c r="F479" t="s">
        <v>2976</v>
      </c>
      <c r="G479" t="s">
        <v>106</v>
      </c>
      <c r="H479" t="s">
        <v>2127</v>
      </c>
    </row>
    <row r="480" spans="1:8">
      <c r="A480" t="s">
        <v>332</v>
      </c>
      <c r="B480" t="s">
        <v>3275</v>
      </c>
      <c r="C480" s="9">
        <v>2020</v>
      </c>
      <c r="D480" t="s">
        <v>3227</v>
      </c>
      <c r="E480" t="s">
        <v>106</v>
      </c>
      <c r="F480" t="s">
        <v>3276</v>
      </c>
      <c r="G480" t="s">
        <v>106</v>
      </c>
      <c r="H480" t="s">
        <v>3007</v>
      </c>
    </row>
    <row r="481" spans="1:8">
      <c r="A481" t="s">
        <v>681</v>
      </c>
      <c r="B481" t="s">
        <v>3275</v>
      </c>
      <c r="C481" s="9">
        <v>2020</v>
      </c>
      <c r="D481" t="s">
        <v>3227</v>
      </c>
      <c r="E481" t="s">
        <v>106</v>
      </c>
      <c r="F481" t="s">
        <v>3276</v>
      </c>
      <c r="G481" t="s">
        <v>106</v>
      </c>
      <c r="H481" t="s">
        <v>3007</v>
      </c>
    </row>
    <row r="482" spans="1:8">
      <c r="A482" t="s">
        <v>326</v>
      </c>
      <c r="B482" t="s">
        <v>3264</v>
      </c>
      <c r="C482" s="9">
        <v>2023</v>
      </c>
      <c r="D482" t="s">
        <v>3043</v>
      </c>
      <c r="E482" t="s">
        <v>106</v>
      </c>
      <c r="F482" t="s">
        <v>3265</v>
      </c>
      <c r="G482" t="s">
        <v>106</v>
      </c>
      <c r="H482" t="s">
        <v>3007</v>
      </c>
    </row>
    <row r="483" spans="1:8">
      <c r="A483" t="s">
        <v>873</v>
      </c>
      <c r="B483" t="s">
        <v>2395</v>
      </c>
      <c r="C483" s="9">
        <v>2018</v>
      </c>
      <c r="D483" t="s">
        <v>2124</v>
      </c>
      <c r="E483" t="s">
        <v>2125</v>
      </c>
      <c r="F483" t="s">
        <v>2396</v>
      </c>
      <c r="G483" t="s">
        <v>106</v>
      </c>
      <c r="H483" t="s">
        <v>2127</v>
      </c>
    </row>
    <row r="484" spans="1:8">
      <c r="A484" t="s">
        <v>1210</v>
      </c>
      <c r="B484" t="s">
        <v>2499</v>
      </c>
      <c r="C484" s="9">
        <v>2006</v>
      </c>
      <c r="D484" t="s">
        <v>2180</v>
      </c>
      <c r="E484" t="s">
        <v>2125</v>
      </c>
      <c r="F484" t="s">
        <v>2500</v>
      </c>
      <c r="G484" t="s">
        <v>106</v>
      </c>
      <c r="H484" t="s">
        <v>2127</v>
      </c>
    </row>
    <row r="485" spans="1:8">
      <c r="A485" t="s">
        <v>1217</v>
      </c>
      <c r="B485" t="s">
        <v>2499</v>
      </c>
      <c r="C485" s="9">
        <v>1998</v>
      </c>
      <c r="D485" t="s">
        <v>2132</v>
      </c>
      <c r="E485" t="s">
        <v>2125</v>
      </c>
      <c r="F485" t="s">
        <v>2501</v>
      </c>
      <c r="G485" t="s">
        <v>106</v>
      </c>
      <c r="H485" t="s">
        <v>2127</v>
      </c>
    </row>
    <row r="486" spans="1:8">
      <c r="A486" t="s">
        <v>899</v>
      </c>
      <c r="B486" t="s">
        <v>2402</v>
      </c>
      <c r="C486" s="9">
        <v>2015</v>
      </c>
      <c r="D486" t="s">
        <v>2252</v>
      </c>
      <c r="E486" t="s">
        <v>2125</v>
      </c>
      <c r="F486" t="s">
        <v>2403</v>
      </c>
      <c r="G486" t="s">
        <v>106</v>
      </c>
      <c r="H486" t="s">
        <v>2127</v>
      </c>
    </row>
    <row r="487" spans="1:8">
      <c r="A487" t="s">
        <v>1762</v>
      </c>
      <c r="B487" t="s">
        <v>2842</v>
      </c>
      <c r="C487" s="9">
        <v>2009</v>
      </c>
      <c r="D487" t="s">
        <v>2124</v>
      </c>
      <c r="E487" t="s">
        <v>2125</v>
      </c>
      <c r="F487" t="s">
        <v>2843</v>
      </c>
      <c r="G487" t="s">
        <v>106</v>
      </c>
      <c r="H487" t="s">
        <v>2127</v>
      </c>
    </row>
    <row r="488" spans="1:8">
      <c r="A488" t="s">
        <v>1667</v>
      </c>
      <c r="B488" t="s">
        <v>2793</v>
      </c>
      <c r="C488" s="9">
        <v>2018</v>
      </c>
      <c r="D488" t="s">
        <v>2124</v>
      </c>
      <c r="E488" t="s">
        <v>2125</v>
      </c>
      <c r="F488" t="s">
        <v>2794</v>
      </c>
      <c r="G488" t="s">
        <v>106</v>
      </c>
      <c r="H488" t="s">
        <v>2127</v>
      </c>
    </row>
    <row r="489" spans="1:8">
      <c r="A489" t="s">
        <v>3313</v>
      </c>
      <c r="B489" t="s">
        <v>3314</v>
      </c>
      <c r="C489" s="9">
        <v>2020</v>
      </c>
      <c r="D489" t="s">
        <v>3315</v>
      </c>
      <c r="E489" t="s">
        <v>106</v>
      </c>
      <c r="F489" t="s">
        <v>3316</v>
      </c>
      <c r="G489" t="s">
        <v>106</v>
      </c>
      <c r="H489" t="s">
        <v>3007</v>
      </c>
    </row>
    <row r="490" spans="1:8">
      <c r="A490" t="s">
        <v>778</v>
      </c>
      <c r="B490" t="s">
        <v>2275</v>
      </c>
      <c r="C490" s="9">
        <v>2017</v>
      </c>
      <c r="D490" t="s">
        <v>2276</v>
      </c>
      <c r="E490" t="s">
        <v>2165</v>
      </c>
      <c r="F490" t="s">
        <v>106</v>
      </c>
      <c r="G490" t="s">
        <v>2277</v>
      </c>
      <c r="H490" t="s">
        <v>2127</v>
      </c>
    </row>
    <row r="491" spans="1:8">
      <c r="A491" t="s">
        <v>1442</v>
      </c>
      <c r="B491" t="s">
        <v>2275</v>
      </c>
      <c r="C491" s="9">
        <v>2015</v>
      </c>
      <c r="D491" t="s">
        <v>2124</v>
      </c>
      <c r="E491" t="s">
        <v>2125</v>
      </c>
      <c r="F491" t="s">
        <v>2618</v>
      </c>
      <c r="G491" t="s">
        <v>106</v>
      </c>
      <c r="H491" t="s">
        <v>2127</v>
      </c>
    </row>
    <row r="492" spans="1:8">
      <c r="A492" t="s">
        <v>499</v>
      </c>
      <c r="B492" t="s">
        <v>3083</v>
      </c>
      <c r="C492" s="9">
        <v>2018</v>
      </c>
      <c r="D492" t="s">
        <v>3009</v>
      </c>
      <c r="E492" t="s">
        <v>106</v>
      </c>
      <c r="F492" t="s">
        <v>3084</v>
      </c>
      <c r="G492" t="s">
        <v>106</v>
      </c>
      <c r="H492" t="s">
        <v>3007</v>
      </c>
    </row>
    <row r="493" spans="1:8">
      <c r="A493" t="s">
        <v>506</v>
      </c>
      <c r="B493" t="s">
        <v>3083</v>
      </c>
      <c r="C493" s="9">
        <v>2018</v>
      </c>
      <c r="D493" t="s">
        <v>3009</v>
      </c>
      <c r="E493" t="s">
        <v>106</v>
      </c>
      <c r="F493" t="s">
        <v>3084</v>
      </c>
      <c r="G493" t="s">
        <v>106</v>
      </c>
      <c r="H493" t="s">
        <v>3007</v>
      </c>
    </row>
    <row r="494" spans="1:8">
      <c r="A494" t="s">
        <v>512</v>
      </c>
      <c r="B494" t="s">
        <v>3085</v>
      </c>
      <c r="C494" s="9">
        <v>2018</v>
      </c>
      <c r="D494" t="s">
        <v>3009</v>
      </c>
      <c r="E494" t="s">
        <v>106</v>
      </c>
      <c r="F494" t="s">
        <v>3084</v>
      </c>
      <c r="G494" t="s">
        <v>106</v>
      </c>
      <c r="H494" t="s">
        <v>3007</v>
      </c>
    </row>
    <row r="495" spans="1:8">
      <c r="A495" t="s">
        <v>518</v>
      </c>
      <c r="B495" t="s">
        <v>3085</v>
      </c>
      <c r="C495" s="9">
        <v>2018</v>
      </c>
      <c r="D495" t="s">
        <v>3009</v>
      </c>
      <c r="E495" t="s">
        <v>106</v>
      </c>
      <c r="F495" t="s">
        <v>3084</v>
      </c>
      <c r="G495" t="s">
        <v>106</v>
      </c>
      <c r="H495" t="s">
        <v>3007</v>
      </c>
    </row>
    <row r="496" spans="1:8">
      <c r="A496" t="s">
        <v>2626</v>
      </c>
      <c r="B496" t="s">
        <v>2627</v>
      </c>
      <c r="C496" s="9">
        <v>1994</v>
      </c>
      <c r="D496" t="s">
        <v>2320</v>
      </c>
      <c r="E496" t="s">
        <v>2125</v>
      </c>
      <c r="F496" t="s">
        <v>2628</v>
      </c>
      <c r="G496" t="s">
        <v>106</v>
      </c>
      <c r="H496" t="s">
        <v>2127</v>
      </c>
    </row>
    <row r="497" spans="1:8">
      <c r="A497" t="s">
        <v>2386</v>
      </c>
      <c r="B497" t="s">
        <v>2387</v>
      </c>
      <c r="C497" s="9">
        <v>2007</v>
      </c>
      <c r="D497" t="s">
        <v>2124</v>
      </c>
      <c r="E497" t="s">
        <v>2125</v>
      </c>
      <c r="F497" t="s">
        <v>2388</v>
      </c>
      <c r="G497" t="s">
        <v>106</v>
      </c>
      <c r="H497" t="s">
        <v>2127</v>
      </c>
    </row>
    <row r="498" spans="1:8">
      <c r="A498" t="s">
        <v>864</v>
      </c>
      <c r="B498" t="s">
        <v>2387</v>
      </c>
      <c r="C498" s="9">
        <v>2008</v>
      </c>
      <c r="D498" t="s">
        <v>2351</v>
      </c>
      <c r="E498" t="s">
        <v>2125</v>
      </c>
      <c r="F498" t="s">
        <v>106</v>
      </c>
      <c r="G498" s="7" t="s">
        <v>2389</v>
      </c>
      <c r="H498" t="s">
        <v>2127</v>
      </c>
    </row>
    <row r="499" spans="1:8">
      <c r="A499" t="s">
        <v>2990</v>
      </c>
      <c r="B499" t="s">
        <v>2991</v>
      </c>
      <c r="C499" s="9">
        <v>2015</v>
      </c>
      <c r="D499" t="s">
        <v>2781</v>
      </c>
      <c r="E499" t="s">
        <v>2125</v>
      </c>
      <c r="F499" t="s">
        <v>2992</v>
      </c>
      <c r="G499" t="s">
        <v>106</v>
      </c>
      <c r="H499" t="s">
        <v>2127</v>
      </c>
    </row>
    <row r="500" spans="1:8">
      <c r="A500" t="s">
        <v>2993</v>
      </c>
      <c r="B500" t="s">
        <v>2991</v>
      </c>
      <c r="C500" s="9">
        <v>2017</v>
      </c>
      <c r="D500" t="s">
        <v>2155</v>
      </c>
      <c r="E500" t="s">
        <v>2125</v>
      </c>
      <c r="F500" t="s">
        <v>2994</v>
      </c>
      <c r="G500" t="s">
        <v>106</v>
      </c>
      <c r="H500" t="s">
        <v>2127</v>
      </c>
    </row>
    <row r="501" spans="1:8">
      <c r="A501" t="s">
        <v>1461</v>
      </c>
      <c r="B501" t="s">
        <v>2641</v>
      </c>
      <c r="C501" s="9">
        <v>2002</v>
      </c>
      <c r="D501" t="s">
        <v>2124</v>
      </c>
      <c r="E501" t="s">
        <v>2125</v>
      </c>
      <c r="F501" t="s">
        <v>2642</v>
      </c>
      <c r="G501" t="s">
        <v>106</v>
      </c>
      <c r="H501" t="s">
        <v>2127</v>
      </c>
    </row>
    <row r="502" spans="1:8">
      <c r="A502" t="s">
        <v>1719</v>
      </c>
      <c r="B502" t="s">
        <v>2641</v>
      </c>
      <c r="C502" s="9">
        <v>2002</v>
      </c>
      <c r="D502" t="s">
        <v>2183</v>
      </c>
      <c r="E502" t="s">
        <v>2125</v>
      </c>
      <c r="F502" t="s">
        <v>2833</v>
      </c>
      <c r="G502" t="s">
        <v>106</v>
      </c>
      <c r="H502" t="s">
        <v>2127</v>
      </c>
    </row>
    <row r="503" spans="1:8">
      <c r="A503" t="s">
        <v>3572</v>
      </c>
      <c r="B503" t="s">
        <v>3573</v>
      </c>
      <c r="C503" s="9">
        <v>2020</v>
      </c>
      <c r="D503" t="s">
        <v>3238</v>
      </c>
      <c r="E503" t="s">
        <v>106</v>
      </c>
      <c r="F503" t="s">
        <v>3574</v>
      </c>
      <c r="G503" t="s">
        <v>106</v>
      </c>
      <c r="H503" t="s">
        <v>3007</v>
      </c>
    </row>
    <row r="504" spans="1:8">
      <c r="A504" t="s">
        <v>2655</v>
      </c>
      <c r="B504" t="s">
        <v>2656</v>
      </c>
      <c r="C504" s="9">
        <v>2010</v>
      </c>
      <c r="D504" t="s">
        <v>2657</v>
      </c>
      <c r="E504" t="s">
        <v>2125</v>
      </c>
      <c r="F504" t="s">
        <v>106</v>
      </c>
      <c r="G504" t="s">
        <v>2658</v>
      </c>
      <c r="H504" t="s">
        <v>2127</v>
      </c>
    </row>
    <row r="505" spans="1:8">
      <c r="A505" t="s">
        <v>3118</v>
      </c>
      <c r="B505" t="s">
        <v>2656</v>
      </c>
      <c r="C505" s="9">
        <v>2020</v>
      </c>
      <c r="D505" t="s">
        <v>3119</v>
      </c>
      <c r="E505" t="s">
        <v>106</v>
      </c>
      <c r="F505" t="s">
        <v>106</v>
      </c>
      <c r="G505" t="s">
        <v>3120</v>
      </c>
      <c r="H505" t="s">
        <v>3007</v>
      </c>
    </row>
    <row r="506" spans="1:8">
      <c r="A506" t="s">
        <v>2643</v>
      </c>
      <c r="B506" t="s">
        <v>2644</v>
      </c>
      <c r="C506" s="9">
        <v>1997</v>
      </c>
      <c r="D506" t="s">
        <v>2124</v>
      </c>
      <c r="E506" t="s">
        <v>2125</v>
      </c>
      <c r="F506" t="s">
        <v>2645</v>
      </c>
      <c r="G506" t="s">
        <v>106</v>
      </c>
      <c r="H506" t="s">
        <v>2127</v>
      </c>
    </row>
    <row r="507" spans="1:8">
      <c r="A507" t="s">
        <v>2646</v>
      </c>
      <c r="B507" t="s">
        <v>2644</v>
      </c>
      <c r="C507" s="9">
        <v>2005</v>
      </c>
      <c r="D507" t="s">
        <v>2129</v>
      </c>
      <c r="E507" t="s">
        <v>2125</v>
      </c>
      <c r="F507" t="s">
        <v>2647</v>
      </c>
      <c r="G507" t="s">
        <v>106</v>
      </c>
      <c r="H507" t="s">
        <v>2127</v>
      </c>
    </row>
    <row r="508" spans="1:8">
      <c r="A508" t="s">
        <v>893</v>
      </c>
      <c r="B508" t="s">
        <v>2400</v>
      </c>
      <c r="C508" s="9">
        <v>2016</v>
      </c>
      <c r="D508" t="s">
        <v>2172</v>
      </c>
      <c r="E508" t="s">
        <v>2125</v>
      </c>
      <c r="F508" t="s">
        <v>2401</v>
      </c>
      <c r="G508" t="s">
        <v>106</v>
      </c>
      <c r="H508" t="s">
        <v>2127</v>
      </c>
    </row>
    <row r="509" spans="1:8">
      <c r="A509" t="s">
        <v>1720</v>
      </c>
      <c r="B509" t="s">
        <v>2400</v>
      </c>
      <c r="C509" s="9">
        <v>2010</v>
      </c>
      <c r="D509" t="s">
        <v>2172</v>
      </c>
      <c r="E509" t="s">
        <v>2125</v>
      </c>
      <c r="F509" t="s">
        <v>2834</v>
      </c>
      <c r="G509" t="s">
        <v>106</v>
      </c>
      <c r="H509" t="s">
        <v>2127</v>
      </c>
    </row>
    <row r="510" spans="1:8">
      <c r="A510" t="s">
        <v>1726</v>
      </c>
      <c r="B510" t="s">
        <v>2400</v>
      </c>
      <c r="C510" s="9">
        <v>2010</v>
      </c>
      <c r="D510" t="s">
        <v>2484</v>
      </c>
      <c r="E510" t="s">
        <v>2125</v>
      </c>
      <c r="F510" t="s">
        <v>2834</v>
      </c>
      <c r="G510" t="s">
        <v>106</v>
      </c>
      <c r="H510" t="s">
        <v>2127</v>
      </c>
    </row>
    <row r="511" spans="1:8">
      <c r="A511" t="s">
        <v>901</v>
      </c>
      <c r="B511" t="s">
        <v>2406</v>
      </c>
      <c r="C511" s="9">
        <v>2014</v>
      </c>
      <c r="D511" t="s">
        <v>2407</v>
      </c>
      <c r="E511" t="s">
        <v>2125</v>
      </c>
      <c r="F511" t="s">
        <v>2408</v>
      </c>
      <c r="G511" t="s">
        <v>106</v>
      </c>
      <c r="H511" t="s">
        <v>2127</v>
      </c>
    </row>
    <row r="512" spans="1:8">
      <c r="A512" t="s">
        <v>1767</v>
      </c>
      <c r="B512" t="s">
        <v>2185</v>
      </c>
      <c r="C512" s="9">
        <v>1996</v>
      </c>
      <c r="D512" t="s">
        <v>2186</v>
      </c>
      <c r="E512" t="s">
        <v>2165</v>
      </c>
      <c r="F512" t="s">
        <v>2187</v>
      </c>
      <c r="G512" t="s">
        <v>106</v>
      </c>
      <c r="H512" t="s">
        <v>2127</v>
      </c>
    </row>
    <row r="513" spans="1:8">
      <c r="A513" t="s">
        <v>1788</v>
      </c>
      <c r="B513" t="s">
        <v>2188</v>
      </c>
      <c r="C513" s="9">
        <v>2014</v>
      </c>
      <c r="D513" t="s">
        <v>2124</v>
      </c>
      <c r="E513" t="s">
        <v>2125</v>
      </c>
      <c r="F513" t="s">
        <v>2189</v>
      </c>
      <c r="G513" t="s">
        <v>106</v>
      </c>
      <c r="H513" t="s">
        <v>2127</v>
      </c>
    </row>
    <row r="514" spans="1:8">
      <c r="A514" t="s">
        <v>1776</v>
      </c>
      <c r="B514" t="s">
        <v>2188</v>
      </c>
      <c r="C514" s="9">
        <v>2010</v>
      </c>
      <c r="D514" t="s">
        <v>2124</v>
      </c>
      <c r="E514" t="s">
        <v>2125</v>
      </c>
      <c r="F514" t="s">
        <v>2845</v>
      </c>
      <c r="G514" t="s">
        <v>106</v>
      </c>
      <c r="H514" t="s">
        <v>2127</v>
      </c>
    </row>
    <row r="515" spans="1:8">
      <c r="A515" t="s">
        <v>1781</v>
      </c>
      <c r="B515" t="s">
        <v>2188</v>
      </c>
      <c r="C515" s="9">
        <v>2009</v>
      </c>
      <c r="D515" t="s">
        <v>2252</v>
      </c>
      <c r="E515" t="s">
        <v>2125</v>
      </c>
      <c r="F515" t="s">
        <v>2846</v>
      </c>
      <c r="G515" t="s">
        <v>106</v>
      </c>
      <c r="H515" t="s">
        <v>2127</v>
      </c>
    </row>
    <row r="516" spans="1:8">
      <c r="A516" t="s">
        <v>1953</v>
      </c>
      <c r="B516" t="s">
        <v>2188</v>
      </c>
      <c r="C516" s="9">
        <v>2014</v>
      </c>
      <c r="D516" t="s">
        <v>2124</v>
      </c>
      <c r="E516" t="s">
        <v>2125</v>
      </c>
      <c r="F516" t="s">
        <v>2987</v>
      </c>
      <c r="G516" t="s">
        <v>106</v>
      </c>
      <c r="H516" t="s">
        <v>2127</v>
      </c>
    </row>
    <row r="517" spans="1:8">
      <c r="A517" t="s">
        <v>2633</v>
      </c>
      <c r="B517" t="s">
        <v>2634</v>
      </c>
      <c r="C517" s="9">
        <v>2009</v>
      </c>
      <c r="D517" t="s">
        <v>2635</v>
      </c>
      <c r="E517" t="s">
        <v>2125</v>
      </c>
      <c r="F517" t="s">
        <v>2636</v>
      </c>
      <c r="G517" t="s">
        <v>106</v>
      </c>
      <c r="H517" t="s">
        <v>2127</v>
      </c>
    </row>
    <row r="518" spans="1:8">
      <c r="A518" t="s">
        <v>2361</v>
      </c>
      <c r="B518" t="s">
        <v>2362</v>
      </c>
      <c r="C518" s="9">
        <v>2007</v>
      </c>
      <c r="D518" t="s">
        <v>2147</v>
      </c>
      <c r="E518" t="s">
        <v>2125</v>
      </c>
      <c r="F518" t="s">
        <v>2363</v>
      </c>
      <c r="G518" t="s">
        <v>106</v>
      </c>
      <c r="H518" t="s">
        <v>2127</v>
      </c>
    </row>
    <row r="519" spans="1:8">
      <c r="A519" t="s">
        <v>934</v>
      </c>
      <c r="B519" t="s">
        <v>3634</v>
      </c>
      <c r="C519" s="9">
        <v>2022</v>
      </c>
      <c r="D519" t="s">
        <v>3635</v>
      </c>
      <c r="E519" t="s">
        <v>106</v>
      </c>
      <c r="F519" t="s">
        <v>3636</v>
      </c>
      <c r="G519" t="s">
        <v>106</v>
      </c>
      <c r="H519" t="s">
        <v>3007</v>
      </c>
    </row>
    <row r="520" spans="1:8">
      <c r="A520" t="s">
        <v>1559</v>
      </c>
      <c r="B520" t="s">
        <v>2721</v>
      </c>
      <c r="C520" s="9">
        <v>2003</v>
      </c>
      <c r="D520" t="s">
        <v>2183</v>
      </c>
      <c r="E520" t="s">
        <v>2125</v>
      </c>
      <c r="F520" t="s">
        <v>2722</v>
      </c>
      <c r="G520" t="s">
        <v>106</v>
      </c>
      <c r="H520" t="s">
        <v>2127</v>
      </c>
    </row>
    <row r="521" spans="1:8">
      <c r="A521" t="s">
        <v>856</v>
      </c>
      <c r="B521" t="s">
        <v>2369</v>
      </c>
      <c r="C521" s="9">
        <v>2007</v>
      </c>
      <c r="D521" t="s">
        <v>2155</v>
      </c>
      <c r="E521" t="s">
        <v>2125</v>
      </c>
      <c r="F521" t="s">
        <v>2370</v>
      </c>
      <c r="G521" t="s">
        <v>106</v>
      </c>
      <c r="H521" t="s">
        <v>2127</v>
      </c>
    </row>
    <row r="522" spans="1:8">
      <c r="A522" t="s">
        <v>3535</v>
      </c>
      <c r="B522" t="s">
        <v>3536</v>
      </c>
      <c r="C522" s="9">
        <v>2019</v>
      </c>
      <c r="D522" t="s">
        <v>3244</v>
      </c>
      <c r="E522" t="s">
        <v>106</v>
      </c>
      <c r="F522" t="s">
        <v>106</v>
      </c>
      <c r="G522" t="s">
        <v>3537</v>
      </c>
      <c r="H522" t="s">
        <v>3007</v>
      </c>
    </row>
    <row r="523" spans="1:8">
      <c r="A523" t="s">
        <v>3368</v>
      </c>
      <c r="B523" t="s">
        <v>3369</v>
      </c>
      <c r="C523" s="9">
        <v>2018</v>
      </c>
      <c r="D523" t="s">
        <v>3370</v>
      </c>
      <c r="E523" t="s">
        <v>106</v>
      </c>
      <c r="F523" t="s">
        <v>3371</v>
      </c>
      <c r="G523" t="s">
        <v>106</v>
      </c>
      <c r="H523" t="s">
        <v>3007</v>
      </c>
    </row>
    <row r="524" spans="1:8">
      <c r="A524" t="s">
        <v>457</v>
      </c>
      <c r="B524" t="s">
        <v>3409</v>
      </c>
      <c r="C524" s="9">
        <v>2021</v>
      </c>
      <c r="D524" t="s">
        <v>3410</v>
      </c>
      <c r="E524" t="s">
        <v>106</v>
      </c>
      <c r="F524" t="s">
        <v>3411</v>
      </c>
      <c r="G524" t="s">
        <v>106</v>
      </c>
      <c r="H524" t="s">
        <v>3007</v>
      </c>
    </row>
    <row r="525" spans="1:8">
      <c r="A525" t="s">
        <v>465</v>
      </c>
      <c r="B525" t="s">
        <v>3409</v>
      </c>
      <c r="C525" s="9">
        <v>2021</v>
      </c>
      <c r="D525" t="s">
        <v>3419</v>
      </c>
      <c r="E525" t="s">
        <v>106</v>
      </c>
      <c r="F525" t="s">
        <v>3420</v>
      </c>
      <c r="G525" t="s">
        <v>106</v>
      </c>
      <c r="H525" t="s">
        <v>3007</v>
      </c>
    </row>
    <row r="526" spans="1:8">
      <c r="A526" t="s">
        <v>1037</v>
      </c>
      <c r="B526" t="s">
        <v>3409</v>
      </c>
      <c r="C526" s="9">
        <v>2021</v>
      </c>
      <c r="D526" t="s">
        <v>3419</v>
      </c>
      <c r="E526" t="s">
        <v>106</v>
      </c>
      <c r="F526" t="s">
        <v>3656</v>
      </c>
      <c r="G526" t="s">
        <v>106</v>
      </c>
      <c r="H526" t="s">
        <v>3007</v>
      </c>
    </row>
    <row r="527" spans="1:8">
      <c r="A527" t="s">
        <v>482</v>
      </c>
      <c r="B527" t="s">
        <v>3070</v>
      </c>
      <c r="C527" s="9">
        <v>2001</v>
      </c>
      <c r="D527" t="s">
        <v>3071</v>
      </c>
      <c r="E527" t="s">
        <v>106</v>
      </c>
      <c r="F527" t="s">
        <v>3072</v>
      </c>
      <c r="G527" t="s">
        <v>106</v>
      </c>
      <c r="H527" t="s">
        <v>3007</v>
      </c>
    </row>
    <row r="528" spans="1:8">
      <c r="A528" t="s">
        <v>811</v>
      </c>
      <c r="B528" t="s">
        <v>2318</v>
      </c>
      <c r="C528" s="9">
        <v>2005</v>
      </c>
      <c r="D528" t="s">
        <v>2124</v>
      </c>
      <c r="E528" t="s">
        <v>2125</v>
      </c>
      <c r="F528" t="s">
        <v>2319</v>
      </c>
      <c r="G528" t="s">
        <v>106</v>
      </c>
      <c r="H528" t="s">
        <v>2127</v>
      </c>
    </row>
    <row r="529" spans="1:8">
      <c r="A529" t="s">
        <v>812</v>
      </c>
      <c r="B529" t="s">
        <v>2318</v>
      </c>
      <c r="C529" s="9">
        <v>2005</v>
      </c>
      <c r="D529" t="s">
        <v>2124</v>
      </c>
      <c r="E529" t="s">
        <v>2125</v>
      </c>
      <c r="F529" t="s">
        <v>2319</v>
      </c>
      <c r="G529" t="s">
        <v>106</v>
      </c>
      <c r="H529" t="s">
        <v>2127</v>
      </c>
    </row>
    <row r="530" spans="1:8">
      <c r="A530" t="s">
        <v>813</v>
      </c>
      <c r="B530" t="s">
        <v>2318</v>
      </c>
      <c r="C530" s="9">
        <v>1995</v>
      </c>
      <c r="D530" t="s">
        <v>2320</v>
      </c>
      <c r="E530" t="s">
        <v>2125</v>
      </c>
      <c r="F530" t="s">
        <v>2321</v>
      </c>
      <c r="G530" t="s">
        <v>106</v>
      </c>
      <c r="H530" t="s">
        <v>2127</v>
      </c>
    </row>
    <row r="531" spans="1:8">
      <c r="A531" t="s">
        <v>272</v>
      </c>
      <c r="B531" t="s">
        <v>3231</v>
      </c>
      <c r="C531" s="9">
        <v>2022</v>
      </c>
      <c r="D531" t="s">
        <v>3232</v>
      </c>
      <c r="E531" t="s">
        <v>106</v>
      </c>
      <c r="F531" t="s">
        <v>3233</v>
      </c>
      <c r="G531" t="s">
        <v>106</v>
      </c>
      <c r="H531" t="s">
        <v>3007</v>
      </c>
    </row>
    <row r="532" spans="1:8">
      <c r="A532" t="s">
        <v>407</v>
      </c>
      <c r="B532" t="s">
        <v>3351</v>
      </c>
      <c r="C532" s="9">
        <v>2023</v>
      </c>
      <c r="D532" t="s">
        <v>3352</v>
      </c>
      <c r="E532" t="s">
        <v>106</v>
      </c>
      <c r="F532" t="s">
        <v>3353</v>
      </c>
      <c r="G532" t="s">
        <v>106</v>
      </c>
      <c r="H532" t="s">
        <v>3007</v>
      </c>
    </row>
    <row r="533" spans="1:8">
      <c r="A533" t="s">
        <v>722</v>
      </c>
      <c r="B533" t="s">
        <v>3351</v>
      </c>
      <c r="C533" s="9">
        <v>2021</v>
      </c>
      <c r="D533" t="s">
        <v>3600</v>
      </c>
      <c r="E533" t="s">
        <v>106</v>
      </c>
      <c r="F533" t="s">
        <v>106</v>
      </c>
      <c r="G533" t="s">
        <v>3601</v>
      </c>
      <c r="H533" t="s">
        <v>3007</v>
      </c>
    </row>
    <row r="534" spans="1:8">
      <c r="A534" t="s">
        <v>1106</v>
      </c>
      <c r="B534" t="s">
        <v>3713</v>
      </c>
      <c r="C534" s="9">
        <v>2019</v>
      </c>
      <c r="D534" t="s">
        <v>3714</v>
      </c>
      <c r="E534" t="s">
        <v>106</v>
      </c>
      <c r="F534" t="s">
        <v>3715</v>
      </c>
      <c r="G534" t="s">
        <v>106</v>
      </c>
      <c r="H534" t="s">
        <v>3007</v>
      </c>
    </row>
    <row r="535" spans="1:8">
      <c r="A535" t="s">
        <v>3724</v>
      </c>
      <c r="B535" t="s">
        <v>3713</v>
      </c>
      <c r="C535" s="9">
        <v>2018</v>
      </c>
      <c r="D535" t="s">
        <v>3015</v>
      </c>
      <c r="E535" t="s">
        <v>106</v>
      </c>
      <c r="F535" t="s">
        <v>3725</v>
      </c>
      <c r="G535" t="s">
        <v>106</v>
      </c>
      <c r="H535" t="s">
        <v>3007</v>
      </c>
    </row>
    <row r="536" spans="1:8">
      <c r="A536" t="s">
        <v>2735</v>
      </c>
      <c r="B536" t="s">
        <v>2736</v>
      </c>
      <c r="C536" s="9">
        <v>2017</v>
      </c>
      <c r="D536" t="s">
        <v>2737</v>
      </c>
      <c r="E536" t="s">
        <v>2125</v>
      </c>
      <c r="F536" t="s">
        <v>2738</v>
      </c>
      <c r="G536" t="s">
        <v>106</v>
      </c>
      <c r="H536" t="s">
        <v>2127</v>
      </c>
    </row>
    <row r="537" spans="1:8">
      <c r="A537" t="s">
        <v>412</v>
      </c>
      <c r="B537" t="s">
        <v>3354</v>
      </c>
      <c r="C537" s="9">
        <v>2019</v>
      </c>
      <c r="D537" t="s">
        <v>3355</v>
      </c>
      <c r="E537" t="s">
        <v>106</v>
      </c>
      <c r="F537" t="s">
        <v>106</v>
      </c>
      <c r="G537" s="7" t="s">
        <v>3356</v>
      </c>
      <c r="H537" t="s">
        <v>3007</v>
      </c>
    </row>
    <row r="538" spans="1:8">
      <c r="A538" t="s">
        <v>1421</v>
      </c>
      <c r="B538" t="s">
        <v>2600</v>
      </c>
      <c r="C538" s="9">
        <v>2017</v>
      </c>
      <c r="D538" t="s">
        <v>2285</v>
      </c>
      <c r="E538" t="s">
        <v>2125</v>
      </c>
      <c r="F538" t="s">
        <v>2601</v>
      </c>
      <c r="G538" t="s">
        <v>106</v>
      </c>
      <c r="H538" t="s">
        <v>2127</v>
      </c>
    </row>
    <row r="539" spans="1:8">
      <c r="A539" t="s">
        <v>2602</v>
      </c>
      <c r="B539" t="s">
        <v>2600</v>
      </c>
      <c r="C539" s="9">
        <v>2015</v>
      </c>
      <c r="D539" t="s">
        <v>2285</v>
      </c>
      <c r="E539" t="s">
        <v>2125</v>
      </c>
      <c r="F539" t="s">
        <v>2603</v>
      </c>
      <c r="G539" t="s">
        <v>106</v>
      </c>
      <c r="H539" t="s">
        <v>2127</v>
      </c>
    </row>
    <row r="540" spans="1:8">
      <c r="A540" t="s">
        <v>814</v>
      </c>
      <c r="B540" t="s">
        <v>2322</v>
      </c>
      <c r="C540" s="9">
        <v>1993</v>
      </c>
      <c r="D540" t="s">
        <v>2124</v>
      </c>
      <c r="E540" t="s">
        <v>2125</v>
      </c>
      <c r="F540" t="s">
        <v>2323</v>
      </c>
      <c r="G540" t="s">
        <v>106</v>
      </c>
      <c r="H540" t="s">
        <v>2127</v>
      </c>
    </row>
    <row r="541" spans="1:8">
      <c r="A541" t="s">
        <v>1422</v>
      </c>
      <c r="B541" t="s">
        <v>2604</v>
      </c>
      <c r="C541" s="9">
        <v>2017</v>
      </c>
      <c r="D541" t="s">
        <v>2605</v>
      </c>
      <c r="E541" t="s">
        <v>2125</v>
      </c>
      <c r="F541" t="s">
        <v>2606</v>
      </c>
      <c r="G541" t="s">
        <v>106</v>
      </c>
      <c r="H541" t="s">
        <v>2127</v>
      </c>
    </row>
    <row r="542" spans="1:8">
      <c r="A542" t="s">
        <v>246</v>
      </c>
      <c r="B542" t="s">
        <v>3214</v>
      </c>
      <c r="C542" s="9">
        <v>2021</v>
      </c>
      <c r="D542" t="s">
        <v>3215</v>
      </c>
      <c r="E542" t="s">
        <v>106</v>
      </c>
      <c r="F542" t="s">
        <v>3216</v>
      </c>
      <c r="G542" t="s">
        <v>106</v>
      </c>
      <c r="H542" t="s">
        <v>3007</v>
      </c>
    </row>
    <row r="543" spans="1:8">
      <c r="A543" t="s">
        <v>567</v>
      </c>
      <c r="B543" t="s">
        <v>3214</v>
      </c>
      <c r="C543" s="9">
        <v>2020</v>
      </c>
      <c r="D543" t="s">
        <v>3439</v>
      </c>
      <c r="E543" t="s">
        <v>106</v>
      </c>
      <c r="F543" t="s">
        <v>3440</v>
      </c>
      <c r="G543" t="s">
        <v>106</v>
      </c>
      <c r="H543" t="s">
        <v>3007</v>
      </c>
    </row>
    <row r="544" spans="1:8">
      <c r="A544" s="8" t="s">
        <v>1089</v>
      </c>
      <c r="B544" s="8" t="s">
        <v>3699</v>
      </c>
      <c r="C544" s="12">
        <v>2021</v>
      </c>
      <c r="D544" s="8" t="s">
        <v>3700</v>
      </c>
      <c r="E544" s="8" t="s">
        <v>106</v>
      </c>
      <c r="F544" s="8" t="s">
        <v>3701</v>
      </c>
      <c r="G544" s="8" t="s">
        <v>106</v>
      </c>
      <c r="H544" s="8" t="s">
        <v>3007</v>
      </c>
    </row>
    <row r="545" spans="1:8">
      <c r="A545" t="s">
        <v>3100</v>
      </c>
      <c r="B545" t="s">
        <v>3101</v>
      </c>
      <c r="C545" s="9">
        <v>2020</v>
      </c>
      <c r="D545" t="s">
        <v>3102</v>
      </c>
      <c r="E545" t="s">
        <v>106</v>
      </c>
      <c r="F545" t="s">
        <v>3103</v>
      </c>
      <c r="G545" t="s">
        <v>106</v>
      </c>
      <c r="H545" t="s">
        <v>3007</v>
      </c>
    </row>
    <row r="546" spans="1:8">
      <c r="A546" t="s">
        <v>3693</v>
      </c>
      <c r="B546" t="s">
        <v>3694</v>
      </c>
      <c r="C546" s="9">
        <v>2021</v>
      </c>
      <c r="D546" t="s">
        <v>3695</v>
      </c>
      <c r="E546" t="s">
        <v>106</v>
      </c>
      <c r="F546" t="s">
        <v>3696</v>
      </c>
      <c r="G546" t="s">
        <v>106</v>
      </c>
      <c r="H546" t="s">
        <v>3007</v>
      </c>
    </row>
    <row r="547" spans="1:8">
      <c r="A547" t="s">
        <v>682</v>
      </c>
      <c r="B547" t="s">
        <v>3538</v>
      </c>
      <c r="C547" s="9">
        <v>2019</v>
      </c>
      <c r="D547" t="s">
        <v>3539</v>
      </c>
      <c r="E547" t="s">
        <v>106</v>
      </c>
      <c r="F547" t="s">
        <v>3540</v>
      </c>
      <c r="G547" t="s">
        <v>106</v>
      </c>
      <c r="H547" t="s">
        <v>3007</v>
      </c>
    </row>
    <row r="548" spans="1:8">
      <c r="A548" t="s">
        <v>688</v>
      </c>
      <c r="B548" t="s">
        <v>3538</v>
      </c>
      <c r="C548" s="9">
        <v>2019</v>
      </c>
      <c r="D548" t="s">
        <v>3541</v>
      </c>
      <c r="E548" t="s">
        <v>106</v>
      </c>
      <c r="F548" t="s">
        <v>3542</v>
      </c>
      <c r="G548" t="s">
        <v>106</v>
      </c>
      <c r="H548" t="s">
        <v>3007</v>
      </c>
    </row>
    <row r="549" spans="1:8">
      <c r="A549" t="s">
        <v>2324</v>
      </c>
      <c r="B549" t="s">
        <v>2325</v>
      </c>
      <c r="C549" s="9">
        <v>2009</v>
      </c>
      <c r="D549" t="s">
        <v>2124</v>
      </c>
      <c r="E549" t="s">
        <v>2125</v>
      </c>
      <c r="F549" t="s">
        <v>2326</v>
      </c>
      <c r="G549" t="s">
        <v>106</v>
      </c>
      <c r="H549" t="s">
        <v>2127</v>
      </c>
    </row>
    <row r="550" spans="1:8">
      <c r="A550" t="s">
        <v>1423</v>
      </c>
      <c r="B550" t="s">
        <v>2325</v>
      </c>
      <c r="C550" s="9">
        <v>2013</v>
      </c>
      <c r="D550" t="s">
        <v>2132</v>
      </c>
      <c r="E550" t="s">
        <v>2125</v>
      </c>
      <c r="F550" t="s">
        <v>2607</v>
      </c>
      <c r="G550" t="s">
        <v>106</v>
      </c>
      <c r="H550" t="s">
        <v>2127</v>
      </c>
    </row>
    <row r="551" spans="1:8">
      <c r="A551" t="s">
        <v>1428</v>
      </c>
      <c r="B551" t="s">
        <v>2325</v>
      </c>
      <c r="C551" s="9">
        <v>2014</v>
      </c>
      <c r="D551" t="s">
        <v>2124</v>
      </c>
      <c r="E551" t="s">
        <v>2125</v>
      </c>
      <c r="F551" t="s">
        <v>2608</v>
      </c>
      <c r="G551" t="s">
        <v>106</v>
      </c>
      <c r="H551" t="s">
        <v>2127</v>
      </c>
    </row>
    <row r="552" spans="1:8">
      <c r="A552" t="s">
        <v>402</v>
      </c>
      <c r="B552" t="s">
        <v>3339</v>
      </c>
      <c r="C552" s="9">
        <v>2019</v>
      </c>
      <c r="D552" t="s">
        <v>3071</v>
      </c>
      <c r="E552" t="s">
        <v>106</v>
      </c>
      <c r="F552" t="s">
        <v>3340</v>
      </c>
      <c r="G552" t="s">
        <v>106</v>
      </c>
      <c r="H552" t="s">
        <v>3007</v>
      </c>
    </row>
    <row r="553" spans="1:8">
      <c r="A553" t="s">
        <v>3756</v>
      </c>
      <c r="B553" t="s">
        <v>3757</v>
      </c>
      <c r="C553" s="9">
        <v>2020</v>
      </c>
      <c r="D553" t="s">
        <v>3758</v>
      </c>
      <c r="E553" t="s">
        <v>106</v>
      </c>
      <c r="F553" t="s">
        <v>3759</v>
      </c>
      <c r="G553" t="s">
        <v>106</v>
      </c>
      <c r="H553" t="s">
        <v>3007</v>
      </c>
    </row>
    <row r="554" spans="1:8">
      <c r="A554" t="s">
        <v>114</v>
      </c>
      <c r="B554" t="s">
        <v>2207</v>
      </c>
      <c r="C554" s="9">
        <v>2018</v>
      </c>
      <c r="D554" t="s">
        <v>2208</v>
      </c>
      <c r="E554" t="s">
        <v>2165</v>
      </c>
      <c r="F554" t="s">
        <v>2209</v>
      </c>
      <c r="G554" t="s">
        <v>106</v>
      </c>
      <c r="H554" t="s">
        <v>2127</v>
      </c>
    </row>
    <row r="555" spans="1:8">
      <c r="A555" t="s">
        <v>1066</v>
      </c>
      <c r="B555" t="s">
        <v>2207</v>
      </c>
      <c r="C555" s="9">
        <v>2021</v>
      </c>
      <c r="D555" t="s">
        <v>3259</v>
      </c>
      <c r="E555" t="s">
        <v>106</v>
      </c>
      <c r="F555" t="s">
        <v>3672</v>
      </c>
      <c r="G555" t="s">
        <v>106</v>
      </c>
      <c r="H555" t="s">
        <v>3007</v>
      </c>
    </row>
    <row r="556" spans="1:8">
      <c r="A556" t="s">
        <v>2755</v>
      </c>
      <c r="B556" t="s">
        <v>2756</v>
      </c>
      <c r="C556" s="9">
        <v>2016</v>
      </c>
      <c r="D556" t="s">
        <v>2215</v>
      </c>
      <c r="E556" t="s">
        <v>2125</v>
      </c>
      <c r="F556" t="s">
        <v>2757</v>
      </c>
      <c r="G556" t="s">
        <v>106</v>
      </c>
      <c r="H556" t="s">
        <v>2127</v>
      </c>
    </row>
    <row r="557" spans="1:8">
      <c r="A557" t="s">
        <v>262</v>
      </c>
      <c r="B557" t="s">
        <v>3226</v>
      </c>
      <c r="C557" s="9">
        <v>2020</v>
      </c>
      <c r="D557" t="s">
        <v>3227</v>
      </c>
      <c r="E557" t="s">
        <v>106</v>
      </c>
      <c r="F557" t="s">
        <v>3228</v>
      </c>
      <c r="G557" t="s">
        <v>106</v>
      </c>
      <c r="H557" t="s">
        <v>3007</v>
      </c>
    </row>
    <row r="558" spans="1:8">
      <c r="A558" t="s">
        <v>423</v>
      </c>
      <c r="B558" t="s">
        <v>3226</v>
      </c>
      <c r="C558" s="9">
        <v>2020</v>
      </c>
      <c r="D558" t="s">
        <v>3227</v>
      </c>
      <c r="E558" t="s">
        <v>106</v>
      </c>
      <c r="F558" t="s">
        <v>3372</v>
      </c>
      <c r="G558" t="s">
        <v>106</v>
      </c>
      <c r="H558" t="s">
        <v>3007</v>
      </c>
    </row>
    <row r="559" spans="1:8">
      <c r="A559" t="s">
        <v>1183</v>
      </c>
      <c r="B559" t="s">
        <v>2477</v>
      </c>
      <c r="C559" s="9">
        <v>1996</v>
      </c>
      <c r="D559" t="s">
        <v>2285</v>
      </c>
      <c r="E559" t="s">
        <v>2125</v>
      </c>
      <c r="F559" t="s">
        <v>2478</v>
      </c>
      <c r="G559" t="s">
        <v>106</v>
      </c>
      <c r="H559" t="s">
        <v>2127</v>
      </c>
    </row>
    <row r="560" spans="1:8">
      <c r="A560" t="s">
        <v>1184</v>
      </c>
      <c r="B560" t="s">
        <v>2479</v>
      </c>
      <c r="C560" s="9">
        <v>2010</v>
      </c>
      <c r="D560" t="s">
        <v>2124</v>
      </c>
      <c r="E560" t="s">
        <v>2125</v>
      </c>
      <c r="F560" t="s">
        <v>2480</v>
      </c>
      <c r="G560" t="s">
        <v>106</v>
      </c>
      <c r="H560" t="s">
        <v>2127</v>
      </c>
    </row>
    <row r="561" spans="1:8">
      <c r="A561" t="s">
        <v>1139</v>
      </c>
      <c r="B561" t="s">
        <v>2479</v>
      </c>
      <c r="C561" s="9">
        <v>2019</v>
      </c>
      <c r="D561" t="s">
        <v>3445</v>
      </c>
      <c r="E561" t="s">
        <v>106</v>
      </c>
      <c r="F561" t="s">
        <v>3771</v>
      </c>
      <c r="G561" t="s">
        <v>106</v>
      </c>
      <c r="H561" t="s">
        <v>3007</v>
      </c>
    </row>
    <row r="562" spans="1:8">
      <c r="A562" t="s">
        <v>1141</v>
      </c>
      <c r="B562" t="s">
        <v>2479</v>
      </c>
      <c r="C562" s="9">
        <v>2019</v>
      </c>
      <c r="D562" t="s">
        <v>3445</v>
      </c>
      <c r="E562" t="s">
        <v>106</v>
      </c>
      <c r="F562" t="s">
        <v>3782</v>
      </c>
      <c r="G562" t="s">
        <v>106</v>
      </c>
      <c r="H562" t="s">
        <v>3007</v>
      </c>
    </row>
    <row r="563" spans="1:8">
      <c r="A563" t="s">
        <v>2327</v>
      </c>
      <c r="B563" t="s">
        <v>2328</v>
      </c>
      <c r="C563" s="9">
        <v>2001</v>
      </c>
      <c r="D563" t="s">
        <v>2155</v>
      </c>
      <c r="E563" t="s">
        <v>2125</v>
      </c>
      <c r="F563" t="s">
        <v>2329</v>
      </c>
      <c r="G563" t="s">
        <v>106</v>
      </c>
      <c r="H563" t="s">
        <v>2127</v>
      </c>
    </row>
    <row r="564" spans="1:8">
      <c r="A564" t="s">
        <v>2330</v>
      </c>
      <c r="B564" t="s">
        <v>2328</v>
      </c>
      <c r="C564" s="9">
        <v>1993</v>
      </c>
      <c r="D564" t="s">
        <v>2297</v>
      </c>
      <c r="E564" t="s">
        <v>2125</v>
      </c>
      <c r="F564" t="s">
        <v>106</v>
      </c>
      <c r="G564" t="s">
        <v>2331</v>
      </c>
      <c r="H564" t="s">
        <v>2127</v>
      </c>
    </row>
    <row r="565" spans="1:8">
      <c r="A565" t="s">
        <v>3206</v>
      </c>
      <c r="B565" t="s">
        <v>3207</v>
      </c>
      <c r="C565" s="9">
        <v>2021</v>
      </c>
      <c r="D565" t="s">
        <v>3208</v>
      </c>
      <c r="E565" t="s">
        <v>106</v>
      </c>
      <c r="F565" t="s">
        <v>3209</v>
      </c>
      <c r="G565" t="s">
        <v>106</v>
      </c>
      <c r="H565" t="s">
        <v>3007</v>
      </c>
    </row>
    <row r="566" spans="1:8">
      <c r="A566" t="s">
        <v>331</v>
      </c>
      <c r="B566" t="s">
        <v>3207</v>
      </c>
      <c r="C566" s="9">
        <v>2019</v>
      </c>
      <c r="D566" t="s">
        <v>3273</v>
      </c>
      <c r="E566" t="s">
        <v>106</v>
      </c>
      <c r="F566" t="s">
        <v>3274</v>
      </c>
      <c r="G566" t="s">
        <v>106</v>
      </c>
      <c r="H566" t="s">
        <v>3007</v>
      </c>
    </row>
    <row r="567" spans="1:8" s="41" customFormat="1">
      <c r="A567" s="41" t="s">
        <v>354</v>
      </c>
      <c r="B567" s="41" t="s">
        <v>3207</v>
      </c>
      <c r="C567" s="40">
        <v>2020</v>
      </c>
      <c r="D567" s="41" t="s">
        <v>3293</v>
      </c>
      <c r="E567" s="41" t="s">
        <v>106</v>
      </c>
      <c r="F567" s="42" t="s">
        <v>3294</v>
      </c>
      <c r="G567" s="41" t="s">
        <v>106</v>
      </c>
      <c r="H567" s="41" t="s">
        <v>3007</v>
      </c>
    </row>
    <row r="568" spans="1:8">
      <c r="A568" t="s">
        <v>3792</v>
      </c>
      <c r="B568" t="s">
        <v>3207</v>
      </c>
      <c r="C568" s="9">
        <v>2018</v>
      </c>
      <c r="D568" t="s">
        <v>3355</v>
      </c>
      <c r="E568" t="s">
        <v>106</v>
      </c>
      <c r="F568" t="s">
        <v>106</v>
      </c>
      <c r="G568" t="s">
        <v>3793</v>
      </c>
      <c r="H568" t="s">
        <v>3007</v>
      </c>
    </row>
    <row r="569" spans="1:8">
      <c r="A569" t="s">
        <v>1564</v>
      </c>
      <c r="B569" t="s">
        <v>2723</v>
      </c>
      <c r="C569" s="9">
        <v>1999</v>
      </c>
      <c r="D569" t="s">
        <v>2183</v>
      </c>
      <c r="E569" t="s">
        <v>2125</v>
      </c>
      <c r="F569" t="s">
        <v>2724</v>
      </c>
      <c r="G569" t="s">
        <v>106</v>
      </c>
      <c r="H569" t="s">
        <v>2127</v>
      </c>
    </row>
    <row r="570" spans="1:8">
      <c r="A570" t="s">
        <v>1582</v>
      </c>
      <c r="B570" t="s">
        <v>2723</v>
      </c>
      <c r="C570" s="9">
        <v>2000</v>
      </c>
      <c r="D570" t="s">
        <v>2308</v>
      </c>
      <c r="E570" t="s">
        <v>2125</v>
      </c>
      <c r="F570" t="s">
        <v>2733</v>
      </c>
      <c r="G570" t="s">
        <v>106</v>
      </c>
      <c r="H570" t="s">
        <v>2127</v>
      </c>
    </row>
    <row r="571" spans="1:8">
      <c r="A571" t="s">
        <v>852</v>
      </c>
      <c r="B571" t="s">
        <v>2364</v>
      </c>
      <c r="C571" s="9">
        <v>2010</v>
      </c>
      <c r="D571" t="s">
        <v>2252</v>
      </c>
      <c r="E571" t="s">
        <v>2125</v>
      </c>
      <c r="F571" t="s">
        <v>2365</v>
      </c>
      <c r="G571" t="s">
        <v>106</v>
      </c>
      <c r="H571" t="s">
        <v>2127</v>
      </c>
    </row>
    <row r="572" spans="1:8">
      <c r="A572" t="s">
        <v>2332</v>
      </c>
      <c r="B572" t="s">
        <v>2333</v>
      </c>
      <c r="C572" s="9">
        <v>1986</v>
      </c>
      <c r="D572" t="s">
        <v>2132</v>
      </c>
      <c r="E572" t="s">
        <v>2125</v>
      </c>
      <c r="F572" t="s">
        <v>2334</v>
      </c>
      <c r="G572" t="s">
        <v>106</v>
      </c>
      <c r="H572" t="s">
        <v>2127</v>
      </c>
    </row>
    <row r="573" spans="1:8">
      <c r="A573" t="s">
        <v>820</v>
      </c>
      <c r="B573" t="s">
        <v>2333</v>
      </c>
      <c r="C573" s="9">
        <v>1986</v>
      </c>
      <c r="D573" t="s">
        <v>2132</v>
      </c>
      <c r="E573" t="s">
        <v>2125</v>
      </c>
      <c r="F573" t="s">
        <v>2334</v>
      </c>
      <c r="G573" t="s">
        <v>106</v>
      </c>
      <c r="H573" t="s">
        <v>2127</v>
      </c>
    </row>
    <row r="574" spans="1:8">
      <c r="A574" t="s">
        <v>2847</v>
      </c>
      <c r="B574" t="s">
        <v>2848</v>
      </c>
      <c r="C574" s="9">
        <v>1997</v>
      </c>
      <c r="D574" t="s">
        <v>2300</v>
      </c>
      <c r="E574" t="s">
        <v>2125</v>
      </c>
      <c r="F574" t="s">
        <v>2849</v>
      </c>
      <c r="G574" t="s">
        <v>106</v>
      </c>
      <c r="H574" t="s">
        <v>2127</v>
      </c>
    </row>
    <row r="575" spans="1:8">
      <c r="A575" t="s">
        <v>2850</v>
      </c>
      <c r="B575" t="s">
        <v>2848</v>
      </c>
      <c r="C575" s="9">
        <v>1997</v>
      </c>
      <c r="D575" t="s">
        <v>2300</v>
      </c>
      <c r="E575" t="s">
        <v>2125</v>
      </c>
      <c r="F575" t="s">
        <v>2849</v>
      </c>
      <c r="G575" t="s">
        <v>106</v>
      </c>
      <c r="H575" t="s">
        <v>2127</v>
      </c>
    </row>
    <row r="576" spans="1:8">
      <c r="A576" t="s">
        <v>1172</v>
      </c>
      <c r="B576" t="s">
        <v>2442</v>
      </c>
      <c r="C576" s="9">
        <v>1987</v>
      </c>
      <c r="D576" t="s">
        <v>2443</v>
      </c>
      <c r="E576" t="s">
        <v>2125</v>
      </c>
      <c r="F576" t="s">
        <v>2444</v>
      </c>
      <c r="G576" t="s">
        <v>106</v>
      </c>
      <c r="H576" t="s">
        <v>2127</v>
      </c>
    </row>
    <row r="577" spans="1:8">
      <c r="A577" t="s">
        <v>3704</v>
      </c>
      <c r="B577" t="s">
        <v>3705</v>
      </c>
      <c r="C577" s="9">
        <v>2019</v>
      </c>
      <c r="D577" t="s">
        <v>3682</v>
      </c>
      <c r="E577" t="s">
        <v>106</v>
      </c>
      <c r="F577" t="s">
        <v>3706</v>
      </c>
      <c r="G577" t="s">
        <v>106</v>
      </c>
      <c r="H577" t="s">
        <v>3007</v>
      </c>
    </row>
    <row r="578" spans="1:8">
      <c r="A578" t="s">
        <v>821</v>
      </c>
      <c r="B578" t="s">
        <v>2335</v>
      </c>
      <c r="C578" s="9">
        <v>2011</v>
      </c>
      <c r="D578" t="s">
        <v>2129</v>
      </c>
      <c r="E578" t="s">
        <v>2125</v>
      </c>
      <c r="F578" t="s">
        <v>2336</v>
      </c>
      <c r="G578" t="s">
        <v>106</v>
      </c>
      <c r="H578" t="s">
        <v>2127</v>
      </c>
    </row>
    <row r="579" spans="1:8">
      <c r="A579" t="s">
        <v>3618</v>
      </c>
      <c r="B579" t="s">
        <v>2335</v>
      </c>
      <c r="C579" s="9">
        <v>2020</v>
      </c>
      <c r="D579" t="s">
        <v>3382</v>
      </c>
      <c r="E579" t="s">
        <v>106</v>
      </c>
      <c r="F579" t="s">
        <v>3619</v>
      </c>
      <c r="G579" t="s">
        <v>106</v>
      </c>
      <c r="H579" t="s">
        <v>3007</v>
      </c>
    </row>
    <row r="580" spans="1:8">
      <c r="A580" t="s">
        <v>827</v>
      </c>
      <c r="B580" t="s">
        <v>2337</v>
      </c>
      <c r="C580" s="9">
        <v>2008</v>
      </c>
      <c r="D580" t="s">
        <v>2338</v>
      </c>
      <c r="E580" t="s">
        <v>2125</v>
      </c>
      <c r="F580" t="s">
        <v>106</v>
      </c>
      <c r="G580" s="7" t="s">
        <v>2339</v>
      </c>
      <c r="H580" t="s">
        <v>2127</v>
      </c>
    </row>
    <row r="581" spans="1:8">
      <c r="A581" t="s">
        <v>1153</v>
      </c>
      <c r="B581" t="s">
        <v>2422</v>
      </c>
      <c r="C581" s="9">
        <v>2009</v>
      </c>
      <c r="D581" t="s">
        <v>2124</v>
      </c>
      <c r="E581" t="s">
        <v>2125</v>
      </c>
      <c r="F581" t="s">
        <v>2423</v>
      </c>
      <c r="G581" t="s">
        <v>106</v>
      </c>
      <c r="H581" t="s">
        <v>2127</v>
      </c>
    </row>
    <row r="582" spans="1:8">
      <c r="A582" t="s">
        <v>697</v>
      </c>
      <c r="B582" t="s">
        <v>3556</v>
      </c>
      <c r="C582" s="9">
        <v>2023</v>
      </c>
      <c r="D582" t="s">
        <v>3557</v>
      </c>
      <c r="E582" t="s">
        <v>106</v>
      </c>
      <c r="F582" t="s">
        <v>3558</v>
      </c>
      <c r="G582" t="s">
        <v>106</v>
      </c>
      <c r="H582" t="s">
        <v>3007</v>
      </c>
    </row>
    <row r="583" spans="1:8">
      <c r="A583" t="s">
        <v>1108</v>
      </c>
      <c r="B583" t="s">
        <v>3718</v>
      </c>
      <c r="C583" s="9">
        <v>2023</v>
      </c>
      <c r="D583" t="s">
        <v>3719</v>
      </c>
      <c r="E583" t="s">
        <v>106</v>
      </c>
      <c r="F583" t="s">
        <v>3720</v>
      </c>
      <c r="G583" t="s">
        <v>106</v>
      </c>
      <c r="H583" t="s">
        <v>3007</v>
      </c>
    </row>
    <row r="584" spans="1:8">
      <c r="A584" t="s">
        <v>2648</v>
      </c>
      <c r="B584" t="s">
        <v>2649</v>
      </c>
      <c r="C584" s="9">
        <v>2006</v>
      </c>
      <c r="D584" t="s">
        <v>2129</v>
      </c>
      <c r="E584" t="s">
        <v>2125</v>
      </c>
      <c r="F584" t="s">
        <v>2650</v>
      </c>
      <c r="G584" t="s">
        <v>106</v>
      </c>
      <c r="H584" t="s">
        <v>2127</v>
      </c>
    </row>
    <row r="585" spans="1:8">
      <c r="A585" t="s">
        <v>1466</v>
      </c>
      <c r="B585" t="s">
        <v>2649</v>
      </c>
      <c r="C585" s="9">
        <v>2006</v>
      </c>
      <c r="D585" t="s">
        <v>2129</v>
      </c>
      <c r="E585" t="s">
        <v>2125</v>
      </c>
      <c r="F585" t="s">
        <v>2651</v>
      </c>
      <c r="G585" t="s">
        <v>106</v>
      </c>
      <c r="H585" t="s">
        <v>2127</v>
      </c>
    </row>
    <row r="586" spans="1:8">
      <c r="A586" t="s">
        <v>2725</v>
      </c>
      <c r="B586" t="s">
        <v>2726</v>
      </c>
      <c r="C586" s="9">
        <v>1999</v>
      </c>
      <c r="D586" t="s">
        <v>2124</v>
      </c>
      <c r="E586" t="s">
        <v>2125</v>
      </c>
      <c r="F586" t="s">
        <v>2727</v>
      </c>
      <c r="G586" t="s">
        <v>106</v>
      </c>
      <c r="H586" t="s">
        <v>2127</v>
      </c>
    </row>
    <row r="587" spans="1:8">
      <c r="A587" t="s">
        <v>1573</v>
      </c>
      <c r="B587" t="s">
        <v>2726</v>
      </c>
      <c r="C587" s="9">
        <v>2000</v>
      </c>
      <c r="D587" t="s">
        <v>2124</v>
      </c>
      <c r="E587" t="s">
        <v>2125</v>
      </c>
      <c r="F587" t="s">
        <v>2728</v>
      </c>
      <c r="G587" t="s">
        <v>106</v>
      </c>
      <c r="H587" t="s">
        <v>2127</v>
      </c>
    </row>
    <row r="588" spans="1:8">
      <c r="A588" t="s">
        <v>2596</v>
      </c>
      <c r="B588" t="s">
        <v>2597</v>
      </c>
      <c r="C588" s="9">
        <v>2016</v>
      </c>
      <c r="D588" t="s">
        <v>2598</v>
      </c>
      <c r="E588" t="s">
        <v>2125</v>
      </c>
      <c r="F588" t="s">
        <v>2599</v>
      </c>
      <c r="G588" t="s">
        <v>106</v>
      </c>
      <c r="H588" t="s">
        <v>2127</v>
      </c>
    </row>
    <row r="589" spans="1:8">
      <c r="A589" t="s">
        <v>3401</v>
      </c>
      <c r="B589" t="s">
        <v>3402</v>
      </c>
      <c r="C589" s="9">
        <v>2023</v>
      </c>
      <c r="D589" t="s">
        <v>3033</v>
      </c>
      <c r="E589" t="s">
        <v>106</v>
      </c>
      <c r="F589" t="s">
        <v>3403</v>
      </c>
      <c r="G589" t="s">
        <v>106</v>
      </c>
      <c r="H589" t="s">
        <v>3007</v>
      </c>
    </row>
    <row r="590" spans="1:8">
      <c r="A590" t="s">
        <v>1499</v>
      </c>
      <c r="B590" t="s">
        <v>2701</v>
      </c>
      <c r="C590" s="9">
        <v>2000</v>
      </c>
      <c r="D590" t="s">
        <v>2172</v>
      </c>
      <c r="E590" t="s">
        <v>2125</v>
      </c>
      <c r="F590" t="s">
        <v>2702</v>
      </c>
      <c r="G590" t="s">
        <v>106</v>
      </c>
      <c r="H590" t="s">
        <v>2127</v>
      </c>
    </row>
    <row r="591" spans="1:8">
      <c r="A591" t="s">
        <v>1500</v>
      </c>
      <c r="B591" t="s">
        <v>2701</v>
      </c>
      <c r="C591" s="9">
        <v>2000</v>
      </c>
      <c r="D591" t="s">
        <v>2172</v>
      </c>
      <c r="E591" t="s">
        <v>2125</v>
      </c>
      <c r="F591" t="s">
        <v>2703</v>
      </c>
      <c r="G591" t="s">
        <v>106</v>
      </c>
      <c r="H591" t="s">
        <v>2127</v>
      </c>
    </row>
    <row r="592" spans="1:8">
      <c r="A592" t="s">
        <v>2704</v>
      </c>
      <c r="B592" t="s">
        <v>2701</v>
      </c>
      <c r="C592" s="9">
        <v>2000</v>
      </c>
      <c r="D592" t="s">
        <v>2172</v>
      </c>
      <c r="E592" t="s">
        <v>2125</v>
      </c>
      <c r="F592" t="s">
        <v>2703</v>
      </c>
      <c r="G592" t="s">
        <v>106</v>
      </c>
      <c r="H592" t="s">
        <v>2127</v>
      </c>
    </row>
    <row r="593" spans="1:8">
      <c r="A593" t="s">
        <v>2502</v>
      </c>
      <c r="B593" t="s">
        <v>2503</v>
      </c>
      <c r="C593" s="9">
        <v>1999</v>
      </c>
      <c r="D593" t="s">
        <v>2308</v>
      </c>
      <c r="E593" t="s">
        <v>2125</v>
      </c>
      <c r="F593" t="s">
        <v>2504</v>
      </c>
      <c r="G593" t="s">
        <v>106</v>
      </c>
      <c r="H593" t="s">
        <v>2127</v>
      </c>
    </row>
    <row r="594" spans="1:8">
      <c r="A594" t="s">
        <v>2505</v>
      </c>
      <c r="B594" t="s">
        <v>2503</v>
      </c>
      <c r="C594" s="9">
        <v>1999</v>
      </c>
      <c r="D594" t="s">
        <v>2308</v>
      </c>
      <c r="E594" t="s">
        <v>2125</v>
      </c>
      <c r="F594" t="s">
        <v>2504</v>
      </c>
      <c r="G594" t="s">
        <v>106</v>
      </c>
      <c r="H594" t="s">
        <v>2127</v>
      </c>
    </row>
    <row r="595" spans="1:8">
      <c r="A595" t="s">
        <v>2424</v>
      </c>
      <c r="B595" t="s">
        <v>2425</v>
      </c>
      <c r="C595" s="9">
        <v>2007</v>
      </c>
      <c r="D595" t="s">
        <v>2160</v>
      </c>
      <c r="E595" t="s">
        <v>2125</v>
      </c>
      <c r="F595" t="s">
        <v>106</v>
      </c>
      <c r="G595" t="s">
        <v>2426</v>
      </c>
      <c r="H595" t="s">
        <v>2127</v>
      </c>
    </row>
    <row r="596" spans="1:8">
      <c r="A596" t="s">
        <v>1140</v>
      </c>
      <c r="B596" t="s">
        <v>3779</v>
      </c>
      <c r="C596" s="9">
        <v>2021</v>
      </c>
      <c r="D596" t="s">
        <v>3780</v>
      </c>
      <c r="E596" t="s">
        <v>106</v>
      </c>
      <c r="F596" t="s">
        <v>3781</v>
      </c>
      <c r="G596" t="s">
        <v>106</v>
      </c>
      <c r="H596" t="s">
        <v>3007</v>
      </c>
    </row>
    <row r="597" spans="1:8">
      <c r="A597" t="s">
        <v>3181</v>
      </c>
      <c r="B597" t="s">
        <v>3182</v>
      </c>
      <c r="C597" s="9">
        <v>2022</v>
      </c>
      <c r="D597" t="s">
        <v>2248</v>
      </c>
      <c r="E597" t="s">
        <v>106</v>
      </c>
      <c r="F597" t="s">
        <v>3183</v>
      </c>
      <c r="G597" t="s">
        <v>106</v>
      </c>
      <c r="H597" t="s">
        <v>3007</v>
      </c>
    </row>
    <row r="598" spans="1:8">
      <c r="A598" t="s">
        <v>3687</v>
      </c>
      <c r="B598" t="s">
        <v>3688</v>
      </c>
      <c r="C598" s="9">
        <v>2023</v>
      </c>
      <c r="D598" t="s">
        <v>3689</v>
      </c>
      <c r="E598" t="s">
        <v>106</v>
      </c>
      <c r="F598" t="s">
        <v>3690</v>
      </c>
      <c r="G598" t="s">
        <v>106</v>
      </c>
      <c r="H598" t="s">
        <v>3007</v>
      </c>
    </row>
    <row r="599" spans="1:8">
      <c r="A599" t="s">
        <v>2528</v>
      </c>
      <c r="B599" t="s">
        <v>2529</v>
      </c>
      <c r="C599" s="9">
        <v>1977</v>
      </c>
      <c r="D599" t="s">
        <v>2124</v>
      </c>
      <c r="E599" t="s">
        <v>2125</v>
      </c>
      <c r="F599" t="s">
        <v>2530</v>
      </c>
      <c r="G599" t="s">
        <v>106</v>
      </c>
      <c r="H599" t="s">
        <v>2127</v>
      </c>
    </row>
    <row r="600" spans="1:8">
      <c r="A600" t="s">
        <v>2445</v>
      </c>
      <c r="B600" t="s">
        <v>2446</v>
      </c>
      <c r="C600" s="9">
        <v>1999</v>
      </c>
      <c r="D600" t="s">
        <v>2124</v>
      </c>
      <c r="E600" t="s">
        <v>2125</v>
      </c>
      <c r="F600" t="s">
        <v>2447</v>
      </c>
      <c r="G600" t="s">
        <v>106</v>
      </c>
      <c r="H600" t="s">
        <v>2127</v>
      </c>
    </row>
    <row r="601" spans="1:8">
      <c r="A601" t="s">
        <v>2448</v>
      </c>
      <c r="B601" t="s">
        <v>2446</v>
      </c>
      <c r="C601" s="9">
        <v>1999</v>
      </c>
      <c r="D601" t="s">
        <v>2124</v>
      </c>
      <c r="E601" t="s">
        <v>2125</v>
      </c>
      <c r="F601" t="s">
        <v>2447</v>
      </c>
      <c r="G601" t="s">
        <v>106</v>
      </c>
      <c r="H601" t="s">
        <v>2127</v>
      </c>
    </row>
    <row r="602" spans="1:8">
      <c r="A602" t="s">
        <v>213</v>
      </c>
      <c r="B602" t="s">
        <v>3197</v>
      </c>
      <c r="C602" s="9">
        <v>2022</v>
      </c>
      <c r="D602" t="s">
        <v>3108</v>
      </c>
      <c r="E602" t="s">
        <v>106</v>
      </c>
      <c r="F602" t="s">
        <v>3198</v>
      </c>
      <c r="G602" t="s">
        <v>106</v>
      </c>
      <c r="H602" t="s">
        <v>3007</v>
      </c>
    </row>
    <row r="603" spans="1:8">
      <c r="A603" t="s">
        <v>1223</v>
      </c>
      <c r="B603" t="s">
        <v>2506</v>
      </c>
      <c r="C603" s="9">
        <v>2005</v>
      </c>
      <c r="D603" t="s">
        <v>2180</v>
      </c>
      <c r="E603" t="s">
        <v>2125</v>
      </c>
      <c r="F603" t="s">
        <v>2507</v>
      </c>
      <c r="G603" t="s">
        <v>106</v>
      </c>
      <c r="H603" t="s">
        <v>2127</v>
      </c>
    </row>
    <row r="604" spans="1:8">
      <c r="A604" t="s">
        <v>1225</v>
      </c>
      <c r="B604" t="s">
        <v>2506</v>
      </c>
      <c r="C604" s="9">
        <v>2007</v>
      </c>
      <c r="D604" t="s">
        <v>2129</v>
      </c>
      <c r="E604" t="s">
        <v>2125</v>
      </c>
      <c r="F604" t="s">
        <v>2508</v>
      </c>
      <c r="G604" t="s">
        <v>106</v>
      </c>
      <c r="H604" t="s">
        <v>2127</v>
      </c>
    </row>
    <row r="605" spans="1:8">
      <c r="A605" t="s">
        <v>349</v>
      </c>
      <c r="B605" t="s">
        <v>3291</v>
      </c>
      <c r="C605" s="9">
        <v>2022</v>
      </c>
      <c r="D605" t="s">
        <v>2160</v>
      </c>
      <c r="E605" t="s">
        <v>106</v>
      </c>
      <c r="F605" t="s">
        <v>3292</v>
      </c>
      <c r="G605" t="s">
        <v>106</v>
      </c>
      <c r="H605" t="s">
        <v>3007</v>
      </c>
    </row>
    <row r="606" spans="1:8">
      <c r="A606" t="s">
        <v>1083</v>
      </c>
      <c r="B606" t="s">
        <v>3684</v>
      </c>
      <c r="C606" s="9">
        <v>2021</v>
      </c>
      <c r="D606" t="s">
        <v>3685</v>
      </c>
      <c r="E606" t="s">
        <v>106</v>
      </c>
      <c r="F606" t="s">
        <v>3686</v>
      </c>
      <c r="G606" t="s">
        <v>106</v>
      </c>
      <c r="H606" t="s">
        <v>3007</v>
      </c>
    </row>
    <row r="607" spans="1:8">
      <c r="A607" t="s">
        <v>1229</v>
      </c>
      <c r="B607" t="s">
        <v>2509</v>
      </c>
      <c r="C607" s="9">
        <v>2011</v>
      </c>
      <c r="D607" t="s">
        <v>2124</v>
      </c>
      <c r="E607" t="s">
        <v>2125</v>
      </c>
      <c r="F607" t="s">
        <v>2510</v>
      </c>
      <c r="G607" t="s">
        <v>106</v>
      </c>
      <c r="H607" t="s">
        <v>2127</v>
      </c>
    </row>
    <row r="608" spans="1:8">
      <c r="A608" t="s">
        <v>1240</v>
      </c>
      <c r="B608" t="s">
        <v>2509</v>
      </c>
      <c r="C608" s="9">
        <v>2011</v>
      </c>
      <c r="D608" t="s">
        <v>2252</v>
      </c>
      <c r="E608" t="s">
        <v>2125</v>
      </c>
      <c r="F608" t="s">
        <v>2511</v>
      </c>
      <c r="G608" t="s">
        <v>106</v>
      </c>
      <c r="H608" t="s">
        <v>2127</v>
      </c>
    </row>
    <row r="609" spans="1:8">
      <c r="A609" t="s">
        <v>477</v>
      </c>
      <c r="B609" t="s">
        <v>3067</v>
      </c>
      <c r="C609" s="9">
        <v>2021</v>
      </c>
      <c r="D609" t="s">
        <v>3068</v>
      </c>
      <c r="E609" t="s">
        <v>106</v>
      </c>
      <c r="F609" t="s">
        <v>3069</v>
      </c>
      <c r="G609" t="s">
        <v>106</v>
      </c>
      <c r="H609" t="s">
        <v>3007</v>
      </c>
    </row>
    <row r="610" spans="1:8">
      <c r="A610" t="s">
        <v>3709</v>
      </c>
      <c r="B610" t="s">
        <v>3710</v>
      </c>
      <c r="C610" s="9">
        <v>2021</v>
      </c>
      <c r="D610" t="s">
        <v>3711</v>
      </c>
      <c r="E610" t="s">
        <v>106</v>
      </c>
      <c r="F610" t="s">
        <v>3712</v>
      </c>
      <c r="G610" t="s">
        <v>106</v>
      </c>
      <c r="H610" t="s">
        <v>3007</v>
      </c>
    </row>
    <row r="611" spans="1:8">
      <c r="A611" t="s">
        <v>1697</v>
      </c>
      <c r="B611" t="s">
        <v>2812</v>
      </c>
      <c r="C611" s="9">
        <v>2010</v>
      </c>
      <c r="D611" t="s">
        <v>2155</v>
      </c>
      <c r="E611" t="s">
        <v>2125</v>
      </c>
      <c r="F611" t="s">
        <v>2813</v>
      </c>
      <c r="G611" t="s">
        <v>106</v>
      </c>
      <c r="H611" t="s">
        <v>2127</v>
      </c>
    </row>
    <row r="612" spans="1:8">
      <c r="A612" t="s">
        <v>1693</v>
      </c>
      <c r="B612" t="s">
        <v>2128</v>
      </c>
      <c r="C612" s="9">
        <v>2005</v>
      </c>
      <c r="D612" t="s">
        <v>2129</v>
      </c>
      <c r="E612" t="s">
        <v>2125</v>
      </c>
      <c r="F612" t="s">
        <v>2130</v>
      </c>
      <c r="G612" t="s">
        <v>106</v>
      </c>
      <c r="H612" t="s">
        <v>2127</v>
      </c>
    </row>
    <row r="613" spans="1:8">
      <c r="A613" t="s">
        <v>2131</v>
      </c>
      <c r="B613" t="s">
        <v>2128</v>
      </c>
      <c r="C613" s="9">
        <v>2008</v>
      </c>
      <c r="D613" t="s">
        <v>2132</v>
      </c>
      <c r="E613" t="s">
        <v>2125</v>
      </c>
      <c r="F613" t="s">
        <v>2133</v>
      </c>
      <c r="G613" t="s">
        <v>106</v>
      </c>
      <c r="H613" t="s">
        <v>2127</v>
      </c>
    </row>
    <row r="614" spans="1:8">
      <c r="A614" t="s">
        <v>2217</v>
      </c>
      <c r="B614" t="s">
        <v>2218</v>
      </c>
      <c r="C614" s="9">
        <v>2016</v>
      </c>
      <c r="D614" t="s">
        <v>2219</v>
      </c>
      <c r="E614" t="s">
        <v>2165</v>
      </c>
      <c r="F614" t="s">
        <v>106</v>
      </c>
      <c r="G614" t="s">
        <v>2220</v>
      </c>
      <c r="H614" t="s">
        <v>2127</v>
      </c>
    </row>
    <row r="615" spans="1:8">
      <c r="A615" t="s">
        <v>3261</v>
      </c>
      <c r="B615" t="s">
        <v>3262</v>
      </c>
      <c r="C615" s="9">
        <v>2024</v>
      </c>
      <c r="D615" t="s">
        <v>3078</v>
      </c>
      <c r="E615" t="s">
        <v>106</v>
      </c>
      <c r="F615" t="s">
        <v>3263</v>
      </c>
      <c r="G615" t="s">
        <v>106</v>
      </c>
      <c r="H615" t="s">
        <v>3007</v>
      </c>
    </row>
    <row r="616" spans="1:8">
      <c r="A616" t="s">
        <v>1616</v>
      </c>
      <c r="B616" t="s">
        <v>2766</v>
      </c>
      <c r="C616" s="9">
        <v>2014</v>
      </c>
      <c r="D616" t="s">
        <v>2341</v>
      </c>
      <c r="E616" t="s">
        <v>2125</v>
      </c>
      <c r="F616" t="s">
        <v>2767</v>
      </c>
      <c r="G616" t="s">
        <v>106</v>
      </c>
      <c r="H616" t="s">
        <v>2127</v>
      </c>
    </row>
    <row r="617" spans="1:8">
      <c r="A617" t="s">
        <v>1688</v>
      </c>
      <c r="B617" t="s">
        <v>2808</v>
      </c>
      <c r="C617" s="9">
        <v>2003</v>
      </c>
      <c r="D617" t="s">
        <v>2124</v>
      </c>
      <c r="E617" t="s">
        <v>2125</v>
      </c>
      <c r="F617" t="s">
        <v>2809</v>
      </c>
      <c r="G617" t="s">
        <v>106</v>
      </c>
      <c r="H617" t="s">
        <v>2127</v>
      </c>
    </row>
    <row r="618" spans="1:8">
      <c r="A618" t="s">
        <v>320</v>
      </c>
      <c r="B618" t="s">
        <v>3258</v>
      </c>
      <c r="C618" s="9">
        <v>2021</v>
      </c>
      <c r="D618" t="s">
        <v>3259</v>
      </c>
      <c r="E618" t="s">
        <v>106</v>
      </c>
      <c r="F618" t="s">
        <v>3260</v>
      </c>
      <c r="G618" t="s">
        <v>106</v>
      </c>
      <c r="H618" t="s">
        <v>3007</v>
      </c>
    </row>
    <row r="619" spans="1:8">
      <c r="A619" t="s">
        <v>1159</v>
      </c>
      <c r="B619" t="s">
        <v>2427</v>
      </c>
      <c r="C619" s="9">
        <v>2008</v>
      </c>
      <c r="D619" t="s">
        <v>2252</v>
      </c>
      <c r="E619" t="s">
        <v>2125</v>
      </c>
      <c r="F619" t="s">
        <v>2428</v>
      </c>
      <c r="G619" t="s">
        <v>106</v>
      </c>
      <c r="H619" t="s">
        <v>2127</v>
      </c>
    </row>
    <row r="620" spans="1:8">
      <c r="A620" t="s">
        <v>1586</v>
      </c>
      <c r="B620" t="s">
        <v>2427</v>
      </c>
      <c r="C620" s="9">
        <v>2013</v>
      </c>
      <c r="D620" t="s">
        <v>2124</v>
      </c>
      <c r="E620" t="s">
        <v>2125</v>
      </c>
      <c r="F620" t="s">
        <v>2734</v>
      </c>
      <c r="G620" t="s">
        <v>106</v>
      </c>
      <c r="H620" t="s">
        <v>2127</v>
      </c>
    </row>
    <row r="621" spans="1:8">
      <c r="A621" t="s">
        <v>1248</v>
      </c>
      <c r="B621" t="s">
        <v>2512</v>
      </c>
      <c r="C621" s="9">
        <v>1990</v>
      </c>
      <c r="D621" t="s">
        <v>2132</v>
      </c>
      <c r="E621" t="s">
        <v>2125</v>
      </c>
      <c r="F621" t="s">
        <v>2513</v>
      </c>
      <c r="G621" t="s">
        <v>106</v>
      </c>
      <c r="H621" t="s">
        <v>2127</v>
      </c>
    </row>
    <row r="622" spans="1:8">
      <c r="A622" t="s">
        <v>1252</v>
      </c>
      <c r="B622" t="s">
        <v>2512</v>
      </c>
      <c r="C622" s="9">
        <v>1992</v>
      </c>
      <c r="D622" t="s">
        <v>2129</v>
      </c>
      <c r="E622" t="s">
        <v>2125</v>
      </c>
      <c r="F622" t="s">
        <v>2514</v>
      </c>
      <c r="G622" t="s">
        <v>106</v>
      </c>
      <c r="H622" t="s">
        <v>2127</v>
      </c>
    </row>
    <row r="623" spans="1:8">
      <c r="A623" t="s">
        <v>1257</v>
      </c>
      <c r="B623" t="s">
        <v>2512</v>
      </c>
      <c r="C623" s="9">
        <v>1992</v>
      </c>
      <c r="D623" t="s">
        <v>2129</v>
      </c>
      <c r="E623" t="s">
        <v>2125</v>
      </c>
      <c r="F623" t="s">
        <v>2514</v>
      </c>
      <c r="G623" t="s">
        <v>106</v>
      </c>
      <c r="H623" t="s">
        <v>2127</v>
      </c>
    </row>
    <row r="624" spans="1:8">
      <c r="A624" t="s">
        <v>1258</v>
      </c>
      <c r="B624" t="s">
        <v>2512</v>
      </c>
      <c r="C624" s="9">
        <v>2002</v>
      </c>
      <c r="D624" t="s">
        <v>2180</v>
      </c>
      <c r="E624" t="s">
        <v>2125</v>
      </c>
      <c r="F624" t="s">
        <v>106</v>
      </c>
      <c r="G624" s="7" t="s">
        <v>2515</v>
      </c>
      <c r="H624" t="s">
        <v>2127</v>
      </c>
    </row>
    <row r="625" spans="1:8">
      <c r="A625" t="s">
        <v>256</v>
      </c>
      <c r="B625" t="s">
        <v>3218</v>
      </c>
      <c r="C625" s="9">
        <v>2023</v>
      </c>
      <c r="D625" t="s">
        <v>3219</v>
      </c>
      <c r="E625" t="s">
        <v>106</v>
      </c>
      <c r="F625" t="s">
        <v>3220</v>
      </c>
      <c r="G625" t="s">
        <v>106</v>
      </c>
      <c r="H625" t="s">
        <v>3007</v>
      </c>
    </row>
    <row r="626" spans="1:8">
      <c r="A626" t="s">
        <v>1574</v>
      </c>
      <c r="B626" t="s">
        <v>2729</v>
      </c>
      <c r="C626" s="9">
        <v>1998</v>
      </c>
      <c r="D626" t="s">
        <v>2129</v>
      </c>
      <c r="E626" t="s">
        <v>2125</v>
      </c>
      <c r="F626" t="s">
        <v>2730</v>
      </c>
      <c r="G626" t="s">
        <v>106</v>
      </c>
      <c r="H626" t="s">
        <v>2127</v>
      </c>
    </row>
    <row r="627" spans="1:8">
      <c r="A627" t="s">
        <v>3550</v>
      </c>
      <c r="B627" t="s">
        <v>3551</v>
      </c>
      <c r="C627" s="9">
        <v>2021</v>
      </c>
      <c r="D627" t="s">
        <v>3552</v>
      </c>
      <c r="E627" t="s">
        <v>106</v>
      </c>
      <c r="F627" t="s">
        <v>3553</v>
      </c>
      <c r="G627" t="s">
        <v>106</v>
      </c>
      <c r="H627" t="s">
        <v>3007</v>
      </c>
    </row>
    <row r="628" spans="1:8">
      <c r="A628" t="s">
        <v>742</v>
      </c>
      <c r="B628" t="s">
        <v>3551</v>
      </c>
      <c r="C628" s="9">
        <v>2023</v>
      </c>
      <c r="D628" t="s">
        <v>3112</v>
      </c>
      <c r="E628" t="s">
        <v>106</v>
      </c>
      <c r="F628" t="s">
        <v>3615</v>
      </c>
      <c r="G628" t="s">
        <v>106</v>
      </c>
      <c r="H628" t="s">
        <v>3007</v>
      </c>
    </row>
    <row r="629" spans="1:8">
      <c r="A629" t="s">
        <v>1617</v>
      </c>
      <c r="B629" t="s">
        <v>2768</v>
      </c>
      <c r="C629" s="9">
        <v>2015</v>
      </c>
      <c r="D629" t="s">
        <v>2252</v>
      </c>
      <c r="E629" t="s">
        <v>2125</v>
      </c>
      <c r="F629" t="s">
        <v>2769</v>
      </c>
      <c r="G629" t="s">
        <v>106</v>
      </c>
      <c r="H629" t="s">
        <v>2127</v>
      </c>
    </row>
    <row r="630" spans="1:8">
      <c r="A630" t="s">
        <v>1618</v>
      </c>
      <c r="B630" t="s">
        <v>2770</v>
      </c>
      <c r="C630" s="9">
        <v>2016</v>
      </c>
      <c r="D630" t="s">
        <v>2124</v>
      </c>
      <c r="E630" t="s">
        <v>2125</v>
      </c>
      <c r="F630" t="s">
        <v>2771</v>
      </c>
      <c r="G630" t="s">
        <v>106</v>
      </c>
      <c r="H630" t="s">
        <v>2127</v>
      </c>
    </row>
    <row r="631" spans="1:8">
      <c r="A631" t="s">
        <v>2609</v>
      </c>
      <c r="B631" t="s">
        <v>2610</v>
      </c>
      <c r="C631" s="9">
        <v>2016</v>
      </c>
      <c r="D631" t="s">
        <v>2124</v>
      </c>
      <c r="E631" t="s">
        <v>2125</v>
      </c>
      <c r="F631" t="s">
        <v>2611</v>
      </c>
      <c r="G631" t="s">
        <v>106</v>
      </c>
      <c r="H631" t="s">
        <v>2127</v>
      </c>
    </row>
    <row r="632" spans="1:8">
      <c r="A632" t="s">
        <v>3110</v>
      </c>
      <c r="B632" t="s">
        <v>3111</v>
      </c>
      <c r="C632" s="9">
        <v>2022</v>
      </c>
      <c r="D632" t="s">
        <v>3112</v>
      </c>
      <c r="E632" t="s">
        <v>106</v>
      </c>
      <c r="F632" t="s">
        <v>106</v>
      </c>
      <c r="G632" t="s">
        <v>3113</v>
      </c>
      <c r="H632" t="s">
        <v>3007</v>
      </c>
    </row>
    <row r="633" spans="1:8">
      <c r="A633" t="s">
        <v>3221</v>
      </c>
      <c r="B633" t="s">
        <v>3111</v>
      </c>
      <c r="C633" s="9">
        <v>2018</v>
      </c>
      <c r="D633" t="s">
        <v>3043</v>
      </c>
      <c r="E633" t="s">
        <v>106</v>
      </c>
      <c r="F633" t="s">
        <v>3222</v>
      </c>
      <c r="G633" t="s">
        <v>106</v>
      </c>
      <c r="H633" t="s">
        <v>3007</v>
      </c>
    </row>
    <row r="634" spans="1:8">
      <c r="A634" t="s">
        <v>3387</v>
      </c>
      <c r="B634" t="s">
        <v>3388</v>
      </c>
      <c r="C634" s="9">
        <v>2018</v>
      </c>
      <c r="D634" t="s">
        <v>3389</v>
      </c>
      <c r="E634" t="s">
        <v>106</v>
      </c>
      <c r="F634" t="s">
        <v>3390</v>
      </c>
      <c r="G634" t="s">
        <v>106</v>
      </c>
      <c r="H634" t="s">
        <v>3007</v>
      </c>
    </row>
    <row r="635" spans="1:8">
      <c r="A635" t="s">
        <v>314</v>
      </c>
      <c r="B635" t="s">
        <v>3257</v>
      </c>
      <c r="C635" s="9">
        <v>2023</v>
      </c>
      <c r="D635" t="s">
        <v>3043</v>
      </c>
      <c r="E635" t="s">
        <v>106</v>
      </c>
      <c r="F635" t="s">
        <v>4960</v>
      </c>
      <c r="G635" t="s">
        <v>106</v>
      </c>
      <c r="H635" t="s">
        <v>3007</v>
      </c>
    </row>
    <row r="636" spans="1:8">
      <c r="A636" t="s">
        <v>1610</v>
      </c>
      <c r="B636" t="s">
        <v>2747</v>
      </c>
      <c r="C636" s="9">
        <v>2016</v>
      </c>
      <c r="D636" t="s">
        <v>2132</v>
      </c>
      <c r="E636" t="s">
        <v>2125</v>
      </c>
      <c r="F636" t="s">
        <v>2748</v>
      </c>
      <c r="G636" t="s">
        <v>106</v>
      </c>
      <c r="H636" t="s">
        <v>2127</v>
      </c>
    </row>
    <row r="637" spans="1:8">
      <c r="A637" t="s">
        <v>1263</v>
      </c>
      <c r="B637" s="41" t="s">
        <v>2516</v>
      </c>
      <c r="C637" s="40">
        <v>1997</v>
      </c>
      <c r="D637" s="41" t="s">
        <v>2351</v>
      </c>
      <c r="E637" t="s">
        <v>2125</v>
      </c>
      <c r="F637" t="s">
        <v>106</v>
      </c>
      <c r="G637" t="s">
        <v>2517</v>
      </c>
      <c r="H637" t="s">
        <v>2127</v>
      </c>
    </row>
    <row r="638" spans="1:8">
      <c r="A638" t="s">
        <v>3286</v>
      </c>
      <c r="B638" t="s">
        <v>3287</v>
      </c>
      <c r="C638" s="9">
        <v>2021</v>
      </c>
      <c r="D638" t="s">
        <v>3027</v>
      </c>
      <c r="E638" t="s">
        <v>106</v>
      </c>
      <c r="F638" t="s">
        <v>3288</v>
      </c>
      <c r="G638" t="s">
        <v>106</v>
      </c>
      <c r="H638" t="s">
        <v>3007</v>
      </c>
    </row>
    <row r="639" spans="1:8">
      <c r="A639" t="s">
        <v>2518</v>
      </c>
      <c r="B639" t="s">
        <v>2519</v>
      </c>
      <c r="C639" s="9">
        <v>2003</v>
      </c>
      <c r="D639" t="s">
        <v>2180</v>
      </c>
      <c r="E639" t="s">
        <v>2125</v>
      </c>
      <c r="F639" t="s">
        <v>2520</v>
      </c>
      <c r="G639" t="s">
        <v>106</v>
      </c>
      <c r="H639" t="s">
        <v>2127</v>
      </c>
    </row>
    <row r="640" spans="1:8">
      <c r="A640" t="s">
        <v>1269</v>
      </c>
      <c r="B640" t="s">
        <v>2519</v>
      </c>
      <c r="C640" s="9">
        <v>2003</v>
      </c>
      <c r="D640" t="s">
        <v>2132</v>
      </c>
      <c r="E640" t="s">
        <v>2125</v>
      </c>
      <c r="F640" t="s">
        <v>2521</v>
      </c>
      <c r="G640" t="s">
        <v>106</v>
      </c>
      <c r="H640" t="s">
        <v>2127</v>
      </c>
    </row>
    <row r="641" spans="1:10">
      <c r="A641" t="s">
        <v>1275</v>
      </c>
      <c r="B641" t="s">
        <v>2519</v>
      </c>
      <c r="C641" s="9">
        <v>2003</v>
      </c>
      <c r="D641" t="s">
        <v>2132</v>
      </c>
      <c r="E641" t="s">
        <v>2125</v>
      </c>
      <c r="F641" t="s">
        <v>2521</v>
      </c>
      <c r="G641" t="s">
        <v>106</v>
      </c>
      <c r="H641" t="s">
        <v>2127</v>
      </c>
    </row>
    <row r="642" spans="1:10">
      <c r="A642" t="s">
        <v>2456</v>
      </c>
      <c r="B642" t="s">
        <v>2457</v>
      </c>
      <c r="C642" s="9">
        <v>2001</v>
      </c>
      <c r="D642" t="s">
        <v>2124</v>
      </c>
      <c r="E642" t="s">
        <v>2125</v>
      </c>
      <c r="F642" t="s">
        <v>2458</v>
      </c>
      <c r="G642" t="s">
        <v>106</v>
      </c>
      <c r="H642" t="s">
        <v>2127</v>
      </c>
      <c r="J642" s="9"/>
    </row>
    <row r="643" spans="1:10">
      <c r="A643" t="s">
        <v>619</v>
      </c>
      <c r="B643" t="s">
        <v>3462</v>
      </c>
      <c r="C643" s="9">
        <v>2022</v>
      </c>
      <c r="D643" t="s">
        <v>3349</v>
      </c>
      <c r="E643" t="s">
        <v>106</v>
      </c>
      <c r="F643" t="s">
        <v>3463</v>
      </c>
      <c r="G643" t="s">
        <v>106</v>
      </c>
      <c r="H643" t="s">
        <v>3007</v>
      </c>
    </row>
    <row r="644" spans="1:10">
      <c r="A644" t="s">
        <v>395</v>
      </c>
      <c r="B644" t="s">
        <v>3337</v>
      </c>
      <c r="C644" s="9">
        <v>2021</v>
      </c>
      <c r="D644" t="s">
        <v>3164</v>
      </c>
      <c r="E644" t="s">
        <v>106</v>
      </c>
      <c r="F644" t="s">
        <v>3338</v>
      </c>
      <c r="G644" t="s">
        <v>106</v>
      </c>
      <c r="H644" t="s">
        <v>3007</v>
      </c>
      <c r="J644" s="9"/>
    </row>
    <row r="645" spans="1:10">
      <c r="A645" t="s">
        <v>3114</v>
      </c>
      <c r="B645" t="s">
        <v>3115</v>
      </c>
      <c r="C645" s="9">
        <v>2021</v>
      </c>
      <c r="D645" t="s">
        <v>3116</v>
      </c>
      <c r="E645" t="s">
        <v>106</v>
      </c>
      <c r="F645" t="s">
        <v>3117</v>
      </c>
      <c r="G645" t="s">
        <v>106</v>
      </c>
      <c r="H645" t="s">
        <v>3007</v>
      </c>
    </row>
    <row r="646" spans="1:10">
      <c r="A646" t="s">
        <v>3547</v>
      </c>
      <c r="B646" t="s">
        <v>3548</v>
      </c>
      <c r="C646" s="9">
        <v>2023</v>
      </c>
      <c r="D646" t="s">
        <v>3027</v>
      </c>
      <c r="E646" t="s">
        <v>106</v>
      </c>
      <c r="F646" t="s">
        <v>3549</v>
      </c>
      <c r="G646" t="s">
        <v>106</v>
      </c>
      <c r="H646" t="s">
        <v>3007</v>
      </c>
    </row>
    <row r="647" spans="1:10">
      <c r="A647" t="s">
        <v>553</v>
      </c>
      <c r="B647" t="s">
        <v>3427</v>
      </c>
      <c r="C647" s="9">
        <v>2023</v>
      </c>
      <c r="D647" t="s">
        <v>3428</v>
      </c>
      <c r="E647" t="s">
        <v>106</v>
      </c>
      <c r="F647" t="s">
        <v>3429</v>
      </c>
      <c r="G647" t="s">
        <v>106</v>
      </c>
      <c r="H647" t="s">
        <v>3007</v>
      </c>
    </row>
    <row r="648" spans="1:10">
      <c r="A648" t="s">
        <v>597</v>
      </c>
      <c r="B648" t="s">
        <v>3452</v>
      </c>
      <c r="C648" s="9">
        <v>2024</v>
      </c>
      <c r="D648" t="s">
        <v>3043</v>
      </c>
      <c r="E648" t="s">
        <v>106</v>
      </c>
      <c r="F648" t="s">
        <v>3453</v>
      </c>
      <c r="G648" t="s">
        <v>106</v>
      </c>
      <c r="H648" t="s">
        <v>3007</v>
      </c>
    </row>
    <row r="649" spans="1:10">
      <c r="A649" t="s">
        <v>647</v>
      </c>
      <c r="B649" t="s">
        <v>3452</v>
      </c>
      <c r="C649" s="9">
        <v>2024</v>
      </c>
      <c r="D649" t="s">
        <v>3043</v>
      </c>
      <c r="E649" t="s">
        <v>106</v>
      </c>
      <c r="F649" t="s">
        <v>3477</v>
      </c>
      <c r="G649" t="s">
        <v>106</v>
      </c>
      <c r="H649" t="s">
        <v>3007</v>
      </c>
    </row>
    <row r="650" spans="1:10">
      <c r="A650" t="s">
        <v>1109</v>
      </c>
      <c r="B650" t="s">
        <v>3452</v>
      </c>
      <c r="C650" s="9">
        <v>2018</v>
      </c>
      <c r="D650" t="s">
        <v>3730</v>
      </c>
      <c r="E650" t="s">
        <v>106</v>
      </c>
      <c r="F650" t="s">
        <v>3731</v>
      </c>
      <c r="G650" t="s">
        <v>106</v>
      </c>
      <c r="H650" t="s">
        <v>3007</v>
      </c>
    </row>
    <row r="651" spans="1:10">
      <c r="A651" t="s">
        <v>927</v>
      </c>
      <c r="B651" t="s">
        <v>3631</v>
      </c>
      <c r="C651" s="9">
        <v>2022</v>
      </c>
      <c r="D651" t="s">
        <v>3632</v>
      </c>
      <c r="E651" t="s">
        <v>106</v>
      </c>
      <c r="F651" t="s">
        <v>3633</v>
      </c>
      <c r="G651" t="s">
        <v>106</v>
      </c>
      <c r="H651" t="s">
        <v>3007</v>
      </c>
    </row>
    <row r="652" spans="1:10">
      <c r="A652" t="s">
        <v>1432</v>
      </c>
      <c r="B652" t="s">
        <v>2612</v>
      </c>
      <c r="C652" s="9">
        <v>2015</v>
      </c>
      <c r="D652" t="s">
        <v>2124</v>
      </c>
      <c r="E652" t="s">
        <v>2125</v>
      </c>
      <c r="F652" t="s">
        <v>2613</v>
      </c>
      <c r="G652" t="s">
        <v>106</v>
      </c>
      <c r="H652" t="s">
        <v>2127</v>
      </c>
    </row>
    <row r="653" spans="1:10">
      <c r="A653" t="s">
        <v>1436</v>
      </c>
      <c r="B653" t="s">
        <v>2612</v>
      </c>
      <c r="C653" s="9">
        <v>2015</v>
      </c>
      <c r="D653" t="s">
        <v>2614</v>
      </c>
      <c r="E653" t="s">
        <v>2125</v>
      </c>
      <c r="F653" t="s">
        <v>2615</v>
      </c>
      <c r="G653" t="s">
        <v>106</v>
      </c>
      <c r="H653" t="s">
        <v>2127</v>
      </c>
    </row>
    <row r="654" spans="1:10">
      <c r="A654" t="s">
        <v>2371</v>
      </c>
      <c r="B654" t="s">
        <v>2372</v>
      </c>
      <c r="C654" s="9">
        <v>1991</v>
      </c>
      <c r="D654" t="s">
        <v>2124</v>
      </c>
      <c r="E654" t="s">
        <v>2125</v>
      </c>
      <c r="F654" t="s">
        <v>2373</v>
      </c>
      <c r="G654" t="s">
        <v>106</v>
      </c>
      <c r="H654" t="s">
        <v>2127</v>
      </c>
    </row>
    <row r="655" spans="1:10">
      <c r="A655" t="s">
        <v>832</v>
      </c>
      <c r="B655" t="s">
        <v>2340</v>
      </c>
      <c r="C655" s="9">
        <v>2008</v>
      </c>
      <c r="D655" t="s">
        <v>2341</v>
      </c>
      <c r="E655" t="s">
        <v>2125</v>
      </c>
      <c r="F655" t="s">
        <v>106</v>
      </c>
      <c r="G655" t="s">
        <v>2342</v>
      </c>
      <c r="H655" t="s">
        <v>2127</v>
      </c>
    </row>
    <row r="656" spans="1:10">
      <c r="A656" t="s">
        <v>308</v>
      </c>
      <c r="B656" t="s">
        <v>3255</v>
      </c>
      <c r="C656" s="9">
        <v>2020</v>
      </c>
      <c r="D656" t="s">
        <v>3027</v>
      </c>
      <c r="E656" t="s">
        <v>106</v>
      </c>
      <c r="F656" s="15" t="s">
        <v>3256</v>
      </c>
      <c r="G656" t="s">
        <v>106</v>
      </c>
      <c r="H656" t="s">
        <v>3007</v>
      </c>
    </row>
    <row r="657" spans="1:8">
      <c r="A657" t="s">
        <v>1647</v>
      </c>
      <c r="B657" t="s">
        <v>2778</v>
      </c>
      <c r="C657" s="9">
        <v>2017</v>
      </c>
      <c r="D657" t="s">
        <v>2779</v>
      </c>
      <c r="E657" t="s">
        <v>2125</v>
      </c>
      <c r="F657" t="s">
        <v>2780</v>
      </c>
      <c r="G657" t="s">
        <v>106</v>
      </c>
      <c r="H657" t="s">
        <v>2127</v>
      </c>
    </row>
    <row r="658" spans="1:8">
      <c r="A658" t="s">
        <v>1790</v>
      </c>
      <c r="B658" t="s">
        <v>2778</v>
      </c>
      <c r="C658" s="9">
        <v>2008</v>
      </c>
      <c r="D658" t="s">
        <v>2252</v>
      </c>
      <c r="E658" t="s">
        <v>2125</v>
      </c>
      <c r="F658" t="s">
        <v>2851</v>
      </c>
      <c r="G658" t="s">
        <v>106</v>
      </c>
      <c r="H658" t="s">
        <v>2127</v>
      </c>
    </row>
    <row r="659" spans="1:8">
      <c r="A659" t="s">
        <v>2749</v>
      </c>
      <c r="B659" t="s">
        <v>2750</v>
      </c>
      <c r="C659" s="9">
        <v>2017</v>
      </c>
      <c r="D659" t="s">
        <v>2132</v>
      </c>
      <c r="E659" t="s">
        <v>2125</v>
      </c>
      <c r="F659" t="s">
        <v>2751</v>
      </c>
      <c r="G659" t="s">
        <v>106</v>
      </c>
      <c r="H659" t="s">
        <v>2127</v>
      </c>
    </row>
    <row r="660" spans="1:8">
      <c r="A660" t="s">
        <v>3531</v>
      </c>
      <c r="B660" t="s">
        <v>3532</v>
      </c>
      <c r="C660" s="9">
        <v>2024</v>
      </c>
      <c r="D660" t="s">
        <v>3533</v>
      </c>
      <c r="E660" t="s">
        <v>106</v>
      </c>
      <c r="F660" t="s">
        <v>3534</v>
      </c>
      <c r="G660" t="s">
        <v>106</v>
      </c>
      <c r="H660" t="s">
        <v>3007</v>
      </c>
    </row>
    <row r="661" spans="1:8">
      <c r="A661" t="s">
        <v>3404</v>
      </c>
      <c r="B661" t="s">
        <v>3405</v>
      </c>
      <c r="C661" s="9">
        <v>2021</v>
      </c>
      <c r="D661" t="s">
        <v>3071</v>
      </c>
      <c r="E661" t="s">
        <v>106</v>
      </c>
      <c r="F661" t="s">
        <v>3406</v>
      </c>
      <c r="G661" t="s">
        <v>106</v>
      </c>
      <c r="H661" t="s">
        <v>3007</v>
      </c>
    </row>
    <row r="662" spans="1:8">
      <c r="A662" t="s">
        <v>3270</v>
      </c>
      <c r="B662" t="s">
        <v>3271</v>
      </c>
      <c r="C662" s="9">
        <v>2024</v>
      </c>
      <c r="D662" t="s">
        <v>3091</v>
      </c>
      <c r="E662" t="s">
        <v>106</v>
      </c>
      <c r="F662" t="s">
        <v>3272</v>
      </c>
      <c r="G662" t="s">
        <v>106</v>
      </c>
      <c r="H662" t="s">
        <v>3007</v>
      </c>
    </row>
    <row r="663" spans="1:8">
      <c r="A663" t="s">
        <v>1611</v>
      </c>
      <c r="B663" t="s">
        <v>2752</v>
      </c>
      <c r="C663" s="9">
        <v>2013</v>
      </c>
      <c r="D663" t="s">
        <v>2753</v>
      </c>
      <c r="E663" t="s">
        <v>2125</v>
      </c>
      <c r="F663" t="s">
        <v>2754</v>
      </c>
      <c r="G663" t="s">
        <v>106</v>
      </c>
      <c r="H663" t="s">
        <v>2127</v>
      </c>
    </row>
    <row r="664" spans="1:8">
      <c r="A664" t="s">
        <v>1087</v>
      </c>
      <c r="B664" t="s">
        <v>3691</v>
      </c>
      <c r="C664" s="9">
        <v>2023</v>
      </c>
      <c r="D664" t="s">
        <v>3667</v>
      </c>
      <c r="E664" t="s">
        <v>106</v>
      </c>
      <c r="F664" t="s">
        <v>106</v>
      </c>
      <c r="G664" s="7" t="s">
        <v>3692</v>
      </c>
      <c r="H664" t="s">
        <v>3007</v>
      </c>
    </row>
    <row r="665" spans="1:8">
      <c r="A665" s="15" t="s">
        <v>178</v>
      </c>
      <c r="B665" s="15" t="s">
        <v>3019</v>
      </c>
      <c r="C665" s="16">
        <v>2022</v>
      </c>
      <c r="D665" s="15" t="s">
        <v>2205</v>
      </c>
      <c r="E665" s="15" t="s">
        <v>106</v>
      </c>
      <c r="F665" t="s">
        <v>3020</v>
      </c>
      <c r="G665" t="s">
        <v>106</v>
      </c>
      <c r="H665" t="s">
        <v>3007</v>
      </c>
    </row>
    <row r="666" spans="1:8">
      <c r="A666" t="s">
        <v>1794</v>
      </c>
      <c r="B666" t="s">
        <v>2852</v>
      </c>
      <c r="C666" s="9">
        <v>2010</v>
      </c>
      <c r="D666" t="s">
        <v>2124</v>
      </c>
      <c r="E666" t="s">
        <v>2125</v>
      </c>
      <c r="F666" t="s">
        <v>2853</v>
      </c>
      <c r="G666" t="s">
        <v>106</v>
      </c>
      <c r="H666" t="s">
        <v>2127</v>
      </c>
    </row>
    <row r="667" spans="1:8">
      <c r="A667" t="s">
        <v>445</v>
      </c>
      <c r="B667" t="s">
        <v>3378</v>
      </c>
      <c r="C667" s="9">
        <v>2021</v>
      </c>
      <c r="D667" t="s">
        <v>3071</v>
      </c>
      <c r="E667" t="s">
        <v>106</v>
      </c>
      <c r="F667" t="s">
        <v>3379</v>
      </c>
      <c r="G667" t="s">
        <v>106</v>
      </c>
      <c r="H667" t="s">
        <v>3007</v>
      </c>
    </row>
    <row r="668" spans="1:8">
      <c r="A668" t="s">
        <v>1194</v>
      </c>
      <c r="B668" t="s">
        <v>2483</v>
      </c>
      <c r="C668" s="9">
        <v>2008</v>
      </c>
      <c r="D668" t="s">
        <v>2484</v>
      </c>
      <c r="E668" t="s">
        <v>2125</v>
      </c>
      <c r="F668" t="s">
        <v>106</v>
      </c>
      <c r="G668" t="s">
        <v>2485</v>
      </c>
      <c r="H668" t="s">
        <v>2127</v>
      </c>
    </row>
    <row r="669" spans="1:8">
      <c r="A669" t="s">
        <v>2854</v>
      </c>
      <c r="B669" t="s">
        <v>2855</v>
      </c>
      <c r="C669" s="9">
        <v>1990</v>
      </c>
      <c r="D669" t="s">
        <v>2856</v>
      </c>
      <c r="E669" t="s">
        <v>2125</v>
      </c>
      <c r="F669" t="s">
        <v>2857</v>
      </c>
      <c r="G669" t="s">
        <v>106</v>
      </c>
      <c r="H669" t="s">
        <v>2127</v>
      </c>
    </row>
    <row r="670" spans="1:8">
      <c r="A670" t="s">
        <v>530</v>
      </c>
      <c r="B670" t="s">
        <v>3088</v>
      </c>
      <c r="C670" s="9">
        <v>2024</v>
      </c>
      <c r="D670" t="s">
        <v>2320</v>
      </c>
      <c r="E670" t="s">
        <v>106</v>
      </c>
      <c r="F670" t="s">
        <v>3089</v>
      </c>
      <c r="G670" t="s">
        <v>106</v>
      </c>
      <c r="H670" t="s">
        <v>3007</v>
      </c>
    </row>
    <row r="671" spans="1:8">
      <c r="A671" t="s">
        <v>1602</v>
      </c>
      <c r="B671" t="s">
        <v>2743</v>
      </c>
      <c r="C671" s="9">
        <v>2015</v>
      </c>
      <c r="D671" t="s">
        <v>2124</v>
      </c>
      <c r="E671" t="s">
        <v>2125</v>
      </c>
      <c r="F671" t="s">
        <v>2744</v>
      </c>
      <c r="G671" t="s">
        <v>106</v>
      </c>
      <c r="H671" t="s">
        <v>2127</v>
      </c>
    </row>
    <row r="672" spans="1:8">
      <c r="A672" t="s">
        <v>717</v>
      </c>
      <c r="B672" t="s">
        <v>2743</v>
      </c>
      <c r="C672" s="9">
        <v>2022</v>
      </c>
      <c r="D672" t="s">
        <v>3584</v>
      </c>
      <c r="E672" t="s">
        <v>106</v>
      </c>
      <c r="F672" t="s">
        <v>3585</v>
      </c>
      <c r="G672" t="s">
        <v>106</v>
      </c>
      <c r="H672" t="s">
        <v>3007</v>
      </c>
    </row>
    <row r="673" spans="1:10">
      <c r="A673" t="s">
        <v>2858</v>
      </c>
      <c r="B673" t="s">
        <v>2859</v>
      </c>
      <c r="C673" s="9">
        <v>1994</v>
      </c>
      <c r="D673" t="s">
        <v>2860</v>
      </c>
      <c r="E673" t="s">
        <v>2125</v>
      </c>
      <c r="F673" t="s">
        <v>2861</v>
      </c>
      <c r="G673" t="s">
        <v>106</v>
      </c>
      <c r="H673" t="s">
        <v>2127</v>
      </c>
    </row>
    <row r="674" spans="1:10">
      <c r="A674" t="s">
        <v>1798</v>
      </c>
      <c r="B674" t="s">
        <v>2859</v>
      </c>
      <c r="C674" s="9">
        <v>2007</v>
      </c>
      <c r="D674" t="s">
        <v>2129</v>
      </c>
      <c r="E674" t="s">
        <v>2125</v>
      </c>
      <c r="F674" t="s">
        <v>2862</v>
      </c>
      <c r="G674" t="s">
        <v>106</v>
      </c>
      <c r="H674" t="s">
        <v>2127</v>
      </c>
    </row>
    <row r="675" spans="1:10">
      <c r="A675" t="s">
        <v>142</v>
      </c>
      <c r="B675" t="s">
        <v>2237</v>
      </c>
      <c r="C675" s="9">
        <v>2018</v>
      </c>
      <c r="D675" t="s">
        <v>2238</v>
      </c>
      <c r="E675" t="s">
        <v>2125</v>
      </c>
      <c r="F675" t="s">
        <v>106</v>
      </c>
      <c r="G675" s="7" t="s">
        <v>2239</v>
      </c>
      <c r="H675" t="s">
        <v>2127</v>
      </c>
    </row>
    <row r="676" spans="1:10">
      <c r="A676" t="s">
        <v>150</v>
      </c>
      <c r="B676" t="s">
        <v>3177</v>
      </c>
      <c r="C676" s="9">
        <v>2018</v>
      </c>
      <c r="D676" t="s">
        <v>2577</v>
      </c>
      <c r="E676" t="s">
        <v>106</v>
      </c>
      <c r="F676" t="s">
        <v>3178</v>
      </c>
      <c r="G676" t="s">
        <v>106</v>
      </c>
      <c r="H676" t="s">
        <v>3007</v>
      </c>
    </row>
    <row r="677" spans="1:10">
      <c r="A677" t="s">
        <v>693</v>
      </c>
      <c r="B677" t="s">
        <v>3543</v>
      </c>
      <c r="C677" s="9">
        <v>2018</v>
      </c>
      <c r="D677" t="s">
        <v>3095</v>
      </c>
      <c r="E677" t="s">
        <v>106</v>
      </c>
      <c r="F677" t="s">
        <v>3544</v>
      </c>
      <c r="G677" t="s">
        <v>106</v>
      </c>
      <c r="H677" t="s">
        <v>3007</v>
      </c>
    </row>
    <row r="678" spans="1:10">
      <c r="A678" t="s">
        <v>1002</v>
      </c>
      <c r="B678" t="s">
        <v>3146</v>
      </c>
      <c r="C678" s="9">
        <v>2021</v>
      </c>
      <c r="D678" t="s">
        <v>3147</v>
      </c>
      <c r="E678" t="s">
        <v>106</v>
      </c>
      <c r="F678" t="s">
        <v>3148</v>
      </c>
      <c r="G678" t="s">
        <v>106</v>
      </c>
      <c r="H678" t="s">
        <v>3007</v>
      </c>
    </row>
    <row r="679" spans="1:10">
      <c r="A679" t="s">
        <v>1596</v>
      </c>
      <c r="B679" t="s">
        <v>2741</v>
      </c>
      <c r="C679" s="9">
        <v>2012</v>
      </c>
      <c r="D679" t="s">
        <v>2124</v>
      </c>
      <c r="E679" t="s">
        <v>2125</v>
      </c>
      <c r="F679" t="s">
        <v>2742</v>
      </c>
      <c r="G679" t="s">
        <v>106</v>
      </c>
      <c r="H679" t="s">
        <v>2127</v>
      </c>
    </row>
    <row r="680" spans="1:10">
      <c r="A680" t="s">
        <v>3052</v>
      </c>
      <c r="B680" t="s">
        <v>2741</v>
      </c>
      <c r="C680" s="9">
        <v>2018</v>
      </c>
      <c r="D680" t="s">
        <v>3053</v>
      </c>
      <c r="E680" t="s">
        <v>106</v>
      </c>
      <c r="F680" t="s">
        <v>3054</v>
      </c>
      <c r="G680" t="s">
        <v>106</v>
      </c>
      <c r="H680" t="s">
        <v>3007</v>
      </c>
    </row>
    <row r="681" spans="1:10">
      <c r="A681" t="s">
        <v>1147</v>
      </c>
      <c r="B681" t="s">
        <v>3784</v>
      </c>
      <c r="C681" s="9">
        <v>2022</v>
      </c>
      <c r="D681" t="s">
        <v>3164</v>
      </c>
      <c r="E681" t="s">
        <v>106</v>
      </c>
      <c r="F681" t="s">
        <v>3785</v>
      </c>
      <c r="G681" t="s">
        <v>106</v>
      </c>
      <c r="H681" t="s">
        <v>3007</v>
      </c>
      <c r="J681" s="9"/>
    </row>
    <row r="682" spans="1:10">
      <c r="A682" t="s">
        <v>703</v>
      </c>
      <c r="B682" t="s">
        <v>3569</v>
      </c>
      <c r="C682" s="9">
        <v>2020</v>
      </c>
      <c r="D682" t="s">
        <v>3570</v>
      </c>
      <c r="E682" t="s">
        <v>106</v>
      </c>
      <c r="F682" t="s">
        <v>3571</v>
      </c>
      <c r="G682" t="s">
        <v>106</v>
      </c>
      <c r="H682" t="s">
        <v>3007</v>
      </c>
    </row>
    <row r="683" spans="1:10">
      <c r="A683" t="s">
        <v>1804</v>
      </c>
      <c r="B683" t="s">
        <v>2863</v>
      </c>
      <c r="C683" s="9">
        <v>2014</v>
      </c>
      <c r="D683" t="s">
        <v>2124</v>
      </c>
      <c r="E683" t="s">
        <v>2125</v>
      </c>
      <c r="F683" t="s">
        <v>2864</v>
      </c>
      <c r="G683" t="s">
        <v>106</v>
      </c>
      <c r="H683" t="s">
        <v>2127</v>
      </c>
    </row>
    <row r="684" spans="1:10">
      <c r="A684" t="s">
        <v>701</v>
      </c>
      <c r="B684" t="s">
        <v>3565</v>
      </c>
      <c r="C684" s="9">
        <v>2023</v>
      </c>
      <c r="D684" t="s">
        <v>3164</v>
      </c>
      <c r="E684" t="s">
        <v>106</v>
      </c>
      <c r="F684" t="s">
        <v>3566</v>
      </c>
      <c r="G684" t="s">
        <v>106</v>
      </c>
      <c r="H684" t="s">
        <v>3007</v>
      </c>
      <c r="J684" s="9"/>
    </row>
    <row r="685" spans="1:10">
      <c r="A685" t="s">
        <v>1808</v>
      </c>
      <c r="B685" t="s">
        <v>2865</v>
      </c>
      <c r="C685" s="9">
        <v>2000</v>
      </c>
      <c r="D685" t="s">
        <v>2132</v>
      </c>
      <c r="E685" t="s">
        <v>2125</v>
      </c>
      <c r="F685" t="s">
        <v>2866</v>
      </c>
      <c r="G685" t="s">
        <v>106</v>
      </c>
      <c r="H685" t="s">
        <v>2127</v>
      </c>
    </row>
    <row r="686" spans="1:10">
      <c r="A686" t="s">
        <v>2449</v>
      </c>
      <c r="B686" t="s">
        <v>2450</v>
      </c>
      <c r="C686" s="9">
        <v>1997</v>
      </c>
      <c r="D686" t="s">
        <v>2124</v>
      </c>
      <c r="E686" t="s">
        <v>2125</v>
      </c>
      <c r="F686" t="s">
        <v>2451</v>
      </c>
      <c r="G686" t="s">
        <v>106</v>
      </c>
      <c r="H686" t="s">
        <v>2127</v>
      </c>
    </row>
    <row r="687" spans="1:10">
      <c r="A687" t="s">
        <v>582</v>
      </c>
      <c r="B687" t="s">
        <v>3447</v>
      </c>
      <c r="C687" s="9">
        <v>2022</v>
      </c>
      <c r="D687" t="s">
        <v>3062</v>
      </c>
      <c r="E687" t="s">
        <v>106</v>
      </c>
      <c r="F687" t="s">
        <v>3448</v>
      </c>
      <c r="G687" t="s">
        <v>106</v>
      </c>
      <c r="H687" t="s">
        <v>3007</v>
      </c>
    </row>
    <row r="688" spans="1:10">
      <c r="A688" t="s">
        <v>1030</v>
      </c>
      <c r="B688" t="s">
        <v>3654</v>
      </c>
      <c r="C688" s="9">
        <v>2024</v>
      </c>
      <c r="D688" t="s">
        <v>2320</v>
      </c>
      <c r="E688" t="s">
        <v>106</v>
      </c>
      <c r="F688" t="s">
        <v>3655</v>
      </c>
      <c r="G688" t="s">
        <v>106</v>
      </c>
      <c r="H688" t="s">
        <v>3007</v>
      </c>
      <c r="I688" s="8"/>
    </row>
    <row r="689" spans="1:8">
      <c r="A689" t="s">
        <v>1608</v>
      </c>
      <c r="B689" t="s">
        <v>2745</v>
      </c>
      <c r="C689" s="9">
        <v>2013</v>
      </c>
      <c r="D689" t="s">
        <v>2129</v>
      </c>
      <c r="E689" t="s">
        <v>2125</v>
      </c>
      <c r="F689" t="s">
        <v>2746</v>
      </c>
      <c r="G689" t="s">
        <v>106</v>
      </c>
      <c r="H689" t="s">
        <v>2127</v>
      </c>
    </row>
    <row r="690" spans="1:8">
      <c r="A690" t="s">
        <v>1061</v>
      </c>
      <c r="B690" t="s">
        <v>3669</v>
      </c>
      <c r="C690" s="9">
        <v>2019</v>
      </c>
      <c r="D690" t="s">
        <v>3670</v>
      </c>
      <c r="E690" t="s">
        <v>106</v>
      </c>
      <c r="F690" t="s">
        <v>3671</v>
      </c>
      <c r="G690" t="s">
        <v>106</v>
      </c>
      <c r="H690" t="s">
        <v>3007</v>
      </c>
    </row>
    <row r="691" spans="1:8">
      <c r="A691" t="s">
        <v>388</v>
      </c>
      <c r="B691" t="s">
        <v>3329</v>
      </c>
      <c r="C691" s="9">
        <v>2020</v>
      </c>
      <c r="D691" t="s">
        <v>3244</v>
      </c>
      <c r="E691" t="s">
        <v>106</v>
      </c>
      <c r="F691" t="s">
        <v>106</v>
      </c>
      <c r="G691" t="s">
        <v>3330</v>
      </c>
      <c r="H691" t="s">
        <v>3007</v>
      </c>
    </row>
    <row r="692" spans="1:8">
      <c r="A692" t="s">
        <v>3721</v>
      </c>
      <c r="B692" t="s">
        <v>3722</v>
      </c>
      <c r="C692" s="9">
        <v>2022</v>
      </c>
      <c r="D692" t="s">
        <v>2320</v>
      </c>
      <c r="E692" t="s">
        <v>106</v>
      </c>
      <c r="F692" t="s">
        <v>3723</v>
      </c>
      <c r="G692" t="s">
        <v>106</v>
      </c>
      <c r="H692" t="s">
        <v>3007</v>
      </c>
    </row>
    <row r="693" spans="1:8">
      <c r="A693" t="s">
        <v>660</v>
      </c>
      <c r="B693" t="s">
        <v>3486</v>
      </c>
      <c r="C693" s="9">
        <v>2018</v>
      </c>
      <c r="D693" t="s">
        <v>3071</v>
      </c>
      <c r="E693" t="s">
        <v>106</v>
      </c>
      <c r="F693" t="s">
        <v>3487</v>
      </c>
      <c r="G693" t="s">
        <v>106</v>
      </c>
      <c r="H693" t="s">
        <v>3007</v>
      </c>
    </row>
    <row r="694" spans="1:8">
      <c r="A694" t="s">
        <v>1107</v>
      </c>
      <c r="B694" t="s">
        <v>3716</v>
      </c>
      <c r="C694" s="9">
        <v>2020</v>
      </c>
      <c r="D694" t="s">
        <v>3507</v>
      </c>
      <c r="E694" t="s">
        <v>106</v>
      </c>
      <c r="F694" t="s">
        <v>3717</v>
      </c>
      <c r="G694" t="s">
        <v>106</v>
      </c>
      <c r="H694" t="s">
        <v>3007</v>
      </c>
    </row>
    <row r="695" spans="1:8">
      <c r="A695" t="s">
        <v>2758</v>
      </c>
      <c r="B695" t="s">
        <v>2759</v>
      </c>
      <c r="C695" s="9">
        <v>2017</v>
      </c>
      <c r="D695" t="s">
        <v>2760</v>
      </c>
      <c r="E695" t="s">
        <v>2125</v>
      </c>
      <c r="F695" t="s">
        <v>106</v>
      </c>
      <c r="G695" t="s">
        <v>2761</v>
      </c>
      <c r="H695" t="s">
        <v>2127</v>
      </c>
    </row>
    <row r="696" spans="1:8">
      <c r="A696" t="s">
        <v>3296</v>
      </c>
      <c r="B696" t="s">
        <v>3297</v>
      </c>
      <c r="C696" s="9">
        <v>2021</v>
      </c>
      <c r="D696" t="s">
        <v>3071</v>
      </c>
      <c r="E696" t="s">
        <v>106</v>
      </c>
      <c r="F696" t="s">
        <v>3298</v>
      </c>
      <c r="G696" t="s">
        <v>106</v>
      </c>
      <c r="H696" t="s">
        <v>3007</v>
      </c>
    </row>
    <row r="697" spans="1:8">
      <c r="A697" t="s">
        <v>1821</v>
      </c>
      <c r="B697" t="s">
        <v>2867</v>
      </c>
      <c r="C697" s="9">
        <v>1997</v>
      </c>
      <c r="D697" t="s">
        <v>2320</v>
      </c>
      <c r="E697" t="s">
        <v>2125</v>
      </c>
      <c r="F697" t="s">
        <v>2868</v>
      </c>
      <c r="G697" t="s">
        <v>106</v>
      </c>
      <c r="H697" t="s">
        <v>2127</v>
      </c>
    </row>
    <row r="698" spans="1:8">
      <c r="A698" t="s">
        <v>857</v>
      </c>
      <c r="B698" t="s">
        <v>2374</v>
      </c>
      <c r="C698" s="9">
        <v>2001</v>
      </c>
      <c r="D698" t="s">
        <v>2129</v>
      </c>
      <c r="E698" t="s">
        <v>2125</v>
      </c>
      <c r="F698" t="s">
        <v>2375</v>
      </c>
      <c r="G698" t="s">
        <v>106</v>
      </c>
      <c r="H698" t="s">
        <v>2127</v>
      </c>
    </row>
    <row r="699" spans="1:8">
      <c r="A699" t="s">
        <v>1625</v>
      </c>
      <c r="B699" t="s">
        <v>2772</v>
      </c>
      <c r="C699" s="9">
        <v>2013</v>
      </c>
      <c r="D699" t="s">
        <v>2172</v>
      </c>
      <c r="E699" t="s">
        <v>2125</v>
      </c>
      <c r="F699" t="s">
        <v>2773</v>
      </c>
      <c r="G699" t="s">
        <v>106</v>
      </c>
      <c r="H699" t="s">
        <v>2127</v>
      </c>
    </row>
    <row r="700" spans="1:8">
      <c r="A700" t="s">
        <v>3726</v>
      </c>
      <c r="B700" t="s">
        <v>3727</v>
      </c>
      <c r="C700" s="9">
        <v>2020</v>
      </c>
      <c r="D700" t="s">
        <v>3728</v>
      </c>
      <c r="E700" t="s">
        <v>106</v>
      </c>
      <c r="F700" t="s">
        <v>3729</v>
      </c>
      <c r="G700" t="s">
        <v>106</v>
      </c>
      <c r="H700" t="s">
        <v>3007</v>
      </c>
    </row>
    <row r="701" spans="1:8">
      <c r="A701" t="s">
        <v>1827</v>
      </c>
      <c r="B701" t="s">
        <v>2869</v>
      </c>
      <c r="C701" s="9">
        <v>2012</v>
      </c>
      <c r="D701" t="s">
        <v>2129</v>
      </c>
      <c r="E701" t="s">
        <v>2125</v>
      </c>
      <c r="F701" t="s">
        <v>2870</v>
      </c>
      <c r="G701" t="s">
        <v>106</v>
      </c>
      <c r="H701" t="s">
        <v>2127</v>
      </c>
    </row>
    <row r="702" spans="1:8">
      <c r="A702" t="s">
        <v>1853</v>
      </c>
      <c r="B702" t="s">
        <v>2884</v>
      </c>
      <c r="C702" s="9">
        <v>2006</v>
      </c>
      <c r="D702" t="s">
        <v>2308</v>
      </c>
      <c r="E702" t="s">
        <v>2125</v>
      </c>
      <c r="F702" t="s">
        <v>2885</v>
      </c>
      <c r="G702" t="s">
        <v>106</v>
      </c>
      <c r="H702" t="s">
        <v>2127</v>
      </c>
    </row>
    <row r="703" spans="1:8">
      <c r="A703" t="s">
        <v>487</v>
      </c>
      <c r="B703" t="s">
        <v>3077</v>
      </c>
      <c r="C703" s="9">
        <v>2020</v>
      </c>
      <c r="D703" t="s">
        <v>3078</v>
      </c>
      <c r="E703" t="s">
        <v>106</v>
      </c>
      <c r="F703" t="s">
        <v>3079</v>
      </c>
      <c r="G703" t="s">
        <v>106</v>
      </c>
      <c r="H703" t="s">
        <v>3007</v>
      </c>
    </row>
    <row r="704" spans="1:8">
      <c r="A704" t="s">
        <v>2240</v>
      </c>
      <c r="B704" t="s">
        <v>2241</v>
      </c>
      <c r="C704" s="9">
        <v>2018</v>
      </c>
      <c r="D704" t="s">
        <v>2238</v>
      </c>
      <c r="E704" t="s">
        <v>2125</v>
      </c>
      <c r="F704" t="s">
        <v>106</v>
      </c>
      <c r="G704" t="s">
        <v>2242</v>
      </c>
      <c r="H704" t="s">
        <v>2127</v>
      </c>
    </row>
    <row r="705" spans="1:8">
      <c r="A705" t="s">
        <v>2886</v>
      </c>
      <c r="B705" t="s">
        <v>2887</v>
      </c>
      <c r="C705" s="9">
        <v>2004</v>
      </c>
      <c r="D705" t="s">
        <v>2888</v>
      </c>
      <c r="E705" t="s">
        <v>2125</v>
      </c>
      <c r="F705" t="s">
        <v>2889</v>
      </c>
      <c r="G705" t="s">
        <v>106</v>
      </c>
      <c r="H705" t="s">
        <v>2127</v>
      </c>
    </row>
    <row r="706" spans="1:8">
      <c r="A706" t="s">
        <v>1832</v>
      </c>
      <c r="B706" t="s">
        <v>2190</v>
      </c>
      <c r="C706" s="9">
        <v>1994</v>
      </c>
      <c r="D706" t="s">
        <v>2191</v>
      </c>
      <c r="E706" t="s">
        <v>2125</v>
      </c>
      <c r="F706" t="s">
        <v>2192</v>
      </c>
      <c r="G706" t="s">
        <v>106</v>
      </c>
      <c r="H706" t="s">
        <v>2127</v>
      </c>
    </row>
    <row r="707" spans="1:8">
      <c r="A707" t="s">
        <v>3592</v>
      </c>
      <c r="B707" t="s">
        <v>3593</v>
      </c>
      <c r="C707" s="9">
        <v>2019</v>
      </c>
      <c r="D707" t="s">
        <v>3594</v>
      </c>
      <c r="E707" t="s">
        <v>106</v>
      </c>
      <c r="F707" t="s">
        <v>3595</v>
      </c>
      <c r="G707" t="s">
        <v>106</v>
      </c>
      <c r="H707" t="s">
        <v>3007</v>
      </c>
    </row>
    <row r="708" spans="1:8">
      <c r="A708" t="s">
        <v>235</v>
      </c>
      <c r="B708" t="s">
        <v>3204</v>
      </c>
      <c r="C708" s="9">
        <v>2018</v>
      </c>
      <c r="D708" t="s">
        <v>3116</v>
      </c>
      <c r="E708" t="s">
        <v>106</v>
      </c>
      <c r="F708" t="s">
        <v>3205</v>
      </c>
      <c r="G708" t="s">
        <v>106</v>
      </c>
      <c r="H708" t="s">
        <v>3007</v>
      </c>
    </row>
    <row r="709" spans="1:8">
      <c r="A709" t="s">
        <v>251</v>
      </c>
      <c r="B709" t="s">
        <v>3204</v>
      </c>
      <c r="C709" s="9">
        <v>2018</v>
      </c>
      <c r="D709" t="s">
        <v>3095</v>
      </c>
      <c r="E709" t="s">
        <v>106</v>
      </c>
      <c r="F709" t="s">
        <v>3217</v>
      </c>
      <c r="G709" t="s">
        <v>106</v>
      </c>
      <c r="H709" t="s">
        <v>3007</v>
      </c>
    </row>
    <row r="710" spans="1:8">
      <c r="A710" t="s">
        <v>720</v>
      </c>
      <c r="B710" t="s">
        <v>3204</v>
      </c>
      <c r="C710" s="9">
        <v>2018</v>
      </c>
      <c r="D710" t="s">
        <v>3128</v>
      </c>
      <c r="E710" t="s">
        <v>106</v>
      </c>
      <c r="F710" t="s">
        <v>3599</v>
      </c>
      <c r="G710" t="s">
        <v>106</v>
      </c>
      <c r="H710" t="s">
        <v>3007</v>
      </c>
    </row>
    <row r="711" spans="1:8">
      <c r="A711" t="s">
        <v>1132</v>
      </c>
      <c r="B711" t="s">
        <v>3204</v>
      </c>
      <c r="C711" s="9">
        <v>2018</v>
      </c>
      <c r="D711" t="s">
        <v>3095</v>
      </c>
      <c r="E711" t="s">
        <v>106</v>
      </c>
      <c r="F711" t="s">
        <v>3770</v>
      </c>
      <c r="G711" t="s">
        <v>106</v>
      </c>
      <c r="H711" t="s">
        <v>3007</v>
      </c>
    </row>
    <row r="712" spans="1:8">
      <c r="A712" t="s">
        <v>833</v>
      </c>
      <c r="B712" t="s">
        <v>2343</v>
      </c>
      <c r="C712" s="9">
        <v>1994</v>
      </c>
      <c r="D712" t="s">
        <v>2344</v>
      </c>
      <c r="E712" t="s">
        <v>2125</v>
      </c>
      <c r="F712" t="s">
        <v>2345</v>
      </c>
      <c r="G712" t="s">
        <v>106</v>
      </c>
      <c r="H712" t="s">
        <v>2127</v>
      </c>
    </row>
    <row r="713" spans="1:8">
      <c r="A713" t="s">
        <v>302</v>
      </c>
      <c r="B713" t="s">
        <v>3252</v>
      </c>
      <c r="C713" s="9">
        <v>2021</v>
      </c>
      <c r="D713" t="s">
        <v>3253</v>
      </c>
      <c r="E713" t="s">
        <v>106</v>
      </c>
      <c r="F713" t="s">
        <v>3254</v>
      </c>
      <c r="G713" t="s">
        <v>106</v>
      </c>
      <c r="H713" t="s">
        <v>3007</v>
      </c>
    </row>
    <row r="714" spans="1:8">
      <c r="A714" t="s">
        <v>3283</v>
      </c>
      <c r="B714" t="s">
        <v>3284</v>
      </c>
      <c r="C714" s="9">
        <v>2021</v>
      </c>
      <c r="D714" t="s">
        <v>2837</v>
      </c>
      <c r="E714" t="s">
        <v>106</v>
      </c>
      <c r="F714" t="s">
        <v>3285</v>
      </c>
      <c r="G714" t="s">
        <v>106</v>
      </c>
      <c r="H714" t="s">
        <v>3007</v>
      </c>
    </row>
    <row r="715" spans="1:8">
      <c r="A715" t="s">
        <v>727</v>
      </c>
      <c r="B715" t="s">
        <v>3602</v>
      </c>
      <c r="C715" s="9">
        <v>2020</v>
      </c>
      <c r="D715" t="s">
        <v>3244</v>
      </c>
      <c r="E715" t="s">
        <v>106</v>
      </c>
      <c r="F715" t="s">
        <v>106</v>
      </c>
      <c r="G715" t="s">
        <v>3603</v>
      </c>
      <c r="H715" t="s">
        <v>3007</v>
      </c>
    </row>
    <row r="716" spans="1:8">
      <c r="A716" t="s">
        <v>1591</v>
      </c>
      <c r="B716" t="s">
        <v>2739</v>
      </c>
      <c r="C716" s="9">
        <v>2014</v>
      </c>
      <c r="D716" t="s">
        <v>2124</v>
      </c>
      <c r="E716" t="s">
        <v>2125</v>
      </c>
      <c r="F716" t="s">
        <v>2740</v>
      </c>
      <c r="G716" t="s">
        <v>106</v>
      </c>
      <c r="H716" t="s">
        <v>2127</v>
      </c>
    </row>
    <row r="717" spans="1:8">
      <c r="A717" t="s">
        <v>1845</v>
      </c>
      <c r="B717" t="s">
        <v>2871</v>
      </c>
      <c r="C717" s="9">
        <v>2008</v>
      </c>
      <c r="D717" t="s">
        <v>2252</v>
      </c>
      <c r="E717" t="s">
        <v>2125</v>
      </c>
      <c r="F717" t="s">
        <v>2872</v>
      </c>
      <c r="G717" t="s">
        <v>106</v>
      </c>
      <c r="H717" t="s">
        <v>2127</v>
      </c>
    </row>
    <row r="718" spans="1:8">
      <c r="A718" t="s">
        <v>1846</v>
      </c>
      <c r="B718" t="s">
        <v>2873</v>
      </c>
      <c r="C718" s="9">
        <v>2012</v>
      </c>
      <c r="D718" t="s">
        <v>2124</v>
      </c>
      <c r="E718" t="s">
        <v>2125</v>
      </c>
      <c r="F718" t="s">
        <v>2874</v>
      </c>
      <c r="G718" t="s">
        <v>106</v>
      </c>
      <c r="H718" t="s">
        <v>2127</v>
      </c>
    </row>
    <row r="719" spans="1:8">
      <c r="A719" t="s">
        <v>1013</v>
      </c>
      <c r="B719" t="s">
        <v>3163</v>
      </c>
      <c r="C719" s="9">
        <v>2023</v>
      </c>
      <c r="D719" t="s">
        <v>3164</v>
      </c>
      <c r="E719" t="s">
        <v>106</v>
      </c>
      <c r="F719" t="s">
        <v>3165</v>
      </c>
      <c r="G719" t="s">
        <v>106</v>
      </c>
      <c r="H719" t="s">
        <v>3007</v>
      </c>
    </row>
    <row r="720" spans="1:8">
      <c r="A720" t="s">
        <v>1852</v>
      </c>
      <c r="B720" t="s">
        <v>2875</v>
      </c>
      <c r="C720" s="9">
        <v>2012</v>
      </c>
      <c r="D720" t="s">
        <v>2124</v>
      </c>
      <c r="E720" t="s">
        <v>2125</v>
      </c>
      <c r="F720" t="s">
        <v>2876</v>
      </c>
      <c r="G720" t="s">
        <v>106</v>
      </c>
      <c r="H720" t="s">
        <v>2127</v>
      </c>
    </row>
    <row r="721" spans="1:8">
      <c r="A721" t="s">
        <v>1911</v>
      </c>
      <c r="B721" t="s">
        <v>2939</v>
      </c>
      <c r="C721" s="9">
        <v>2014</v>
      </c>
      <c r="D721" t="s">
        <v>2124</v>
      </c>
      <c r="E721" t="s">
        <v>2125</v>
      </c>
      <c r="F721" t="s">
        <v>2940</v>
      </c>
      <c r="G721" t="s">
        <v>106</v>
      </c>
      <c r="H721" t="s">
        <v>2127</v>
      </c>
    </row>
    <row r="722" spans="1:8">
      <c r="A722" t="s">
        <v>454</v>
      </c>
      <c r="B722" t="s">
        <v>3407</v>
      </c>
      <c r="C722" s="9">
        <v>2018</v>
      </c>
      <c r="D722" t="s">
        <v>3043</v>
      </c>
      <c r="E722" t="s">
        <v>106</v>
      </c>
      <c r="F722" t="s">
        <v>3408</v>
      </c>
      <c r="G722" t="s">
        <v>106</v>
      </c>
      <c r="H722" t="s">
        <v>3007</v>
      </c>
    </row>
    <row r="723" spans="1:8">
      <c r="A723" t="s">
        <v>459</v>
      </c>
      <c r="B723" t="s">
        <v>2247</v>
      </c>
      <c r="C723" s="9">
        <v>2013</v>
      </c>
      <c r="D723" t="s">
        <v>2248</v>
      </c>
      <c r="E723" t="s">
        <v>2125</v>
      </c>
      <c r="F723" t="s">
        <v>2249</v>
      </c>
      <c r="G723" t="s">
        <v>106</v>
      </c>
      <c r="H723" t="s">
        <v>2127</v>
      </c>
    </row>
    <row r="724" spans="1:8">
      <c r="A724" t="s">
        <v>1612</v>
      </c>
      <c r="B724" t="s">
        <v>2762</v>
      </c>
      <c r="C724" s="9">
        <v>2018</v>
      </c>
      <c r="D724" t="s">
        <v>2172</v>
      </c>
      <c r="E724" t="s">
        <v>2125</v>
      </c>
      <c r="F724" t="s">
        <v>2763</v>
      </c>
      <c r="G724" t="s">
        <v>106</v>
      </c>
      <c r="H724" t="s">
        <v>2127</v>
      </c>
    </row>
    <row r="725" spans="1:8">
      <c r="A725" t="s">
        <v>341</v>
      </c>
      <c r="B725" t="s">
        <v>2762</v>
      </c>
      <c r="C725" s="9">
        <v>2018</v>
      </c>
      <c r="D725" t="s">
        <v>2172</v>
      </c>
      <c r="E725" t="s">
        <v>106</v>
      </c>
      <c r="F725" t="s">
        <v>2763</v>
      </c>
      <c r="G725" t="s">
        <v>106</v>
      </c>
      <c r="H725" t="s">
        <v>3007</v>
      </c>
    </row>
    <row r="726" spans="1:8">
      <c r="A726" t="s">
        <v>2193</v>
      </c>
      <c r="B726" t="s">
        <v>2194</v>
      </c>
      <c r="C726" s="9">
        <v>2010</v>
      </c>
      <c r="D726" t="s">
        <v>2195</v>
      </c>
      <c r="E726" t="s">
        <v>2125</v>
      </c>
      <c r="F726" t="s">
        <v>2196</v>
      </c>
      <c r="G726" t="s">
        <v>106</v>
      </c>
      <c r="H726" t="s">
        <v>2127</v>
      </c>
    </row>
    <row r="727" spans="1:8">
      <c r="A727" t="s">
        <v>699</v>
      </c>
      <c r="B727" t="s">
        <v>3559</v>
      </c>
      <c r="C727" s="9">
        <v>2019</v>
      </c>
      <c r="D727" t="s">
        <v>3560</v>
      </c>
      <c r="E727" t="s">
        <v>106</v>
      </c>
      <c r="F727" t="s">
        <v>3561</v>
      </c>
      <c r="G727" t="s">
        <v>106</v>
      </c>
      <c r="H727" t="s">
        <v>3007</v>
      </c>
    </row>
    <row r="728" spans="1:8" s="28" customFormat="1">
      <c r="A728" s="28" t="s">
        <v>3816</v>
      </c>
      <c r="B728" s="28" t="s">
        <v>4590</v>
      </c>
      <c r="C728" s="27">
        <v>2026</v>
      </c>
      <c r="D728" s="28" t="s">
        <v>3820</v>
      </c>
      <c r="E728" s="28" t="s">
        <v>106</v>
      </c>
      <c r="F728" s="29" t="s">
        <v>3821</v>
      </c>
      <c r="G728" s="29" t="s">
        <v>106</v>
      </c>
      <c r="H728" s="28" t="s">
        <v>3834</v>
      </c>
    </row>
    <row r="729" spans="1:8">
      <c r="A729" t="s">
        <v>3817</v>
      </c>
      <c r="B729" t="s">
        <v>3823</v>
      </c>
      <c r="C729" s="9">
        <v>2010</v>
      </c>
      <c r="D729" t="s">
        <v>3822</v>
      </c>
      <c r="F729" t="s">
        <v>106</v>
      </c>
      <c r="G729" t="s">
        <v>106</v>
      </c>
      <c r="H729" t="s">
        <v>3834</v>
      </c>
    </row>
    <row r="730" spans="1:8">
      <c r="A730" t="s">
        <v>3818</v>
      </c>
      <c r="B730" t="s">
        <v>3825</v>
      </c>
      <c r="C730" s="9">
        <v>2022</v>
      </c>
      <c r="D730" t="s">
        <v>3824</v>
      </c>
      <c r="F730" s="30" t="s">
        <v>4611</v>
      </c>
      <c r="G730" t="s">
        <v>106</v>
      </c>
      <c r="H730" t="s">
        <v>3834</v>
      </c>
    </row>
    <row r="731" spans="1:8">
      <c r="A731" t="s">
        <v>3819</v>
      </c>
      <c r="B731" t="s">
        <v>3826</v>
      </c>
      <c r="C731" s="9">
        <v>2016</v>
      </c>
      <c r="D731" t="s">
        <v>3250</v>
      </c>
      <c r="F731" t="s">
        <v>106</v>
      </c>
      <c r="G731" t="s">
        <v>106</v>
      </c>
      <c r="H731" t="s">
        <v>3834</v>
      </c>
    </row>
    <row r="732" spans="1:8">
      <c r="A732" t="s">
        <v>3815</v>
      </c>
      <c r="B732" t="s">
        <v>3833</v>
      </c>
      <c r="C732" s="9">
        <v>2008</v>
      </c>
      <c r="D732" t="s">
        <v>3831</v>
      </c>
      <c r="F732" t="s">
        <v>3832</v>
      </c>
      <c r="G732" t="s">
        <v>106</v>
      </c>
      <c r="H732" t="s">
        <v>3834</v>
      </c>
    </row>
    <row r="733" spans="1:8">
      <c r="A733" t="s">
        <v>4019</v>
      </c>
      <c r="B733" t="s">
        <v>3840</v>
      </c>
      <c r="C733" s="9">
        <v>2020</v>
      </c>
      <c r="D733" t="s">
        <v>3838</v>
      </c>
      <c r="F733" t="s">
        <v>3839</v>
      </c>
      <c r="G733" t="s">
        <v>106</v>
      </c>
      <c r="H733" t="s">
        <v>3834</v>
      </c>
    </row>
    <row r="734" spans="1:8">
      <c r="A734" t="s">
        <v>3835</v>
      </c>
      <c r="B734" t="s">
        <v>3841</v>
      </c>
      <c r="C734" s="9">
        <v>1994</v>
      </c>
      <c r="D734" t="s">
        <v>3857</v>
      </c>
      <c r="F734" t="s">
        <v>106</v>
      </c>
      <c r="G734" t="s">
        <v>106</v>
      </c>
      <c r="H734" t="s">
        <v>3834</v>
      </c>
    </row>
    <row r="735" spans="1:8">
      <c r="A735" t="s">
        <v>3836</v>
      </c>
      <c r="B735" t="s">
        <v>4632</v>
      </c>
      <c r="C735" s="9">
        <v>1989</v>
      </c>
      <c r="D735" t="s">
        <v>3857</v>
      </c>
      <c r="F735" t="s">
        <v>106</v>
      </c>
      <c r="G735" t="s">
        <v>106</v>
      </c>
      <c r="H735" t="s">
        <v>3834</v>
      </c>
    </row>
    <row r="736" spans="1:8">
      <c r="A736" t="s">
        <v>3837</v>
      </c>
      <c r="B736" t="s">
        <v>3849</v>
      </c>
      <c r="C736" s="9">
        <v>2024</v>
      </c>
      <c r="D736" t="s">
        <v>3831</v>
      </c>
      <c r="F736" s="31" t="s">
        <v>3848</v>
      </c>
      <c r="G736" t="s">
        <v>106</v>
      </c>
      <c r="H736" t="s">
        <v>3834</v>
      </c>
    </row>
    <row r="737" spans="1:8">
      <c r="A737" t="s">
        <v>3842</v>
      </c>
      <c r="B737" t="s">
        <v>3854</v>
      </c>
      <c r="C737" s="9" t="s">
        <v>3853</v>
      </c>
      <c r="D737" t="s">
        <v>3824</v>
      </c>
      <c r="F737" s="30" t="s">
        <v>4612</v>
      </c>
      <c r="G737" t="s">
        <v>106</v>
      </c>
      <c r="H737" t="s">
        <v>3834</v>
      </c>
    </row>
    <row r="738" spans="1:8">
      <c r="A738" t="s">
        <v>3843</v>
      </c>
      <c r="B738" t="s">
        <v>3854</v>
      </c>
      <c r="C738" s="9" t="s">
        <v>3852</v>
      </c>
      <c r="D738" t="s">
        <v>3850</v>
      </c>
      <c r="F738" s="31" t="s">
        <v>3851</v>
      </c>
      <c r="G738" t="s">
        <v>106</v>
      </c>
      <c r="H738" t="s">
        <v>3834</v>
      </c>
    </row>
    <row r="739" spans="1:8">
      <c r="A739" t="s">
        <v>3844</v>
      </c>
      <c r="B739" t="s">
        <v>3854</v>
      </c>
      <c r="C739" s="9">
        <v>2025</v>
      </c>
      <c r="D739" t="s">
        <v>3382</v>
      </c>
      <c r="F739" s="30" t="s">
        <v>4613</v>
      </c>
      <c r="G739" t="s">
        <v>106</v>
      </c>
      <c r="H739" t="s">
        <v>3834</v>
      </c>
    </row>
    <row r="740" spans="1:8">
      <c r="A740" t="s">
        <v>3845</v>
      </c>
      <c r="B740" t="s">
        <v>3855</v>
      </c>
      <c r="C740" s="9">
        <v>2010</v>
      </c>
      <c r="D740" t="s">
        <v>3831</v>
      </c>
      <c r="F740" t="s">
        <v>3856</v>
      </c>
      <c r="G740" t="s">
        <v>106</v>
      </c>
      <c r="H740" t="s">
        <v>3834</v>
      </c>
    </row>
    <row r="741" spans="1:8">
      <c r="A741" t="s">
        <v>3846</v>
      </c>
      <c r="B741" t="s">
        <v>3098</v>
      </c>
      <c r="C741" s="9" t="s">
        <v>3987</v>
      </c>
      <c r="D741" t="s">
        <v>3857</v>
      </c>
      <c r="F741" s="30" t="s">
        <v>4610</v>
      </c>
      <c r="G741" t="s">
        <v>106</v>
      </c>
      <c r="H741" t="s">
        <v>3834</v>
      </c>
    </row>
    <row r="742" spans="1:8">
      <c r="A742" t="s">
        <v>3847</v>
      </c>
      <c r="B742" t="s">
        <v>4175</v>
      </c>
      <c r="C742" s="9">
        <v>2026</v>
      </c>
      <c r="D742" t="s">
        <v>3831</v>
      </c>
      <c r="F742" s="31" t="s">
        <v>3862</v>
      </c>
      <c r="G742" t="s">
        <v>106</v>
      </c>
      <c r="H742" t="s">
        <v>3834</v>
      </c>
    </row>
    <row r="743" spans="1:8">
      <c r="A743" t="s">
        <v>3858</v>
      </c>
      <c r="B743" t="s">
        <v>4017</v>
      </c>
      <c r="C743" s="9">
        <v>2026</v>
      </c>
      <c r="D743" t="s">
        <v>4018</v>
      </c>
      <c r="F743" s="30" t="s">
        <v>4603</v>
      </c>
      <c r="G743" t="s">
        <v>106</v>
      </c>
      <c r="H743" t="s">
        <v>3834</v>
      </c>
    </row>
    <row r="744" spans="1:8">
      <c r="A744" t="s">
        <v>4034</v>
      </c>
      <c r="B744" t="s">
        <v>4493</v>
      </c>
      <c r="C744" s="9">
        <v>1998</v>
      </c>
      <c r="D744" t="s">
        <v>2300</v>
      </c>
      <c r="F744" t="s">
        <v>106</v>
      </c>
      <c r="G744" t="s">
        <v>4492</v>
      </c>
      <c r="H744" t="s">
        <v>3834</v>
      </c>
    </row>
    <row r="745" spans="1:8">
      <c r="A745" t="s">
        <v>3859</v>
      </c>
      <c r="B745" t="s">
        <v>3871</v>
      </c>
      <c r="C745" s="9">
        <v>2025</v>
      </c>
      <c r="D745" t="s">
        <v>3417</v>
      </c>
      <c r="F745" s="30" t="s">
        <v>3872</v>
      </c>
      <c r="G745" s="32" t="s">
        <v>106</v>
      </c>
      <c r="H745" t="s">
        <v>3834</v>
      </c>
    </row>
    <row r="746" spans="1:8">
      <c r="A746" t="s">
        <v>3860</v>
      </c>
      <c r="B746" t="s">
        <v>3874</v>
      </c>
      <c r="C746" s="9">
        <v>2024</v>
      </c>
      <c r="D746" t="s">
        <v>3831</v>
      </c>
      <c r="F746" s="33" t="s">
        <v>3873</v>
      </c>
      <c r="G746" s="33" t="s">
        <v>106</v>
      </c>
      <c r="H746" t="s">
        <v>3834</v>
      </c>
    </row>
    <row r="747" spans="1:8">
      <c r="A747" t="s">
        <v>3861</v>
      </c>
      <c r="B747" t="s">
        <v>3875</v>
      </c>
      <c r="C747" s="9">
        <v>2023</v>
      </c>
      <c r="D747" t="s">
        <v>2798</v>
      </c>
      <c r="F747" s="32" t="s">
        <v>3876</v>
      </c>
      <c r="G747" s="32" t="s">
        <v>106</v>
      </c>
      <c r="H747" t="s">
        <v>3834</v>
      </c>
    </row>
    <row r="748" spans="1:8">
      <c r="A748" t="s">
        <v>3863</v>
      </c>
      <c r="B748" t="s">
        <v>4916</v>
      </c>
      <c r="C748" s="9">
        <v>2025</v>
      </c>
      <c r="D748" t="s">
        <v>3877</v>
      </c>
      <c r="F748" t="s">
        <v>3878</v>
      </c>
      <c r="G748" t="s">
        <v>106</v>
      </c>
      <c r="H748" t="s">
        <v>3834</v>
      </c>
    </row>
    <row r="749" spans="1:8">
      <c r="A749" t="s">
        <v>3864</v>
      </c>
      <c r="B749" t="s">
        <v>3879</v>
      </c>
      <c r="C749" s="9">
        <v>2006</v>
      </c>
      <c r="D749" t="s">
        <v>3831</v>
      </c>
      <c r="F749" t="s">
        <v>3880</v>
      </c>
      <c r="G749" t="s">
        <v>106</v>
      </c>
      <c r="H749" t="s">
        <v>3834</v>
      </c>
    </row>
    <row r="750" spans="1:8">
      <c r="A750" t="s">
        <v>3865</v>
      </c>
      <c r="B750" t="s">
        <v>3882</v>
      </c>
      <c r="C750" s="9">
        <v>2020</v>
      </c>
      <c r="D750" t="s">
        <v>3881</v>
      </c>
      <c r="F750" s="32" t="s">
        <v>3883</v>
      </c>
      <c r="G750" s="32" t="s">
        <v>106</v>
      </c>
      <c r="H750" t="s">
        <v>3834</v>
      </c>
    </row>
    <row r="751" spans="1:8">
      <c r="A751" t="s">
        <v>3866</v>
      </c>
      <c r="B751" t="s">
        <v>3882</v>
      </c>
      <c r="C751" s="9">
        <v>2021</v>
      </c>
      <c r="D751" t="s">
        <v>3824</v>
      </c>
      <c r="F751" s="33" t="s">
        <v>3884</v>
      </c>
      <c r="G751" s="33" t="s">
        <v>106</v>
      </c>
      <c r="H751" t="s">
        <v>3834</v>
      </c>
    </row>
    <row r="752" spans="1:8">
      <c r="A752" t="s">
        <v>3867</v>
      </c>
      <c r="B752" t="s">
        <v>3887</v>
      </c>
      <c r="C752" s="9">
        <v>2018</v>
      </c>
      <c r="D752" t="s">
        <v>3857</v>
      </c>
      <c r="F752" s="32" t="s">
        <v>3888</v>
      </c>
      <c r="G752" s="32" t="s">
        <v>106</v>
      </c>
      <c r="H752" t="s">
        <v>3834</v>
      </c>
    </row>
    <row r="753" spans="1:8">
      <c r="A753" t="s">
        <v>3868</v>
      </c>
      <c r="B753" t="s">
        <v>3889</v>
      </c>
      <c r="C753" s="9">
        <v>1999</v>
      </c>
      <c r="D753" t="s">
        <v>3857</v>
      </c>
      <c r="F753" t="s">
        <v>106</v>
      </c>
      <c r="G753" t="s">
        <v>106</v>
      </c>
      <c r="H753" t="s">
        <v>3834</v>
      </c>
    </row>
    <row r="754" spans="1:8">
      <c r="A754" t="s">
        <v>3869</v>
      </c>
      <c r="B754" t="s">
        <v>3889</v>
      </c>
      <c r="C754" s="9">
        <v>1992</v>
      </c>
      <c r="D754" t="s">
        <v>3857</v>
      </c>
      <c r="F754" t="s">
        <v>106</v>
      </c>
      <c r="G754" t="s">
        <v>106</v>
      </c>
      <c r="H754" t="s">
        <v>3834</v>
      </c>
    </row>
    <row r="755" spans="1:8">
      <c r="A755" t="s">
        <v>3870</v>
      </c>
      <c r="B755" t="s">
        <v>3892</v>
      </c>
      <c r="C755" s="9">
        <v>2014</v>
      </c>
      <c r="D755" t="s">
        <v>2252</v>
      </c>
      <c r="F755" s="32" t="s">
        <v>3893</v>
      </c>
      <c r="G755" s="32" t="s">
        <v>106</v>
      </c>
      <c r="H755" t="s">
        <v>3834</v>
      </c>
    </row>
    <row r="756" spans="1:8">
      <c r="A756" t="s">
        <v>3885</v>
      </c>
      <c r="B756" t="s">
        <v>4915</v>
      </c>
      <c r="C756" s="9">
        <v>2020</v>
      </c>
      <c r="D756" t="s">
        <v>3894</v>
      </c>
      <c r="F756" t="s">
        <v>106</v>
      </c>
      <c r="G756" t="s">
        <v>106</v>
      </c>
      <c r="H756" t="s">
        <v>3834</v>
      </c>
    </row>
    <row r="757" spans="1:8">
      <c r="A757" t="s">
        <v>3886</v>
      </c>
      <c r="B757" t="s">
        <v>3900</v>
      </c>
      <c r="C757" s="9">
        <v>2011</v>
      </c>
      <c r="D757" t="s">
        <v>3831</v>
      </c>
      <c r="F757" t="s">
        <v>3896</v>
      </c>
      <c r="G757" t="s">
        <v>106</v>
      </c>
      <c r="H757" t="s">
        <v>3834</v>
      </c>
    </row>
    <row r="758" spans="1:8">
      <c r="A758" t="s">
        <v>3890</v>
      </c>
      <c r="B758" t="s">
        <v>2576</v>
      </c>
      <c r="C758" s="9">
        <v>2020</v>
      </c>
      <c r="D758" t="s">
        <v>3901</v>
      </c>
      <c r="F758" t="s">
        <v>3295</v>
      </c>
      <c r="G758" t="s">
        <v>106</v>
      </c>
      <c r="H758" t="s">
        <v>3834</v>
      </c>
    </row>
    <row r="759" spans="1:8">
      <c r="A759" t="s">
        <v>3891</v>
      </c>
      <c r="B759" t="s">
        <v>4914</v>
      </c>
      <c r="C759" s="9">
        <v>2016</v>
      </c>
      <c r="D759" t="s">
        <v>3081</v>
      </c>
      <c r="F759" s="34" t="s">
        <v>3908</v>
      </c>
      <c r="G759" s="34" t="s">
        <v>106</v>
      </c>
      <c r="H759" t="s">
        <v>3834</v>
      </c>
    </row>
    <row r="760" spans="1:8">
      <c r="A760" t="s">
        <v>3895</v>
      </c>
      <c r="B760" t="s">
        <v>4913</v>
      </c>
      <c r="C760" s="9">
        <v>2017</v>
      </c>
      <c r="D760" t="s">
        <v>3909</v>
      </c>
      <c r="F760" s="32" t="s">
        <v>3910</v>
      </c>
      <c r="G760" s="32" t="s">
        <v>106</v>
      </c>
      <c r="H760" t="s">
        <v>3834</v>
      </c>
    </row>
    <row r="761" spans="1:8">
      <c r="A761" t="s">
        <v>3897</v>
      </c>
      <c r="B761" t="s">
        <v>3911</v>
      </c>
      <c r="C761" s="9">
        <v>2014</v>
      </c>
      <c r="D761" t="s">
        <v>3912</v>
      </c>
      <c r="F761" s="33" t="s">
        <v>3913</v>
      </c>
      <c r="G761" s="33" t="s">
        <v>106</v>
      </c>
      <c r="H761" t="s">
        <v>3834</v>
      </c>
    </row>
    <row r="762" spans="1:8">
      <c r="A762" t="s">
        <v>3899</v>
      </c>
      <c r="B762" t="s">
        <v>3914</v>
      </c>
      <c r="C762" s="9">
        <v>2022</v>
      </c>
      <c r="D762" t="s">
        <v>3915</v>
      </c>
      <c r="F762" s="33" t="s">
        <v>3913</v>
      </c>
      <c r="G762" s="33" t="s">
        <v>106</v>
      </c>
      <c r="H762" t="s">
        <v>3834</v>
      </c>
    </row>
    <row r="763" spans="1:8">
      <c r="A763" t="s">
        <v>3902</v>
      </c>
      <c r="B763" t="s">
        <v>3146</v>
      </c>
      <c r="C763" s="9">
        <v>2021</v>
      </c>
      <c r="D763" t="s">
        <v>3916</v>
      </c>
      <c r="F763" t="s">
        <v>3148</v>
      </c>
      <c r="G763" s="32" t="s">
        <v>3917</v>
      </c>
      <c r="H763" t="s">
        <v>3834</v>
      </c>
    </row>
    <row r="764" spans="1:8" ht="15.75" thickBot="1">
      <c r="A764" t="s">
        <v>3903</v>
      </c>
      <c r="B764" t="s">
        <v>3924</v>
      </c>
      <c r="C764" s="9" t="s">
        <v>4804</v>
      </c>
      <c r="D764" t="s">
        <v>3831</v>
      </c>
      <c r="F764" s="33" t="s">
        <v>3925</v>
      </c>
      <c r="G764" s="33" t="s">
        <v>106</v>
      </c>
      <c r="H764" t="s">
        <v>3834</v>
      </c>
    </row>
    <row r="765" spans="1:8" ht="13.15" customHeight="1" thickBot="1">
      <c r="A765" t="s">
        <v>3904</v>
      </c>
      <c r="B765" t="s">
        <v>3926</v>
      </c>
      <c r="C765" s="9">
        <v>2011</v>
      </c>
      <c r="D765" t="s">
        <v>3831</v>
      </c>
      <c r="F765" s="35" t="s">
        <v>4553</v>
      </c>
      <c r="G765" s="35" t="s">
        <v>106</v>
      </c>
      <c r="H765" t="s">
        <v>3834</v>
      </c>
    </row>
    <row r="766" spans="1:8">
      <c r="A766" t="s">
        <v>3905</v>
      </c>
      <c r="B766" t="s">
        <v>3928</v>
      </c>
      <c r="C766" s="9">
        <v>2013</v>
      </c>
      <c r="D766" t="s">
        <v>3831</v>
      </c>
      <c r="F766" t="s">
        <v>3927</v>
      </c>
      <c r="G766" t="s">
        <v>106</v>
      </c>
      <c r="H766" t="s">
        <v>3834</v>
      </c>
    </row>
    <row r="767" spans="1:8">
      <c r="A767" t="s">
        <v>3906</v>
      </c>
      <c r="B767" t="s">
        <v>3928</v>
      </c>
      <c r="C767" s="9">
        <v>2018</v>
      </c>
      <c r="D767" t="s">
        <v>3831</v>
      </c>
      <c r="F767" s="32" t="s">
        <v>3929</v>
      </c>
      <c r="G767" s="32" t="s">
        <v>106</v>
      </c>
      <c r="H767" t="s">
        <v>3834</v>
      </c>
    </row>
    <row r="768" spans="1:8">
      <c r="A768" t="s">
        <v>3907</v>
      </c>
      <c r="B768" t="s">
        <v>3930</v>
      </c>
      <c r="C768" s="9">
        <v>2020</v>
      </c>
      <c r="D768" t="s">
        <v>2614</v>
      </c>
      <c r="F768" s="31" t="s">
        <v>4609</v>
      </c>
      <c r="G768" s="33" t="s">
        <v>106</v>
      </c>
      <c r="H768" t="s">
        <v>3834</v>
      </c>
    </row>
    <row r="769" spans="1:8">
      <c r="A769" t="s">
        <v>4020</v>
      </c>
      <c r="B769" t="s">
        <v>2204</v>
      </c>
      <c r="C769" s="9">
        <v>2014</v>
      </c>
      <c r="D769" t="s">
        <v>3831</v>
      </c>
      <c r="F769" t="s">
        <v>3939</v>
      </c>
      <c r="G769" t="s">
        <v>106</v>
      </c>
      <c r="H769" t="s">
        <v>3834</v>
      </c>
    </row>
    <row r="770" spans="1:8">
      <c r="A770" t="s">
        <v>3918</v>
      </c>
      <c r="B770" t="s">
        <v>3940</v>
      </c>
      <c r="C770" s="9">
        <v>2022</v>
      </c>
      <c r="D770" t="s">
        <v>3831</v>
      </c>
      <c r="F770" s="30" t="s">
        <v>4608</v>
      </c>
      <c r="G770" t="s">
        <v>106</v>
      </c>
      <c r="H770" t="s">
        <v>3834</v>
      </c>
    </row>
    <row r="771" spans="1:8">
      <c r="A771" t="s">
        <v>3919</v>
      </c>
      <c r="B771" t="s">
        <v>2497</v>
      </c>
      <c r="C771" s="9">
        <v>2020</v>
      </c>
      <c r="D771" t="s">
        <v>3831</v>
      </c>
      <c r="F771" s="30" t="s">
        <v>4607</v>
      </c>
      <c r="G771" t="s">
        <v>106</v>
      </c>
      <c r="H771" t="s">
        <v>3834</v>
      </c>
    </row>
    <row r="772" spans="1:8">
      <c r="A772" t="s">
        <v>3920</v>
      </c>
      <c r="B772" t="s">
        <v>3578</v>
      </c>
      <c r="C772" s="9">
        <v>2019</v>
      </c>
      <c r="D772" t="s">
        <v>3901</v>
      </c>
      <c r="F772" t="s">
        <v>3941</v>
      </c>
      <c r="G772" t="s">
        <v>106</v>
      </c>
      <c r="H772" t="s">
        <v>3834</v>
      </c>
    </row>
    <row r="773" spans="1:8">
      <c r="A773" t="s">
        <v>3921</v>
      </c>
      <c r="B773" t="s">
        <v>3942</v>
      </c>
      <c r="C773" s="9">
        <v>1986</v>
      </c>
      <c r="D773" t="s">
        <v>3943</v>
      </c>
      <c r="F773" s="30" t="s">
        <v>4606</v>
      </c>
      <c r="G773" t="s">
        <v>106</v>
      </c>
      <c r="H773" t="s">
        <v>3834</v>
      </c>
    </row>
    <row r="774" spans="1:8">
      <c r="A774" t="s">
        <v>3922</v>
      </c>
      <c r="B774" t="s">
        <v>3945</v>
      </c>
      <c r="C774" s="9">
        <v>2024</v>
      </c>
      <c r="D774" t="s">
        <v>3944</v>
      </c>
      <c r="F774" t="s">
        <v>106</v>
      </c>
      <c r="G774" t="s">
        <v>106</v>
      </c>
      <c r="H774" t="s">
        <v>3834</v>
      </c>
    </row>
    <row r="775" spans="1:8">
      <c r="A775" t="s">
        <v>3923</v>
      </c>
      <c r="B775" t="s">
        <v>3946</v>
      </c>
      <c r="C775" s="9">
        <v>2023</v>
      </c>
      <c r="D775" t="s">
        <v>2238</v>
      </c>
      <c r="F775" t="s">
        <v>106</v>
      </c>
      <c r="G775" t="s">
        <v>106</v>
      </c>
      <c r="H775" t="s">
        <v>3834</v>
      </c>
    </row>
    <row r="776" spans="1:8">
      <c r="A776" t="s">
        <v>3931</v>
      </c>
      <c r="B776" t="s">
        <v>4511</v>
      </c>
      <c r="C776" s="9">
        <v>2021</v>
      </c>
      <c r="D776" t="s">
        <v>2172</v>
      </c>
      <c r="F776" s="30" t="s">
        <v>106</v>
      </c>
      <c r="G776" t="s">
        <v>4770</v>
      </c>
      <c r="H776" t="s">
        <v>3834</v>
      </c>
    </row>
    <row r="777" spans="1:8">
      <c r="A777" t="s">
        <v>3932</v>
      </c>
      <c r="B777" t="s">
        <v>4912</v>
      </c>
      <c r="C777" s="9">
        <v>2018</v>
      </c>
      <c r="D777" t="s">
        <v>3831</v>
      </c>
      <c r="F777" s="30" t="s">
        <v>4605</v>
      </c>
      <c r="G777" t="s">
        <v>106</v>
      </c>
      <c r="H777" t="s">
        <v>3834</v>
      </c>
    </row>
    <row r="778" spans="1:8">
      <c r="A778" t="s">
        <v>3933</v>
      </c>
      <c r="B778" t="s">
        <v>4596</v>
      </c>
      <c r="C778" s="9">
        <v>2010</v>
      </c>
      <c r="D778" t="s">
        <v>2238</v>
      </c>
      <c r="F778" t="s">
        <v>106</v>
      </c>
      <c r="G778" t="s">
        <v>106</v>
      </c>
      <c r="H778" t="s">
        <v>3834</v>
      </c>
    </row>
    <row r="779" spans="1:8">
      <c r="A779" t="s">
        <v>3934</v>
      </c>
      <c r="B779" t="s">
        <v>3957</v>
      </c>
      <c r="C779" s="9">
        <v>2022</v>
      </c>
      <c r="D779" t="s">
        <v>3219</v>
      </c>
      <c r="F779" t="s">
        <v>3958</v>
      </c>
      <c r="G779" t="s">
        <v>106</v>
      </c>
      <c r="H779" t="s">
        <v>3834</v>
      </c>
    </row>
    <row r="780" spans="1:8">
      <c r="A780" t="s">
        <v>3935</v>
      </c>
      <c r="B780" t="s">
        <v>3826</v>
      </c>
      <c r="C780" s="9">
        <v>2018</v>
      </c>
      <c r="D780" t="s">
        <v>3959</v>
      </c>
      <c r="F780" t="s">
        <v>106</v>
      </c>
      <c r="G780" t="s">
        <v>106</v>
      </c>
      <c r="H780" t="s">
        <v>3834</v>
      </c>
    </row>
    <row r="781" spans="1:8">
      <c r="A781" s="41" t="s">
        <v>3936</v>
      </c>
      <c r="B781" s="41" t="s">
        <v>2979</v>
      </c>
      <c r="C781" s="40">
        <v>2024</v>
      </c>
      <c r="D781" s="41" t="s">
        <v>2320</v>
      </c>
      <c r="F781" s="30" t="s">
        <v>4604</v>
      </c>
      <c r="H781" t="s">
        <v>3834</v>
      </c>
    </row>
    <row r="782" spans="1:8">
      <c r="A782" t="s">
        <v>3937</v>
      </c>
      <c r="B782" t="s">
        <v>3961</v>
      </c>
      <c r="C782" s="9">
        <v>2020</v>
      </c>
      <c r="D782" t="s">
        <v>3960</v>
      </c>
      <c r="F782" t="s">
        <v>106</v>
      </c>
      <c r="G782" t="s">
        <v>106</v>
      </c>
      <c r="H782" t="s">
        <v>3834</v>
      </c>
    </row>
    <row r="783" spans="1:8">
      <c r="A783" t="s">
        <v>3938</v>
      </c>
      <c r="B783" t="s">
        <v>2718</v>
      </c>
      <c r="C783" s="9">
        <v>1992</v>
      </c>
      <c r="D783" t="s">
        <v>2856</v>
      </c>
      <c r="F783" t="s">
        <v>106</v>
      </c>
      <c r="G783" t="s">
        <v>106</v>
      </c>
      <c r="H783" t="s">
        <v>3834</v>
      </c>
    </row>
    <row r="784" spans="1:8">
      <c r="A784" t="s">
        <v>3947</v>
      </c>
      <c r="B784" t="s">
        <v>3964</v>
      </c>
      <c r="C784" s="9">
        <v>2013</v>
      </c>
      <c r="D784" t="s">
        <v>3552</v>
      </c>
      <c r="F784" t="s">
        <v>106</v>
      </c>
      <c r="G784" t="s">
        <v>106</v>
      </c>
      <c r="H784" t="s">
        <v>3834</v>
      </c>
    </row>
    <row r="785" spans="1:8">
      <c r="A785" t="s">
        <v>3948</v>
      </c>
      <c r="B785" t="s">
        <v>3965</v>
      </c>
      <c r="C785" s="9">
        <v>2008</v>
      </c>
      <c r="D785" t="s">
        <v>3966</v>
      </c>
      <c r="F785" t="s">
        <v>106</v>
      </c>
      <c r="G785" t="s">
        <v>106</v>
      </c>
      <c r="H785" t="s">
        <v>3834</v>
      </c>
    </row>
    <row r="786" spans="1:8">
      <c r="A786" t="s">
        <v>3949</v>
      </c>
      <c r="B786" t="s">
        <v>2519</v>
      </c>
      <c r="C786" s="9">
        <v>1995</v>
      </c>
      <c r="D786" t="s">
        <v>2300</v>
      </c>
      <c r="F786" t="s">
        <v>106</v>
      </c>
      <c r="G786" t="s">
        <v>3967</v>
      </c>
      <c r="H786" t="s">
        <v>3834</v>
      </c>
    </row>
    <row r="787" spans="1:8">
      <c r="A787" t="s">
        <v>3950</v>
      </c>
      <c r="B787" t="s">
        <v>3968</v>
      </c>
      <c r="C787" s="9">
        <v>2008</v>
      </c>
      <c r="D787" t="s">
        <v>3831</v>
      </c>
      <c r="F787" t="s">
        <v>3969</v>
      </c>
      <c r="G787" t="s">
        <v>106</v>
      </c>
      <c r="H787" t="s">
        <v>3834</v>
      </c>
    </row>
    <row r="788" spans="1:8">
      <c r="A788" t="s">
        <v>3951</v>
      </c>
      <c r="B788" t="s">
        <v>3973</v>
      </c>
      <c r="C788" s="9">
        <v>2017</v>
      </c>
      <c r="D788" t="s">
        <v>3250</v>
      </c>
      <c r="F788" t="s">
        <v>106</v>
      </c>
      <c r="G788" t="s">
        <v>106</v>
      </c>
      <c r="H788" t="s">
        <v>3834</v>
      </c>
    </row>
    <row r="789" spans="1:8">
      <c r="A789" t="s">
        <v>3952</v>
      </c>
      <c r="B789" t="s">
        <v>3975</v>
      </c>
      <c r="C789" s="9">
        <v>2002</v>
      </c>
      <c r="D789" t="s">
        <v>3974</v>
      </c>
      <c r="E789" t="s">
        <v>106</v>
      </c>
      <c r="F789" t="s">
        <v>106</v>
      </c>
      <c r="G789" t="s">
        <v>106</v>
      </c>
      <c r="H789" t="s">
        <v>3834</v>
      </c>
    </row>
    <row r="790" spans="1:8">
      <c r="A790" t="s">
        <v>3953</v>
      </c>
      <c r="B790" t="s">
        <v>3669</v>
      </c>
      <c r="C790" s="9">
        <v>2024</v>
      </c>
      <c r="D790" t="s">
        <v>2238</v>
      </c>
      <c r="E790" t="s">
        <v>106</v>
      </c>
      <c r="F790" t="s">
        <v>106</v>
      </c>
      <c r="G790" t="s">
        <v>106</v>
      </c>
      <c r="H790" t="s">
        <v>3834</v>
      </c>
    </row>
    <row r="791" spans="1:8">
      <c r="A791" t="s">
        <v>3954</v>
      </c>
      <c r="B791" t="s">
        <v>3980</v>
      </c>
      <c r="C791" s="9">
        <v>1970</v>
      </c>
      <c r="D791" t="s">
        <v>2856</v>
      </c>
      <c r="E791" t="s">
        <v>106</v>
      </c>
      <c r="F791" t="s">
        <v>106</v>
      </c>
      <c r="G791" t="s">
        <v>106</v>
      </c>
      <c r="H791" t="s">
        <v>3834</v>
      </c>
    </row>
    <row r="792" spans="1:8">
      <c r="A792" t="s">
        <v>3955</v>
      </c>
      <c r="B792" t="s">
        <v>3981</v>
      </c>
      <c r="C792" s="9">
        <v>2025</v>
      </c>
      <c r="D792" t="s">
        <v>3982</v>
      </c>
      <c r="F792" t="s">
        <v>3983</v>
      </c>
      <c r="G792" t="s">
        <v>106</v>
      </c>
      <c r="H792" t="s">
        <v>3834</v>
      </c>
    </row>
    <row r="793" spans="1:8">
      <c r="A793" t="s">
        <v>3956</v>
      </c>
      <c r="B793" t="s">
        <v>3578</v>
      </c>
      <c r="C793" s="9">
        <v>2025</v>
      </c>
      <c r="D793" t="s">
        <v>3579</v>
      </c>
      <c r="E793" t="s">
        <v>106</v>
      </c>
      <c r="F793" t="s">
        <v>106</v>
      </c>
      <c r="G793" t="s">
        <v>106</v>
      </c>
      <c r="H793" t="s">
        <v>3834</v>
      </c>
    </row>
    <row r="794" spans="1:8">
      <c r="A794" t="s">
        <v>3962</v>
      </c>
      <c r="B794" t="s">
        <v>3999</v>
      </c>
      <c r="C794" s="9">
        <v>2016</v>
      </c>
      <c r="D794" t="s">
        <v>4000</v>
      </c>
      <c r="E794" t="s">
        <v>106</v>
      </c>
      <c r="F794" t="s">
        <v>4001</v>
      </c>
      <c r="G794" t="s">
        <v>106</v>
      </c>
      <c r="H794" t="s">
        <v>3834</v>
      </c>
    </row>
    <row r="795" spans="1:8">
      <c r="A795" t="s">
        <v>3963</v>
      </c>
      <c r="B795" t="s">
        <v>4003</v>
      </c>
      <c r="C795" s="9">
        <v>2022</v>
      </c>
      <c r="D795" t="s">
        <v>2961</v>
      </c>
      <c r="E795" t="s">
        <v>106</v>
      </c>
      <c r="F795" t="s">
        <v>4002</v>
      </c>
      <c r="G795" t="s">
        <v>106</v>
      </c>
      <c r="H795" t="s">
        <v>3834</v>
      </c>
    </row>
    <row r="796" spans="1:8">
      <c r="A796" t="s">
        <v>3970</v>
      </c>
      <c r="B796" t="s">
        <v>4005</v>
      </c>
      <c r="C796" s="9">
        <v>2022</v>
      </c>
      <c r="D796" t="s">
        <v>4006</v>
      </c>
      <c r="E796" t="s">
        <v>106</v>
      </c>
      <c r="F796" t="s">
        <v>106</v>
      </c>
      <c r="G796" t="s">
        <v>4004</v>
      </c>
      <c r="H796" t="s">
        <v>3834</v>
      </c>
    </row>
    <row r="797" spans="1:8">
      <c r="A797" t="s">
        <v>3971</v>
      </c>
      <c r="B797" t="s">
        <v>4008</v>
      </c>
      <c r="C797" s="9">
        <v>2015</v>
      </c>
      <c r="D797" t="s">
        <v>4007</v>
      </c>
      <c r="E797" t="s">
        <v>106</v>
      </c>
      <c r="F797" t="s">
        <v>106</v>
      </c>
      <c r="G797" t="s">
        <v>4009</v>
      </c>
      <c r="H797" t="s">
        <v>3834</v>
      </c>
    </row>
    <row r="798" spans="1:8">
      <c r="A798" t="s">
        <v>3972</v>
      </c>
      <c r="B798" t="s">
        <v>4010</v>
      </c>
      <c r="C798" s="9">
        <v>2017</v>
      </c>
      <c r="D798" t="s">
        <v>2238</v>
      </c>
      <c r="E798" t="s">
        <v>106</v>
      </c>
      <c r="F798" t="s">
        <v>106</v>
      </c>
      <c r="G798" t="s">
        <v>106</v>
      </c>
      <c r="H798" t="s">
        <v>3834</v>
      </c>
    </row>
    <row r="799" spans="1:8">
      <c r="A799" t="s">
        <v>3976</v>
      </c>
      <c r="B799" t="s">
        <v>4012</v>
      </c>
      <c r="C799" s="9">
        <v>2013</v>
      </c>
      <c r="D799" t="s">
        <v>4011</v>
      </c>
      <c r="E799" t="s">
        <v>106</v>
      </c>
      <c r="F799" t="s">
        <v>106</v>
      </c>
      <c r="G799" t="s">
        <v>106</v>
      </c>
      <c r="H799" t="s">
        <v>3834</v>
      </c>
    </row>
    <row r="800" spans="1:8">
      <c r="A800" t="s">
        <v>3977</v>
      </c>
      <c r="B800" t="s">
        <v>3019</v>
      </c>
      <c r="C800" s="9" t="s">
        <v>3852</v>
      </c>
      <c r="D800" t="s">
        <v>2238</v>
      </c>
      <c r="E800" t="s">
        <v>106</v>
      </c>
      <c r="F800" t="s">
        <v>106</v>
      </c>
      <c r="G800" t="s">
        <v>106</v>
      </c>
      <c r="H800" t="s">
        <v>3834</v>
      </c>
    </row>
    <row r="801" spans="1:8">
      <c r="A801" t="s">
        <v>3978</v>
      </c>
      <c r="B801" t="s">
        <v>3898</v>
      </c>
      <c r="C801" s="9" t="s">
        <v>3853</v>
      </c>
      <c r="D801" t="s">
        <v>2238</v>
      </c>
      <c r="E801" t="s">
        <v>106</v>
      </c>
      <c r="F801" t="s">
        <v>106</v>
      </c>
      <c r="G801" t="s">
        <v>106</v>
      </c>
      <c r="H801" t="s">
        <v>3834</v>
      </c>
    </row>
    <row r="802" spans="1:8">
      <c r="A802" t="s">
        <v>3984</v>
      </c>
      <c r="B802" t="s">
        <v>4596</v>
      </c>
      <c r="C802" s="9">
        <v>2004</v>
      </c>
      <c r="D802" t="s">
        <v>2238</v>
      </c>
      <c r="E802" t="s">
        <v>106</v>
      </c>
      <c r="F802" t="s">
        <v>106</v>
      </c>
      <c r="G802" t="s">
        <v>106</v>
      </c>
      <c r="H802" t="s">
        <v>3834</v>
      </c>
    </row>
    <row r="803" spans="1:8">
      <c r="A803" t="s">
        <v>3985</v>
      </c>
      <c r="B803" t="s">
        <v>4805</v>
      </c>
      <c r="C803" s="9">
        <v>1994</v>
      </c>
      <c r="D803" t="s">
        <v>2238</v>
      </c>
      <c r="E803" t="s">
        <v>106</v>
      </c>
      <c r="F803" t="s">
        <v>106</v>
      </c>
      <c r="G803" t="s">
        <v>106</v>
      </c>
      <c r="H803" t="s">
        <v>3834</v>
      </c>
    </row>
    <row r="804" spans="1:8">
      <c r="A804" t="s">
        <v>3989</v>
      </c>
      <c r="B804" t="s">
        <v>3988</v>
      </c>
      <c r="C804" s="9">
        <v>2023</v>
      </c>
      <c r="D804" t="s">
        <v>2238</v>
      </c>
      <c r="E804" t="s">
        <v>106</v>
      </c>
      <c r="F804" t="s">
        <v>106</v>
      </c>
      <c r="G804" t="s">
        <v>106</v>
      </c>
      <c r="H804" t="s">
        <v>3834</v>
      </c>
    </row>
    <row r="805" spans="1:8">
      <c r="A805" t="s">
        <v>3990</v>
      </c>
      <c r="B805" t="s">
        <v>3669</v>
      </c>
      <c r="C805" s="9">
        <v>2023</v>
      </c>
      <c r="D805" t="s">
        <v>2238</v>
      </c>
      <c r="E805" t="s">
        <v>106</v>
      </c>
      <c r="F805" t="s">
        <v>106</v>
      </c>
      <c r="G805" t="s">
        <v>3814</v>
      </c>
      <c r="H805" t="s">
        <v>3834</v>
      </c>
    </row>
    <row r="806" spans="1:8">
      <c r="A806" t="s">
        <v>3991</v>
      </c>
      <c r="B806" t="s">
        <v>4014</v>
      </c>
      <c r="C806" s="9">
        <v>2010</v>
      </c>
      <c r="D806" t="s">
        <v>2238</v>
      </c>
      <c r="E806" t="s">
        <v>106</v>
      </c>
      <c r="F806" t="s">
        <v>106</v>
      </c>
      <c r="G806" t="s">
        <v>106</v>
      </c>
      <c r="H806" t="s">
        <v>3834</v>
      </c>
    </row>
    <row r="807" spans="1:8">
      <c r="A807" t="s">
        <v>3992</v>
      </c>
      <c r="B807" t="s">
        <v>4631</v>
      </c>
      <c r="C807" s="9">
        <v>2013</v>
      </c>
      <c r="D807" t="s">
        <v>2238</v>
      </c>
      <c r="E807" t="s">
        <v>106</v>
      </c>
      <c r="F807" t="s">
        <v>106</v>
      </c>
      <c r="G807" t="s">
        <v>106</v>
      </c>
      <c r="H807" t="s">
        <v>3834</v>
      </c>
    </row>
    <row r="808" spans="1:8">
      <c r="A808" t="s">
        <v>4016</v>
      </c>
      <c r="B808" t="s">
        <v>4015</v>
      </c>
      <c r="C808" s="9">
        <v>2013</v>
      </c>
      <c r="D808" t="s">
        <v>2238</v>
      </c>
      <c r="E808" t="s">
        <v>106</v>
      </c>
      <c r="F808" t="s">
        <v>106</v>
      </c>
      <c r="G808" t="s">
        <v>106</v>
      </c>
      <c r="H808" t="s">
        <v>3834</v>
      </c>
    </row>
    <row r="809" spans="1:8">
      <c r="A809" t="s">
        <v>3993</v>
      </c>
      <c r="B809" t="s">
        <v>3986</v>
      </c>
      <c r="C809" s="9">
        <v>2024</v>
      </c>
      <c r="D809" t="s">
        <v>2238</v>
      </c>
      <c r="E809" t="s">
        <v>106</v>
      </c>
      <c r="F809" t="s">
        <v>106</v>
      </c>
      <c r="G809" t="s">
        <v>106</v>
      </c>
      <c r="H809" t="s">
        <v>3834</v>
      </c>
    </row>
    <row r="810" spans="1:8">
      <c r="A810" t="s">
        <v>3994</v>
      </c>
      <c r="B810" t="s">
        <v>4017</v>
      </c>
      <c r="C810" s="9">
        <v>2026</v>
      </c>
      <c r="D810" t="s">
        <v>4018</v>
      </c>
      <c r="E810" t="s">
        <v>106</v>
      </c>
      <c r="F810" s="30" t="s">
        <v>4603</v>
      </c>
      <c r="G810" t="s">
        <v>106</v>
      </c>
      <c r="H810" t="s">
        <v>3834</v>
      </c>
    </row>
    <row r="811" spans="1:8">
      <c r="A811" t="s">
        <v>3995</v>
      </c>
      <c r="B811" t="s">
        <v>3434</v>
      </c>
      <c r="C811" s="9">
        <v>2020</v>
      </c>
      <c r="D811" t="s">
        <v>3250</v>
      </c>
      <c r="E811" t="s">
        <v>106</v>
      </c>
      <c r="F811" t="s">
        <v>106</v>
      </c>
      <c r="G811" t="s">
        <v>106</v>
      </c>
      <c r="H811" t="s">
        <v>3834</v>
      </c>
    </row>
    <row r="812" spans="1:8">
      <c r="A812" t="s">
        <v>3996</v>
      </c>
      <c r="B812" t="s">
        <v>3146</v>
      </c>
      <c r="C812" s="9">
        <v>2021</v>
      </c>
      <c r="D812" t="s">
        <v>2238</v>
      </c>
      <c r="E812" t="s">
        <v>106</v>
      </c>
      <c r="F812" t="s">
        <v>106</v>
      </c>
      <c r="G812" t="s">
        <v>106</v>
      </c>
      <c r="H812" t="s">
        <v>3834</v>
      </c>
    </row>
    <row r="813" spans="1:8">
      <c r="A813" t="s">
        <v>3997</v>
      </c>
      <c r="B813" t="s">
        <v>3146</v>
      </c>
      <c r="C813" s="9">
        <v>2023</v>
      </c>
      <c r="D813" t="s">
        <v>3894</v>
      </c>
      <c r="E813" t="s">
        <v>106</v>
      </c>
      <c r="F813" t="s">
        <v>106</v>
      </c>
      <c r="G813" t="s">
        <v>106</v>
      </c>
      <c r="H813" t="s">
        <v>3834</v>
      </c>
    </row>
    <row r="814" spans="1:8">
      <c r="A814" t="s">
        <v>3998</v>
      </c>
      <c r="B814" t="s">
        <v>4340</v>
      </c>
      <c r="C814" s="9">
        <v>1975</v>
      </c>
      <c r="D814" t="s">
        <v>3071</v>
      </c>
      <c r="E814" t="s">
        <v>106</v>
      </c>
      <c r="F814" t="s">
        <v>106</v>
      </c>
      <c r="G814" t="s">
        <v>106</v>
      </c>
      <c r="H814" t="s">
        <v>3834</v>
      </c>
    </row>
    <row r="815" spans="1:8">
      <c r="A815" t="s">
        <v>4339</v>
      </c>
      <c r="B815" t="s">
        <v>4348</v>
      </c>
      <c r="C815" s="9">
        <v>2024</v>
      </c>
      <c r="D815" t="s">
        <v>3335</v>
      </c>
      <c r="E815" t="s">
        <v>106</v>
      </c>
      <c r="F815" t="s">
        <v>4349</v>
      </c>
      <c r="G815" t="s">
        <v>106</v>
      </c>
      <c r="H815" t="s">
        <v>3834</v>
      </c>
    </row>
    <row r="816" spans="1:8">
      <c r="A816" t="s">
        <v>4436</v>
      </c>
      <c r="B816" t="s">
        <v>4434</v>
      </c>
      <c r="C816" s="9">
        <v>2021</v>
      </c>
      <c r="D816" t="s">
        <v>4435</v>
      </c>
      <c r="E816" t="s">
        <v>106</v>
      </c>
      <c r="F816" s="31" t="s">
        <v>4437</v>
      </c>
      <c r="G816" t="s">
        <v>106</v>
      </c>
      <c r="H816" t="s">
        <v>3834</v>
      </c>
    </row>
    <row r="817" spans="1:8">
      <c r="A817" t="s">
        <v>4442</v>
      </c>
      <c r="B817" t="s">
        <v>4447</v>
      </c>
      <c r="C817" s="9">
        <v>2025</v>
      </c>
      <c r="D817" t="s">
        <v>2238</v>
      </c>
      <c r="E817" t="s">
        <v>106</v>
      </c>
      <c r="F817" s="30" t="s">
        <v>4602</v>
      </c>
      <c r="G817" t="s">
        <v>106</v>
      </c>
      <c r="H817" t="s">
        <v>3834</v>
      </c>
    </row>
    <row r="818" spans="1:8">
      <c r="A818" t="s">
        <v>4453</v>
      </c>
      <c r="B818" t="s">
        <v>4454</v>
      </c>
      <c r="C818" s="9">
        <v>2010</v>
      </c>
      <c r="D818" t="s">
        <v>3894</v>
      </c>
      <c r="E818" t="s">
        <v>106</v>
      </c>
      <c r="F818" t="s">
        <v>106</v>
      </c>
      <c r="G818" t="s">
        <v>106</v>
      </c>
      <c r="H818" t="s">
        <v>3834</v>
      </c>
    </row>
    <row r="819" spans="1:8">
      <c r="A819" t="s">
        <v>4459</v>
      </c>
      <c r="B819" t="s">
        <v>4454</v>
      </c>
      <c r="C819" s="9">
        <v>2014</v>
      </c>
      <c r="D819" t="s">
        <v>4460</v>
      </c>
      <c r="E819" t="s">
        <v>106</v>
      </c>
      <c r="F819" t="s">
        <v>106</v>
      </c>
      <c r="G819" t="s">
        <v>106</v>
      </c>
      <c r="H819" t="s">
        <v>3834</v>
      </c>
    </row>
    <row r="820" spans="1:8">
      <c r="A820" t="s">
        <v>4465</v>
      </c>
      <c r="B820" t="s">
        <v>3957</v>
      </c>
      <c r="C820" s="9">
        <v>2022</v>
      </c>
      <c r="D820" t="s">
        <v>2393</v>
      </c>
      <c r="E820" t="s">
        <v>106</v>
      </c>
      <c r="F820" t="s">
        <v>106</v>
      </c>
      <c r="G820" t="s">
        <v>106</v>
      </c>
      <c r="H820" t="s">
        <v>3834</v>
      </c>
    </row>
    <row r="821" spans="1:8">
      <c r="A821" t="s">
        <v>4470</v>
      </c>
      <c r="B821" t="s">
        <v>4471</v>
      </c>
      <c r="C821" s="9">
        <v>2018</v>
      </c>
      <c r="D821" t="s">
        <v>4472</v>
      </c>
      <c r="E821" t="s">
        <v>106</v>
      </c>
      <c r="F821" s="30" t="s">
        <v>4601</v>
      </c>
      <c r="G821" t="s">
        <v>106</v>
      </c>
      <c r="H821" t="s">
        <v>3834</v>
      </c>
    </row>
    <row r="822" spans="1:8">
      <c r="A822" t="s">
        <v>4481</v>
      </c>
      <c r="B822" t="s">
        <v>4482</v>
      </c>
      <c r="C822" s="9">
        <v>1977</v>
      </c>
      <c r="D822" t="s">
        <v>4483</v>
      </c>
      <c r="E822" t="s">
        <v>106</v>
      </c>
      <c r="F822" t="s">
        <v>106</v>
      </c>
      <c r="G822" t="s">
        <v>106</v>
      </c>
      <c r="H822" t="s">
        <v>3834</v>
      </c>
    </row>
    <row r="823" spans="1:8">
      <c r="A823" t="s">
        <v>4489</v>
      </c>
      <c r="B823" t="s">
        <v>4505</v>
      </c>
      <c r="C823" s="9">
        <v>2026</v>
      </c>
      <c r="D823" t="s">
        <v>3147</v>
      </c>
      <c r="E823" t="s">
        <v>106</v>
      </c>
      <c r="F823" s="30" t="s">
        <v>4600</v>
      </c>
      <c r="G823" t="s">
        <v>106</v>
      </c>
      <c r="H823" t="s">
        <v>3834</v>
      </c>
    </row>
    <row r="824" spans="1:8">
      <c r="A824" t="s">
        <v>4490</v>
      </c>
      <c r="B824" t="s">
        <v>4511</v>
      </c>
      <c r="C824" s="9">
        <v>1999</v>
      </c>
      <c r="D824" t="s">
        <v>2172</v>
      </c>
      <c r="E824" t="s">
        <v>106</v>
      </c>
      <c r="F824" t="s">
        <v>106</v>
      </c>
      <c r="G824" t="s">
        <v>106</v>
      </c>
      <c r="H824" t="s">
        <v>3834</v>
      </c>
    </row>
    <row r="825" spans="1:8">
      <c r="A825" t="s">
        <v>4528</v>
      </c>
      <c r="B825" t="s">
        <v>4527</v>
      </c>
      <c r="C825" s="9">
        <v>1979</v>
      </c>
      <c r="D825" t="s">
        <v>2132</v>
      </c>
      <c r="E825" t="s">
        <v>106</v>
      </c>
      <c r="F825" t="s">
        <v>106</v>
      </c>
      <c r="G825" t="s">
        <v>106</v>
      </c>
      <c r="H825" t="s">
        <v>3834</v>
      </c>
    </row>
    <row r="826" spans="1:8">
      <c r="A826" t="s">
        <v>4533</v>
      </c>
      <c r="B826" t="s">
        <v>2718</v>
      </c>
      <c r="C826" s="9">
        <v>2003</v>
      </c>
      <c r="D826" t="s">
        <v>2205</v>
      </c>
      <c r="E826" t="s">
        <v>106</v>
      </c>
      <c r="F826" t="s">
        <v>106</v>
      </c>
      <c r="G826" t="s">
        <v>106</v>
      </c>
      <c r="H826" t="s">
        <v>3834</v>
      </c>
    </row>
    <row r="827" spans="1:8">
      <c r="A827" t="s">
        <v>4536</v>
      </c>
      <c r="B827" t="s">
        <v>4537</v>
      </c>
      <c r="C827" s="9">
        <v>2006</v>
      </c>
      <c r="D827" t="s">
        <v>3831</v>
      </c>
      <c r="E827" t="s">
        <v>106</v>
      </c>
      <c r="F827" t="s">
        <v>4538</v>
      </c>
      <c r="G827" t="s">
        <v>106</v>
      </c>
      <c r="H827" t="s">
        <v>3834</v>
      </c>
    </row>
    <row r="828" spans="1:8">
      <c r="A828" t="s">
        <v>4543</v>
      </c>
      <c r="B828" t="s">
        <v>4544</v>
      </c>
      <c r="C828" s="9">
        <v>2018</v>
      </c>
      <c r="D828" t="s">
        <v>4542</v>
      </c>
      <c r="E828" t="s">
        <v>106</v>
      </c>
      <c r="F828" t="s">
        <v>4545</v>
      </c>
      <c r="G828" t="s">
        <v>106</v>
      </c>
      <c r="H828" t="s">
        <v>3834</v>
      </c>
    </row>
    <row r="829" spans="1:8">
      <c r="A829" t="s">
        <v>4551</v>
      </c>
      <c r="B829" t="s">
        <v>4552</v>
      </c>
      <c r="C829" s="9" t="s">
        <v>4803</v>
      </c>
      <c r="D829" t="s">
        <v>2252</v>
      </c>
      <c r="E829" t="s">
        <v>106</v>
      </c>
      <c r="F829" s="31" t="s">
        <v>4553</v>
      </c>
      <c r="G829" t="s">
        <v>106</v>
      </c>
      <c r="H829" t="s">
        <v>3834</v>
      </c>
    </row>
    <row r="830" spans="1:8">
      <c r="A830" t="s">
        <v>4563</v>
      </c>
      <c r="B830" t="s">
        <v>4562</v>
      </c>
      <c r="C830" s="9">
        <v>2022</v>
      </c>
      <c r="D830" t="s">
        <v>4561</v>
      </c>
      <c r="E830" t="s">
        <v>106</v>
      </c>
      <c r="F830" t="s">
        <v>106</v>
      </c>
      <c r="G830" t="s">
        <v>4564</v>
      </c>
      <c r="H830" t="s">
        <v>3834</v>
      </c>
    </row>
    <row r="831" spans="1:8">
      <c r="A831" t="s">
        <v>4572</v>
      </c>
      <c r="B831" t="s">
        <v>4571</v>
      </c>
      <c r="C831" s="9">
        <v>1968</v>
      </c>
      <c r="D831" t="s">
        <v>2856</v>
      </c>
      <c r="E831" t="s">
        <v>106</v>
      </c>
      <c r="F831" t="s">
        <v>106</v>
      </c>
      <c r="G831" t="s">
        <v>106</v>
      </c>
      <c r="H831" t="s">
        <v>3834</v>
      </c>
    </row>
    <row r="832" spans="1:8">
      <c r="A832" t="s">
        <v>4587</v>
      </c>
      <c r="B832" t="s">
        <v>4586</v>
      </c>
      <c r="C832" s="9">
        <v>2019</v>
      </c>
      <c r="D832" t="s">
        <v>3850</v>
      </c>
      <c r="E832" t="s">
        <v>106</v>
      </c>
      <c r="F832" s="31" t="s">
        <v>4588</v>
      </c>
      <c r="G832" s="31" t="s">
        <v>106</v>
      </c>
      <c r="H832" t="s">
        <v>3834</v>
      </c>
    </row>
    <row r="833" spans="1:8">
      <c r="A833" t="s">
        <v>4616</v>
      </c>
      <c r="B833" t="s">
        <v>4615</v>
      </c>
      <c r="C833" s="9">
        <v>2023</v>
      </c>
      <c r="D833" t="s">
        <v>4614</v>
      </c>
      <c r="E833" t="s">
        <v>106</v>
      </c>
      <c r="F833" s="30" t="s">
        <v>4617</v>
      </c>
      <c r="G833" t="s">
        <v>106</v>
      </c>
      <c r="H833" t="s">
        <v>3834</v>
      </c>
    </row>
    <row r="834" spans="1:8" s="24" customFormat="1">
      <c r="A834" s="24" t="s">
        <v>4633</v>
      </c>
      <c r="B834" s="24" t="s">
        <v>4649</v>
      </c>
      <c r="C834" s="23">
        <v>1981</v>
      </c>
      <c r="D834" s="24" t="s">
        <v>2132</v>
      </c>
      <c r="E834" s="24" t="s">
        <v>106</v>
      </c>
      <c r="F834" s="7" t="s">
        <v>4778</v>
      </c>
      <c r="G834" s="24" t="s">
        <v>106</v>
      </c>
      <c r="H834" s="24" t="s">
        <v>3834</v>
      </c>
    </row>
    <row r="835" spans="1:8">
      <c r="A835" t="s">
        <v>4634</v>
      </c>
      <c r="B835" t="s">
        <v>4650</v>
      </c>
      <c r="C835" s="9">
        <v>1995</v>
      </c>
      <c r="D835" t="s">
        <v>2183</v>
      </c>
      <c r="E835" t="s">
        <v>106</v>
      </c>
      <c r="F835" s="20" t="s">
        <v>4777</v>
      </c>
      <c r="G835" t="s">
        <v>106</v>
      </c>
      <c r="H835" t="s">
        <v>3834</v>
      </c>
    </row>
    <row r="836" spans="1:8">
      <c r="A836" t="s">
        <v>4635</v>
      </c>
      <c r="B836" t="s">
        <v>4651</v>
      </c>
      <c r="C836" s="9">
        <v>2001</v>
      </c>
      <c r="D836" t="s">
        <v>2132</v>
      </c>
      <c r="E836" t="s">
        <v>106</v>
      </c>
      <c r="F836" s="7" t="s">
        <v>4776</v>
      </c>
      <c r="G836" t="s">
        <v>106</v>
      </c>
      <c r="H836" t="s">
        <v>3834</v>
      </c>
    </row>
    <row r="837" spans="1:8">
      <c r="A837" t="s">
        <v>4636</v>
      </c>
      <c r="B837" t="s">
        <v>2593</v>
      </c>
      <c r="C837" s="9">
        <v>1996</v>
      </c>
      <c r="D837" t="s">
        <v>2183</v>
      </c>
      <c r="E837" t="s">
        <v>106</v>
      </c>
      <c r="F837" s="7" t="s">
        <v>4775</v>
      </c>
      <c r="G837" t="s">
        <v>106</v>
      </c>
      <c r="H837" t="s">
        <v>3834</v>
      </c>
    </row>
    <row r="838" spans="1:8">
      <c r="A838" t="s">
        <v>4637</v>
      </c>
      <c r="B838" t="s">
        <v>3889</v>
      </c>
      <c r="C838" s="9">
        <v>2005</v>
      </c>
      <c r="D838" t="s">
        <v>2132</v>
      </c>
      <c r="E838" t="s">
        <v>106</v>
      </c>
      <c r="F838" t="s">
        <v>4663</v>
      </c>
      <c r="G838" t="s">
        <v>106</v>
      </c>
      <c r="H838" t="s">
        <v>3834</v>
      </c>
    </row>
    <row r="839" spans="1:8">
      <c r="A839" t="s">
        <v>4638</v>
      </c>
      <c r="B839" t="s">
        <v>4652</v>
      </c>
      <c r="C839" s="9">
        <v>1990</v>
      </c>
      <c r="D839" t="s">
        <v>2132</v>
      </c>
      <c r="E839" t="s">
        <v>106</v>
      </c>
      <c r="F839" s="20" t="s">
        <v>4774</v>
      </c>
      <c r="G839" t="s">
        <v>106</v>
      </c>
      <c r="H839" t="s">
        <v>3834</v>
      </c>
    </row>
    <row r="840" spans="1:8">
      <c r="A840" t="s">
        <v>4639</v>
      </c>
      <c r="B840" t="s">
        <v>4653</v>
      </c>
      <c r="C840" s="9">
        <v>2003</v>
      </c>
      <c r="D840" t="s">
        <v>2183</v>
      </c>
      <c r="E840" t="s">
        <v>106</v>
      </c>
      <c r="F840" s="7" t="s">
        <v>4773</v>
      </c>
      <c r="G840" t="s">
        <v>106</v>
      </c>
      <c r="H840" t="s">
        <v>3834</v>
      </c>
    </row>
    <row r="841" spans="1:8">
      <c r="A841" t="s">
        <v>4640</v>
      </c>
      <c r="B841" t="s">
        <v>4511</v>
      </c>
      <c r="C841" s="9">
        <v>1998</v>
      </c>
      <c r="D841" t="s">
        <v>2183</v>
      </c>
      <c r="E841" t="s">
        <v>106</v>
      </c>
      <c r="F841" s="20" t="s">
        <v>4772</v>
      </c>
      <c r="G841" t="s">
        <v>106</v>
      </c>
      <c r="H841" t="s">
        <v>3834</v>
      </c>
    </row>
    <row r="842" spans="1:8">
      <c r="A842" t="s">
        <v>4641</v>
      </c>
      <c r="B842" t="s">
        <v>2177</v>
      </c>
      <c r="C842" s="9">
        <v>1993</v>
      </c>
      <c r="D842" t="s">
        <v>2132</v>
      </c>
      <c r="E842" t="s">
        <v>106</v>
      </c>
      <c r="F842" s="20" t="s">
        <v>4785</v>
      </c>
      <c r="G842" t="s">
        <v>106</v>
      </c>
      <c r="H842" t="s">
        <v>3834</v>
      </c>
    </row>
    <row r="843" spans="1:8">
      <c r="A843" t="s">
        <v>4642</v>
      </c>
      <c r="B843" t="s">
        <v>4654</v>
      </c>
      <c r="C843" s="9">
        <v>2024</v>
      </c>
      <c r="D843" t="s">
        <v>2132</v>
      </c>
      <c r="E843" t="s">
        <v>106</v>
      </c>
      <c r="F843" s="20" t="s">
        <v>4784</v>
      </c>
      <c r="G843" t="s">
        <v>106</v>
      </c>
      <c r="H843" t="s">
        <v>3834</v>
      </c>
    </row>
    <row r="844" spans="1:8">
      <c r="A844" t="s">
        <v>4643</v>
      </c>
      <c r="B844" t="s">
        <v>4655</v>
      </c>
      <c r="C844" s="9">
        <v>1994</v>
      </c>
      <c r="D844" t="s">
        <v>2132</v>
      </c>
      <c r="E844" t="s">
        <v>106</v>
      </c>
      <c r="F844" s="20" t="s">
        <v>4783</v>
      </c>
      <c r="G844" t="s">
        <v>106</v>
      </c>
      <c r="H844" t="s">
        <v>3834</v>
      </c>
    </row>
    <row r="845" spans="1:8">
      <c r="A845" t="s">
        <v>4644</v>
      </c>
      <c r="B845" t="s">
        <v>3879</v>
      </c>
      <c r="C845" s="9">
        <v>1994</v>
      </c>
      <c r="D845" t="s">
        <v>2132</v>
      </c>
      <c r="E845" t="s">
        <v>106</v>
      </c>
      <c r="F845" s="20" t="s">
        <v>4771</v>
      </c>
      <c r="G845" t="s">
        <v>106</v>
      </c>
      <c r="H845" t="s">
        <v>3834</v>
      </c>
    </row>
    <row r="846" spans="1:8">
      <c r="A846" t="s">
        <v>4645</v>
      </c>
      <c r="B846" t="s">
        <v>4656</v>
      </c>
      <c r="C846" s="9">
        <v>2025</v>
      </c>
      <c r="D846" t="s">
        <v>2837</v>
      </c>
      <c r="E846" t="s">
        <v>106</v>
      </c>
      <c r="F846" s="20" t="s">
        <v>4782</v>
      </c>
      <c r="G846" t="s">
        <v>106</v>
      </c>
      <c r="H846" t="s">
        <v>3834</v>
      </c>
    </row>
    <row r="847" spans="1:8">
      <c r="A847" t="s">
        <v>4646</v>
      </c>
      <c r="B847" t="s">
        <v>4657</v>
      </c>
      <c r="C847" s="9">
        <v>2019</v>
      </c>
      <c r="D847" t="s">
        <v>2132</v>
      </c>
      <c r="E847" t="s">
        <v>106</v>
      </c>
      <c r="F847" s="20" t="s">
        <v>4780</v>
      </c>
      <c r="G847" t="s">
        <v>106</v>
      </c>
      <c r="H847" t="s">
        <v>3834</v>
      </c>
    </row>
    <row r="848" spans="1:8">
      <c r="A848" t="s">
        <v>4647</v>
      </c>
      <c r="B848" t="s">
        <v>4657</v>
      </c>
      <c r="C848" s="9">
        <v>2018</v>
      </c>
      <c r="D848" t="s">
        <v>2132</v>
      </c>
      <c r="E848" t="s">
        <v>106</v>
      </c>
      <c r="F848" s="20" t="s">
        <v>4781</v>
      </c>
      <c r="G848" t="s">
        <v>106</v>
      </c>
      <c r="H848" t="s">
        <v>3834</v>
      </c>
    </row>
    <row r="849" spans="1:8">
      <c r="A849" t="s">
        <v>4648</v>
      </c>
      <c r="B849" t="s">
        <v>4657</v>
      </c>
      <c r="C849" s="9" t="s">
        <v>4660</v>
      </c>
      <c r="D849" t="s">
        <v>2132</v>
      </c>
      <c r="E849" t="s">
        <v>106</v>
      </c>
      <c r="F849" s="7" t="s">
        <v>4780</v>
      </c>
      <c r="G849" t="s">
        <v>106</v>
      </c>
      <c r="H849" t="s">
        <v>3834</v>
      </c>
    </row>
    <row r="850" spans="1:8">
      <c r="A850" t="s">
        <v>4658</v>
      </c>
      <c r="B850" t="s">
        <v>4661</v>
      </c>
      <c r="C850" s="9">
        <v>1993</v>
      </c>
      <c r="D850" t="s">
        <v>2132</v>
      </c>
      <c r="E850" t="s">
        <v>106</v>
      </c>
      <c r="F850" s="7" t="s">
        <v>4779</v>
      </c>
      <c r="G850" t="s">
        <v>106</v>
      </c>
      <c r="H850" t="s">
        <v>3834</v>
      </c>
    </row>
    <row r="851" spans="1:8">
      <c r="A851" t="s">
        <v>4659</v>
      </c>
      <c r="B851" t="s">
        <v>4662</v>
      </c>
      <c r="C851" s="9">
        <v>1999</v>
      </c>
      <c r="D851" t="s">
        <v>2132</v>
      </c>
      <c r="E851" t="s">
        <v>106</v>
      </c>
      <c r="F851" s="7" t="s">
        <v>4786</v>
      </c>
      <c r="G851" t="s">
        <v>106</v>
      </c>
      <c r="H851" t="s">
        <v>3834</v>
      </c>
    </row>
    <row r="852" spans="1:8">
      <c r="A852" t="s">
        <v>4806</v>
      </c>
      <c r="B852" t="s">
        <v>4908</v>
      </c>
      <c r="C852" s="9">
        <v>2020</v>
      </c>
      <c r="D852" t="s">
        <v>4909</v>
      </c>
      <c r="E852" t="s">
        <v>106</v>
      </c>
      <c r="F852" t="s">
        <v>106</v>
      </c>
      <c r="G852" t="s">
        <v>106</v>
      </c>
      <c r="H852" t="s">
        <v>3834</v>
      </c>
    </row>
    <row r="853" spans="1:8">
      <c r="A853" t="s">
        <v>4807</v>
      </c>
      <c r="B853" t="s">
        <v>4910</v>
      </c>
      <c r="C853" s="9">
        <v>2010</v>
      </c>
      <c r="D853" t="s">
        <v>4909</v>
      </c>
      <c r="E853" t="s">
        <v>106</v>
      </c>
      <c r="F853" t="s">
        <v>106</v>
      </c>
      <c r="G853" t="s">
        <v>106</v>
      </c>
      <c r="H853" t="s">
        <v>3834</v>
      </c>
    </row>
    <row r="854" spans="1:8">
      <c r="A854" t="s">
        <v>4808</v>
      </c>
      <c r="B854" t="s">
        <v>4911</v>
      </c>
      <c r="C854" s="9">
        <v>2022</v>
      </c>
      <c r="D854" t="s">
        <v>4909</v>
      </c>
      <c r="E854" t="s">
        <v>106</v>
      </c>
      <c r="F854" t="s">
        <v>106</v>
      </c>
      <c r="G854" t="s">
        <v>106</v>
      </c>
      <c r="H854" t="s">
        <v>3834</v>
      </c>
    </row>
    <row r="855" spans="1:8">
      <c r="A855" t="s">
        <v>4809</v>
      </c>
      <c r="B855" t="s">
        <v>4917</v>
      </c>
      <c r="C855" s="9">
        <v>2009</v>
      </c>
      <c r="D855" t="s">
        <v>4909</v>
      </c>
      <c r="E855" t="s">
        <v>106</v>
      </c>
      <c r="F855" t="s">
        <v>106</v>
      </c>
      <c r="G855" t="s">
        <v>106</v>
      </c>
      <c r="H855" t="s">
        <v>3834</v>
      </c>
    </row>
    <row r="856" spans="1:8">
      <c r="A856" t="s">
        <v>4810</v>
      </c>
      <c r="B856" t="s">
        <v>4919</v>
      </c>
      <c r="C856" s="9">
        <v>2009</v>
      </c>
      <c r="D856" t="s">
        <v>2132</v>
      </c>
      <c r="E856" t="s">
        <v>106</v>
      </c>
      <c r="F856" s="38" t="s">
        <v>4920</v>
      </c>
      <c r="G856" t="s">
        <v>106</v>
      </c>
      <c r="H856" t="s">
        <v>3834</v>
      </c>
    </row>
    <row r="857" spans="1:8">
      <c r="A857" t="s">
        <v>4811</v>
      </c>
      <c r="B857" t="s">
        <v>4924</v>
      </c>
      <c r="C857" s="9">
        <v>2024</v>
      </c>
      <c r="D857" t="s">
        <v>4909</v>
      </c>
      <c r="E857" t="s">
        <v>106</v>
      </c>
      <c r="F857" t="s">
        <v>106</v>
      </c>
      <c r="G857" t="s">
        <v>106</v>
      </c>
      <c r="H857" t="s">
        <v>3834</v>
      </c>
    </row>
    <row r="858" spans="1:8">
      <c r="A858" t="s">
        <v>4812</v>
      </c>
      <c r="B858" t="s">
        <v>4925</v>
      </c>
      <c r="C858" s="9">
        <v>2003</v>
      </c>
      <c r="D858" t="s">
        <v>4926</v>
      </c>
      <c r="E858" t="s">
        <v>106</v>
      </c>
      <c r="F858" t="s">
        <v>106</v>
      </c>
      <c r="G858" t="s">
        <v>4954</v>
      </c>
      <c r="H858" t="s">
        <v>3834</v>
      </c>
    </row>
    <row r="859" spans="1:8">
      <c r="A859" t="s">
        <v>4813</v>
      </c>
      <c r="B859" t="s">
        <v>4925</v>
      </c>
      <c r="C859" s="9">
        <v>1991</v>
      </c>
      <c r="D859" t="s">
        <v>3857</v>
      </c>
      <c r="E859" t="s">
        <v>106</v>
      </c>
      <c r="F859" s="20" t="s">
        <v>4955</v>
      </c>
      <c r="G859" t="s">
        <v>106</v>
      </c>
      <c r="H859" t="s">
        <v>3834</v>
      </c>
    </row>
    <row r="860" spans="1:8">
      <c r="A860" t="s">
        <v>4814</v>
      </c>
      <c r="B860" t="s">
        <v>4930</v>
      </c>
      <c r="C860" s="9">
        <v>2017</v>
      </c>
      <c r="D860" t="s">
        <v>2132</v>
      </c>
      <c r="E860" t="s">
        <v>106</v>
      </c>
      <c r="F860" s="20" t="s">
        <v>4956</v>
      </c>
      <c r="G860" t="s">
        <v>106</v>
      </c>
      <c r="H860" t="s">
        <v>3834</v>
      </c>
    </row>
    <row r="861" spans="1:8">
      <c r="A861" t="s">
        <v>4815</v>
      </c>
      <c r="B861" t="s">
        <v>4596</v>
      </c>
      <c r="C861" s="9">
        <v>2011</v>
      </c>
      <c r="D861" t="s">
        <v>4909</v>
      </c>
      <c r="E861" t="s">
        <v>106</v>
      </c>
      <c r="F861" t="s">
        <v>106</v>
      </c>
      <c r="G861" t="s">
        <v>106</v>
      </c>
      <c r="H861" t="s">
        <v>3834</v>
      </c>
    </row>
    <row r="862" spans="1:8">
      <c r="A862" t="s">
        <v>4816</v>
      </c>
      <c r="B862" t="s">
        <v>4931</v>
      </c>
      <c r="C862" s="9">
        <v>2003</v>
      </c>
      <c r="D862" t="s">
        <v>2132</v>
      </c>
      <c r="E862" t="s">
        <v>106</v>
      </c>
      <c r="F862" s="39" t="s">
        <v>4957</v>
      </c>
      <c r="G862" t="s">
        <v>106</v>
      </c>
      <c r="H862" t="s">
        <v>3834</v>
      </c>
    </row>
    <row r="863" spans="1:8">
      <c r="A863" t="s">
        <v>4817</v>
      </c>
      <c r="B863" t="s">
        <v>4932</v>
      </c>
      <c r="C863" s="9">
        <v>2003</v>
      </c>
      <c r="D863" t="s">
        <v>4909</v>
      </c>
      <c r="E863" t="s">
        <v>106</v>
      </c>
      <c r="F863" t="s">
        <v>106</v>
      </c>
      <c r="G863" t="s">
        <v>106</v>
      </c>
      <c r="H863" t="s">
        <v>3834</v>
      </c>
    </row>
    <row r="864" spans="1:8">
      <c r="A864" t="s">
        <v>4818</v>
      </c>
      <c r="B864" t="s">
        <v>4946</v>
      </c>
      <c r="C864" s="9">
        <v>2009</v>
      </c>
      <c r="D864" t="s">
        <v>4909</v>
      </c>
      <c r="E864" t="s">
        <v>106</v>
      </c>
      <c r="F864" t="s">
        <v>106</v>
      </c>
      <c r="G864" t="s">
        <v>106</v>
      </c>
      <c r="H864" t="s">
        <v>3834</v>
      </c>
    </row>
    <row r="865" spans="1:8">
      <c r="A865" t="s">
        <v>4819</v>
      </c>
      <c r="B865" t="s">
        <v>4944</v>
      </c>
      <c r="C865" s="9">
        <v>2010</v>
      </c>
      <c r="D865" t="s">
        <v>4909</v>
      </c>
      <c r="E865" t="s">
        <v>106</v>
      </c>
      <c r="F865" t="s">
        <v>106</v>
      </c>
      <c r="G865" t="s">
        <v>106</v>
      </c>
      <c r="H865" t="s">
        <v>3834</v>
      </c>
    </row>
    <row r="866" spans="1:8">
      <c r="A866" t="s">
        <v>4820</v>
      </c>
      <c r="B866" t="s">
        <v>4945</v>
      </c>
      <c r="C866" s="9">
        <v>2004</v>
      </c>
      <c r="D866" t="s">
        <v>4909</v>
      </c>
      <c r="E866" t="s">
        <v>106</v>
      </c>
      <c r="F866" t="s">
        <v>106</v>
      </c>
      <c r="G866" t="s">
        <v>106</v>
      </c>
      <c r="H866" t="s">
        <v>3834</v>
      </c>
    </row>
    <row r="867" spans="1:8">
      <c r="A867" t="s">
        <v>4821</v>
      </c>
      <c r="B867" t="s">
        <v>4947</v>
      </c>
      <c r="C867" s="9">
        <v>2009</v>
      </c>
      <c r="D867" t="s">
        <v>4909</v>
      </c>
      <c r="E867" t="s">
        <v>106</v>
      </c>
      <c r="F867" t="s">
        <v>106</v>
      </c>
      <c r="G867" t="s">
        <v>106</v>
      </c>
      <c r="H867" t="s">
        <v>3834</v>
      </c>
    </row>
    <row r="868" spans="1:8">
      <c r="A868" t="s">
        <v>4822</v>
      </c>
      <c r="B868" t="s">
        <v>4013</v>
      </c>
      <c r="C868" s="9">
        <v>2016</v>
      </c>
      <c r="D868" t="s">
        <v>4909</v>
      </c>
      <c r="E868" t="s">
        <v>106</v>
      </c>
      <c r="F868" t="s">
        <v>106</v>
      </c>
      <c r="G868" t="s">
        <v>106</v>
      </c>
      <c r="H868" t="s">
        <v>3834</v>
      </c>
    </row>
    <row r="869" spans="1:8">
      <c r="A869" t="s">
        <v>4823</v>
      </c>
      <c r="B869" t="s">
        <v>4949</v>
      </c>
      <c r="C869" s="9">
        <v>2017</v>
      </c>
      <c r="D869" t="s">
        <v>4948</v>
      </c>
      <c r="E869" t="s">
        <v>106</v>
      </c>
      <c r="F869" t="s">
        <v>4950</v>
      </c>
      <c r="G869" t="s">
        <v>106</v>
      </c>
      <c r="H869" t="s">
        <v>3834</v>
      </c>
    </row>
    <row r="870" spans="1:8">
      <c r="A870" t="s">
        <v>4824</v>
      </c>
      <c r="B870" t="s">
        <v>4951</v>
      </c>
      <c r="C870" s="9">
        <v>2006</v>
      </c>
      <c r="D870" t="s">
        <v>4909</v>
      </c>
      <c r="E870" t="s">
        <v>106</v>
      </c>
      <c r="F870" t="s">
        <v>106</v>
      </c>
      <c r="G870" t="s">
        <v>106</v>
      </c>
      <c r="H870" t="s">
        <v>3834</v>
      </c>
    </row>
    <row r="871" spans="1:8">
      <c r="A871" t="s">
        <v>4825</v>
      </c>
      <c r="B871" t="s">
        <v>4952</v>
      </c>
      <c r="C871" s="9">
        <v>1999</v>
      </c>
      <c r="D871" t="s">
        <v>2300</v>
      </c>
      <c r="E871" t="s">
        <v>106</v>
      </c>
      <c r="F871" t="s">
        <v>106</v>
      </c>
      <c r="G871" t="s">
        <v>4958</v>
      </c>
      <c r="H871" t="s">
        <v>3834</v>
      </c>
    </row>
    <row r="872" spans="1:8">
      <c r="A872" t="s">
        <v>4986</v>
      </c>
      <c r="B872" t="s">
        <v>4999</v>
      </c>
      <c r="C872" s="9">
        <v>2009</v>
      </c>
      <c r="D872" t="s">
        <v>2208</v>
      </c>
      <c r="E872" t="s">
        <v>106</v>
      </c>
      <c r="F872" s="20" t="s">
        <v>5012</v>
      </c>
      <c r="G872" t="s">
        <v>106</v>
      </c>
      <c r="H872" t="s">
        <v>3834</v>
      </c>
    </row>
    <row r="873" spans="1:8">
      <c r="A873" t="s">
        <v>4987</v>
      </c>
      <c r="B873" t="s">
        <v>5000</v>
      </c>
      <c r="C873" s="9">
        <v>2018</v>
      </c>
      <c r="D873" t="s">
        <v>5013</v>
      </c>
      <c r="E873" t="s">
        <v>106</v>
      </c>
      <c r="F873" t="s">
        <v>5011</v>
      </c>
      <c r="G873" t="s">
        <v>106</v>
      </c>
      <c r="H873" t="s">
        <v>3834</v>
      </c>
    </row>
    <row r="874" spans="1:8">
      <c r="A874" t="s">
        <v>4988</v>
      </c>
      <c r="B874" t="s">
        <v>5001</v>
      </c>
      <c r="C874" s="9">
        <v>2012</v>
      </c>
      <c r="D874" t="s">
        <v>2172</v>
      </c>
      <c r="E874" t="s">
        <v>106</v>
      </c>
      <c r="F874" s="20" t="s">
        <v>5010</v>
      </c>
      <c r="G874" t="s">
        <v>106</v>
      </c>
      <c r="H874" t="s">
        <v>3834</v>
      </c>
    </row>
    <row r="875" spans="1:8">
      <c r="A875" t="s">
        <v>4989</v>
      </c>
      <c r="B875" t="s">
        <v>5002</v>
      </c>
      <c r="C875" s="9">
        <v>2025</v>
      </c>
      <c r="D875" t="s">
        <v>5004</v>
      </c>
      <c r="E875" t="s">
        <v>106</v>
      </c>
      <c r="F875" t="s">
        <v>5009</v>
      </c>
      <c r="G875" t="s">
        <v>106</v>
      </c>
      <c r="H875" t="s">
        <v>3834</v>
      </c>
    </row>
    <row r="876" spans="1:8">
      <c r="A876" t="s">
        <v>4990</v>
      </c>
      <c r="B876" t="s">
        <v>5003</v>
      </c>
      <c r="C876" s="9">
        <v>2020</v>
      </c>
      <c r="D876" t="s">
        <v>5005</v>
      </c>
      <c r="E876" t="s">
        <v>106</v>
      </c>
      <c r="F876" s="7" t="s">
        <v>5008</v>
      </c>
      <c r="G876" t="s">
        <v>106</v>
      </c>
      <c r="H876" t="s">
        <v>3834</v>
      </c>
    </row>
    <row r="877" spans="1:8">
      <c r="A877" t="s">
        <v>4991</v>
      </c>
      <c r="B877" t="s">
        <v>3854</v>
      </c>
      <c r="C877" s="9">
        <v>2026</v>
      </c>
      <c r="D877" t="s">
        <v>5006</v>
      </c>
      <c r="E877" t="s">
        <v>106</v>
      </c>
      <c r="F877" s="20" t="s">
        <v>5007</v>
      </c>
      <c r="G877" t="s">
        <v>106</v>
      </c>
      <c r="H877" t="s">
        <v>3834</v>
      </c>
    </row>
    <row r="878" spans="1:8">
      <c r="A878" t="s">
        <v>5031</v>
      </c>
      <c r="B878" t="s">
        <v>5034</v>
      </c>
      <c r="C878" s="9">
        <v>2012</v>
      </c>
      <c r="D878" t="s">
        <v>5037</v>
      </c>
      <c r="E878" t="s">
        <v>106</v>
      </c>
      <c r="F878" t="s">
        <v>106</v>
      </c>
      <c r="G878" t="s">
        <v>106</v>
      </c>
      <c r="H878" t="s">
        <v>3834</v>
      </c>
    </row>
    <row r="879" spans="1:8">
      <c r="A879" t="s">
        <v>5032</v>
      </c>
      <c r="B879" t="s">
        <v>5035</v>
      </c>
      <c r="C879" s="9">
        <v>2026</v>
      </c>
      <c r="D879" t="s">
        <v>5038</v>
      </c>
      <c r="E879" t="s">
        <v>106</v>
      </c>
      <c r="F879" t="s">
        <v>106</v>
      </c>
      <c r="G879" t="s">
        <v>5039</v>
      </c>
      <c r="H879" t="s">
        <v>3834</v>
      </c>
    </row>
    <row r="880" spans="1:8">
      <c r="A880" t="s">
        <v>5033</v>
      </c>
      <c r="B880" t="s">
        <v>5036</v>
      </c>
      <c r="C880" s="9">
        <v>2013</v>
      </c>
      <c r="D880" t="s">
        <v>3071</v>
      </c>
      <c r="E880" t="s">
        <v>106</v>
      </c>
      <c r="F880" t="s">
        <v>106</v>
      </c>
      <c r="G880" t="s">
        <v>106</v>
      </c>
      <c r="H880" t="s">
        <v>3834</v>
      </c>
    </row>
    <row r="881" spans="1:8">
      <c r="A881" t="s">
        <v>5080</v>
      </c>
      <c r="B881" t="s">
        <v>5053</v>
      </c>
      <c r="C881" s="9">
        <v>2008</v>
      </c>
      <c r="D881" t="s">
        <v>2252</v>
      </c>
      <c r="E881" t="s">
        <v>106</v>
      </c>
      <c r="F881" t="s">
        <v>5092</v>
      </c>
      <c r="G881" t="s">
        <v>106</v>
      </c>
      <c r="H881" t="s">
        <v>3834</v>
      </c>
    </row>
    <row r="882" spans="1:8">
      <c r="A882" t="s">
        <v>5081</v>
      </c>
      <c r="B882" t="s">
        <v>3898</v>
      </c>
      <c r="C882" s="9">
        <v>2016</v>
      </c>
      <c r="D882" t="s">
        <v>3959</v>
      </c>
      <c r="E882" t="s">
        <v>106</v>
      </c>
      <c r="F882" t="s">
        <v>106</v>
      </c>
      <c r="G882" t="s">
        <v>106</v>
      </c>
      <c r="H882" t="s">
        <v>3834</v>
      </c>
    </row>
    <row r="883" spans="1:8">
      <c r="A883" t="s">
        <v>5082</v>
      </c>
      <c r="B883" t="s">
        <v>5054</v>
      </c>
      <c r="C883" s="9">
        <v>2009</v>
      </c>
      <c r="D883" t="s">
        <v>2252</v>
      </c>
      <c r="E883" t="s">
        <v>106</v>
      </c>
      <c r="F883" t="s">
        <v>5093</v>
      </c>
      <c r="G883" t="s">
        <v>106</v>
      </c>
      <c r="H883" t="s">
        <v>3834</v>
      </c>
    </row>
    <row r="884" spans="1:8">
      <c r="A884" t="s">
        <v>5083</v>
      </c>
      <c r="B884" t="s">
        <v>5055</v>
      </c>
      <c r="C884" s="9">
        <v>2006</v>
      </c>
      <c r="D884" t="s">
        <v>5058</v>
      </c>
      <c r="E884" t="s">
        <v>106</v>
      </c>
      <c r="F884" t="s">
        <v>5094</v>
      </c>
      <c r="G884" t="s">
        <v>106</v>
      </c>
      <c r="H884" t="s">
        <v>3834</v>
      </c>
    </row>
    <row r="885" spans="1:8">
      <c r="A885" t="s">
        <v>5084</v>
      </c>
      <c r="B885" t="s">
        <v>5056</v>
      </c>
      <c r="C885" s="9">
        <v>1998</v>
      </c>
      <c r="D885" t="s">
        <v>5058</v>
      </c>
      <c r="E885" t="s">
        <v>106</v>
      </c>
      <c r="F885" t="s">
        <v>5095</v>
      </c>
      <c r="G885" t="s">
        <v>106</v>
      </c>
      <c r="H885" t="s">
        <v>3834</v>
      </c>
    </row>
    <row r="886" spans="1:8" s="45" customFormat="1">
      <c r="A886" s="45" t="s">
        <v>5085</v>
      </c>
      <c r="B886" s="45" t="s">
        <v>5057</v>
      </c>
      <c r="C886" s="44">
        <v>2017</v>
      </c>
      <c r="D886" s="45" t="s">
        <v>5058</v>
      </c>
      <c r="E886" s="45" t="s">
        <v>106</v>
      </c>
      <c r="F886" s="45" t="s">
        <v>5096</v>
      </c>
      <c r="G886" s="45" t="s">
        <v>106</v>
      </c>
      <c r="H886" s="45" t="s">
        <v>3834</v>
      </c>
    </row>
  </sheetData>
  <sortState xmlns:xlrd2="http://schemas.microsoft.com/office/spreadsheetml/2017/richdata2" ref="A2:H727">
    <sortCondition ref="B2:B727"/>
  </sortState>
  <phoneticPr fontId="22" type="noConversion"/>
  <hyperlinks>
    <hyperlink ref="G675" r:id="rId1" xr:uid="{5B709369-9143-48FA-B5FB-84FE3A7A23B6}"/>
    <hyperlink ref="F567" r:id="rId2" xr:uid="{E870F96A-3D37-4148-A7C7-C436464E6911}"/>
    <hyperlink ref="G537" r:id="rId3" xr:uid="{2C86140A-FE16-45D9-BE3F-5821D77E0FD9}"/>
    <hyperlink ref="G239" r:id="rId4" xr:uid="{C65ABFA7-C328-4EBE-8151-70CED8F59EE9}"/>
    <hyperlink ref="G264" r:id="rId5" xr:uid="{CA4B66FD-19E5-4627-8FC2-571DF125DE3F}"/>
    <hyperlink ref="G304" r:id="rId6" xr:uid="{8BB81C15-3410-459A-94B8-BC479D05A71F}"/>
    <hyperlink ref="G580" r:id="rId7" xr:uid="{4135BA90-B351-4910-A79C-4480E8B6C5FE}"/>
    <hyperlink ref="G114" r:id="rId8" xr:uid="{9502F3EE-0FE4-49D3-B059-37DCDB126481}"/>
    <hyperlink ref="G498" r:id="rId9" xr:uid="{C6DA2098-AD80-410D-A46F-8FC8108CCE80}"/>
    <hyperlink ref="G421" r:id="rId10" xr:uid="{321583C2-0A49-4E99-9D26-E6F34FC88B14}"/>
    <hyperlink ref="G664" r:id="rId11" xr:uid="{624D3711-1904-4735-A22C-CC84B91D999E}"/>
    <hyperlink ref="G208" r:id="rId12" xr:uid="{93F9F85F-8498-4E03-8366-78AC0106C744}"/>
    <hyperlink ref="G624" r:id="rId13" xr:uid="{DD300525-62C9-4653-89AF-E423AA1DFAAD}"/>
    <hyperlink ref="G340" r:id="rId14" display="https://www.researchgate.net/profile/Fred-Kabi/publication/237085419_Effect_of_supplementary_protein_source_on_the_performance_of_indigenous_meat_goats_fed_Guinea_grass_hay/links/00b7d51f3934756a06000000/Effect-of-supplementary-protein-source-on-the-performance-of-indigenous-meat-goats-fed-Guinea-grass-hay.pdf" xr:uid="{B07DD9D0-C2DE-4798-8007-704F4505769D}"/>
    <hyperlink ref="G135" r:id="rId15" xr:uid="{206AEB12-BCB3-4972-9C42-8F98A1FE4196}"/>
    <hyperlink ref="G728" r:id="rId16" display="https://doi.org/10.1007/s42452-026-09070-6" xr:uid="{1DE7EFAD-55F0-41C0-8D66-3350D9A95179}"/>
    <hyperlink ref="G747" r:id="rId17" display="https://doi.org/10.1093/jas/skad147" xr:uid="{725944F6-8F99-4D24-9E60-46A63212FF17}"/>
    <hyperlink ref="G750" r:id="rId18" display="https://doi.org/10.1016/j.meatsci.2019.107969" xr:uid="{A1AE9AB9-558D-4CE1-820D-2C178432F176}"/>
    <hyperlink ref="G746" r:id="rId19" display="https://doi.org/10.1007/s11250-024-03959-3" xr:uid="{7377C69F-EBC3-431F-9D6D-BBE0DCF12B41}"/>
    <hyperlink ref="G751" r:id="rId20" display="https://doi.org/10.1016/j.animal.2020.100020" xr:uid="{59405969-1D62-43CB-8761-7BF14CA3AD0A}"/>
    <hyperlink ref="G752" r:id="rId21" display="https://doi.org/10.3168/jds.2017-14327" xr:uid="{719A5447-E668-4D5D-B7E6-8437B2B1E13C}"/>
    <hyperlink ref="G755" r:id="rId22" display="https://doi.org/10.1016/j.livsci.2013.12.016" xr:uid="{04A09B57-DC5E-412B-B09A-B70C851537FB}"/>
    <hyperlink ref="G760" r:id="rId23" display="http://dx.doi.org/10.18685/EJARD(7)2_EJARD-17-011" xr:uid="{C3DE26FE-A758-43D4-AD14-303BB121C506}"/>
    <hyperlink ref="G761" r:id="rId24" display="https://doi.org/10.1111/jpn.12068" xr:uid="{0CBE3C6D-FF74-4D40-A8B6-CF114E171AD2}"/>
    <hyperlink ref="G762" r:id="rId25" display="https://doi.org/10.1111/jpn.12068" xr:uid="{C39C2F87-6B64-4D00-AB79-52856234207A}"/>
    <hyperlink ref="G763" r:id="rId26" display="http://www.sciencepublishinggroup.com/j/aa" xr:uid="{E2C545C0-C586-4EFD-B0D9-3161419814AB}"/>
    <hyperlink ref="G764" r:id="rId27" display="https://doi.org/10.1007/s11250-015-0801-z" xr:uid="{B01B9BA3-2161-4F22-A324-F21FA687A392}"/>
    <hyperlink ref="G765" r:id="rId28" display="https://doi.org/10.1007/s11250-010-9740-x" xr:uid="{B80FD255-7603-4CCF-8E15-E2CFB0543222}"/>
    <hyperlink ref="G767" r:id="rId29" display="https://doi.org/10.1007/s11250-018-1676-6" xr:uid="{A61BD6F4-5C47-412B-8F7D-2A74CC615144}"/>
    <hyperlink ref="G768" r:id="rId30" display="https://doi.org/10.1111/asj.13370" xr:uid="{E5A90F4A-9FA3-4731-A79F-CDAB13A784B8}"/>
    <hyperlink ref="G832" r:id="rId31" display="https://doi.org/10.1080/1745039X.2019.1572343" xr:uid="{C927A0EA-7042-424A-B3D3-724B32B204B2}"/>
    <hyperlink ref="F832" r:id="rId32" xr:uid="{6855476C-55F4-40A4-B9A9-2F9B01BC88DA}"/>
    <hyperlink ref="F829" r:id="rId33" xr:uid="{255F1910-0ED6-4142-BDBC-ECB571141C21}"/>
    <hyperlink ref="F823" r:id="rId34" display="https://doi.org/10.1155/aia/8823593" xr:uid="{1600AAD3-AEEC-4C76-85DE-447E8E26BE90}"/>
    <hyperlink ref="F821" r:id="rId35" display="https://doi.org/10.19080/ARTOAJ.2018.17.556024" xr:uid="{3B0463B0-A487-47DD-B9C0-9021FFA5872A}"/>
    <hyperlink ref="F817" r:id="rId36" display="https://doi.org/10.55197/qjoest.v6i3.238" xr:uid="{BA3184F4-CC9A-4CC1-9BAB-332D3C481105}"/>
    <hyperlink ref="F816" r:id="rId37" xr:uid="{D0104219-5B55-412C-A8C3-D53149203258}"/>
    <hyperlink ref="F810" r:id="rId38" display="https://doi.org/10.1038/s41598-026-52674-6" xr:uid="{10F26A15-A9EF-4757-949B-F65F8FBC0B9F}"/>
    <hyperlink ref="F781" r:id="rId39" display="https://doi.org/10.1080/09712119.2023.2290829" xr:uid="{28EF7A99-F8AE-46E0-88D9-7A3A313007DE}"/>
    <hyperlink ref="F777" r:id="rId40" display="https://doi.org/10.1007/s11250-018-1779-0" xr:uid="{5EAA6788-F1D2-4B37-B954-FA5F8C086CAB}"/>
    <hyperlink ref="F773" r:id="rId41" display="https://doi.org/10.1080/00128325.1986.11663503" xr:uid="{4DF72FF0-5F5D-4297-94D9-810195F0D597}"/>
    <hyperlink ref="F771" r:id="rId42" display="https://doi.org/10.1007/s11250-020-02346-y" xr:uid="{EF4FDC2B-4AE5-4425-8B85-C81CCB90E7BC}"/>
    <hyperlink ref="F770" r:id="rId43" display="https://doi.org/10.1007/s11250-022-03275-8" xr:uid="{8BC64119-660B-4802-8FD8-114F30FAD6F7}"/>
    <hyperlink ref="F768" r:id="rId44" xr:uid="{83E7BD00-8658-4620-9573-34CFCFB2EEAA}"/>
    <hyperlink ref="F767" r:id="rId45" display="https://doi.org/10.1007/s11250-018-1676-6" xr:uid="{0FBF730B-82EC-442F-98C3-625346659E59}"/>
    <hyperlink ref="F764" r:id="rId46" display="https://doi.org/10.1007/s11250-015-0801-z" xr:uid="{D6CACF71-29A8-493B-AD9A-9007C7311209}"/>
    <hyperlink ref="F762" r:id="rId47" display="https://doi.org/10.1111/jpn.12068" xr:uid="{75F9CF64-CEE5-424E-80DA-D748D5DF7213}"/>
    <hyperlink ref="F761" r:id="rId48" display="https://doi.org/10.1111/jpn.12068" xr:uid="{F71C3A03-7AF1-4FF2-BFF3-F51953B9B1D2}"/>
    <hyperlink ref="F760" r:id="rId49" display="http://dx.doi.org/10.18685/EJARD(7)2_EJARD-17-011" xr:uid="{5E3297BC-A248-4AA1-9E99-B8D02959CE0C}"/>
    <hyperlink ref="F755" r:id="rId50" display="https://doi.org/10.1016/j.livsci.2013.12.016" xr:uid="{C46378A0-8AD5-4765-A21C-4FA92915DAD3}"/>
    <hyperlink ref="F752" r:id="rId51" display="https://doi.org/10.3168/jds.2017-14327" xr:uid="{FE13844E-03D3-4ACF-B896-B59226D36C81}"/>
    <hyperlink ref="F751" r:id="rId52" xr:uid="{53250E1E-9E2F-4997-B4EB-24755344061A}"/>
    <hyperlink ref="F750" r:id="rId53" display="https://doi.org/10.1016/j.meatsci.2019.107969" xr:uid="{40CA1F9E-E602-42A3-B4BB-F2FA9CF273AF}"/>
    <hyperlink ref="F741" r:id="rId54" display="https://doi.org/10.3168/jds.2021-21535" xr:uid="{E2855244-96D9-43F2-B6DF-8E445BC731D1}"/>
    <hyperlink ref="F742" r:id="rId55" xr:uid="{3F56B904-A57F-412B-B640-4D4CF84A054C}"/>
    <hyperlink ref="F743" r:id="rId56" display="https://doi.org/10.1038/s41598-026-52674-6" xr:uid="{B1AD9CD6-EA50-4CC1-A0BF-547112D18266}"/>
    <hyperlink ref="F745" r:id="rId57" display="https://doi.org/10.3390/ani15172505" xr:uid="{D6906D34-8203-4CC5-80B2-6CDE504D3DAF}"/>
    <hyperlink ref="F746" r:id="rId58" xr:uid="{07C22788-5844-497C-A0FC-AFF42CC81407}"/>
    <hyperlink ref="F747" r:id="rId59" display="https://doi.org/10.1093/jas/skad147" xr:uid="{2A4E5A10-EACB-41ED-AD23-A06C094CFA59}"/>
    <hyperlink ref="F728" r:id="rId60" xr:uid="{684EA613-8903-4366-97E0-0825AC9BA19E}"/>
    <hyperlink ref="F730" r:id="rId61" display="https://doi.org/10.1016/j.animal.2022.100632" xr:uid="{B357B6B4-7D06-443C-8661-1CA56A71ECE4}"/>
    <hyperlink ref="F736" r:id="rId62" xr:uid="{1D62B6AB-0CB2-49A2-A431-91ED4F9C5005}"/>
    <hyperlink ref="F737" r:id="rId63" display="https://doi.org/10.1016/j.animal.2024.101320" xr:uid="{80B29C2C-F825-4FED-9DDD-DD507F6099D1}"/>
    <hyperlink ref="F738" r:id="rId64" xr:uid="{5336F9B8-679E-41AF-9F4A-96EFA1214865}"/>
    <hyperlink ref="F739" r:id="rId65" display="https://doi.org/10.1016/j.vas.2025.100511" xr:uid="{2180AF38-592E-4153-BE80-7A4215334ACA}"/>
    <hyperlink ref="F833" r:id="rId66" display="https://doi.org/10.1371/journalpone.0282879" xr:uid="{687C30F8-0F08-443A-87E8-4B587E4976CC}"/>
    <hyperlink ref="F841" r:id="rId67" display="https://doi.org/10.1016/S0301-6226(98)00127-4" xr:uid="{481C0776-F823-4CA9-96E3-9C0E4985B2E3}"/>
    <hyperlink ref="F840" r:id="rId68" xr:uid="{47D2A0DD-A2BC-426B-B0AF-D05DFCB81DF3}"/>
    <hyperlink ref="F839" r:id="rId69" display="https://doi.org/10.1016/0377-8401(90)90132-R" xr:uid="{94AC4602-5135-44B5-BE60-BBA0679EC1C5}"/>
    <hyperlink ref="F837" r:id="rId70" display="https://doi.org/10.1016/S0301-6226(96)00034-6" xr:uid="{CABF6A53-FEEA-4EC6-8E2C-8F6F82E744E2}"/>
    <hyperlink ref="F836" r:id="rId71" display="https://doi.org/10.1016/S0377-8401(01)00270-8" xr:uid="{C5C5DD63-1988-4BB3-9AED-C78FDC7571BC}"/>
    <hyperlink ref="F835" r:id="rId72" display="https://doi.org/10.1016/0301-6226(95)00077-1" xr:uid="{97174627-6B5F-464E-B783-E355602A232D}"/>
    <hyperlink ref="F834" r:id="rId73" display="https://doi.org/10.1016/0377-8401(81)90026-2" xr:uid="{FE8ECDAA-EF50-44A8-BE37-2288B8C4FB7F}"/>
    <hyperlink ref="F850" r:id="rId74" xr:uid="{722D4585-4395-4823-B14E-555E377BBC6F}"/>
    <hyperlink ref="F849" r:id="rId75" display="https://doi.org/10.1016/j.anifeedsci.2019.04.006" xr:uid="{733A2E3D-FC6A-45EF-876D-FFCEE040E907}"/>
    <hyperlink ref="F848" r:id="rId76" display="https://doi.org/10.1016/j.anifeedsci.2018.04.025" xr:uid="{FB662C84-5017-4375-B81A-ED61C1180703}"/>
    <hyperlink ref="F847" r:id="rId77" display="https://doi.org/10.1016/j.anifeedsci.2019.04.006" xr:uid="{E8BB4C28-32C9-41D8-8D39-A7B4C6BAA5F5}"/>
    <hyperlink ref="F846" r:id="rId78" display="https://doi.org/10.1016/j.anopes.2025.100097" xr:uid="{3220F433-2FFC-4681-B85F-75D744D5E489}"/>
    <hyperlink ref="F845" r:id="rId79" display="https://doi.org/10.1016/0377-8401(94)90053-1" xr:uid="{1D2C7381-14D5-4BFB-8AC0-E5D856744C2A}"/>
    <hyperlink ref="F844" r:id="rId80" display="https://doi.org/10.1016/0377-8401(93)00593-K" xr:uid="{22C8053A-A7AE-43C3-A1DE-4A20C010FAC4}"/>
    <hyperlink ref="F843" r:id="rId81" display="https://doi.org/10.1016/j.anifeedsci.2024.116066" xr:uid="{52B405C2-26E7-4321-8181-0D3C4C500CB1}"/>
    <hyperlink ref="F842" r:id="rId82" display="https://doi.org/10.1016/0377-8401(93)90161-M" xr:uid="{40A571CF-7102-44F4-932D-F73FD693CBDD}"/>
    <hyperlink ref="F851" r:id="rId83" xr:uid="{FA500ADE-C95B-43F7-87C8-6F8AF250C2DA}"/>
    <hyperlink ref="F859" r:id="rId84" display="https://doi.org/10.3168/jds.S0022-0302(99)75317-8" xr:uid="{5CC3E394-C72F-462D-8703-4B5358987798}"/>
    <hyperlink ref="F860" r:id="rId85" display="http://dx.doi.org/10.1016/j.anifeedsci.2017.02.012" xr:uid="{D9BC14BF-50A6-47E1-957D-83657B1D0817}"/>
    <hyperlink ref="F877" r:id="rId86" display="https://doi.org/10.1016/j.jafr.2026.102670" xr:uid="{63E8E946-1248-484D-9909-F60221DF4241}"/>
    <hyperlink ref="F876" r:id="rId87" xr:uid="{3974D6DA-6D61-49AA-AE1F-76A7E4B25C4E}"/>
    <hyperlink ref="F874" r:id="rId88" display="http://dx.doi.org/10.4314/sajas.v42i2.13" xr:uid="{29858507-CFCB-48D3-B6C2-08688A017B2D}"/>
    <hyperlink ref="F872" r:id="rId89" xr:uid="{643DDB25-D568-49C9-8A3D-7E238DD483DD}"/>
  </hyperlinks>
  <pageMargins left="0.7" right="0.7" top="0.75" bottom="0.75" header="0.3" footer="0.3"/>
  <pageSetup paperSize="9" orientation="portrait" horizontalDpi="300" verticalDpi="300" r:id="rId9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922E-BFC7-4EDE-8542-FDFD8DB1090C}">
  <dimension ref="A1:P1382"/>
  <sheetViews>
    <sheetView tabSelected="1" topLeftCell="G21" workbookViewId="0">
      <selection activeCell="M46" sqref="M46"/>
    </sheetView>
  </sheetViews>
  <sheetFormatPr defaultRowHeight="15"/>
  <cols>
    <col min="1" max="1" width="27.5703125" customWidth="1"/>
    <col min="2" max="2" width="17.5703125" customWidth="1"/>
    <col min="4" max="4" width="27.42578125" customWidth="1"/>
    <col min="5" max="5" width="27.85546875" customWidth="1"/>
    <col min="6" max="6" width="30.5703125" customWidth="1"/>
    <col min="7" max="7" width="24.140625" customWidth="1"/>
    <col min="8" max="8" width="21" customWidth="1"/>
    <col min="9" max="9" width="23.140625" customWidth="1"/>
    <col min="10" max="10" width="23.42578125" customWidth="1"/>
    <col min="11" max="11" width="29.85546875" customWidth="1"/>
    <col min="12" max="12" width="21.85546875" customWidth="1"/>
    <col min="13" max="13" width="17.85546875" customWidth="1"/>
  </cols>
  <sheetData>
    <row r="1" spans="1:16">
      <c r="A1" t="s">
        <v>3799</v>
      </c>
      <c r="B1" t="s">
        <v>3827</v>
      </c>
      <c r="D1" s="13" t="s">
        <v>4021</v>
      </c>
      <c r="E1" s="13" t="s">
        <v>4022</v>
      </c>
      <c r="F1" s="13" t="s">
        <v>4023</v>
      </c>
      <c r="G1" s="13" t="s">
        <v>4024</v>
      </c>
      <c r="H1" s="13" t="s">
        <v>4025</v>
      </c>
      <c r="I1" s="13" t="s">
        <v>4026</v>
      </c>
      <c r="J1" s="13" t="s">
        <v>4027</v>
      </c>
      <c r="K1" s="13" t="s">
        <v>4028</v>
      </c>
      <c r="L1" s="13" t="s">
        <v>4029</v>
      </c>
      <c r="M1" s="13" t="s">
        <v>4030</v>
      </c>
      <c r="O1" s="13" t="s">
        <v>5097</v>
      </c>
      <c r="P1" s="13" t="s">
        <v>5098</v>
      </c>
    </row>
    <row r="2" spans="1:16">
      <c r="A2" t="s">
        <v>3801</v>
      </c>
      <c r="B2" t="s">
        <v>3828</v>
      </c>
      <c r="D2" t="str" cm="1">
        <f t="array" ref="D2:D56">_xlfn.UNIQUE(_xlfn._xlws.FILTER(feed_intake_raw!K2:K2978,feed_intake_raw!J2:J2978="Sheep"))</f>
        <v>Unspecified</v>
      </c>
      <c r="E2" t="str" cm="1">
        <f t="array" ref="E2:E41">_xlfn.UNIQUE(_xlfn._xlws.FILTER(feed_intake_raw!K2:K2978,feed_intake_raw!J2:J2978="Goat"))</f>
        <v>West African Dwarf</v>
      </c>
      <c r="F2" t="str" cm="1">
        <f t="array" ref="F2:F220">_xlfn.UNIQUE(_xlfn._xlws.FILTER(feed_intake_raw!K2:K2978,OR(feed_intake_raw!J2:J2978="Cattle",feed_intake_raw!J2:J2978="Zebu Cattle")))</f>
        <v>Ankole Longhorn***Holstein Friesian</v>
      </c>
      <c r="H2" t="s">
        <v>108</v>
      </c>
      <c r="J2" t="s">
        <v>117</v>
      </c>
      <c r="K2" s="9" t="s">
        <v>4070</v>
      </c>
      <c r="L2" t="s">
        <v>123</v>
      </c>
      <c r="M2" t="s">
        <v>441</v>
      </c>
      <c r="O2" t="s">
        <v>5099</v>
      </c>
      <c r="P2" t="s">
        <v>5099</v>
      </c>
    </row>
    <row r="3" spans="1:16">
      <c r="A3" t="s">
        <v>3809</v>
      </c>
      <c r="B3" t="s">
        <v>3829</v>
      </c>
      <c r="D3" t="str">
        <v>Fogera</v>
      </c>
      <c r="E3" t="str">
        <v>Abergelle</v>
      </c>
      <c r="F3" t="str">
        <v>Unspecified</v>
      </c>
      <c r="J3" t="s">
        <v>634</v>
      </c>
      <c r="K3" s="9" t="s">
        <v>924</v>
      </c>
      <c r="L3" t="s">
        <v>223</v>
      </c>
      <c r="M3" t="s">
        <v>180</v>
      </c>
      <c r="O3" t="s">
        <v>5100</v>
      </c>
      <c r="P3" t="s">
        <v>5100</v>
      </c>
    </row>
    <row r="4" spans="1:16">
      <c r="A4" t="s">
        <v>3802</v>
      </c>
      <c r="B4" t="s">
        <v>3830</v>
      </c>
      <c r="D4" t="str">
        <v>Barki</v>
      </c>
      <c r="E4" t="str">
        <v>Saanen</v>
      </c>
      <c r="F4" t="str">
        <v>Holstien_Friesian</v>
      </c>
      <c r="K4" s="9" t="s">
        <v>4216</v>
      </c>
      <c r="L4" t="s">
        <v>4039</v>
      </c>
      <c r="M4" t="s">
        <v>237</v>
      </c>
    </row>
    <row r="5" spans="1:16">
      <c r="A5" t="s">
        <v>3800</v>
      </c>
      <c r="D5" t="str">
        <v>West African Dwarf</v>
      </c>
      <c r="E5" t="str">
        <v>Boer</v>
      </c>
      <c r="F5" t="str">
        <v>Unspecified Crossbreed</v>
      </c>
      <c r="K5" s="9" t="s">
        <v>4221</v>
      </c>
      <c r="L5" s="9" t="s">
        <v>4044</v>
      </c>
      <c r="M5" t="s">
        <v>356</v>
      </c>
    </row>
    <row r="6" spans="1:16">
      <c r="A6" t="s">
        <v>3812</v>
      </c>
      <c r="D6" t="str">
        <v>Yankasa</v>
      </c>
      <c r="E6" t="str">
        <v>Unspecified</v>
      </c>
      <c r="F6" t="str">
        <v>Bunaji</v>
      </c>
      <c r="K6" s="9" t="s">
        <v>4427</v>
      </c>
      <c r="L6" t="s">
        <v>4039</v>
      </c>
      <c r="M6" s="9" t="s">
        <v>698</v>
      </c>
    </row>
    <row r="7" spans="1:16">
      <c r="A7" t="s">
        <v>3808</v>
      </c>
      <c r="D7" t="str">
        <v>Farta</v>
      </c>
      <c r="E7" t="str">
        <v>Arsi Bale</v>
      </c>
      <c r="F7" t="str">
        <v>Fogera</v>
      </c>
      <c r="K7" s="9" t="s">
        <v>4426</v>
      </c>
      <c r="L7" s="9" t="s">
        <v>4094</v>
      </c>
      <c r="M7" s="9" t="s">
        <v>4051</v>
      </c>
    </row>
    <row r="8" spans="1:16">
      <c r="A8" t="s">
        <v>3803</v>
      </c>
      <c r="D8" t="str">
        <v>Blackhead Ogaden</v>
      </c>
      <c r="E8" t="str">
        <v>Damascus</v>
      </c>
      <c r="F8" t="str">
        <v>Begaria</v>
      </c>
      <c r="K8" s="26" t="s">
        <v>4727</v>
      </c>
      <c r="L8" s="9" t="s">
        <v>4122</v>
      </c>
      <c r="M8" s="9" t="s">
        <v>4081</v>
      </c>
    </row>
    <row r="9" spans="1:16">
      <c r="A9" t="s">
        <v>3804</v>
      </c>
      <c r="D9" t="str">
        <v>Dorper</v>
      </c>
      <c r="E9" t="str">
        <v>55% Kamorai***30% Boer***15% East African indigenous</v>
      </c>
      <c r="F9" t="str">
        <v>Zebu</v>
      </c>
      <c r="K9" s="9" t="s">
        <v>4266</v>
      </c>
      <c r="L9" s="25" t="s">
        <v>4126</v>
      </c>
      <c r="M9" s="9" t="s">
        <v>4787</v>
      </c>
    </row>
    <row r="10" spans="1:16">
      <c r="A10" t="s">
        <v>3805</v>
      </c>
      <c r="D10" t="str">
        <v>Tigray Highland</v>
      </c>
      <c r="E10" t="str">
        <v>Zaraibi</v>
      </c>
      <c r="F10" t="str">
        <v>Horro</v>
      </c>
      <c r="K10" t="s">
        <v>1271</v>
      </c>
      <c r="L10" s="9" t="s">
        <v>4148</v>
      </c>
      <c r="M10" s="9" t="s">
        <v>4080</v>
      </c>
    </row>
    <row r="11" spans="1:16">
      <c r="A11" t="s">
        <v>3806</v>
      </c>
      <c r="D11" t="str">
        <v>Hararghe Highland</v>
      </c>
      <c r="E11" t="str">
        <v>Local Variety</v>
      </c>
      <c r="F11" t="str">
        <v>Rahaji</v>
      </c>
      <c r="K11" t="s">
        <v>4921</v>
      </c>
      <c r="L11" s="9" t="s">
        <v>4126</v>
      </c>
      <c r="M11" s="9" t="s">
        <v>4099</v>
      </c>
    </row>
    <row r="12" spans="1:16">
      <c r="A12" t="s">
        <v>3810</v>
      </c>
      <c r="D12" t="str">
        <v>Ossimi</v>
      </c>
      <c r="E12" t="str">
        <v>Woyto-Guji</v>
      </c>
      <c r="F12" t="str">
        <v>Friesian***Bunaji</v>
      </c>
      <c r="K12" t="s">
        <v>4927</v>
      </c>
      <c r="L12" s="9" t="s">
        <v>4173</v>
      </c>
      <c r="M12" s="9" t="s">
        <v>4104</v>
      </c>
    </row>
    <row r="13" spans="1:16">
      <c r="A13" t="s">
        <v>3813</v>
      </c>
      <c r="D13" t="str">
        <v>Finn***Ossimi</v>
      </c>
      <c r="E13" t="str">
        <v>Pedi</v>
      </c>
      <c r="F13" t="str">
        <v>Azawak</v>
      </c>
      <c r="K13" t="s">
        <v>4165</v>
      </c>
      <c r="L13" s="9" t="s">
        <v>4191</v>
      </c>
      <c r="M13" s="9" t="s">
        <v>4788</v>
      </c>
    </row>
    <row r="14" spans="1:16">
      <c r="A14" t="s">
        <v>106</v>
      </c>
      <c r="D14" t="str">
        <v>Horro</v>
      </c>
      <c r="E14" t="str">
        <v>Small East African</v>
      </c>
      <c r="F14" t="str">
        <v>Holstein***Friesian***Arsi</v>
      </c>
      <c r="L14" s="9" t="s">
        <v>4192</v>
      </c>
      <c r="M14" s="9" t="s">
        <v>390</v>
      </c>
    </row>
    <row r="15" spans="1:16">
      <c r="D15" t="str">
        <v>Gumuz</v>
      </c>
      <c r="E15" t="str">
        <v>Somali</v>
      </c>
      <c r="F15" t="str">
        <v>Holstein***Friesian***Zebu</v>
      </c>
      <c r="L15" s="9" t="s">
        <v>4197</v>
      </c>
      <c r="M15" s="9" t="s">
        <v>4161</v>
      </c>
    </row>
    <row r="16" spans="1:16">
      <c r="D16" t="str">
        <v>Oudah Rams</v>
      </c>
      <c r="E16" t="str">
        <v>Boer***Damascus</v>
      </c>
      <c r="F16" t="str">
        <v>Friesian x Baladi</v>
      </c>
      <c r="L16" s="9" t="s">
        <v>4215</v>
      </c>
      <c r="M16" s="9" t="s">
        <v>237</v>
      </c>
    </row>
    <row r="17" spans="4:13">
      <c r="D17" t="str">
        <v>Local Variety</v>
      </c>
      <c r="E17" t="str">
        <v>Red Sokoto</v>
      </c>
      <c r="F17" t="str">
        <v>Jersey</v>
      </c>
      <c r="L17" s="9" t="s">
        <v>4230</v>
      </c>
      <c r="M17" s="9" t="s">
        <v>548</v>
      </c>
    </row>
    <row r="18" spans="4:13">
      <c r="D18" t="str">
        <v>25% Dorper</v>
      </c>
      <c r="E18" t="str">
        <v>Central Highland</v>
      </c>
      <c r="F18" t="str">
        <v>Nguni</v>
      </c>
      <c r="L18" s="9" t="s">
        <v>4235</v>
      </c>
      <c r="M18" s="9" t="s">
        <v>4174</v>
      </c>
    </row>
    <row r="19" spans="4:13">
      <c r="D19" t="str">
        <v>Timahdite</v>
      </c>
      <c r="E19" t="str">
        <v>Mashona Does</v>
      </c>
      <c r="F19" t="str">
        <v>Ankole***Friesian</v>
      </c>
      <c r="L19" s="9" t="s">
        <v>4239</v>
      </c>
      <c r="M19" s="9" t="s">
        <v>4179</v>
      </c>
    </row>
    <row r="20" spans="4:13">
      <c r="D20" t="str">
        <v>Farafra</v>
      </c>
      <c r="E20" t="str">
        <v>0% Kamorai***0% Boer***0% Small East African</v>
      </c>
      <c r="F20" t="str">
        <v>Friesian***Borana cross</v>
      </c>
      <c r="L20" s="9" t="s">
        <v>4270</v>
      </c>
      <c r="M20" s="9" t="s">
        <v>4180</v>
      </c>
    </row>
    <row r="21" spans="4:13">
      <c r="D21" t="str">
        <v>Arsi-bale</v>
      </c>
      <c r="E21" t="str">
        <v>Boran</v>
      </c>
      <c r="F21" t="str">
        <v>Tanzania Shorthorn Zebu</v>
      </c>
      <c r="L21" s="9" t="s">
        <v>4292</v>
      </c>
      <c r="M21" s="9" t="s">
        <v>4209</v>
      </c>
    </row>
    <row r="22" spans="4:13">
      <c r="D22" t="str">
        <v>Abergelle</v>
      </c>
      <c r="E22" t="str">
        <v>West African Long-legged</v>
      </c>
      <c r="F22" t="str">
        <v>75% Friesian***25% Boran</v>
      </c>
      <c r="L22" s="9" t="s">
        <v>4291</v>
      </c>
      <c r="M22" s="9" t="s">
        <v>936</v>
      </c>
    </row>
    <row r="23" spans="4:13">
      <c r="D23" t="str">
        <v>Wogera</v>
      </c>
      <c r="E23" t="str">
        <v>NA</v>
      </c>
      <c r="F23" t="str">
        <v>Local Breeds Unspecified</v>
      </c>
      <c r="L23" s="9" t="s">
        <v>4301</v>
      </c>
      <c r="M23" s="9" t="s">
        <v>4254</v>
      </c>
    </row>
    <row r="24" spans="4:13">
      <c r="D24" t="str">
        <v>Doyogena</v>
      </c>
      <c r="E24" t="str">
        <v>Kamorai (0.55)***Boer (0.3)***East African indigenous (0.15)</v>
      </c>
      <c r="F24" t="str">
        <v>N'Dama</v>
      </c>
      <c r="L24" s="9" t="s">
        <v>4310</v>
      </c>
      <c r="M24" s="9" t="s">
        <v>4297</v>
      </c>
    </row>
    <row r="25" spans="4:13">
      <c r="D25" t="str">
        <v>Washera</v>
      </c>
      <c r="E25" t="str">
        <v>Small East African***Norwegian</v>
      </c>
      <c r="F25" t="str">
        <v>Sudan Baggara</v>
      </c>
      <c r="L25" s="9" t="s">
        <v>4316</v>
      </c>
      <c r="M25" s="9" t="s">
        <v>4332</v>
      </c>
    </row>
    <row r="26" spans="4:13">
      <c r="D26" t="str">
        <v>Sardi</v>
      </c>
      <c r="E26" t="str">
        <v>Norwegian landrace***Local Tanzania cross breed</v>
      </c>
      <c r="F26" t="str">
        <v>Mpwapwa</v>
      </c>
      <c r="L26" s="9" t="s">
        <v>4329</v>
      </c>
      <c r="M26" s="9" t="s">
        <v>4338</v>
      </c>
    </row>
    <row r="27" spans="4:13">
      <c r="D27" t="str">
        <v>Barbarine</v>
      </c>
      <c r="E27" t="str">
        <v>Norwegian***Local Tanzania cross breed</v>
      </c>
      <c r="F27" t="str">
        <v>Friesian***Ayrshire</v>
      </c>
      <c r="L27" s="9" t="s">
        <v>4345</v>
      </c>
      <c r="M27" s="9" t="s">
        <v>1327</v>
      </c>
    </row>
    <row r="28" spans="4:13">
      <c r="D28" t="str">
        <v>Merino</v>
      </c>
      <c r="E28" t="str">
        <v>Tswana</v>
      </c>
      <c r="F28" t="str">
        <v>Hereford***Sussex</v>
      </c>
      <c r="L28" s="9" t="s">
        <v>4291</v>
      </c>
      <c r="M28" s="9" t="s">
        <v>4790</v>
      </c>
    </row>
    <row r="29" spans="4:13">
      <c r="D29" t="str">
        <v>Ossimi***Unspecified</v>
      </c>
      <c r="E29" t="str">
        <v>Sidama</v>
      </c>
      <c r="F29" t="str">
        <v>Bos taurus***Bos indicus</v>
      </c>
      <c r="L29" s="9" t="s">
        <v>4351</v>
      </c>
      <c r="M29" s="9" t="s">
        <v>4409</v>
      </c>
    </row>
    <row r="30" spans="4:13">
      <c r="D30" t="str">
        <v>Blackhead Somali Sheep</v>
      </c>
      <c r="E30" t="str">
        <v>Tunisian Native</v>
      </c>
      <c r="F30" t="str">
        <v>Sahiwal</v>
      </c>
      <c r="L30" s="9" t="s">
        <v>4359</v>
      </c>
      <c r="M30" s="9" t="s">
        <v>4428</v>
      </c>
    </row>
    <row r="31" spans="4:13">
      <c r="D31" t="str">
        <v>Blackhead Persian</v>
      </c>
      <c r="E31" t="str">
        <v>Mubende</v>
      </c>
      <c r="F31" t="str">
        <v>Bos indicus***Bos taurus</v>
      </c>
      <c r="L31" s="9" t="s">
        <v>4372</v>
      </c>
      <c r="M31" s="9" t="s">
        <v>4487</v>
      </c>
    </row>
    <row r="32" spans="4:13">
      <c r="D32" t="str">
        <v>South African Dorper</v>
      </c>
      <c r="E32" t="str">
        <v>Sokoto</v>
      </c>
      <c r="F32" t="str">
        <v>Brangus</v>
      </c>
      <c r="L32" s="9" t="s">
        <v>4380</v>
      </c>
      <c r="M32" s="9" t="s">
        <v>4795</v>
      </c>
    </row>
    <row r="33" spans="4:13">
      <c r="D33" t="str">
        <v>Begait</v>
      </c>
      <c r="E33" t="str">
        <v>Toggenburg***Saanen</v>
      </c>
      <c r="F33" t="str">
        <v>Holstein***Friesian</v>
      </c>
      <c r="L33" s="9" t="s">
        <v>4391</v>
      </c>
      <c r="M33" s="9" t="s">
        <v>4525</v>
      </c>
    </row>
    <row r="34" spans="4:13">
      <c r="D34" t="str">
        <v>Adilo</v>
      </c>
      <c r="E34" t="str">
        <v>Boer***Galla</v>
      </c>
      <c r="F34" t="str">
        <v>White Fulani</v>
      </c>
      <c r="L34" s="9" t="s">
        <v>4791</v>
      </c>
      <c r="M34" s="9" t="s">
        <v>4541</v>
      </c>
    </row>
    <row r="35" spans="4:13">
      <c r="D35" t="str">
        <v>South African Merino</v>
      </c>
      <c r="E35" t="str">
        <v>Boer (0.5)</v>
      </c>
      <c r="F35" t="str">
        <v>Friesian***Zebu</v>
      </c>
      <c r="L35" s="9" t="s">
        <v>4793</v>
      </c>
      <c r="M35" s="9" t="s">
        <v>4559</v>
      </c>
    </row>
    <row r="36" spans="4:13">
      <c r="D36" t="str">
        <v>Menz</v>
      </c>
      <c r="E36" t="str">
        <v>Hararghe Highland</v>
      </c>
      <c r="F36" t="str">
        <v>Friesian***Boran</v>
      </c>
      <c r="L36" s="9" t="s">
        <v>4474</v>
      </c>
      <c r="M36" s="9" t="s">
        <v>4798</v>
      </c>
    </row>
    <row r="37" spans="4:13">
      <c r="D37" t="str">
        <v>Sicilo-Sarde</v>
      </c>
      <c r="E37" t="str">
        <v>German Alpine***Small East African</v>
      </c>
      <c r="F37" t="str">
        <v>Holstein_Friesian</v>
      </c>
      <c r="L37" s="9" t="s">
        <v>4794</v>
      </c>
      <c r="M37" s="9" t="s">
        <v>4734</v>
      </c>
    </row>
    <row r="38" spans="4:13">
      <c r="D38" t="str">
        <v>Djallonke</v>
      </c>
      <c r="E38" t="str">
        <v>Anglo***Nubian</v>
      </c>
      <c r="F38" t="str">
        <v>Ankole***Jersey</v>
      </c>
      <c r="L38" s="9" t="s">
        <v>4531</v>
      </c>
      <c r="M38" s="9" t="s">
        <v>378</v>
      </c>
    </row>
    <row r="39" spans="4:13">
      <c r="D39" t="str">
        <v>Tswana</v>
      </c>
      <c r="E39" t="str">
        <v>Baladi</v>
      </c>
      <c r="F39" t="str">
        <v>West African Dwarf</v>
      </c>
      <c r="L39" s="9" t="s">
        <v>4584</v>
      </c>
      <c r="M39" t="s">
        <v>548</v>
      </c>
    </row>
    <row r="40" spans="4:13">
      <c r="D40" t="str">
        <v>Rahmani</v>
      </c>
      <c r="E40" t="str">
        <v>Nubian</v>
      </c>
      <c r="F40" t="str">
        <v>Abergelle</v>
      </c>
      <c r="L40" s="9" t="s">
        <v>4797</v>
      </c>
      <c r="M40" t="s">
        <v>698</v>
      </c>
    </row>
    <row r="41" spans="4:13">
      <c r="D41" t="str">
        <v>West African Djallonke</v>
      </c>
      <c r="E41" t="str">
        <v>Short-eared Somali</v>
      </c>
      <c r="F41" t="str">
        <v>Saanen</v>
      </c>
      <c r="L41" s="9" t="s">
        <v>4728</v>
      </c>
      <c r="M41" t="s">
        <v>936</v>
      </c>
    </row>
    <row r="42" spans="4:13">
      <c r="D42" t="str">
        <v>Sudan Desert</v>
      </c>
      <c r="F42" t="str">
        <v>Boer</v>
      </c>
      <c r="L42" s="9" t="s">
        <v>4729</v>
      </c>
      <c r="M42" t="s">
        <v>1040</v>
      </c>
    </row>
    <row r="43" spans="4:13">
      <c r="D43" t="str">
        <v>Red Maasai</v>
      </c>
      <c r="F43" t="str">
        <v>Arsi Bale</v>
      </c>
      <c r="L43" s="9" t="s">
        <v>4730</v>
      </c>
      <c r="M43" t="s">
        <v>1078</v>
      </c>
    </row>
    <row r="44" spans="4:13">
      <c r="D44" t="str">
        <v>Ethiopian Menz</v>
      </c>
      <c r="F44" t="str">
        <v>Damascus</v>
      </c>
      <c r="L44" s="9" t="s">
        <v>4799</v>
      </c>
      <c r="M44" t="s">
        <v>1166</v>
      </c>
    </row>
    <row r="45" spans="4:13">
      <c r="D45" t="str">
        <v>Arsi</v>
      </c>
      <c r="F45" t="str">
        <v>55% Kamorai***30% Boer***15% East African indigenous</v>
      </c>
      <c r="L45" s="9" t="s">
        <v>4731</v>
      </c>
      <c r="M45" t="s">
        <v>1196</v>
      </c>
    </row>
    <row r="46" spans="4:13">
      <c r="D46" t="str">
        <v>Simada</v>
      </c>
      <c r="F46" t="str">
        <v>Zaraibi</v>
      </c>
      <c r="L46" s="9" t="s">
        <v>4733</v>
      </c>
      <c r="M46" s="81" t="s">
        <v>1265</v>
      </c>
    </row>
    <row r="47" spans="4:13">
      <c r="D47" t="str">
        <v>Ethiopian Highland</v>
      </c>
      <c r="F47" t="str">
        <v>Local Variety</v>
      </c>
      <c r="L47" t="s">
        <v>223</v>
      </c>
      <c r="M47" t="s">
        <v>1703</v>
      </c>
    </row>
    <row r="48" spans="4:13">
      <c r="D48" t="str">
        <v>Afar</v>
      </c>
      <c r="F48" t="str">
        <v>Woyto-Guji</v>
      </c>
      <c r="L48" t="s">
        <v>729</v>
      </c>
      <c r="M48" t="s">
        <v>4896</v>
      </c>
    </row>
    <row r="49" spans="4:13">
      <c r="D49" t="str">
        <v>South African Mutton Merino</v>
      </c>
      <c r="F49" t="str">
        <v>Pedi</v>
      </c>
      <c r="L49" t="s">
        <v>756</v>
      </c>
      <c r="M49" t="s">
        <v>4928</v>
      </c>
    </row>
    <row r="50" spans="4:13">
      <c r="D50" t="str">
        <v>Kirdi</v>
      </c>
      <c r="F50" t="str">
        <v>Small East African</v>
      </c>
      <c r="L50" t="s">
        <v>914</v>
      </c>
      <c r="M50" t="s">
        <v>1166</v>
      </c>
    </row>
    <row r="51" spans="4:13">
      <c r="D51" t="str">
        <v>Highland</v>
      </c>
      <c r="F51" t="str">
        <v>Somali</v>
      </c>
      <c r="L51" t="s">
        <v>4802</v>
      </c>
      <c r="M51" t="s">
        <v>4899</v>
      </c>
    </row>
    <row r="52" spans="4:13">
      <c r="D52" t="str">
        <v>Mutton Merino</v>
      </c>
      <c r="F52" t="str">
        <v>Boer***Damascus</v>
      </c>
      <c r="L52" t="s">
        <v>1050</v>
      </c>
      <c r="M52" s="80" t="s">
        <v>4526</v>
      </c>
    </row>
    <row r="53" spans="4:13">
      <c r="D53" t="str">
        <v>Local Highland</v>
      </c>
      <c r="F53" t="str">
        <v>Red Sokoto</v>
      </c>
      <c r="L53" s="77" t="s">
        <v>1485</v>
      </c>
    </row>
    <row r="54" spans="4:13">
      <c r="D54" t="str">
        <v>Oudah Bicolour</v>
      </c>
      <c r="F54" t="str">
        <v>Central Highland</v>
      </c>
      <c r="L54" t="s">
        <v>1555</v>
      </c>
    </row>
    <row r="55" spans="4:13">
      <c r="D55" t="str">
        <v>Boer (0.5)</v>
      </c>
      <c r="F55" t="str">
        <v>Mashona Does</v>
      </c>
      <c r="L55" t="s">
        <v>1631</v>
      </c>
    </row>
    <row r="56" spans="4:13">
      <c r="D56" t="str">
        <v>Bonga</v>
      </c>
      <c r="F56" t="str">
        <v>0% Kamorai***0% Boer***0% Small East African</v>
      </c>
      <c r="L56" t="s">
        <v>123</v>
      </c>
    </row>
    <row r="57" spans="4:13">
      <c r="F57" t="str">
        <v>Boran</v>
      </c>
      <c r="L57" t="s">
        <v>1731</v>
      </c>
    </row>
    <row r="58" spans="4:13">
      <c r="F58" t="str">
        <v>West African Long-legged</v>
      </c>
      <c r="L58" t="s">
        <v>1971</v>
      </c>
    </row>
    <row r="59" spans="4:13">
      <c r="F59" t="str">
        <v>NA</v>
      </c>
      <c r="L59" t="s">
        <v>4918</v>
      </c>
    </row>
    <row r="60" spans="4:13">
      <c r="F60" t="str">
        <v>Kamorai (0.55)***Boer (0.3)***East African indigenous (0.15)</v>
      </c>
      <c r="L60" t="s">
        <v>4897</v>
      </c>
    </row>
    <row r="61" spans="4:13">
      <c r="F61" t="str">
        <v>Small East African***Norwegian</v>
      </c>
      <c r="L61" t="s">
        <v>4933</v>
      </c>
    </row>
    <row r="62" spans="4:13">
      <c r="F62" t="str">
        <v>Norwegian landrace***Local Tanzania cross breed</v>
      </c>
      <c r="L62" t="s">
        <v>4934</v>
      </c>
    </row>
    <row r="63" spans="4:13">
      <c r="F63" t="str">
        <v>Norwegian***Local Tanzania cross breed</v>
      </c>
      <c r="L63" t="s">
        <v>4943</v>
      </c>
    </row>
    <row r="64" spans="4:13">
      <c r="F64" t="str">
        <v>Tswana</v>
      </c>
      <c r="L64" t="s">
        <v>4898</v>
      </c>
    </row>
    <row r="65" spans="6:12">
      <c r="F65" t="str">
        <v>Sidama</v>
      </c>
      <c r="L65" t="s">
        <v>4902</v>
      </c>
    </row>
    <row r="66" spans="6:12">
      <c r="F66" t="str">
        <v>Tunisian Native</v>
      </c>
      <c r="L66" s="16" t="s">
        <v>1271</v>
      </c>
    </row>
    <row r="67" spans="6:12">
      <c r="F67" t="str">
        <v>Mubende</v>
      </c>
      <c r="L67" t="s">
        <v>4992</v>
      </c>
    </row>
    <row r="68" spans="6:12">
      <c r="F68" t="str">
        <v>Sokoto</v>
      </c>
      <c r="L68" t="s">
        <v>5028</v>
      </c>
    </row>
    <row r="69" spans="6:12">
      <c r="F69" t="str">
        <v>Toggenburg***Saanen</v>
      </c>
      <c r="L69" t="s">
        <v>5089</v>
      </c>
    </row>
    <row r="70" spans="6:12">
      <c r="F70" t="str">
        <v>Boer***Galla</v>
      </c>
    </row>
    <row r="71" spans="6:12">
      <c r="F71" t="str">
        <v>Boer (0.5)</v>
      </c>
    </row>
    <row r="72" spans="6:12">
      <c r="F72" t="str">
        <v>Hararghe Highland</v>
      </c>
    </row>
    <row r="73" spans="6:12">
      <c r="F73" t="str">
        <v>German Alpine***Small East African</v>
      </c>
    </row>
    <row r="74" spans="6:12">
      <c r="F74" t="str">
        <v>Anglo***Nubian</v>
      </c>
    </row>
    <row r="75" spans="6:12">
      <c r="F75" t="str">
        <v>Baladi</v>
      </c>
    </row>
    <row r="76" spans="6:12">
      <c r="F76" t="str">
        <v>Nubian</v>
      </c>
    </row>
    <row r="77" spans="6:12">
      <c r="F77" t="str">
        <v>Short-eared Somali</v>
      </c>
    </row>
    <row r="78" spans="6:12">
      <c r="F78" t="str">
        <v>Barki</v>
      </c>
    </row>
    <row r="79" spans="6:12">
      <c r="F79" t="str">
        <v>Yankasa</v>
      </c>
    </row>
    <row r="80" spans="6:12">
      <c r="F80" t="str">
        <v>Farta</v>
      </c>
    </row>
    <row r="81" spans="6:6">
      <c r="F81" t="str">
        <v>Blackhead Ogaden</v>
      </c>
    </row>
    <row r="82" spans="6:6">
      <c r="F82" t="str">
        <v>Dorper</v>
      </c>
    </row>
    <row r="83" spans="6:6">
      <c r="F83" t="str">
        <v>Tigray Highland</v>
      </c>
    </row>
    <row r="84" spans="6:6">
      <c r="F84" t="str">
        <v>Ossimi</v>
      </c>
    </row>
    <row r="85" spans="6:6">
      <c r="F85" t="str">
        <v>Finn***Ossimi</v>
      </c>
    </row>
    <row r="86" spans="6:6">
      <c r="F86" t="str">
        <v>Gumuz</v>
      </c>
    </row>
    <row r="87" spans="6:6">
      <c r="F87" t="str">
        <v>Oudah Rams</v>
      </c>
    </row>
    <row r="88" spans="6:6">
      <c r="F88" t="str">
        <v>25% Dorper</v>
      </c>
    </row>
    <row r="89" spans="6:6">
      <c r="F89" t="str">
        <v>Timahdite</v>
      </c>
    </row>
    <row r="90" spans="6:6">
      <c r="F90" t="str">
        <v>Farafra</v>
      </c>
    </row>
    <row r="91" spans="6:6">
      <c r="F91" t="str">
        <v>Arsi-bale</v>
      </c>
    </row>
    <row r="92" spans="6:6">
      <c r="F92" t="str">
        <v>Wogera</v>
      </c>
    </row>
    <row r="93" spans="6:6">
      <c r="F93" t="str">
        <v>Doyogena</v>
      </c>
    </row>
    <row r="94" spans="6:6">
      <c r="F94" t="str">
        <v>Washera</v>
      </c>
    </row>
    <row r="95" spans="6:6">
      <c r="F95" t="str">
        <v>Sardi</v>
      </c>
    </row>
    <row r="96" spans="6:6">
      <c r="F96" t="str">
        <v>Barbarine</v>
      </c>
    </row>
    <row r="97" spans="6:6">
      <c r="F97" t="str">
        <v>Merino</v>
      </c>
    </row>
    <row r="98" spans="6:6">
      <c r="F98" t="str">
        <v>Ossimi***Unspecified</v>
      </c>
    </row>
    <row r="99" spans="6:6">
      <c r="F99" t="str">
        <v>Blackhead Somali Sheep</v>
      </c>
    </row>
    <row r="100" spans="6:6">
      <c r="F100" t="str">
        <v>Blackhead Persian</v>
      </c>
    </row>
    <row r="101" spans="6:6">
      <c r="F101" t="str">
        <v>South African Dorper</v>
      </c>
    </row>
    <row r="102" spans="6:6">
      <c r="F102" t="str">
        <v>Begait</v>
      </c>
    </row>
    <row r="103" spans="6:6">
      <c r="F103" t="str">
        <v>Adilo</v>
      </c>
    </row>
    <row r="104" spans="6:6">
      <c r="F104" t="str">
        <v>South African Merino</v>
      </c>
    </row>
    <row r="105" spans="6:6">
      <c r="F105" t="str">
        <v>Menz</v>
      </c>
    </row>
    <row r="106" spans="6:6">
      <c r="F106" t="str">
        <v>Sicilo-Sarde</v>
      </c>
    </row>
    <row r="107" spans="6:6">
      <c r="F107" t="str">
        <v>Djallonke</v>
      </c>
    </row>
    <row r="108" spans="6:6">
      <c r="F108" t="str">
        <v>Rahmani</v>
      </c>
    </row>
    <row r="109" spans="6:6">
      <c r="F109" t="str">
        <v>West African Djallonke</v>
      </c>
    </row>
    <row r="110" spans="6:6">
      <c r="F110" t="str">
        <v>Sudan Desert</v>
      </c>
    </row>
    <row r="111" spans="6:6">
      <c r="F111" t="str">
        <v>Red Maasai</v>
      </c>
    </row>
    <row r="112" spans="6:6">
      <c r="F112" t="str">
        <v>Ethiopian Menz</v>
      </c>
    </row>
    <row r="113" spans="6:6">
      <c r="F113" t="str">
        <v>Arsi</v>
      </c>
    </row>
    <row r="114" spans="6:6">
      <c r="F114" t="str">
        <v>Simada</v>
      </c>
    </row>
    <row r="115" spans="6:6">
      <c r="F115" t="str">
        <v>Ethiopian Highland</v>
      </c>
    </row>
    <row r="116" spans="6:6">
      <c r="F116" t="str">
        <v>Afar</v>
      </c>
    </row>
    <row r="117" spans="6:6">
      <c r="F117" t="str">
        <v>South African Mutton Merino</v>
      </c>
    </row>
    <row r="118" spans="6:6">
      <c r="F118" t="str">
        <v>Kirdi</v>
      </c>
    </row>
    <row r="119" spans="6:6">
      <c r="F119" t="str">
        <v>Highland</v>
      </c>
    </row>
    <row r="120" spans="6:6">
      <c r="F120" t="str">
        <v>Mutton Merino</v>
      </c>
    </row>
    <row r="121" spans="6:6">
      <c r="F121" t="str">
        <v>Local Highland</v>
      </c>
    </row>
    <row r="122" spans="6:6">
      <c r="F122" t="str">
        <v>Oudah Bicolour</v>
      </c>
    </row>
    <row r="123" spans="6:6">
      <c r="F123" t="str">
        <v>Bonga</v>
      </c>
    </row>
    <row r="124" spans="6:6">
      <c r="F124" t="str">
        <v>Malawi Zebu</v>
      </c>
    </row>
    <row r="125" spans="6:6">
      <c r="F125" t="str">
        <v>Zebu (Ethiopia)</v>
      </c>
    </row>
    <row r="126" spans="6:6">
      <c r="F126" t="str">
        <v>Arsi-Frisian cross</v>
      </c>
    </row>
    <row r="127" spans="6:6">
      <c r="F127" t="str">
        <v>Friesian x Ankole crossbred</v>
      </c>
    </row>
    <row r="128" spans="6:6">
      <c r="F128" t="str">
        <v>Borana &amp; Arsi</v>
      </c>
    </row>
    <row r="129" spans="6:6">
      <c r="F129" t="str">
        <v>Holstein-Friesian</v>
      </c>
    </row>
    <row r="130" spans="6:6">
      <c r="F130" t="str">
        <v>Zebu (Malawi )</v>
      </c>
    </row>
    <row r="131" spans="6:6">
      <c r="F131" t="str">
        <v xml:space="preserve">Horro </v>
      </c>
    </row>
    <row r="132" spans="6:6">
      <c r="F132" t="str">
        <v>Harar</v>
      </c>
    </row>
    <row r="133" spans="6:6">
      <c r="F133" t="str">
        <v>Sudanese Fulani zebu</v>
      </c>
    </row>
    <row r="134" spans="6:6">
      <c r="F134" t="str">
        <v>Holstein Friesian x Zebu (Arado) crossbred</v>
      </c>
    </row>
    <row r="135" spans="6:6">
      <c r="F135" t="str">
        <v>Boran x Friesian crossbred</v>
      </c>
    </row>
    <row r="136" spans="6:6">
      <c r="F136" t="str">
        <v xml:space="preserve">Borana </v>
      </c>
    </row>
    <row r="137" spans="6:6">
      <c r="F137" t="str">
        <v>Holstein-Mashona crossbred</v>
      </c>
    </row>
    <row r="138" spans="6:6">
      <c r="F138" t="str">
        <v>Borana</v>
      </c>
    </row>
    <row r="139" spans="6:6">
      <c r="F139" t="str">
        <v xml:space="preserve">Holstein_Friesian </v>
      </c>
    </row>
    <row r="140" spans="6:6">
      <c r="F140" t="str">
        <v>Friesian x Boran crossbred,</v>
      </c>
    </row>
    <row r="141" spans="6:6">
      <c r="F141" t="str">
        <v>Sokoto Gudali</v>
      </c>
    </row>
    <row r="142" spans="6:6">
      <c r="F142" t="str">
        <v xml:space="preserve">Sokoto </v>
      </c>
    </row>
    <row r="143" spans="6:6">
      <c r="F143" t="str">
        <v>Bunaji-Sokoto</v>
      </c>
    </row>
    <row r="144" spans="6:6">
      <c r="F144" t="str">
        <v>Holstein-Friesian x Zebu crossbred</v>
      </c>
    </row>
    <row r="145" spans="6:6">
      <c r="F145" t="str">
        <v>Holstein Friesian x Boran</v>
      </c>
    </row>
    <row r="146" spans="6:6">
      <c r="F146" t="str">
        <v>Tanzanian Short Horn Zebu</v>
      </c>
    </row>
    <row r="147" spans="6:6">
      <c r="F147" t="str">
        <v>Bonsmara</v>
      </c>
    </row>
    <row r="148" spans="6:6">
      <c r="F148" t="str">
        <v>Simmental</v>
      </c>
    </row>
    <row r="149" spans="6:6">
      <c r="F149" t="str">
        <v>Sussex red</v>
      </c>
    </row>
    <row r="150" spans="6:6">
      <c r="F150" t="str">
        <v>Nguni * Bonsmara cross</v>
      </c>
    </row>
    <row r="151" spans="6:6">
      <c r="F151" t="str">
        <v>Friesian x Boran</v>
      </c>
    </row>
    <row r="152" spans="6:6">
      <c r="F152" t="str">
        <v>Bonsmara breed &amp; Simmentaler x Beefmaster cross</v>
      </c>
    </row>
    <row r="153" spans="6:6">
      <c r="F153" t="str">
        <v>Tanzania_shorthorn zebu</v>
      </c>
    </row>
    <row r="154" spans="6:6">
      <c r="F154" t="str">
        <v>Angus</v>
      </c>
    </row>
    <row r="155" spans="6:6">
      <c r="F155" t="str">
        <v>Boran x Friesian F1</v>
      </c>
    </row>
    <row r="156" spans="6:6">
      <c r="F156" t="str">
        <v>Local x Holstein Friesian</v>
      </c>
    </row>
    <row r="157" spans="6:6">
      <c r="F157" t="str">
        <v xml:space="preserve">Crossbred </v>
      </c>
    </row>
    <row r="158" spans="6:6">
      <c r="F158" t="str">
        <v>Borgou</v>
      </c>
    </row>
    <row r="159" spans="6:6">
      <c r="F159" t="str">
        <v>Boran X Friesian</v>
      </c>
    </row>
    <row r="160" spans="6:6">
      <c r="F160" t="str">
        <v>Mixed breed</v>
      </c>
    </row>
    <row r="161" spans="6:6">
      <c r="F161" t="str">
        <v xml:space="preserve">Friesian–Boran crossbred </v>
      </c>
    </row>
    <row r="162" spans="6:6">
      <c r="F162" t="str">
        <v>Tanzanian Shorthorn Zebu</v>
      </c>
    </row>
    <row r="163" spans="6:6">
      <c r="F163" t="str">
        <v xml:space="preserve">Bunaji </v>
      </c>
    </row>
    <row r="164" spans="6:6">
      <c r="F164" t="str">
        <v>White fulani*Friesiana</v>
      </c>
    </row>
    <row r="165" spans="6:6">
      <c r="F165" t="str">
        <v>Ogaden</v>
      </c>
    </row>
    <row r="166" spans="6:6">
      <c r="F166" t="str">
        <v>Horro*Jersey</v>
      </c>
    </row>
    <row r="167" spans="6:6">
      <c r="F167" t="str">
        <v>Boran*Friesian</v>
      </c>
    </row>
    <row r="168" spans="6:6">
      <c r="F168" t="str">
        <v>Zebu*Friesiana</v>
      </c>
    </row>
    <row r="169" spans="6:6">
      <c r="F169" t="str">
        <v>B. indicus*B. taurus</v>
      </c>
    </row>
    <row r="170" spans="6:6">
      <c r="F170" t="str">
        <v>Borana x Sahiwal</v>
      </c>
    </row>
    <row r="171" spans="6:6">
      <c r="F171" t="str">
        <v xml:space="preserve">Ayrshire/Brown Swiss x Sahiwal crossbred </v>
      </c>
    </row>
    <row r="172" spans="6:6">
      <c r="F172" t="str">
        <v>Tanzanian Zebu</v>
      </c>
    </row>
    <row r="173" spans="6:6">
      <c r="F173" t="str">
        <v>Borana x Hereford crosbred</v>
      </c>
    </row>
    <row r="174" spans="6:6">
      <c r="F174" t="str">
        <v xml:space="preserve">Hereford </v>
      </c>
    </row>
    <row r="175" spans="6:6">
      <c r="F175" t="str">
        <v xml:space="preserve">Aberdeen Angus </v>
      </c>
    </row>
    <row r="176" spans="6:6">
      <c r="F176" t="str">
        <v xml:space="preserve">Small East African Zebu </v>
      </c>
    </row>
    <row r="177" spans="6:6">
      <c r="F177" t="str">
        <v>Hereford</v>
      </c>
    </row>
    <row r="178" spans="6:6">
      <c r="F178" t="str">
        <v xml:space="preserve">Borana-Friesian crossbred </v>
      </c>
    </row>
    <row r="179" spans="6:6">
      <c r="F179" t="str">
        <v xml:space="preserve">Zebu-Friesian crossbred </v>
      </c>
    </row>
    <row r="180" spans="6:6">
      <c r="F180" t="str">
        <v>Kenana (Sudan Zebu)</v>
      </c>
    </row>
    <row r="181" spans="6:6">
      <c r="F181" t="str">
        <v xml:space="preserve">Bos taurus*Baoule </v>
      </c>
    </row>
    <row r="182" spans="6:6">
      <c r="F182" t="str">
        <v xml:space="preserve"> Fogera </v>
      </c>
    </row>
    <row r="183" spans="6:6">
      <c r="F183" t="str">
        <v xml:space="preserve">Holstien_Friesian </v>
      </c>
    </row>
    <row r="184" spans="6:6">
      <c r="F184" t="str">
        <v xml:space="preserve">Sahiwal </v>
      </c>
    </row>
    <row r="185" spans="6:6">
      <c r="F185" t="str">
        <v xml:space="preserve"> Friesian/Ayrshire * Zebu crosses)</v>
      </c>
    </row>
    <row r="186" spans="6:6">
      <c r="F186" t="str">
        <v>Fulani Zebu</v>
      </c>
    </row>
    <row r="187" spans="6:6">
      <c r="F187" t="str">
        <v xml:space="preserve">Tanzania Shorthorn Zebu (TSZ) </v>
      </c>
    </row>
    <row r="188" spans="6:6">
      <c r="F188" t="str">
        <v>Hereford * B. indicus cross</v>
      </c>
    </row>
    <row r="189" spans="6:6">
      <c r="F189" t="str">
        <v xml:space="preserve">Borana-Fresian crossbred </v>
      </c>
    </row>
    <row r="190" spans="6:6">
      <c r="F190" t="str">
        <v xml:space="preserve"> Friesian and Ayrshire </v>
      </c>
    </row>
    <row r="191" spans="6:6">
      <c r="F191" t="str">
        <v xml:space="preserve">Friesian x Boran crossbred </v>
      </c>
    </row>
    <row r="192" spans="6:6">
      <c r="F192" t="str">
        <v xml:space="preserve">Boran x Friesian/Jersey </v>
      </c>
    </row>
    <row r="193" spans="6:6">
      <c r="F193" t="str">
        <v xml:space="preserve">Mpwapwa/Mpwapwa crossbred </v>
      </c>
    </row>
    <row r="194" spans="6:6">
      <c r="F194" t="str">
        <v xml:space="preserve">Borana_Zebu </v>
      </c>
    </row>
    <row r="195" spans="6:6">
      <c r="F195" t="str">
        <v>Holstien * Borana cross</v>
      </c>
    </row>
    <row r="196" spans="6:6">
      <c r="F196" t="str">
        <v>Bos taurus x Bos indicus</v>
      </c>
    </row>
    <row r="197" spans="6:6">
      <c r="F197" t="str">
        <v xml:space="preserve">Simmenthal </v>
      </c>
    </row>
    <row r="198" spans="6:6">
      <c r="F198" t="str">
        <v>Holstein Fresian</v>
      </c>
    </row>
    <row r="199" spans="6:6">
      <c r="F199" t="str">
        <v>Indigenous * exotics cross</v>
      </c>
    </row>
    <row r="200" spans="6:6">
      <c r="F200" t="str">
        <v xml:space="preserve">Jersey </v>
      </c>
    </row>
    <row r="201" spans="6:6">
      <c r="F201" t="str">
        <v>Bunaji zebu</v>
      </c>
    </row>
    <row r="202" spans="6:6">
      <c r="F202" t="str">
        <v xml:space="preserve">Hararghe highland </v>
      </c>
    </row>
    <row r="203" spans="6:6">
      <c r="F203" t="str">
        <v xml:space="preserve">Bos taurus x Bos indicus crossbred </v>
      </c>
    </row>
    <row r="204" spans="6:6">
      <c r="F204" t="str">
        <v xml:space="preserve">Brown Swiss </v>
      </c>
    </row>
    <row r="205" spans="6:6">
      <c r="F205" t="str">
        <v>Fresian x Borena crossbred</v>
      </c>
    </row>
    <row r="206" spans="6:6">
      <c r="F206" t="str">
        <v>Baoule breed_B. taurus</v>
      </c>
    </row>
    <row r="207" spans="6:6">
      <c r="F207" t="str">
        <v>Peuhl Zebu cattle</v>
      </c>
    </row>
    <row r="208" spans="6:6">
      <c r="F208" t="str">
        <v>N'Dama x Holstein-Friesian crossbred</v>
      </c>
    </row>
    <row r="209" spans="6:6">
      <c r="F209" t="str">
        <v>N'Dama x Jersey crossbred</v>
      </c>
    </row>
    <row r="210" spans="6:6">
      <c r="F210" t="str">
        <v xml:space="preserve">Ayrshire cross </v>
      </c>
    </row>
    <row r="211" spans="6:6">
      <c r="F211" t="str">
        <v>Crossbred (Zebu x Friesian)</v>
      </c>
    </row>
    <row r="212" spans="6:6">
      <c r="F212" t="str">
        <v xml:space="preserve">Sudan Baggara </v>
      </c>
    </row>
    <row r="213" spans="6:6">
      <c r="F213" t="str">
        <v xml:space="preserve"> Holstien-Frisian</v>
      </c>
    </row>
    <row r="214" spans="6:6">
      <c r="F214" t="str">
        <v>Holstein Friesian</v>
      </c>
    </row>
    <row r="215" spans="6:6">
      <c r="F215" t="str">
        <v>Friesian x Boran and Simmental x Boran</v>
      </c>
    </row>
    <row r="216" spans="6:6">
      <c r="F216" t="str">
        <v>Unidentified Crossbred</v>
      </c>
    </row>
    <row r="217" spans="6:6">
      <c r="F217" t="str">
        <v xml:space="preserve">Friesian x Zebu crossbred </v>
      </c>
    </row>
    <row r="218" spans="6:6">
      <c r="F218" t="str">
        <v>Boran - Jersey crossbred</v>
      </c>
    </row>
    <row r="219" spans="6:6">
      <c r="F219" t="str">
        <v xml:space="preserve"> Jersey</v>
      </c>
    </row>
    <row r="220" spans="6:6">
      <c r="F220">
        <v>0</v>
      </c>
    </row>
    <row r="1382" spans="16:16">
      <c r="P138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AAF-A12A-4ACA-8BE3-809160C178E8}">
  <dimension ref="A1:G104"/>
  <sheetViews>
    <sheetView workbookViewId="0">
      <selection activeCell="G10" sqref="G10"/>
    </sheetView>
  </sheetViews>
  <sheetFormatPr defaultRowHeight="15"/>
  <cols>
    <col min="1" max="1" width="31.85546875" customWidth="1"/>
  </cols>
  <sheetData>
    <row r="1" spans="1:7">
      <c r="A1" t="s">
        <v>1974</v>
      </c>
      <c r="B1" t="s">
        <v>1975</v>
      </c>
    </row>
    <row r="2" spans="1:7">
      <c r="A2" t="s">
        <v>1</v>
      </c>
      <c r="B2">
        <v>99.941383352872194</v>
      </c>
    </row>
    <row r="3" spans="1:7">
      <c r="A3" t="s">
        <v>2</v>
      </c>
      <c r="B3">
        <v>100</v>
      </c>
    </row>
    <row r="4" spans="1:7">
      <c r="A4" t="s">
        <v>3</v>
      </c>
      <c r="B4">
        <v>100</v>
      </c>
    </row>
    <row r="5" spans="1:7">
      <c r="A5" t="s">
        <v>4</v>
      </c>
      <c r="B5">
        <v>80.187573270808898</v>
      </c>
    </row>
    <row r="6" spans="1:7">
      <c r="A6" t="s">
        <v>5</v>
      </c>
      <c r="B6">
        <v>54.161781946072601</v>
      </c>
    </row>
    <row r="7" spans="1:7">
      <c r="A7" t="s">
        <v>6</v>
      </c>
      <c r="B7">
        <v>57.3856975381008</v>
      </c>
    </row>
    <row r="8" spans="1:7">
      <c r="A8" t="s">
        <v>7</v>
      </c>
      <c r="B8">
        <v>9.9648300117233202</v>
      </c>
    </row>
    <row r="9" spans="1:7">
      <c r="A9" t="s">
        <v>8</v>
      </c>
      <c r="B9">
        <v>98.358733880421994</v>
      </c>
    </row>
    <row r="10" spans="1:7">
      <c r="A10" t="s">
        <v>9</v>
      </c>
      <c r="B10">
        <v>98.769050410316495</v>
      </c>
      <c r="G10">
        <f>472/54</f>
        <v>8.7407407407407405</v>
      </c>
    </row>
    <row r="11" spans="1:7">
      <c r="A11" t="s">
        <v>10</v>
      </c>
      <c r="B11">
        <v>99.589683470105498</v>
      </c>
      <c r="G11">
        <f>369.34/61</f>
        <v>6.0547540983606556</v>
      </c>
    </row>
    <row r="12" spans="1:7">
      <c r="A12" t="s">
        <v>11</v>
      </c>
      <c r="B12">
        <v>99.824150058616596</v>
      </c>
    </row>
    <row r="13" spans="1:7">
      <c r="A13" t="s">
        <v>12</v>
      </c>
      <c r="B13">
        <v>26.0257913247362</v>
      </c>
    </row>
    <row r="14" spans="1:7">
      <c r="A14" t="s">
        <v>13</v>
      </c>
      <c r="B14">
        <v>26.8464243845252</v>
      </c>
    </row>
    <row r="15" spans="1:7">
      <c r="A15" t="s">
        <v>14</v>
      </c>
      <c r="B15">
        <v>12.719812426729099</v>
      </c>
    </row>
    <row r="16" spans="1:7">
      <c r="A16" t="s">
        <v>15</v>
      </c>
      <c r="B16" s="21">
        <v>34.173505275498201</v>
      </c>
    </row>
    <row r="17" spans="1:2">
      <c r="A17" t="s">
        <v>16</v>
      </c>
      <c r="B17">
        <v>1.1137162954279001</v>
      </c>
    </row>
    <row r="18" spans="1:2">
      <c r="A18" t="s">
        <v>17</v>
      </c>
      <c r="B18">
        <v>9.1441969519343491</v>
      </c>
    </row>
    <row r="19" spans="1:2">
      <c r="A19" t="s">
        <v>18</v>
      </c>
      <c r="B19">
        <v>17.8780773739742</v>
      </c>
    </row>
    <row r="20" spans="1:2">
      <c r="A20" t="s">
        <v>19</v>
      </c>
      <c r="B20">
        <v>1.7584994138335199</v>
      </c>
    </row>
    <row r="21" spans="1:2">
      <c r="A21" t="s">
        <v>20</v>
      </c>
      <c r="B21">
        <v>0</v>
      </c>
    </row>
    <row r="22" spans="1:2">
      <c r="A22" t="s">
        <v>21</v>
      </c>
      <c r="B22" s="21">
        <v>49.4724501758499</v>
      </c>
    </row>
    <row r="23" spans="1:2">
      <c r="A23" t="s">
        <v>22</v>
      </c>
      <c r="B23">
        <v>0.46893317702227399</v>
      </c>
    </row>
    <row r="24" spans="1:2">
      <c r="A24" t="s">
        <v>23</v>
      </c>
      <c r="B24">
        <v>1.05509964830011</v>
      </c>
    </row>
    <row r="25" spans="1:2">
      <c r="A25" t="s">
        <v>24</v>
      </c>
      <c r="B25">
        <v>8.5580304806565</v>
      </c>
    </row>
    <row r="26" spans="1:2">
      <c r="A26" t="s">
        <v>25</v>
      </c>
      <c r="B26">
        <v>0</v>
      </c>
    </row>
    <row r="27" spans="1:2">
      <c r="A27" t="s">
        <v>26</v>
      </c>
      <c r="B27">
        <v>3.1066822977725601</v>
      </c>
    </row>
    <row r="28" spans="1:2">
      <c r="A28" t="s">
        <v>27</v>
      </c>
      <c r="B28">
        <v>2.81359906213364</v>
      </c>
    </row>
    <row r="29" spans="1:2">
      <c r="A29" t="s">
        <v>28</v>
      </c>
      <c r="B29">
        <v>5.6858147713950702</v>
      </c>
    </row>
    <row r="30" spans="1:2">
      <c r="A30" t="s">
        <v>29</v>
      </c>
      <c r="B30">
        <v>0.64478311840562696</v>
      </c>
    </row>
    <row r="31" spans="1:2">
      <c r="A31" t="s">
        <v>30</v>
      </c>
      <c r="B31">
        <v>0.117233294255568</v>
      </c>
    </row>
    <row r="32" spans="1:2">
      <c r="A32" t="s">
        <v>31</v>
      </c>
      <c r="B32">
        <v>1.2895662368112499</v>
      </c>
    </row>
    <row r="33" spans="1:2">
      <c r="A33" t="s">
        <v>32</v>
      </c>
      <c r="B33" s="21">
        <v>39.566236811254399</v>
      </c>
    </row>
    <row r="34" spans="1:2">
      <c r="A34" t="s">
        <v>33</v>
      </c>
      <c r="B34">
        <v>0</v>
      </c>
    </row>
    <row r="35" spans="1:2">
      <c r="A35" t="s">
        <v>34</v>
      </c>
      <c r="B35">
        <v>0.234466588511137</v>
      </c>
    </row>
    <row r="36" spans="1:2">
      <c r="A36" t="s">
        <v>35</v>
      </c>
      <c r="B36" s="22">
        <v>27.022274325908501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10.3751465416178</v>
      </c>
    </row>
    <row r="41" spans="1:2">
      <c r="A41" t="s">
        <v>40</v>
      </c>
      <c r="B41">
        <v>4.7479484173505204</v>
      </c>
    </row>
    <row r="42" spans="1:2">
      <c r="A42" t="s">
        <v>41</v>
      </c>
      <c r="B42">
        <v>2.9308323563892098</v>
      </c>
    </row>
    <row r="43" spans="1:2">
      <c r="A43" t="s">
        <v>42</v>
      </c>
      <c r="B43">
        <v>0</v>
      </c>
    </row>
    <row r="44" spans="1:2">
      <c r="A44" t="s">
        <v>43</v>
      </c>
      <c r="B44">
        <v>0.234466588511137</v>
      </c>
    </row>
    <row r="45" spans="1:2">
      <c r="A45" t="s">
        <v>44</v>
      </c>
      <c r="B45">
        <v>1.34818288393903</v>
      </c>
    </row>
    <row r="46" spans="1:2">
      <c r="A46" t="s">
        <v>45</v>
      </c>
      <c r="B46">
        <v>0.175849941383352</v>
      </c>
    </row>
    <row r="47" spans="1:2">
      <c r="A47" t="s">
        <v>46</v>
      </c>
      <c r="B47">
        <v>0.87924970691676396</v>
      </c>
    </row>
    <row r="48" spans="1:2">
      <c r="A48" t="s">
        <v>47</v>
      </c>
      <c r="B48">
        <v>0</v>
      </c>
    </row>
    <row r="49" spans="1:2">
      <c r="A49" t="s">
        <v>48</v>
      </c>
      <c r="B49">
        <v>0.175849941383352</v>
      </c>
    </row>
    <row r="50" spans="1:2">
      <c r="A50" t="s">
        <v>49</v>
      </c>
      <c r="B50">
        <v>0.46893317702227399</v>
      </c>
    </row>
    <row r="51" spans="1:2">
      <c r="A51" t="s">
        <v>50</v>
      </c>
      <c r="B51">
        <v>0</v>
      </c>
    </row>
    <row r="52" spans="1:2">
      <c r="A52" t="s">
        <v>51</v>
      </c>
      <c r="B52">
        <v>0.41031652989449002</v>
      </c>
    </row>
    <row r="53" spans="1:2">
      <c r="A53" t="s">
        <v>52</v>
      </c>
      <c r="B53">
        <v>3.3997655334114798</v>
      </c>
    </row>
    <row r="54" spans="1:2">
      <c r="A54" t="s">
        <v>53</v>
      </c>
      <c r="B54">
        <v>1.2895662368112499</v>
      </c>
    </row>
    <row r="55" spans="1:2">
      <c r="A55" t="s">
        <v>54</v>
      </c>
      <c r="B55" s="21">
        <v>26.611957796014</v>
      </c>
    </row>
    <row r="56" spans="1:2">
      <c r="A56" t="s">
        <v>55</v>
      </c>
      <c r="B56">
        <v>1.6998827667057399</v>
      </c>
    </row>
    <row r="57" spans="1:2">
      <c r="A57" t="s">
        <v>56</v>
      </c>
      <c r="B57">
        <v>0</v>
      </c>
    </row>
    <row r="58" spans="1:2">
      <c r="A58" t="s">
        <v>57</v>
      </c>
      <c r="B58">
        <v>1.1723329425556801</v>
      </c>
    </row>
    <row r="59" spans="1:2">
      <c r="A59" t="s">
        <v>58</v>
      </c>
      <c r="B59">
        <v>14.302461899179301</v>
      </c>
    </row>
    <row r="60" spans="1:2">
      <c r="A60" t="s">
        <v>59</v>
      </c>
      <c r="B60">
        <v>0</v>
      </c>
    </row>
    <row r="61" spans="1:2">
      <c r="A61" t="s">
        <v>60</v>
      </c>
      <c r="B61">
        <v>16.529894490035101</v>
      </c>
    </row>
    <row r="62" spans="1:2">
      <c r="A62" t="s">
        <v>61</v>
      </c>
      <c r="B62">
        <v>0.87924970691676396</v>
      </c>
    </row>
    <row r="63" spans="1:2">
      <c r="A63" t="s">
        <v>62</v>
      </c>
      <c r="B63">
        <v>0.175849941383352</v>
      </c>
    </row>
    <row r="64" spans="1:2">
      <c r="A64" t="s">
        <v>63</v>
      </c>
      <c r="B64">
        <v>0.76201641266119502</v>
      </c>
    </row>
    <row r="65" spans="1:2">
      <c r="A65" t="s">
        <v>64</v>
      </c>
      <c r="B65">
        <v>0.46893317702227399</v>
      </c>
    </row>
    <row r="66" spans="1:2">
      <c r="A66" t="s">
        <v>65</v>
      </c>
      <c r="B66">
        <v>0</v>
      </c>
    </row>
    <row r="67" spans="1:2">
      <c r="A67" t="s">
        <v>66</v>
      </c>
      <c r="B67">
        <v>9.0269636576787793</v>
      </c>
    </row>
    <row r="68" spans="1:2">
      <c r="A68" t="s">
        <v>67</v>
      </c>
      <c r="B68">
        <v>0</v>
      </c>
    </row>
    <row r="69" spans="1:2">
      <c r="A69" t="s">
        <v>68</v>
      </c>
      <c r="B69">
        <v>0</v>
      </c>
    </row>
    <row r="70" spans="1:2">
      <c r="A70" t="s">
        <v>69</v>
      </c>
      <c r="B70">
        <v>0</v>
      </c>
    </row>
    <row r="71" spans="1:2">
      <c r="A71" t="s">
        <v>70</v>
      </c>
      <c r="B71">
        <v>0.175849941383352</v>
      </c>
    </row>
    <row r="72" spans="1:2">
      <c r="A72" t="s">
        <v>71</v>
      </c>
      <c r="B72">
        <v>0.87924970691676396</v>
      </c>
    </row>
    <row r="73" spans="1:2">
      <c r="A73" t="s">
        <v>72</v>
      </c>
      <c r="B73">
        <v>0.175849941383352</v>
      </c>
    </row>
    <row r="74" spans="1:2">
      <c r="A74" t="s">
        <v>73</v>
      </c>
      <c r="B74">
        <v>0.175849941383352</v>
      </c>
    </row>
    <row r="75" spans="1:2">
      <c r="A75" t="s">
        <v>74</v>
      </c>
      <c r="B75">
        <v>0</v>
      </c>
    </row>
    <row r="76" spans="1:2">
      <c r="A76" t="s">
        <v>75</v>
      </c>
      <c r="B76">
        <v>0</v>
      </c>
    </row>
    <row r="77" spans="1:2">
      <c r="A77" t="s">
        <v>76</v>
      </c>
      <c r="B77">
        <v>0</v>
      </c>
    </row>
    <row r="78" spans="1:2">
      <c r="A78" t="s">
        <v>77</v>
      </c>
      <c r="B78" s="21">
        <v>20.926143024618899</v>
      </c>
    </row>
    <row r="79" spans="1:2">
      <c r="A79" t="s">
        <v>78</v>
      </c>
      <c r="B79">
        <v>0</v>
      </c>
    </row>
    <row r="80" spans="1:2">
      <c r="A80" t="s">
        <v>79</v>
      </c>
      <c r="B80">
        <v>0</v>
      </c>
    </row>
    <row r="81" spans="1:2">
      <c r="A81" t="s">
        <v>80</v>
      </c>
      <c r="B81">
        <v>2.6377491207502901</v>
      </c>
    </row>
    <row r="82" spans="1:2">
      <c r="A82" t="s">
        <v>81</v>
      </c>
      <c r="B82">
        <v>6.5064478311840501</v>
      </c>
    </row>
    <row r="83" spans="1:2">
      <c r="A83" t="s">
        <v>82</v>
      </c>
      <c r="B83" s="21">
        <v>28.839390386869798</v>
      </c>
    </row>
    <row r="84" spans="1:2">
      <c r="A84" t="s">
        <v>83</v>
      </c>
      <c r="B84">
        <v>0.234466588511137</v>
      </c>
    </row>
    <row r="85" spans="1:2">
      <c r="A85" t="s">
        <v>84</v>
      </c>
      <c r="B85">
        <v>0.234466588511137</v>
      </c>
    </row>
    <row r="86" spans="1:2">
      <c r="A86" t="s">
        <v>85</v>
      </c>
      <c r="B86">
        <v>0.64478311840562696</v>
      </c>
    </row>
    <row r="87" spans="1:2">
      <c r="A87" t="s">
        <v>86</v>
      </c>
      <c r="B87">
        <v>0.41031652989449002</v>
      </c>
    </row>
    <row r="88" spans="1:2">
      <c r="A88" t="s">
        <v>87</v>
      </c>
      <c r="B88">
        <v>1.7584994138335199</v>
      </c>
    </row>
    <row r="89" spans="1:2">
      <c r="A89" t="s">
        <v>88</v>
      </c>
      <c r="B89">
        <v>0.234466588511137</v>
      </c>
    </row>
    <row r="90" spans="1:2">
      <c r="A90" t="s">
        <v>89</v>
      </c>
      <c r="B90">
        <v>0.29308323563892102</v>
      </c>
    </row>
    <row r="91" spans="1:2">
      <c r="A91" t="s">
        <v>90</v>
      </c>
      <c r="B91" s="21">
        <v>39.566236811254399</v>
      </c>
    </row>
    <row r="92" spans="1:2">
      <c r="A92" t="s">
        <v>91</v>
      </c>
      <c r="B92">
        <v>5.3927315357561501</v>
      </c>
    </row>
    <row r="93" spans="1:2">
      <c r="A93" t="s">
        <v>92</v>
      </c>
      <c r="B93">
        <v>1.34818288393903</v>
      </c>
    </row>
    <row r="94" spans="1:2">
      <c r="A94" t="s">
        <v>93</v>
      </c>
      <c r="B94">
        <v>0.41031652989449002</v>
      </c>
    </row>
    <row r="95" spans="1:2">
      <c r="A95" t="s">
        <v>94</v>
      </c>
      <c r="B95">
        <v>1.99296600234466</v>
      </c>
    </row>
    <row r="96" spans="1:2">
      <c r="A96" t="s">
        <v>95</v>
      </c>
      <c r="B96">
        <v>0.117233294255568</v>
      </c>
    </row>
    <row r="97" spans="1:2">
      <c r="A97" t="s">
        <v>96</v>
      </c>
      <c r="B97">
        <v>0.41031652989449002</v>
      </c>
    </row>
    <row r="98" spans="1:2">
      <c r="A98" t="s">
        <v>97</v>
      </c>
      <c r="B98" s="21">
        <v>27.6084407971864</v>
      </c>
    </row>
    <row r="99" spans="1:2">
      <c r="A99" t="s">
        <v>98</v>
      </c>
      <c r="B99">
        <v>3.5756154747948399</v>
      </c>
    </row>
    <row r="100" spans="1:2">
      <c r="A100" t="s">
        <v>99</v>
      </c>
      <c r="B100">
        <v>5.9202813599062099</v>
      </c>
    </row>
    <row r="101" spans="1:2">
      <c r="A101" t="s">
        <v>100</v>
      </c>
      <c r="B101" s="21">
        <v>32.239155920281299</v>
      </c>
    </row>
    <row r="102" spans="1:2">
      <c r="A102" t="s">
        <v>101</v>
      </c>
      <c r="B102">
        <v>0.234466588511137</v>
      </c>
    </row>
    <row r="103" spans="1:2">
      <c r="A103" t="s">
        <v>102</v>
      </c>
      <c r="B103">
        <v>0.234466588511137</v>
      </c>
    </row>
    <row r="104" spans="1:2">
      <c r="A104" t="s">
        <v>103</v>
      </c>
      <c r="B104">
        <v>1.4654161781946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READ.ME</vt:lpstr>
      <vt:lpstr>feed_intake_summary_variables</vt:lpstr>
      <vt:lpstr>feed_intake_raw_variables</vt:lpstr>
      <vt:lpstr>feed_intake_raw</vt:lpstr>
      <vt:lpstr>Biblio</vt:lpstr>
      <vt:lpstr>lists</vt:lpstr>
      <vt:lpstr>variable_coverage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James Hawkins</cp:lastModifiedBy>
  <dcterms:created xsi:type="dcterms:W3CDTF">2025-06-30T10:34:32Z</dcterms:created>
  <dcterms:modified xsi:type="dcterms:W3CDTF">2026-10-15T10:52:16Z</dcterms:modified>
</cp:coreProperties>
</file>